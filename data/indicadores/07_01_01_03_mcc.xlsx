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_2016" sheetId="1" r:id="rId4"/>
    <sheet state="visible" name="datos_2024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" sheetId="8" r:id="rId11"/>
  </sheets>
  <definedNames/>
  <calcPr/>
  <pivotCaches>
    <pivotCache cacheId="0" r:id="rId12"/>
    <pivotCache cacheId="1" r:id="rId13"/>
  </pivotCaches>
  <extLst>
    <ext uri="GoogleSheetsCustomDataVersion2">
      <go:sheetsCustomData xmlns:go="http://customooxmlschemas.google.com/" r:id="rId14" roundtripDataChecksum="i7tXgUT0Lt/XwuDcA1h+5OTO0RtZSETL3utVt2DB3uw="/>
    </ext>
  </extLst>
</workbook>
</file>

<file path=xl/sharedStrings.xml><?xml version="1.0" encoding="utf-8"?>
<sst xmlns="http://schemas.openxmlformats.org/spreadsheetml/2006/main" count="769" uniqueCount="377">
  <si>
    <t>DEP</t>
  </si>
  <si>
    <t>COD_MUNI</t>
  </si>
  <si>
    <t>n_id_unicos</t>
  </si>
  <si>
    <t>n_id_zero_1_12</t>
  </si>
  <si>
    <t>n_id_zero_6_12</t>
  </si>
  <si>
    <t>n_id_zero_12</t>
  </si>
  <si>
    <t>Porcentaje de medidores eléctricos residenciales con consumo cero 2016</t>
  </si>
  <si>
    <t>Suma de n_id_unicos</t>
  </si>
  <si>
    <t>Suma de n_id_zero_6_12</t>
  </si>
  <si>
    <t>Suma total</t>
  </si>
  <si>
    <t>COD</t>
  </si>
  <si>
    <t>Name</t>
  </si>
  <si>
    <t>Porcentaje de medidores eléctricos residenciales con consumo cero 2016 (%)</t>
  </si>
  <si>
    <t>Porcentaje de medidores eléctricos residenciales con consumo cero 2023 (%)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</si>
  <si>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</si>
  <si>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</si>
  <si>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</si>
  <si>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</si>
  <si>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</si>
  <si>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</si>
  <si>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</si>
  <si>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</si>
  <si>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</si>
  <si>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</si>
  <si>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</si>
  <si>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</si>
  <si>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</si>
  <si>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</si>
  <si>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</si>
  <si>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</si>
  <si>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</si>
  <si>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</si>
  <si>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</si>
  <si>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</si>
  <si>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</si>
  <si>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</si>
  <si>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</si>
  <si>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</si>
  <si>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</si>
  <si>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</si>
  <si>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</si>
  <si>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</si>
  <si>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</si>
  <si>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</si>
  <si>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</si>
  <si>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</si>
  <si>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</si>
  <si>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</si>
  <si>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</si>
  <si>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</si>
  <si>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</si>
  <si>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</si>
  <si>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</si>
  <si>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</si>
  <si>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</si>
  <si>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</si>
  <si>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</si>
  <si>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</si>
  <si>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</si>
  <si>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</si>
  <si>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</si>
  <si>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</si>
  <si>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</si>
  <si>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</si>
  <si>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</si>
  <si>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</si>
  <si>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</si>
  <si>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</si>
  <si>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</si>
  <si>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</si>
  <si>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</si>
  <si>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</si>
  <si>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</si>
  <si>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</si>
  <si>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</si>
  <si>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</si>
  <si>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</si>
  <si>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</si>
  <si>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</si>
  <si>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</si>
  <si>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</si>
  <si>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</si>
  <si>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</si>
  <si>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</si>
  <si>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</si>
  <si>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</si>
  <si>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</si>
  <si>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</si>
  <si>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</si>
  <si>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</si>
  <si>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</si>
  <si>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</si>
  <si>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</si>
  <si>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</si>
  <si>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</si>
  <si>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</si>
  <si>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</si>
  <si>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</si>
  <si>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</si>
  <si>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</si>
  <si>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</si>
  <si>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</si>
  <si>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</si>
  <si>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</si>
  <si>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</si>
  <si>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</si>
  <si>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</si>
  <si>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</si>
  <si>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</si>
  <si>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</si>
  <si>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</si>
  <si>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</si>
  <si>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</si>
  <si>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</si>
  <si>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</si>
  <si>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</si>
  <si>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</si>
  <si>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</si>
  <si>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</si>
  <si>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</si>
  <si>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</si>
  <si>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</si>
  <si>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</si>
  <si>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</si>
  <si>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</si>
  <si>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</si>
  <si>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</si>
  <si>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</si>
  <si>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</si>
  <si>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</si>
  <si>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</si>
  <si>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</si>
  <si>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</si>
  <si>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</si>
  <si>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</si>
  <si>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</si>
  <si>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</si>
  <si>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</si>
  <si>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</si>
  <si>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</si>
  <si>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</si>
  <si>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</si>
  <si>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</si>
  <si>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</si>
  <si>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</si>
  <si>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</si>
  <si>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</si>
  <si>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</si>
  <si>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</si>
  <si>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</si>
  <si>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</si>
  <si>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</si>
  <si>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</si>
  <si>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</si>
  <si>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</si>
  <si>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</si>
  <si>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</si>
  <si>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</si>
  <si>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</si>
  <si>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</si>
  <si>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</si>
  <si>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</si>
  <si>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</si>
  <si>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</si>
  <si>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</si>
  <si>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</si>
  <si>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</si>
  <si>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</si>
  <si>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</si>
  <si>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</si>
  <si>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</si>
  <si>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</si>
  <si>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</si>
  <si>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</si>
  <si>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</si>
  <si>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</si>
  <si>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</si>
  <si>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</si>
  <si>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</si>
  <si>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</si>
  <si>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</si>
  <si>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</si>
  <si>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</si>
  <si>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</si>
  <si>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</si>
  <si>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</si>
  <si>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</si>
  <si>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</si>
  <si>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</si>
  <si>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</si>
  <si>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</si>
  <si>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</si>
  <si>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</si>
  <si>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</si>
  <si>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</si>
  <si>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</si>
  <si>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</si>
  <si>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</si>
  <si>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</si>
  <si>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</si>
  <si>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</si>
  <si>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</si>
  <si>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</si>
  <si>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</si>
  <si>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</si>
  <si>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</si>
  <si>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</si>
  <si>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</si>
  <si>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</si>
  <si>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</si>
  <si>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</si>
  <si>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</si>
  <si>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</si>
  <si>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</si>
  <si>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</si>
  <si>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</si>
  <si>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</si>
  <si>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</si>
  <si>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</si>
  <si>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</si>
  <si>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</si>
  <si>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</si>
  <si>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</si>
  <si>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</si>
  <si>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</si>
  <si>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</si>
  <si>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</si>
  <si>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</si>
  <si>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</si>
  <si>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</si>
  <si>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</si>
  <si>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</si>
  <si>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</si>
  <si>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</si>
  <si>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</si>
  <si>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</si>
  <si>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</si>
  <si>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</si>
  <si>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</si>
  <si>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</si>
  <si>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</si>
  <si>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</si>
  <si>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</si>
  <si>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</si>
  <si>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</si>
  <si>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</si>
  <si>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</si>
  <si>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</si>
  <si>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</si>
  <si>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</si>
  <si>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</si>
  <si>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</si>
  <si>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</si>
  <si>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</si>
  <si>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</si>
  <si>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</si>
  <si>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</si>
  <si>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</si>
  <si>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</si>
  <si>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</si>
  <si>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</si>
  <si>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</si>
  <si>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</si>
  <si>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</si>
  <si>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</si>
  <si>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</si>
  <si>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</si>
  <si>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</si>
  <si>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</si>
  <si>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</si>
  <si>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</si>
  <si>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</si>
  <si>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</si>
  <si>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</si>
  <si>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</si>
  <si>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</si>
  <si>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</si>
  <si>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</si>
  <si>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</si>
  <si>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</si>
  <si>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</si>
  <si>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</si>
  <si>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</si>
  <si>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</si>
  <si>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</si>
  <si>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</si>
  <si>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</si>
  <si>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</si>
  <si>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</si>
  <si>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</si>
  <si>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</si>
  <si>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</si>
  <si>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</si>
  <si>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</si>
  <si>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</si>
  <si>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</si>
  <si>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</si>
  <si>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</si>
  <si>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</si>
  <si>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</si>
  <si>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</si>
  <si>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</si>
  <si>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</si>
  <si>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</si>
  <si>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</si>
  <si>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</si>
  <si>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</si>
  <si>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</si>
  <si>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</si>
  <si>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</si>
  <si>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</si>
  <si>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</si>
  <si>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</si>
  <si>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</si>
  <si>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</si>
  <si>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</si>
  <si>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</si>
  <si>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</si>
  <si>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</si>
  <si>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</si>
  <si>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</si>
  <si>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</si>
  <si>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</si>
  <si>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</si>
  <si>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</si>
  <si>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</si>
  <si>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</si>
  <si>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</si>
  <si>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</si>
  <si>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</si>
  <si>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</si>
  <si>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</si>
  <si>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</si>
  <si>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</si>
  <si>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</si>
  <si>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</si>
  <si>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</si>
  <si>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</si>
  <si>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</si>
  <si>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</si>
  <si>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</si>
  <si>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</si>
  <si>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</si>
  <si>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</si>
  <si>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</si>
  <si>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</si>
  <si>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</si>
  <si>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</si>
  <si>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</si>
  <si>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</si>
  <si>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</si>
  <si>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</si>
  <si>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Número de medidores con 6 o más meses con consumo cero 2016</t>
  </si>
  <si>
    <t>Número de medidores con 6 o más meses con consumo cero 2023</t>
  </si>
  <si>
    <t>id_departamento</t>
  </si>
  <si>
    <t>Departamento</t>
  </si>
  <si>
    <t>Porcentaje de medidores eléctricos residenciales con consumo cero 2023</t>
  </si>
  <si>
    <t>Chuquisaca</t>
  </si>
  <si>
    <t>La Paz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</si>
  <si>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</si>
  <si>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</si>
  <si>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</si>
  <si>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</si>
  <si>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</si>
  <si>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</si>
  <si>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</si>
  <si>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</si>
  <si>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</si>
  <si>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</si>
  <si>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</si>
  <si>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</si>
  <si>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</si>
  <si>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</si>
  <si>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</si>
  <si>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</si>
  <si>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Porcentaje de medidores eléctricos residenciales con consumo cero</t>
  </si>
  <si>
    <t>Atlas Municipal de los ODS 2020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</si>
</sst>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_-* #,##0_-;\-* #,##0_-;_-* &quot;-&quot;??_-;_-@"/>
  </numFmts>
  <fonts count="8">
    <font>
      <sz val="11.0"/>
      <color theme="1"/>
      <name val="Calibri"/>
      <scheme val="minor"/>
    </font>
    <font>
      <b/>
      <sz val="11.0"/>
      <color theme="1"/>
      <name val="Calibri"/>
    </font>
    <font>
      <b/>
      <sz val="10.0"/>
      <color rgb="FF212529"/>
      <name val="Quattrocento Sans"/>
    </font>
    <font>
      <sz val="11.0"/>
      <color theme="1"/>
      <name val="Calibri"/>
    </font>
    <font>
      <color theme="1"/>
      <name val="Calibri"/>
      <scheme val="minor"/>
    </font>
    <font>
      <sz val="10.0"/>
      <color rgb="FF212529"/>
      <name val="Quattrocento Sans"/>
    </font>
    <font>
      <b/>
      <sz val="11.0"/>
      <color rgb="FFFFFFFF"/>
      <name val="Calibri"/>
    </font>
    <font>
      <b/>
      <sz val="9.0"/>
      <color theme="1"/>
      <name val="Play"/>
    </font>
  </fonts>
  <fills count="10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rgb="FFFFFF00"/>
        <bgColor rgb="FFFFFF00"/>
      </patternFill>
    </fill>
    <fill>
      <patternFill patternType="solid">
        <fgColor rgb="FFDBE5F1"/>
        <bgColor rgb="FFDBE5F1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6">
    <border/>
    <border>
      <left/>
      <right/>
      <top/>
      <bottom style="thin">
        <color rgb="FF95B3D7"/>
      </bottom>
    </border>
    <border>
      <left/>
      <right/>
      <top style="thin">
        <color rgb="FF95B3D7"/>
      </top>
      <bottom style="thin">
        <color rgb="FF95B3D7"/>
      </bottom>
    </border>
    <border>
      <top style="thin">
        <color rgb="FF95B3D7"/>
      </top>
      <bottom style="thin">
        <color rgb="FF95B3D7"/>
      </bottom>
    </border>
    <border>
      <left/>
      <right/>
      <top style="thin">
        <color rgb="FF95B3D7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3" numFmtId="164" xfId="0" applyFont="1" applyNumberFormat="1"/>
    <xf borderId="0" fillId="0" fontId="3" numFmtId="0" xfId="0" applyAlignment="1" applyFont="1">
      <alignment horizontal="left"/>
    </xf>
    <xf borderId="1" fillId="2" fontId="6" numFmtId="0" xfId="0" applyAlignment="1" applyBorder="1" applyFill="1" applyFont="1">
      <alignment shrinkToFit="0" wrapText="1"/>
    </xf>
    <xf borderId="0" fillId="0" fontId="5" numFmtId="0" xfId="0" applyFont="1"/>
    <xf borderId="2" fillId="3" fontId="3" numFmtId="0" xfId="0" applyBorder="1" applyFill="1" applyFont="1"/>
    <xf borderId="2" fillId="3" fontId="3" numFmtId="165" xfId="0" applyAlignment="1" applyBorder="1" applyFont="1" applyNumberFormat="1">
      <alignment horizontal="left"/>
    </xf>
    <xf borderId="1" fillId="3" fontId="3" numFmtId="2" xfId="0" applyBorder="1" applyFont="1" applyNumberFormat="1"/>
    <xf borderId="3" fillId="0" fontId="3" numFmtId="0" xfId="0" applyBorder="1" applyFont="1"/>
    <xf borderId="3" fillId="0" fontId="3" numFmtId="165" xfId="0" applyAlignment="1" applyBorder="1" applyFont="1" applyNumberFormat="1">
      <alignment horizontal="left"/>
    </xf>
    <xf borderId="2" fillId="4" fontId="3" numFmtId="0" xfId="0" applyBorder="1" applyFill="1" applyFont="1"/>
    <xf borderId="4" fillId="3" fontId="3" numFmtId="0" xfId="0" applyBorder="1" applyFont="1"/>
    <xf borderId="4" fillId="3" fontId="3" numFmtId="165" xfId="0" applyAlignment="1" applyBorder="1" applyFont="1" applyNumberFormat="1">
      <alignment horizontal="left"/>
    </xf>
    <xf borderId="1" fillId="2" fontId="6" numFmtId="0" xfId="0" applyAlignment="1" applyBorder="1" applyFont="1">
      <alignment shrinkToFit="0" wrapText="1"/>
    </xf>
    <xf borderId="2" fillId="3" fontId="3" numFmtId="0" xfId="0" applyBorder="1" applyFont="1"/>
    <xf borderId="2" fillId="3" fontId="3" numFmtId="165" xfId="0" applyAlignment="1" applyBorder="1" applyFont="1" applyNumberFormat="1">
      <alignment horizontal="left"/>
    </xf>
    <xf borderId="1" fillId="3" fontId="3" numFmtId="1" xfId="0" applyBorder="1" applyFont="1" applyNumberFormat="1"/>
    <xf borderId="3" fillId="0" fontId="3" numFmtId="0" xfId="0" applyBorder="1" applyFont="1"/>
    <xf borderId="3" fillId="0" fontId="3" numFmtId="165" xfId="0" applyAlignment="1" applyBorder="1" applyFont="1" applyNumberFormat="1">
      <alignment horizontal="left"/>
    </xf>
    <xf borderId="4" fillId="3" fontId="3" numFmtId="0" xfId="0" applyBorder="1" applyFont="1"/>
    <xf borderId="4" fillId="3" fontId="3" numFmtId="165" xfId="0" applyAlignment="1" applyBorder="1" applyFont="1" applyNumberFormat="1">
      <alignment horizontal="left"/>
    </xf>
    <xf borderId="5" fillId="0" fontId="1" numFmtId="0" xfId="0" applyBorder="1" applyFont="1"/>
    <xf borderId="5" fillId="0" fontId="3" numFmtId="0" xfId="0" applyBorder="1" applyFont="1"/>
    <xf borderId="5" fillId="0" fontId="3" numFmtId="2" xfId="0" applyBorder="1" applyFont="1" applyNumberFormat="1"/>
    <xf borderId="0" fillId="0" fontId="3" numFmtId="2" xfId="0" applyFont="1" applyNumberFormat="1"/>
    <xf borderId="4" fillId="5" fontId="1" numFmtId="0" xfId="0" applyBorder="1" applyFill="1" applyFont="1"/>
    <xf borderId="5" fillId="6" fontId="1" numFmtId="0" xfId="0" applyAlignment="1" applyBorder="1" applyFill="1" applyFont="1">
      <alignment horizontal="center" shrinkToFit="0" vertical="center" wrapText="1"/>
    </xf>
    <xf borderId="5" fillId="7" fontId="7" numFmtId="0" xfId="0" applyAlignment="1" applyBorder="1" applyFill="1" applyFont="1">
      <alignment horizontal="center" shrinkToFit="0" vertical="center" wrapText="1"/>
    </xf>
    <xf borderId="5" fillId="4" fontId="7" numFmtId="0" xfId="0" applyAlignment="1" applyBorder="1" applyFont="1">
      <alignment horizontal="center" shrinkToFit="0" vertical="center" wrapText="1"/>
    </xf>
    <xf borderId="5" fillId="8" fontId="7" numFmtId="0" xfId="0" applyAlignment="1" applyBorder="1" applyFill="1" applyFont="1">
      <alignment horizontal="center" shrinkToFit="0" vertical="center" wrapText="1"/>
    </xf>
    <xf borderId="5" fillId="9" fontId="7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5" fillId="0" fontId="3" numFmtId="0" xfId="0" applyAlignment="1" applyBorder="1" applyFont="1">
      <alignment horizontal="center" vertical="center"/>
    </xf>
    <xf borderId="5" fillId="0" fontId="5" numFmtId="0" xfId="0" applyBorder="1" applyFont="1"/>
    <xf borderId="5" fillId="0" fontId="3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</dxfs>
  <tableStyles count="1">
    <tableStyle count="3" pivot="0" name="Indicador_MU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pivotCacheDefinition" Target="pivotCache/pivotCacheDefinition2.xml"/><Relationship Id="rId12" Type="http://schemas.openxmlformats.org/officeDocument/2006/relationships/pivotCacheDefinition" Target="pivotCache/pivotCacheDefinition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G330" sheet="datos_2016"/>
  </cacheSource>
  <cacheFields>
    <cacheField name="DEP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</sharedItems>
    </cacheField>
    <cacheField name="COD_MUNI" numFmtId="0">
      <sharedItems containsSemiMixedTypes="0" containsString="0" containsNumber="1" containsInteger="1">
        <n v="10101.0"/>
        <n v="10102.0"/>
        <n v="10103.0"/>
        <n v="10201.0"/>
        <n v="10202.0"/>
        <n v="10301.0"/>
        <n v="10302.0"/>
        <n v="10303.0"/>
        <n v="10304.0"/>
        <n v="10401.0"/>
        <n v="10402.0"/>
        <n v="10403.0"/>
        <n v="10404.0"/>
        <n v="10405.0"/>
        <n v="10501.0"/>
        <n v="10502.0"/>
        <n v="10601.0"/>
        <n v="10602.0"/>
        <n v="10701.0"/>
        <n v="10702.0"/>
        <n v="10703.0"/>
        <n v="10704.0"/>
        <n v="10801.0"/>
        <n v="10901.0"/>
        <n v="10902.0"/>
        <n v="10903.0"/>
        <n v="11001.0"/>
        <n v="11002.0"/>
        <n v="11003.0"/>
        <n v="20101.0"/>
        <n v="20102.0"/>
        <n v="20103.0"/>
        <n v="20104.0"/>
        <n v="20105.0"/>
        <n v="20201.0"/>
        <n v="20202.0"/>
        <n v="20203.0"/>
        <n v="20204.0"/>
        <n v="20205.0"/>
        <n v="20206.0"/>
        <n v="20301.0"/>
        <n v="20302.0"/>
        <n v="20303.0"/>
        <n v="20304.0"/>
        <n v="20305.0"/>
        <n v="20306.0"/>
        <n v="20307.0"/>
        <n v="20308.0"/>
        <n v="20401.0"/>
        <n v="20402.0"/>
        <n v="20403.0"/>
        <n v="20404.0"/>
        <n v="20405.0"/>
        <n v="20501.0"/>
        <n v="20502.0"/>
        <n v="20503.0"/>
        <n v="20601.0"/>
        <n v="20602.0"/>
        <n v="20603.0"/>
        <n v="20604.0"/>
        <n v="20605.0"/>
        <n v="20606.0"/>
        <n v="20607.0"/>
        <n v="20608.0"/>
        <n v="20701.0"/>
        <n v="20702.0"/>
        <n v="20801.0"/>
        <n v="20802.0"/>
        <n v="20803.0"/>
        <n v="20804.0"/>
        <n v="20805.0"/>
        <n v="20806.0"/>
        <n v="20807.0"/>
        <n v="20901.0"/>
        <n v="20902.0"/>
        <n v="20903.0"/>
        <n v="20904.0"/>
        <n v="20905.0"/>
        <n v="21001.0"/>
        <n v="21002.0"/>
        <n v="21003.0"/>
        <n v="21004.0"/>
        <n v="21005.0"/>
        <n v="21006.0"/>
        <n v="21101.0"/>
        <n v="21102.0"/>
        <n v="21103.0"/>
        <n v="21104.0"/>
        <n v="21105.0"/>
        <n v="21201.0"/>
        <n v="21202.0"/>
        <n v="21203.0"/>
        <n v="21204.0"/>
        <n v="21301.0"/>
        <n v="21302.0"/>
        <n v="21303.0"/>
        <n v="21304.0"/>
        <n v="21305.0"/>
        <n v="21306.0"/>
        <n v="21307.0"/>
        <n v="21401.0"/>
        <n v="21402.0"/>
        <n v="21501.0"/>
        <n v="21502.0"/>
        <n v="21601.0"/>
        <n v="21602.0"/>
        <n v="21701.0"/>
        <n v="21702.0"/>
        <n v="21703.0"/>
        <n v="21801.0"/>
        <n v="21802.0"/>
        <n v="21803.0"/>
        <n v="21901.0"/>
        <n v="21902.0"/>
        <n v="22001.0"/>
        <n v="22002.0"/>
        <n v="30101.0"/>
        <n v="30201.0"/>
        <n v="30202.0"/>
        <n v="30203.0"/>
        <n v="30301.0"/>
        <n v="30302.0"/>
        <n v="30303.0"/>
        <n v="30401.0"/>
        <n v="30402.0"/>
        <n v="30403.0"/>
        <n v="30404.0"/>
        <n v="30501.0"/>
        <n v="30502.0"/>
        <n v="30601.0"/>
        <n v="30602.0"/>
        <n v="30701.0"/>
        <n v="30702.0"/>
        <n v="30703.0"/>
        <n v="30801.0"/>
        <n v="30802.0"/>
        <n v="30803.0"/>
        <n v="30901.0"/>
        <n v="30902.0"/>
        <n v="30903.0"/>
        <n v="30904.0"/>
        <n v="30905.0"/>
        <n v="31001.0"/>
        <n v="31002.0"/>
        <n v="31003.0"/>
        <n v="31101.0"/>
        <n v="31201.0"/>
        <n v="31202.0"/>
        <n v="31203.0"/>
        <n v="31204.0"/>
        <n v="31205.0"/>
        <n v="31206.0"/>
        <n v="31301.0"/>
        <n v="31302.0"/>
        <n v="31303.0"/>
        <n v="31401.0"/>
        <n v="31402.0"/>
        <n v="31403.0"/>
        <n v="31404.0"/>
        <n v="31501.0"/>
        <n v="31601.0"/>
        <n v="31602.0"/>
        <n v="40101.0"/>
        <n v="40102.0"/>
        <n v="40103.0"/>
        <n v="40104.0"/>
        <n v="40201.0"/>
        <n v="40202.0"/>
        <n v="40301.0"/>
        <n v="40302.0"/>
        <n v="40401.0"/>
        <n v="40402.0"/>
        <n v="40501.0"/>
        <n v="40502.0"/>
        <n v="40503.0"/>
        <n v="40504.0"/>
        <n v="40505.0"/>
        <n v="40601.0"/>
        <n v="40602.0"/>
        <n v="40603.0"/>
        <n v="40701.0"/>
        <n v="40702.0"/>
        <n v="40801.0"/>
        <n v="40802.0"/>
        <n v="40901.0"/>
        <n v="40902.0"/>
        <n v="40903.0"/>
        <n v="41001.0"/>
        <n v="41101.0"/>
        <n v="41201.0"/>
        <n v="41202.0"/>
        <n v="41301.0"/>
        <n v="41401.0"/>
        <n v="41501.0"/>
        <n v="41502.0"/>
        <n v="41503.0"/>
        <n v="41601.0"/>
        <n v="50101.0"/>
        <n v="50102.0"/>
        <n v="50103.0"/>
        <n v="50104.0"/>
        <n v="50201.0"/>
        <n v="50202.0"/>
        <n v="50203.0"/>
        <n v="50301.0"/>
        <n v="50302.0"/>
        <n v="50303.0"/>
        <n v="50401.0"/>
        <n v="50402.0"/>
        <n v="50403.0"/>
        <n v="50404.0"/>
        <n v="50501.0"/>
        <n v="50502.0"/>
        <n v="50601.0"/>
        <n v="50602.0"/>
        <n v="50701.0"/>
        <n v="50702.0"/>
        <n v="50801.0"/>
        <n v="50802.0"/>
        <n v="50901.0"/>
        <n v="50902.0"/>
        <n v="51001.0"/>
        <n v="51003.0"/>
        <n v="51101.0"/>
        <n v="51102.0"/>
        <n v="51103.0"/>
        <n v="51201.0"/>
        <n v="51202.0"/>
        <n v="51203.0"/>
        <n v="51301.0"/>
        <n v="51302.0"/>
        <n v="51401.0"/>
        <n v="51402.0"/>
        <n v="51501.0"/>
        <n v="51601.0"/>
        <n v="60101.0"/>
        <n v="60201.0"/>
        <n v="60202.0"/>
        <n v="60301.0"/>
        <n v="60302.0"/>
        <n v="60303.0"/>
        <n v="60401.0"/>
        <n v="60402.0"/>
        <n v="60501.0"/>
        <n v="60502.0"/>
        <n v="60601.0"/>
        <n v="70101.0"/>
        <n v="70102.0"/>
        <n v="70103.0"/>
        <n v="70104.0"/>
        <n v="70105.0"/>
        <n v="70201.0"/>
        <n v="70202.0"/>
        <n v="70301.0"/>
        <n v="70302.0"/>
        <n v="70303.0"/>
        <n v="70401.0"/>
        <n v="70402.0"/>
        <n v="70403.0"/>
        <n v="70404.0"/>
        <n v="70501.0"/>
        <n v="70502.0"/>
        <n v="70503.0"/>
        <n v="70601.0"/>
        <n v="70602.0"/>
        <n v="70603.0"/>
        <n v="70701.0"/>
        <n v="70702.0"/>
        <n v="70703.0"/>
        <n v="70704.0"/>
        <n v="70705.0"/>
        <n v="70706.0"/>
        <n v="70707.0"/>
        <n v="70801.0"/>
        <n v="70802.0"/>
        <n v="70803.0"/>
        <n v="70804.0"/>
        <n v="70901.0"/>
        <n v="70902.0"/>
        <n v="70903.0"/>
        <n v="70904.0"/>
        <n v="71001.0"/>
        <n v="71002.0"/>
        <n v="71003.0"/>
        <n v="71004.0"/>
        <n v="71005.0"/>
        <n v="71101.0"/>
        <n v="71102.0"/>
        <n v="71103.0"/>
        <n v="71104.0"/>
        <n v="71105.0"/>
        <n v="71106.0"/>
        <n v="71201.0"/>
        <n v="71301.0"/>
        <n v="71302.0"/>
        <n v="71401.0"/>
        <n v="71402.0"/>
        <n v="71403.0"/>
        <n v="71501.0"/>
        <n v="71502.0"/>
        <n v="71503.0"/>
        <n v="80101.0"/>
        <n v="80102.0"/>
        <n v="80201.0"/>
        <n v="80202.0"/>
        <n v="80301.0"/>
        <n v="80302.0"/>
        <n v="80303.0"/>
        <n v="80304.0"/>
        <n v="80401.0"/>
        <n v="80501.0"/>
        <n v="80601.0"/>
        <n v="80602.0"/>
        <n v="80701.0"/>
        <n v="80702.0"/>
        <n v="80801.0"/>
        <n v="80802.0"/>
        <n v="80803.0"/>
        <n v="90101.0"/>
        <n v="90102.0"/>
        <n v="90104.0"/>
        <n v="90201.0"/>
        <n v="90202.0"/>
        <n v="90203.0"/>
        <n v="90301.0"/>
        <n v="90302.0"/>
        <n v="90303.0"/>
        <n v="90501.0"/>
        <n v="90502.0"/>
      </sharedItems>
    </cacheField>
    <cacheField name="n_id_unicos" numFmtId="0">
      <sharedItems containsSemiMixedTypes="0" containsString="0" containsNumber="1" containsInteger="1">
        <n v="67379.0"/>
        <n v="2450.0"/>
        <n v="930.0"/>
        <n v="752.0"/>
        <n v="1610.0"/>
        <n v="1089.0"/>
        <n v="1059.0"/>
        <n v="1280.0"/>
        <n v="1292.0"/>
        <n v="1775.0"/>
        <n v="1455.0"/>
        <n v="798.0"/>
        <n v="850.0"/>
        <n v="865.0"/>
        <n v="4277.0"/>
        <n v="1001.0"/>
        <n v="2434.0"/>
        <n v="1742.0"/>
        <n v="3571.0"/>
        <n v="3813.0"/>
        <n v="951.0"/>
        <n v="1836.0"/>
        <n v="2232.0"/>
        <n v="825.0"/>
        <n v="2341.0"/>
        <n v="796.0"/>
        <n v="1150.0"/>
        <n v="263.0"/>
        <n v="839.0"/>
        <n v="250683.0"/>
        <n v="3773.0"/>
        <n v="4435.0"/>
        <n v="5757.0"/>
        <n v="263573.0"/>
        <n v="18505.0"/>
        <n v="3232.0"/>
        <n v="1784.0"/>
        <n v="2599.0"/>
        <n v="2788.0"/>
        <n v="1289.0"/>
        <n v="2928.0"/>
        <n v="3350.0"/>
        <n v="1131.0"/>
        <n v="938.0"/>
        <n v="349.0"/>
        <n v="371.0"/>
        <n v="101.0"/>
        <n v="413.0"/>
        <n v="5262.0"/>
        <n v="3346.0"/>
        <n v="3519.0"/>
        <n v="1136.0"/>
        <n v="1900.0"/>
        <n v="2301.0"/>
        <n v="1496.0"/>
        <n v="837.0"/>
        <n v="5418.0"/>
        <n v="2476.0"/>
        <n v="1443.0"/>
        <n v="785.0"/>
        <n v="638.0"/>
        <n v="1842.0"/>
        <n v="1943.0"/>
        <n v="1595.0"/>
        <n v="2893.0"/>
        <n v="959.0"/>
        <n v="28321.0"/>
        <n v="2370.0"/>
        <n v="2748.0"/>
        <n v="1798.0"/>
        <n v="1447.0"/>
        <n v="3329.0"/>
        <n v="1475.0"/>
        <n v="2609.0"/>
        <n v="3175.0"/>
        <n v="1548.0"/>
        <n v="273.0"/>
        <n v="2118.0"/>
        <n v="2163.0"/>
        <n v="1356.0"/>
        <n v="3240.0"/>
        <n v="1953.0"/>
        <n v="1027.0"/>
        <n v="636.0"/>
        <n v="4533.0"/>
        <n v="4321.0"/>
        <n v="1382.0"/>
        <n v="5298.0"/>
        <n v="6923.0"/>
        <n v="6972.0"/>
        <n v="7167.0"/>
        <n v="5079.0"/>
        <n v="1869.0"/>
        <n v="4998.0"/>
        <n v="2148.0"/>
        <n v="1863.0"/>
        <n v="2832.0"/>
        <n v="5701.0"/>
        <n v="1790.0"/>
        <n v="623.0"/>
        <n v="4901.0"/>
        <n v="5374.0"/>
        <n v="834.0"/>
        <n v="1903.0"/>
        <n v="316.0"/>
        <n v="4801.0"/>
        <n v="1755.0"/>
        <n v="466.0"/>
        <n v="156.0"/>
        <n v="1085.0"/>
        <n v="300.0"/>
        <n v="1272.0"/>
        <n v="195.0"/>
        <n v="11182.0"/>
        <n v="1918.0"/>
        <n v="207056.0"/>
        <n v="4196.0"/>
        <n v="726.0"/>
        <n v="2313.0"/>
        <n v="3112.0"/>
        <n v="1569.0"/>
        <n v="1108.0"/>
        <n v="2561.0"/>
        <n v="925.0"/>
        <n v="4972.0"/>
        <n v="1170.0"/>
        <n v="4767.0"/>
        <n v="1349.0"/>
        <n v="981.0"/>
        <n v="1114.0"/>
        <n v="5818.0"/>
        <n v="2273.0"/>
        <n v="1138.0"/>
        <n v="6665.0"/>
        <n v="1728.0"/>
        <n v="1936.0"/>
        <n v="39097.0"/>
        <n v="14326.0"/>
        <n v="15449.0"/>
        <n v="14540.0"/>
        <n v="15360.0"/>
        <n v="50068.0"/>
        <n v="5192.0"/>
        <n v="17301.0"/>
        <n v="2036.0"/>
        <n v="3378.0"/>
        <n v="1781.0"/>
        <n v="2518.0"/>
        <n v="4837.0"/>
        <n v="11142.0"/>
        <n v="6932.0"/>
        <n v="5163.0"/>
        <n v="473.0"/>
        <n v="297.0"/>
        <n v="9916.0"/>
        <n v="3091.0"/>
        <n v="4575.0"/>
        <n v="293.0"/>
        <n v="895.0"/>
        <n v="5476.0"/>
        <n v="4850.0"/>
        <n v="87056.0"/>
        <n v="4560.0"/>
        <n v="83.0"/>
        <n v="10875.0"/>
        <n v="7296.0"/>
        <n v="685.0"/>
        <n v="1374.0"/>
        <n v="227.0"/>
        <n v="873.0"/>
        <n v="442.0"/>
        <n v="561.0"/>
        <n v="28.0"/>
        <n v="63.0"/>
        <n v="58.0"/>
        <n v="61.0"/>
        <n v="171.0"/>
        <n v="1175.0"/>
        <n v="6.0"/>
        <n v="5439.0"/>
        <n v="965.0"/>
        <n v="3383.0"/>
        <n v="179.0"/>
        <n v="762.0"/>
        <n v="132.0"/>
        <n v="339.0"/>
        <n v="793.0"/>
        <n v="2272.0"/>
        <n v="1124.0"/>
        <n v="365.0"/>
        <n v="520.0"/>
        <n v="1298.0"/>
        <n v="65.0"/>
        <n v="93.0"/>
        <n v="66.0"/>
        <n v="1031.0"/>
        <n v="41716.0"/>
        <n v="3391.0"/>
        <n v="1481.0"/>
        <n v="286.0"/>
        <n v="4189.0"/>
        <n v="1252.0"/>
        <n v="7796.0"/>
        <n v="6248.0"/>
        <n v="2280.0"/>
        <n v="740.0"/>
        <n v="5044.0"/>
        <n v="2961.0"/>
        <n v="1596.0"/>
        <n v="1574.0"/>
        <n v="1396.0"/>
        <n v="5312.0"/>
        <n v="2271.0"/>
        <n v="2804.0"/>
        <n v="1269.0"/>
        <n v="12288.0"/>
        <n v="3047.0"/>
        <n v="1210.0"/>
        <n v="524.0"/>
        <n v="552.0"/>
        <n v="147.0"/>
        <n v="5322.0"/>
        <n v="2787.0"/>
        <n v="992.0"/>
        <n v="8293.0"/>
        <n v="2131.0"/>
        <n v="1872.0"/>
        <n v="628.0"/>
        <n v="1090.0"/>
        <n v="1195.0"/>
        <n v="425.0"/>
        <n v="8841.0"/>
        <n v="225.0"/>
        <n v="50743.0"/>
        <n v="4161.0"/>
        <n v="9029.0"/>
        <n v="19947.0"/>
        <n v="3549.0"/>
        <n v="11124.0"/>
        <n v="3384.0"/>
        <n v="1082.0"/>
        <n v="6056.0"/>
        <n v="2615.0"/>
        <n v="4740.0"/>
        <n v="323773.0"/>
        <n v="11871.0"/>
        <n v="3941.0"/>
        <n v="24579.0"/>
        <n v="10827.0"/>
        <n v="27862.0"/>
        <n v="1884.0"/>
        <n v="7157.0"/>
        <n v="1756.0"/>
        <n v="593.0"/>
        <n v="2897.0"/>
        <n v="3656.0"/>
        <n v="9264.0"/>
        <n v="1278.0"/>
        <n v="3190.0"/>
        <n v="3790.0"/>
        <n v="2823.0"/>
        <n v="960.0"/>
        <n v="769.0"/>
        <n v="3123.0"/>
        <n v="655.0"/>
        <n v="1414.0"/>
        <n v="7491.0"/>
        <n v="806.0"/>
        <n v="4444.0"/>
        <n v="646.0"/>
        <n v="356.0"/>
        <n v="2784.0"/>
        <n v="2567.0"/>
        <n v="406.0"/>
        <n v="24148.0"/>
        <n v="2630.0"/>
        <n v="4205.0"/>
        <n v="2426.0"/>
        <n v="2820.0"/>
        <n v="3077.0"/>
        <n v="1509.0"/>
        <n v="1216.0"/>
        <n v="7591.0"/>
        <n v="934.0"/>
        <n v="3828.0"/>
        <n v="1776.0"/>
        <n v="3558.0"/>
        <n v="1294.0"/>
        <n v="4053.0"/>
        <n v="3693.0"/>
        <n v="826.0"/>
        <n v="4341.0"/>
        <n v="891.0"/>
        <n v="844.0"/>
        <n v="35825.0"/>
        <n v="137.0"/>
        <n v="18564.0"/>
        <n v="7307.0"/>
        <n v="3456.0"/>
        <n v="13479.0"/>
        <n v="2097.0"/>
        <n v="6733.0"/>
        <n v="7621.0"/>
        <n v="7183.0"/>
        <n v="1480.0"/>
        <n v="1743.0"/>
        <n v="1376.0"/>
        <n v="3074.0"/>
        <n v="502.0"/>
        <n v="11745.0"/>
        <n v="911.0"/>
        <n v="202.0"/>
        <n v="764.0"/>
        <n v="102.0"/>
        <n v="404.0"/>
        <n v="184.0"/>
        <n v="186.0"/>
        <n v="501.0"/>
        <n v="80.0"/>
        <n v="113.0"/>
      </sharedItems>
    </cacheField>
    <cacheField name="n_id_zero_1_12" numFmtId="0">
      <sharedItems containsSemiMixedTypes="0" containsString="0" containsNumber="1" containsInteger="1">
        <n v="8920.0"/>
        <n v="828.0"/>
        <n v="662.0"/>
        <n v="332.0"/>
        <n v="817.0"/>
        <n v="458.0"/>
        <n v="416.0"/>
        <n v="538.0"/>
        <n v="566.0"/>
        <n v="628.0"/>
        <n v="516.0"/>
        <n v="209.0"/>
        <n v="307.0"/>
        <n v="533.0"/>
        <n v="823.0"/>
        <n v="230.0"/>
        <n v="974.0"/>
        <n v="941.0"/>
        <n v="1288.0"/>
        <n v="1809.0"/>
        <n v="290.0"/>
        <n v="555.0"/>
        <n v="842.0"/>
        <n v="350.0"/>
        <n v="670.0"/>
        <n v="329.0"/>
        <n v="165.0"/>
        <n v="53.0"/>
        <n v="258.0"/>
        <n v="41346.0"/>
        <n v="1482.0"/>
        <n v="2494.0"/>
        <n v="1921.0"/>
        <n v="55961.0"/>
        <n v="7315.0"/>
        <n v="2018.0"/>
        <n v="710.0"/>
        <n v="1338.0"/>
        <n v="1660.0"/>
        <n v="709.0"/>
        <n v="2049.0"/>
        <n v="2542.0"/>
        <n v="753.0"/>
        <n v="660.0"/>
        <n v="227.0"/>
        <n v="226.0"/>
        <n v="59.0"/>
        <n v="354.0"/>
        <n v="2110.0"/>
        <n v="1733.0"/>
        <n v="1995.0"/>
        <n v="558.0"/>
        <n v="1075.0"/>
        <n v="1182.0"/>
        <n v="636.0"/>
        <n v="548.0"/>
        <n v="2809.0"/>
        <n v="535.0"/>
        <n v="905.0"/>
        <n v="310.0"/>
        <n v="342.0"/>
        <n v="488.0"/>
        <n v="480.0"/>
        <n v="376.0"/>
        <n v="729.0"/>
        <n v="9958.0"/>
        <n v="1997.0"/>
        <n v="1741.0"/>
        <n v="1070.0"/>
        <n v="1151.0"/>
        <n v="2121.0"/>
        <n v="827.0"/>
        <n v="1281.0"/>
        <n v="2040.0"/>
        <n v="930.0"/>
        <n v="188.0"/>
        <n v="808.0"/>
        <n v="1033.0"/>
        <n v="434.0"/>
        <n v="977.0"/>
        <n v="1443.0"/>
        <n v="344.0"/>
        <n v="1087.0"/>
        <n v="1362.0"/>
        <n v="397.0"/>
        <n v="1786.0"/>
        <n v="2067.0"/>
        <n v="3562.0"/>
        <n v="2762.0"/>
        <n v="2423.0"/>
        <n v="781.0"/>
        <n v="3546.0"/>
        <n v="1707.0"/>
        <n v="1384.0"/>
        <n v="1665.0"/>
        <n v="2890.0"/>
        <n v="674.0"/>
        <n v="194.0"/>
        <n v="830.0"/>
        <n v="1572.0"/>
        <n v="308.0"/>
        <n v="1324.0"/>
        <n v="238.0"/>
        <n v="2284.0"/>
        <n v="915.0"/>
        <n v="300.0"/>
        <n v="147.0"/>
        <n v="255.0"/>
        <n v="279.0"/>
        <n v="113.0"/>
        <n v="4096.0"/>
        <n v="626.0"/>
        <n v="28589.0"/>
        <n v="756.0"/>
        <n v="164.0"/>
        <n v="373.0"/>
        <n v="972.0"/>
        <n v="639.0"/>
        <n v="465.0"/>
        <n v="396.0"/>
        <n v="1700.0"/>
        <n v="518.0"/>
        <n v="1396.0"/>
        <n v="483.0"/>
        <n v="400.0"/>
        <n v="479.0"/>
        <n v="916.0"/>
        <n v="739.0"/>
        <n v="244.0"/>
        <n v="1470.0"/>
        <n v="517.0"/>
        <n v="4355.0"/>
        <n v="1947.0"/>
        <n v="2035.0"/>
        <n v="2233.0"/>
        <n v="1613.0"/>
        <n v="7914.0"/>
        <n v="1230.0"/>
        <n v="3693.0"/>
        <n v="818.0"/>
        <n v="812.0"/>
        <n v="470.0"/>
        <n v="875.0"/>
        <n v="2248.0"/>
        <n v="1015.0"/>
        <n v="1104.0"/>
        <n v="180.0"/>
        <n v="121.0"/>
        <n v="1836.0"/>
        <n v="1128.0"/>
        <n v="1014.0"/>
        <n v="108.0"/>
        <n v="365.0"/>
        <n v="1327.0"/>
        <n v="682.0"/>
        <n v="15238.0"/>
        <n v="1500.0"/>
        <n v="58.0"/>
        <n v="2717.0"/>
        <n v="3041.0"/>
        <n v="78.0"/>
        <n v="1061.0"/>
        <n v="204.0"/>
        <n v="257.0"/>
        <n v="333.0"/>
        <n v="352.0"/>
        <n v="28.0"/>
        <n v="54.0"/>
        <n v="33.0"/>
        <n v="50.0"/>
        <n v="129.0"/>
        <n v="608.0"/>
        <n v="5.0"/>
        <n v="1177.0"/>
        <n v="261.0"/>
        <n v="2888.0"/>
        <n v="449.0"/>
        <n v="411.0"/>
        <n v="326.0"/>
        <n v="833.0"/>
        <n v="291.0"/>
        <n v="107.0"/>
        <n v="574.0"/>
        <n v="46.0"/>
        <n v="37.0"/>
        <n v="315.0"/>
        <n v="7335.0"/>
        <n v="2028.0"/>
        <n v="700.0"/>
        <n v="172.0"/>
        <n v="150.0"/>
        <n v="1934.0"/>
        <n v="2173.0"/>
        <n v="1145.0"/>
        <n v="229.0"/>
        <n v="2536.0"/>
        <n v="1866.0"/>
        <n v="2433.0"/>
        <n v="909.0"/>
        <n v="964.0"/>
        <n v="864.0"/>
        <n v="2534.0"/>
        <n v="1179.0"/>
        <n v="1649.0"/>
        <n v="776.0"/>
        <n v="3882.0"/>
        <n v="769.0"/>
        <n v="298.0"/>
        <n v="264.0"/>
        <n v="60.0"/>
        <n v="2200.0"/>
        <n v="1417.0"/>
        <n v="647.0"/>
        <n v="2031.0"/>
        <n v="1161.0"/>
        <n v="496.0"/>
        <n v="412.0"/>
        <n v="775.0"/>
        <n v="322.0"/>
        <n v="1265.0"/>
        <n v="102.0"/>
        <n v="9380.0"/>
        <n v="1589.0"/>
        <n v="2431.0"/>
        <n v="760.0"/>
        <n v="2388.0"/>
        <n v="1239.0"/>
        <n v="526.0"/>
        <n v="2929.0"/>
        <n v="1023.0"/>
        <n v="2090.0"/>
        <n v="31194.0"/>
        <n v="1967.0"/>
        <n v="632.0"/>
        <n v="2838.0"/>
        <n v="1129.0"/>
        <n v="3933.0"/>
        <n v="211.0"/>
        <n v="84.0"/>
        <n v="1082.0"/>
        <n v="166.0"/>
        <n v="398.0"/>
        <n v="604.0"/>
        <n v="455.0"/>
        <n v="312.0"/>
        <n v="96.0"/>
        <n v="97.0"/>
        <n v="334.0"/>
        <n v="520.0"/>
        <n v="658.0"/>
        <n v="99.0"/>
        <n v="816.0"/>
        <n v="93.0"/>
        <n v="142.0"/>
        <n v="531.0"/>
        <n v="463.0"/>
        <n v="356.0"/>
        <n v="2282.0"/>
        <n v="345.0"/>
        <n v="415.0"/>
        <n v="289.0"/>
        <n v="366.0"/>
        <n v="437.0"/>
        <n v="173.0"/>
        <n v="1098.0"/>
        <n v="94.0"/>
        <n v="504.0"/>
        <n v="0.0"/>
        <n v="254.0"/>
        <n v="718.0"/>
        <n v="563.0"/>
        <n v="618.0"/>
        <n v="148.0"/>
        <n v="5155.0"/>
        <n v="360.0"/>
        <n v="1599.0"/>
        <n v="247.0"/>
        <n v="637.0"/>
        <n v="35.0"/>
        <n v="304.0"/>
        <n v="169.0"/>
        <n v="122.0"/>
        <n v="323.0"/>
        <n v="52.0"/>
        <n v="1758.0"/>
        <n v="174.0"/>
        <n v="43.0"/>
        <n v="245.0"/>
        <n v="38.0"/>
        <n v="51.0"/>
        <n v="22.0"/>
        <n v="66.0"/>
      </sharedItems>
    </cacheField>
    <cacheField name="n_id_zero_6_12" numFmtId="0">
      <sharedItems containsSemiMixedTypes="0" containsString="0" containsNumber="1" containsInteger="1">
        <n v="2422.0"/>
        <n v="281.0"/>
        <n v="139.0"/>
        <n v="81.0"/>
        <n v="198.0"/>
        <n v="149.0"/>
        <n v="86.0"/>
        <n v="121.0"/>
        <n v="137.0"/>
        <n v="158.0"/>
        <n v="125.0"/>
        <n v="40.0"/>
        <n v="85.0"/>
        <n v="176.0"/>
        <n v="183.0"/>
        <n v="32.0"/>
        <n v="212.0"/>
        <n v="385.0"/>
        <n v="670.0"/>
        <n v="73.0"/>
        <n v="173.0"/>
        <n v="244.0"/>
        <n v="98.0"/>
        <n v="203.0"/>
        <n v="89.0"/>
        <n v="19.0"/>
        <n v="20.0"/>
        <n v="55.0"/>
        <n v="11026.0"/>
        <n v="317.0"/>
        <n v="468.0"/>
        <n v="780.0"/>
        <n v="20483.0"/>
        <n v="1705.0"/>
        <n v="690.0"/>
        <n v="238.0"/>
        <n v="472.0"/>
        <n v="529.0"/>
        <n v="260.0"/>
        <n v="763.0"/>
        <n v="914.0"/>
        <n v="347.0"/>
        <n v="194.0"/>
        <n v="61.0"/>
        <n v="63.0"/>
        <n v="17.0"/>
        <n v="205.0"/>
        <n v="571.0"/>
        <n v="436.0"/>
        <n v="550.0"/>
        <n v="138.0"/>
        <n v="294.0"/>
        <n v="424.0"/>
        <n v="161.0"/>
        <n v="140.0"/>
        <n v="1022.0"/>
        <n v="178.0"/>
        <n v="147.0"/>
        <n v="163.0"/>
        <n v="93.0"/>
        <n v="115.0"/>
        <n v="257.0"/>
        <n v="141.0"/>
        <n v="4253.0"/>
        <n v="687.0"/>
        <n v="492.0"/>
        <n v="387.0"/>
        <n v="330.0"/>
        <n v="581.0"/>
        <n v="318.0"/>
        <n v="355.0"/>
        <n v="346.0"/>
        <n v="72.0"/>
        <n v="452.0"/>
        <n v="264.0"/>
        <n v="120.0"/>
        <n v="273.0"/>
        <n v="530.0"/>
        <n v="352.0"/>
        <n v="69.0"/>
        <n v="265.0"/>
        <n v="328.0"/>
        <n v="75.0"/>
        <n v="696.0"/>
        <n v="350.0"/>
        <n v="1188.0"/>
        <n v="937.0"/>
        <n v="741.0"/>
        <n v="256.0"/>
        <n v="1032.0"/>
        <n v="632.0"/>
        <n v="473.0"/>
        <n v="719.0"/>
        <n v="42.0"/>
        <n v="348.0"/>
        <n v="14.0"/>
        <n v="248.0"/>
        <n v="79.0"/>
        <n v="850.0"/>
        <n v="326.0"/>
        <n v="95.0"/>
        <n v="65.0"/>
        <n v="0.0"/>
        <n v="92.0"/>
        <n v="29.0"/>
        <n v="1666.0"/>
        <n v="154.0"/>
        <n v="9655.0"/>
        <n v="274.0"/>
        <n v="45.0"/>
        <n v="83.0"/>
        <n v="279.0"/>
        <n v="232.0"/>
        <n v="298.0"/>
        <n v="185.0"/>
        <n v="803.0"/>
        <n v="706.0"/>
        <n v="226.0"/>
        <n v="144.0"/>
        <n v="199.0"/>
        <n v="297.0"/>
        <n v="360.0"/>
        <n v="60.0"/>
        <n v="717.0"/>
        <n v="211.0"/>
        <n v="240.0"/>
        <n v="1521.0"/>
        <n v="627.0"/>
        <n v="613.0"/>
        <n v="861.0"/>
        <n v="466.0"/>
        <n v="2865.0"/>
        <n v="459.0"/>
        <n v="1222.0"/>
        <n v="322.0"/>
        <n v="215.0"/>
        <n v="174.0"/>
        <n v="275.0"/>
        <n v="271.0"/>
        <n v="707.0"/>
        <n v="51.0"/>
        <n v="38.0"/>
        <n v="777.0"/>
        <n v="597.0"/>
        <n v="491.0"/>
        <n v="57.0"/>
        <n v="153.0"/>
        <n v="576.0"/>
        <n v="220.0"/>
        <n v="4670.0"/>
        <n v="23.0"/>
        <n v="1174.0"/>
        <n v="12.0"/>
        <n v="325.0"/>
        <n v="67.0"/>
        <n v="76.0"/>
        <n v="129.0"/>
        <n v="124.0"/>
        <n v="16.0"/>
        <n v="1.0"/>
        <n v="25.0"/>
        <n v="479.0"/>
        <n v="175.0"/>
        <n v="285.0"/>
        <n v="117.0"/>
        <n v="11.0"/>
        <n v="201.0"/>
        <n v="1630.0"/>
        <n v="745.0"/>
        <n v="314.0"/>
        <n v="331.0"/>
        <n v="270.0"/>
        <n v="846.0"/>
        <n v="537.0"/>
        <n v="359.0"/>
        <n v="786.0"/>
        <n v="296.0"/>
        <n v="306.0"/>
        <n v="426.0"/>
        <n v="1005.0"/>
        <n v="457.0"/>
        <n v="448.0"/>
        <n v="131.0"/>
        <n v="1451.0"/>
        <n v="152.0"/>
        <n v="90.0"/>
        <n v="499.0"/>
        <n v="388.0"/>
        <n v="266.0"/>
        <n v="658.0"/>
        <n v="284.0"/>
        <n v="133.0"/>
        <n v="209.0"/>
        <n v="305.0"/>
        <n v="392.0"/>
        <n v="28.0"/>
        <n v="2196.0"/>
        <n v="286.0"/>
        <n v="582.0"/>
        <n v="216.0"/>
        <n v="419.0"/>
        <n v="293.0"/>
        <n v="218.0"/>
        <n v="11653.0"/>
        <n v="913.0"/>
        <n v="283.0"/>
        <n v="1003.0"/>
        <n v="434.0"/>
        <n v="1481.0"/>
        <n v="88.0"/>
        <n v="233.0"/>
        <n v="78.0"/>
        <n v="35.0"/>
        <n v="186.0"/>
        <n v="416.0"/>
        <n v="123.0"/>
        <n v="100.0"/>
        <n v="190.0"/>
        <n v="46.0"/>
        <n v="221.0"/>
        <n v="34.0"/>
        <n v="49.0"/>
        <n v="30.0"/>
        <n v="302.0"/>
        <n v="31.0"/>
        <n v="157.0"/>
        <n v="134.0"/>
        <n v="43.0"/>
        <n v="756.0"/>
        <n v="145.0"/>
        <n v="58.0"/>
        <n v="377.0"/>
        <n v="27.0"/>
        <n v="202.0"/>
        <n v="189.0"/>
        <n v="299.0"/>
        <n v="214.0"/>
        <n v="33.0"/>
        <n v="182.0"/>
        <n v="53.0"/>
        <n v="458.0"/>
        <n v="6.0"/>
        <n v="3.0"/>
        <n v="5.0"/>
        <n v="39.0"/>
        <n v="4.0"/>
        <n v="48.0"/>
        <n v="15.0"/>
        <n v="10.0"/>
        <n v="2.0"/>
      </sharedItems>
    </cacheField>
    <cacheField name="n_id_zero_12" numFmtId="0">
      <sharedItems containsSemiMixedTypes="0" containsString="0" containsNumber="1" containsInteger="1">
        <n v="560.0"/>
        <n v="79.0"/>
        <n v="11.0"/>
        <n v="1.0"/>
        <n v="22.0"/>
        <n v="35.0"/>
        <n v="16.0"/>
        <n v="14.0"/>
        <n v="28.0"/>
        <n v="36.0"/>
        <n v="21.0"/>
        <n v="5.0"/>
        <n v="13.0"/>
        <n v="37.0"/>
        <n v="3.0"/>
        <n v="26.0"/>
        <n v="18.0"/>
        <n v="48.0"/>
        <n v="185.0"/>
        <n v="9.0"/>
        <n v="27.0"/>
        <n v="4.0"/>
        <n v="2852.0"/>
        <n v="73.0"/>
        <n v="101.0"/>
        <n v="182.0"/>
        <n v="5379.0"/>
        <n v="345.0"/>
        <n v="58.0"/>
        <n v="2.0"/>
        <n v="167.0"/>
        <n v="134.0"/>
        <n v="47.0"/>
        <n v="39.0"/>
        <n v="7.0"/>
        <n v="38.0"/>
        <n v="85.0"/>
        <n v="54.0"/>
        <n v="69.0"/>
        <n v="0.0"/>
        <n v="77.0"/>
        <n v="34.0"/>
        <n v="164.0"/>
        <n v="53.0"/>
        <n v="40.0"/>
        <n v="24.0"/>
        <n v="42.0"/>
        <n v="55.0"/>
        <n v="1236.0"/>
        <n v="226.0"/>
        <n v="158.0"/>
        <n v="127.0"/>
        <n v="60.0"/>
        <n v="163.0"/>
        <n v="99.0"/>
        <n v="67.0"/>
        <n v="62.0"/>
        <n v="83.0"/>
        <n v="281.0"/>
        <n v="41.0"/>
        <n v="20.0"/>
        <n v="56.0"/>
        <n v="171.0"/>
        <n v="44.0"/>
        <n v="236.0"/>
        <n v="76.0"/>
        <n v="315.0"/>
        <n v="242.0"/>
        <n v="203.0"/>
        <n v="119.0"/>
        <n v="131.0"/>
        <n v="113.0"/>
        <n v="148.0"/>
        <n v="72.0"/>
        <n v="65.0"/>
        <n v="6.0"/>
        <n v="46.0"/>
        <n v="189.0"/>
        <n v="10.0"/>
        <n v="19.0"/>
        <n v="581.0"/>
        <n v="2578.0"/>
        <n v="63.0"/>
        <n v="78.0"/>
        <n v="227.0"/>
        <n v="162.0"/>
        <n v="33.0"/>
        <n v="121.0"/>
        <n v="17.0"/>
        <n v="206.0"/>
        <n v="51.0"/>
        <n v="84.0"/>
        <n v="426.0"/>
        <n v="150.0"/>
        <n v="156.0"/>
        <n v="255.0"/>
        <n v="754.0"/>
        <n v="147.0"/>
        <n v="293.0"/>
        <n v="70.0"/>
        <n v="229.0"/>
        <n v="81.0"/>
        <n v="191.0"/>
        <n v="193.0"/>
        <n v="149.0"/>
        <n v="130.0"/>
        <n v="1167.0"/>
        <n v="75.0"/>
        <n v="30.0"/>
        <n v="15.0"/>
        <n v="12.0"/>
        <n v="49.0"/>
        <n v="429.0"/>
        <n v="153.0"/>
        <n v="57.0"/>
        <n v="405.0"/>
        <n v="154.0"/>
        <n v="128.0"/>
        <n v="387.0"/>
        <n v="91.0"/>
        <n v="23.0"/>
        <n v="403.0"/>
        <n v="137.0"/>
        <n v="43.0"/>
        <n v="125.0"/>
        <n v="29.0"/>
        <n v="685.0"/>
        <n v="71.0"/>
        <n v="68.0"/>
        <n v="4882.0"/>
        <n v="455.0"/>
        <n v="143.0"/>
        <n v="380.0"/>
        <n v="181.0"/>
        <n v="517.0"/>
        <n v="45.0"/>
        <n v="151.0"/>
        <n v="115.0"/>
        <n v="8.0"/>
        <n v="50.0"/>
        <n v="61.0"/>
        <n v="86.0"/>
        <n v="25.0"/>
      </sharedItems>
    </cacheField>
    <cacheField name="Porcentaje de medidores eléctricos residenciales con consumo cero 2016" numFmtId="164">
      <sharedItems containsSemiMixedTypes="0" containsString="0" containsNumber="1">
        <n v="3.594591786758486"/>
        <n v="11.46938775510204"/>
        <n v="14.946236559139784"/>
        <n v="10.77127659574468"/>
        <n v="12.298136645962733"/>
        <n v="13.682277318640955"/>
        <n v="8.120868744098205"/>
        <n v="9.453125"/>
        <n v="10.603715170278639"/>
        <n v="8.901408450704226"/>
        <n v="8.59106529209622"/>
        <n v="5.012531328320802"/>
        <n v="10.0"/>
        <n v="20.346820809248555"/>
        <n v="4.278700023380875"/>
        <n v="3.196803196803197"/>
        <n v="8.709942481511915"/>
        <n v="11.366245694603904"/>
        <n v="10.78129375525063"/>
        <n v="17.571466037241017"/>
        <n v="7.676130389064143"/>
        <n v="9.422657952069716"/>
        <n v="10.931899641577061"/>
        <n v="11.878787878787879"/>
        <n v="8.671507902605724"/>
        <n v="11.180904522613066"/>
        <n v="1.6521739130434783"/>
        <n v="7.604562737642586"/>
        <n v="6.5554231227651965"/>
        <n v="4.398383615961194"/>
        <n v="8.4018022793533"/>
        <n v="10.552423900789178"/>
        <n v="13.54872329338197"/>
        <n v="7.771281580435022"/>
        <n v="9.213726019994596"/>
        <n v="21.349009900990097"/>
        <n v="13.340807174887892"/>
        <n v="18.16083108888034"/>
        <n v="18.974175035868004"/>
        <n v="20.17067494181536"/>
        <n v="26.058743169398905"/>
        <n v="27.28358208955224"/>
        <n v="30.68081343943413"/>
        <n v="20.68230277185501"/>
        <n v="17.478510028653297"/>
        <n v="16.9811320754717"/>
        <n v="16.831683168316832"/>
        <n v="49.63680387409201"/>
        <n v="10.851387305207146"/>
        <n v="13.030484160191273"/>
        <n v="15.62944018186985"/>
        <n v="12.147887323943662"/>
        <n v="15.473684210526315"/>
        <n v="18.42677096914385"/>
        <n v="10.762032085561497"/>
        <n v="16.726403823178018"/>
        <n v="18.863049095607234"/>
        <n v="7.189014539579968"/>
        <n v="14.206514206514207"/>
        <n v="15.414012738853502"/>
        <n v="23.04075235109718"/>
        <n v="8.849077090119435"/>
        <n v="4.78641276376737"/>
        <n v="7.210031347962382"/>
        <n v="8.88351192533702"/>
        <n v="14.70281543274244"/>
        <n v="15.017125101514777"/>
        <n v="28.9873417721519"/>
        <n v="17.903930131004365"/>
        <n v="21.52391546162403"/>
        <n v="22.805805114029024"/>
        <n v="17.452688495043557"/>
        <n v="21.559322033898304"/>
        <n v="13.606745879647374"/>
        <n v="15.496062992125983"/>
        <n v="22.35142118863049"/>
        <n v="26.373626373626372"/>
        <n v="21.34088762983947"/>
        <n v="12.205270457697642"/>
        <n v="8.849557522123893"/>
        <n v="8.425925925925926"/>
        <n v="27.13773681515617"/>
        <n v="34.27458617332035"/>
        <n v="10.849056603773585"/>
        <n v="5.846018089565409"/>
        <n v="7.590835454755844"/>
        <n v="5.426917510853835"/>
        <n v="13.137032842582107"/>
        <n v="5.055611729019211"/>
        <n v="17.03958691910499"/>
        <n v="13.07381052044091"/>
        <n v="14.589486119314826"/>
        <n v="13.697164258962012"/>
        <n v="20.64825930372149"/>
        <n v="29.422718808193668"/>
        <n v="24.261943102522814"/>
        <n v="16.701977401129945"/>
        <n v="12.611822487282932"/>
        <n v="11.452513966480447"/>
        <n v="6.741573033707865"/>
        <n v="4.978575800856968"/>
        <n v="6.475623371790101"/>
        <n v="1.6786570743405276"/>
        <n v="2.7491408934707904"/>
        <n v="13.03205465055176"/>
        <n v="25.0"/>
        <n v="17.704644865652988"/>
        <n v="18.575498575498575"/>
        <n v="20.386266094420602"/>
        <n v="41.666666666666664"/>
        <n v="0.0"/>
        <n v="30.666666666666668"/>
        <n v="21.462264150943398"/>
        <n v="14.871794871794872"/>
        <n v="14.898944732605974"/>
        <n v="8.02919708029197"/>
        <n v="4.662989722587127"/>
        <n v="6.530028598665395"/>
        <n v="6.198347107438017"/>
        <n v="3.5884133160397753"/>
        <n v="8.965295629820051"/>
        <n v="14.78648820905035"/>
        <n v="13.898916967509026"/>
        <n v="11.636079656384226"/>
        <n v="20.0"/>
        <n v="16.150442477876105"/>
        <n v="15.042735042735043"/>
        <n v="14.810153136144326"/>
        <n v="16.7531504818384"/>
        <n v="14.678899082568808"/>
        <n v="17.863554757630162"/>
        <n v="5.104847026469577"/>
        <n v="15.838099428068631"/>
        <n v="5.272407732864675"/>
        <n v="10.75768942235559"/>
        <n v="12.210648148148149"/>
        <n v="12.396694214876034"/>
        <n v="3.890324065785099"/>
        <n v="4.376657824933687"/>
        <n v="3.967894362094634"/>
        <n v="5.921595598349381"/>
        <n v="3.0338541666666665"/>
        <n v="5.722217783814013"/>
        <n v="8.840523882896765"/>
        <n v="7.063175538986186"/>
        <n v="15.81532416502947"/>
        <n v="6.364712847838958"/>
        <n v="9.769792251544077"/>
        <n v="10.921366163621922"/>
        <n v="5.60264626834815"/>
        <n v="6.345359899479448"/>
        <n v="3.909405654933641"/>
        <n v="6.875847375556847"/>
        <n v="10.782241014799155"/>
        <n v="12.794612794612794"/>
        <n v="7.835820895522388"/>
        <n v="19.3141378194759"/>
        <n v="10.73224043715847"/>
        <n v="19.453924914675767"/>
        <n v="17.094972067039105"/>
        <n v="10.51862673484295"/>
        <n v="4.536082474226804"/>
        <n v="5.364363168535196"/>
        <n v="5.219298245614035"/>
        <n v="27.710843373493976"/>
        <n v="1.4160919540229886"/>
        <n v="16.091008771929825"/>
        <n v="1.7518248175182483"/>
        <n v="23.653566229985444"/>
        <n v="29.515418502202643"/>
        <n v="8.705612829324169"/>
        <n v="29.18552036199095"/>
        <n v="22.10338680926916"/>
        <n v="50.0"/>
        <n v="25.396825396825395"/>
        <n v="1.7241379310344827"/>
        <n v="40.98360655737705"/>
        <n v="26.31578947368421"/>
        <n v="5.702127659574468"/>
        <n v="16.666666666666668"/>
        <n v="8.806765949623092"/>
        <n v="9.637305699481866"/>
        <n v="34.70292639668933"/>
        <n v="33.5195530726257"/>
        <n v="22.965879265091864"/>
        <n v="14.393939393939394"/>
        <n v="17.99410029498525"/>
        <n v="9.96216897856242"/>
        <n v="25.355871886120998"/>
        <n v="32.054794520547944"/>
        <n v="2.1153846153846154"/>
        <n v="15.485362095531586"/>
        <n v="3.8797284190106693"/>
        <n v="3.907373669575223"/>
        <n v="21.969920377469773"/>
        <n v="21.201890614449695"/>
        <n v="34.26573426573427"/>
        <n v="26.437699680511184"/>
        <n v="3.4633145202668034"/>
        <n v="13.54033290653009"/>
        <n v="11.842105263157896"/>
        <n v="2.7027027027027026"/>
        <n v="10.646312450436161"/>
        <n v="12.124282337048294"/>
        <n v="18.377367313537526"/>
        <n v="18.546365914786968"/>
        <n v="19.440914866581956"/>
        <n v="30.515759312320917"/>
        <n v="18.919427710843372"/>
        <n v="20.123293703214443"/>
        <n v="15.977175463623395"/>
        <n v="10.323089046493301"/>
        <n v="11.808268229166666"/>
        <n v="4.98851329176239"/>
        <n v="21.90082644628099"/>
        <n v="22.328244274809162"/>
        <n v="16.304347826086957"/>
        <n v="9.523809523809524"/>
        <n v="9.376174370537392"/>
        <n v="13.92177969142447"/>
        <n v="26.81451612903226"/>
        <n v="7.934402508139395"/>
        <n v="13.32707648991084"/>
        <n v="4.8076923076923075"/>
        <n v="21.178343949044585"/>
        <n v="19.174311926605505"/>
        <n v="25.523012552301257"/>
        <n v="40.705882352941174"/>
        <n v="4.433887569279493"/>
        <n v="12.444444444444445"/>
        <n v="4.327690518889305"/>
        <n v="11.992309540975727"/>
        <n v="3.1675711595968545"/>
        <n v="2.917731989772898"/>
        <n v="6.086221470836856"/>
        <n v="3.766630708378281"/>
        <n v="8.65839243498818"/>
        <n v="4.7134935304990755"/>
        <n v="12.235799207397623"/>
        <n v="8.336520076481836"/>
        <n v="8.122362869198312"/>
        <n v="3.599126548538637"/>
        <n v="7.691011709207312"/>
        <n v="7.180918548591728"/>
        <n v="4.080719313234876"/>
        <n v="4.008497275330193"/>
        <n v="5.315483454166966"/>
        <n v="4.670912951167728"/>
        <n v="3.2555540030739136"/>
        <n v="4.4419134396355355"/>
        <n v="5.902192242833053"/>
        <n v="6.385916465308941"/>
        <n v="5.087527352297593"/>
        <n v="4.490500863557858"/>
        <n v="4.773082942097027"/>
        <n v="3.8557993730407523"/>
        <n v="6.344628695025234"/>
        <n v="4.5212765957446805"/>
        <n v="2.638522427440633"/>
        <n v="6.730428622033298"/>
        <n v="4.791666666666667"/>
        <n v="3.250975292587776"/>
        <n v="5.279366476022878"/>
        <n v="7.0765289785462695"/>
        <n v="5.190839694656488"/>
        <n v="3.4653465346534653"/>
        <n v="2.870110799626218"/>
        <n v="3.7220843672456576"/>
        <n v="6.795679567956796"/>
        <n v="5.961538461538462"/>
        <n v="5.882352941176471"/>
        <n v="11.797752808988765"/>
        <n v="7.112068965517241"/>
        <n v="6.823120382442417"/>
        <n v="5.220101285547331"/>
        <n v="10.591133004926109"/>
        <n v="3.1306940533377507"/>
        <n v="5.817490494296578"/>
        <n v="3.75743162901308"/>
        <n v="5.07007419620775"/>
        <n v="5.141843971631205"/>
        <n v="5.2973675658108546"/>
        <n v="3.8436050364479786"/>
        <n v="3.7828947368421053"/>
        <n v="4.9664075879330785"/>
        <n v="2.890792291220557"/>
        <n v="5.276907001044932"/>
        <n v="5.311973018549747"/>
        <n v="8.887171561051005"/>
        <n v="7.377251418702196"/>
        <n v="5.794746818304901"/>
        <n v="3.9951573849878934"/>
        <n v="4.1925823542962455"/>
        <n v="5.162738496071829"/>
        <n v="6.279620853080568"/>
        <n v="1.278436845778088"/>
        <n v="4.37956204379562"/>
        <n v="0.7233796296296297"/>
        <n v="1.4986274946212628"/>
        <n v="0.1430615164520744"/>
        <n v="1.113916530521313"/>
        <n v="0.06560818790185015"/>
        <n v="0.5429486287066685"/>
        <n v="2.3391812865497075"/>
        <n v="3.2432432432432434"/>
        <n v="0.8605851979345955"/>
        <n v="2.252906976744186"/>
        <n v="0.32530904359141183"/>
        <n v="2.0263942103022563"/>
        <n v="3.512623490669594"/>
        <n v="0.49504950495049505"/>
        <n v="4.18848167539267"/>
        <n v="2.9411764705882355"/>
        <n v="3.9603960396039604"/>
        <n v="0.5376344086021505"/>
        <n v="0.3992015968063872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G326" sheet="datos_2024"/>
  </cacheSource>
  <cacheFields>
    <cacheField name="DEP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</sharedItems>
    </cacheField>
    <cacheField name="COD_MUNI" numFmtId="0">
      <sharedItems containsSemiMixedTypes="0" containsString="0" containsNumber="1" containsInteger="1">
        <n v="10101.0"/>
        <n v="10102.0"/>
        <n v="10103.0"/>
        <n v="10201.0"/>
        <n v="10202.0"/>
        <n v="10301.0"/>
        <n v="10302.0"/>
        <n v="10303.0"/>
        <n v="10304.0"/>
        <n v="10401.0"/>
        <n v="10402.0"/>
        <n v="10403.0"/>
        <n v="10404.0"/>
        <n v="10405.0"/>
        <n v="10501.0"/>
        <n v="10502.0"/>
        <n v="10601.0"/>
        <n v="10602.0"/>
        <n v="10701.0"/>
        <n v="10702.0"/>
        <n v="10703.0"/>
        <n v="10704.0"/>
        <n v="10801.0"/>
        <n v="10901.0"/>
        <n v="10902.0"/>
        <n v="10903.0"/>
        <n v="11001.0"/>
        <n v="11002.0"/>
        <n v="11003.0"/>
        <n v="20101.0"/>
        <n v="20102.0"/>
        <n v="20103.0"/>
        <n v="20104.0"/>
        <n v="20105.0"/>
        <n v="20201.0"/>
        <n v="20202.0"/>
        <n v="20203.0"/>
        <n v="20204.0"/>
        <n v="20205.0"/>
        <n v="20206.0"/>
        <n v="20301.0"/>
        <n v="20302.0"/>
        <n v="20303.0"/>
        <n v="20304.0"/>
        <n v="20305.0"/>
        <n v="20307.0"/>
        <n v="20308.0"/>
        <n v="20401.0"/>
        <n v="20402.0"/>
        <n v="20403.0"/>
        <n v="20404.0"/>
        <n v="20405.0"/>
        <n v="20501.0"/>
        <n v="20502.0"/>
        <n v="20503.0"/>
        <n v="20601.0"/>
        <n v="20602.0"/>
        <n v="20603.0"/>
        <n v="20604.0"/>
        <n v="20605.0"/>
        <n v="20606.0"/>
        <n v="20607.0"/>
        <n v="20608.0"/>
        <n v="20701.0"/>
        <n v="20702.0"/>
        <n v="20801.0"/>
        <n v="20802.0"/>
        <n v="20803.0"/>
        <n v="20804.0"/>
        <n v="20807.0"/>
        <n v="20901.0"/>
        <n v="20902.0"/>
        <n v="20903.0"/>
        <n v="20904.0"/>
        <n v="20905.0"/>
        <n v="21001.0"/>
        <n v="21002.0"/>
        <n v="21003.0"/>
        <n v="21004.0"/>
        <n v="21005.0"/>
        <n v="21006.0"/>
        <n v="21101.0"/>
        <n v="21102.0"/>
        <n v="21103.0"/>
        <n v="21104.0"/>
        <n v="21105.0"/>
        <n v="21201.0"/>
        <n v="21202.0"/>
        <n v="21203.0"/>
        <n v="21301.0"/>
        <n v="21302.0"/>
        <n v="21303.0"/>
        <n v="21304.0"/>
        <n v="21305.0"/>
        <n v="21306.0"/>
        <n v="21307.0"/>
        <n v="21401.0"/>
        <n v="21402.0"/>
        <n v="21501.0"/>
        <n v="21502.0"/>
        <n v="21601.0"/>
        <n v="21602.0"/>
        <n v="21701.0"/>
        <n v="21702.0"/>
        <n v="21703.0"/>
        <n v="21801.0"/>
        <n v="21802.0"/>
        <n v="21803.0"/>
        <n v="21901.0"/>
        <n v="21902.0"/>
        <n v="22001.0"/>
        <n v="22002.0"/>
        <n v="30101.0"/>
        <n v="30201.0"/>
        <n v="30202.0"/>
        <n v="30203.0"/>
        <n v="30301.0"/>
        <n v="30302.0"/>
        <n v="30303.0"/>
        <n v="30401.0"/>
        <n v="30402.0"/>
        <n v="30403.0"/>
        <n v="30404.0"/>
        <n v="30501.0"/>
        <n v="30502.0"/>
        <n v="30601.0"/>
        <n v="30602.0"/>
        <n v="30701.0"/>
        <n v="30702.0"/>
        <n v="30703.0"/>
        <n v="30801.0"/>
        <n v="30802.0"/>
        <n v="30803.0"/>
        <n v="30901.0"/>
        <n v="30902.0"/>
        <n v="30903.0"/>
        <n v="30904.0"/>
        <n v="30905.0"/>
        <n v="31001.0"/>
        <n v="31002.0"/>
        <n v="31003.0"/>
        <n v="31101.0"/>
        <n v="31201.0"/>
        <n v="31202.0"/>
        <n v="31203.0"/>
        <n v="31204.0"/>
        <n v="31205.0"/>
        <n v="31206.0"/>
        <n v="31301.0"/>
        <n v="31302.0"/>
        <n v="31303.0"/>
        <n v="31401.0"/>
        <n v="31402.0"/>
        <n v="31403.0"/>
        <n v="31404.0"/>
        <n v="31501.0"/>
        <n v="31601.0"/>
        <n v="31602.0"/>
        <n v="40101.0"/>
        <n v="40102.0"/>
        <n v="40103.0"/>
        <n v="40104.0"/>
        <n v="40201.0"/>
        <n v="40202.0"/>
        <n v="40301.0"/>
        <n v="40302.0"/>
        <n v="40401.0"/>
        <n v="40402.0"/>
        <n v="40501.0"/>
        <n v="40502.0"/>
        <n v="40503.0"/>
        <n v="40504.0"/>
        <n v="40505.0"/>
        <n v="40601.0"/>
        <n v="40602.0"/>
        <n v="40603.0"/>
        <n v="40701.0"/>
        <n v="40702.0"/>
        <n v="40801.0"/>
        <n v="40802.0"/>
        <n v="40901.0"/>
        <n v="40902.0"/>
        <n v="40903.0"/>
        <n v="41001.0"/>
        <n v="41101.0"/>
        <n v="41201.0"/>
        <n v="41202.0"/>
        <n v="41301.0"/>
        <n v="41401.0"/>
        <n v="41501.0"/>
        <n v="41502.0"/>
        <n v="41503.0"/>
        <n v="41601.0"/>
        <n v="50101.0"/>
        <n v="50102.0"/>
        <n v="50103.0"/>
        <n v="50104.0"/>
        <n v="50201.0"/>
        <n v="50202.0"/>
        <n v="50203.0"/>
        <n v="50301.0"/>
        <n v="50302.0"/>
        <n v="50303.0"/>
        <n v="50401.0"/>
        <n v="50402.0"/>
        <n v="50403.0"/>
        <n v="50404.0"/>
        <n v="50405.0"/>
        <n v="50501.0"/>
        <n v="50502.0"/>
        <n v="50601.0"/>
        <n v="50602.0"/>
        <n v="50701.0"/>
        <n v="50702.0"/>
        <n v="50801.0"/>
        <n v="50802.0"/>
        <n v="50901.0"/>
        <n v="50902.0"/>
        <n v="51001.0"/>
        <n v="51002.0"/>
        <n v="51003.0"/>
        <n v="51101.0"/>
        <n v="51102.0"/>
        <n v="51103.0"/>
        <n v="51201.0"/>
        <n v="51202.0"/>
        <n v="51203.0"/>
        <n v="51301.0"/>
        <n v="51302.0"/>
        <n v="51401.0"/>
        <n v="51402.0"/>
        <n v="51501.0"/>
        <n v="51601.0"/>
        <n v="60101.0"/>
        <n v="60201.0"/>
        <n v="60202.0"/>
        <n v="60301.0"/>
        <n v="60302.0"/>
        <n v="60303.0"/>
        <n v="60401.0"/>
        <n v="60402.0"/>
        <n v="60501.0"/>
        <n v="60502.0"/>
        <n v="60601.0"/>
        <n v="70101.0"/>
        <n v="70102.0"/>
        <n v="70103.0"/>
        <n v="70104.0"/>
        <n v="70105.0"/>
        <n v="70201.0"/>
        <n v="70202.0"/>
        <n v="70301.0"/>
        <n v="70302.0"/>
        <n v="70303.0"/>
        <n v="70401.0"/>
        <n v="70402.0"/>
        <n v="70403.0"/>
        <n v="70404.0"/>
        <n v="70501.0"/>
        <n v="70502.0"/>
        <n v="70503.0"/>
        <n v="70601.0"/>
        <n v="70602.0"/>
        <n v="70603.0"/>
        <n v="70701.0"/>
        <n v="70702.0"/>
        <n v="70703.0"/>
        <n v="70704.0"/>
        <n v="70705.0"/>
        <n v="70706.0"/>
        <n v="70707.0"/>
        <n v="70801.0"/>
        <n v="70802.0"/>
        <n v="70803.0"/>
        <n v="70804.0"/>
        <n v="70901.0"/>
        <n v="70902.0"/>
        <n v="70903.0"/>
        <n v="70904.0"/>
        <n v="71001.0"/>
        <n v="71002.0"/>
        <n v="71003.0"/>
        <n v="71004.0"/>
        <n v="71005.0"/>
        <n v="71101.0"/>
        <n v="71102.0"/>
        <n v="71103.0"/>
        <n v="71104.0"/>
        <n v="71105.0"/>
        <n v="71201.0"/>
        <n v="71301.0"/>
        <n v="71302.0"/>
        <n v="71401.0"/>
        <n v="71402.0"/>
        <n v="71403.0"/>
        <n v="71501.0"/>
        <n v="71502.0"/>
        <n v="71503.0"/>
        <n v="80101.0"/>
        <n v="80102.0"/>
        <n v="80201.0"/>
        <n v="80202.0"/>
        <n v="80301.0"/>
        <n v="80302.0"/>
        <n v="80303.0"/>
        <n v="80304.0"/>
        <n v="80401.0"/>
        <n v="80402.0"/>
        <n v="80501.0"/>
        <n v="80601.0"/>
        <n v="80602.0"/>
        <n v="80701.0"/>
        <n v="80702.0"/>
        <n v="80801.0"/>
        <n v="80802.0"/>
        <n v="80803.0"/>
        <n v="90101.0"/>
        <n v="90102.0"/>
        <n v="90104.0"/>
        <n v="90201.0"/>
        <n v="90202.0"/>
        <n v="90203.0"/>
        <n v="90302.0"/>
        <n v="90303.0"/>
        <n v="90401.0"/>
      </sharedItems>
    </cacheField>
    <cacheField name="n_id_unicos" numFmtId="0">
      <sharedItems containsSemiMixedTypes="0" containsString="0" containsNumber="1" containsInteger="1">
        <n v="94916.0"/>
        <n v="3342.0"/>
        <n v="2176.0"/>
        <n v="1449.0"/>
        <n v="2476.0"/>
        <n v="1931.0"/>
        <n v="1472.0"/>
        <n v="1832.0"/>
        <n v="1496.0"/>
        <n v="2762.0"/>
        <n v="2052.0"/>
        <n v="1572.0"/>
        <n v="1105.0"/>
        <n v="1059.0"/>
        <n v="6554.0"/>
        <n v="2047.0"/>
        <n v="3684.0"/>
        <n v="2243.0"/>
        <n v="4518.0"/>
        <n v="7228.0"/>
        <n v="1425.0"/>
        <n v="2650.0"/>
        <n v="3340.0"/>
        <n v="1080.0"/>
        <n v="2888.0"/>
        <n v="997.0"/>
        <n v="2147.0"/>
        <n v="70.0"/>
        <n v="966.0"/>
        <n v="311555.0"/>
        <n v="4348.0"/>
        <n v="7381.0"/>
        <n v="12212.0"/>
        <n v="306188.0"/>
        <n v="13605.0"/>
        <n v="3326.0"/>
        <n v="1326.0"/>
        <n v="2203.0"/>
        <n v="2753.0"/>
        <n v="1180.0"/>
        <n v="2841.0"/>
        <n v="3285.0"/>
        <n v="1663.0"/>
        <n v="1168.0"/>
        <n v="398.0"/>
        <n v="104.0"/>
        <n v="1510.0"/>
        <n v="3885.0"/>
        <n v="2950.0"/>
        <n v="3471.0"/>
        <n v="1139.0"/>
        <n v="2121.0"/>
        <n v="3404.0"/>
        <n v="1519.0"/>
        <n v="1244.0"/>
        <n v="6772.0"/>
        <n v="3116.0"/>
        <n v="1865.0"/>
        <n v="791.0"/>
        <n v="586.0"/>
        <n v="2270.0"/>
        <n v="3570.0"/>
        <n v="2454.0"/>
        <n v="4164.0"/>
        <n v="1659.0"/>
        <n v="40390.0"/>
        <n v="2627.0"/>
        <n v="3110.0"/>
        <n v="2173.0"/>
        <n v="1731.0"/>
        <n v="2806.0"/>
        <n v="3518.0"/>
        <n v="1598.0"/>
        <n v="252.0"/>
        <n v="2002.0"/>
        <n v="2635.0"/>
        <n v="2110.0"/>
        <n v="3257.0"/>
        <n v="1947.0"/>
        <n v="1077.0"/>
        <n v="790.0"/>
        <n v="5678.0"/>
        <n v="5368.0"/>
        <n v="1431.0"/>
        <n v="6488.0"/>
        <n v="11847.0"/>
        <n v="28597.0"/>
        <n v="8171.0"/>
        <n v="5010.0"/>
        <n v="5874.0"/>
        <n v="2447.0"/>
        <n v="2053.0"/>
        <n v="3131.0"/>
        <n v="7201.0"/>
        <n v="2142.0"/>
        <n v="656.0"/>
        <n v="6635.0"/>
        <n v="5147.0"/>
        <n v="2144.0"/>
        <n v="2440.0"/>
        <n v="552.0"/>
        <n v="5226.0"/>
        <n v="1557.0"/>
        <n v="514.0"/>
        <n v="1501.0"/>
        <n v="1343.0"/>
        <n v="327.0"/>
        <n v="1695.0"/>
        <n v="284.0"/>
        <n v="14439.0"/>
        <n v="2232.0"/>
        <n v="261402.0"/>
        <n v="5126.0"/>
        <n v="618.0"/>
        <n v="1491.0"/>
        <n v="3867.0"/>
        <n v="2080.0"/>
        <n v="2339.0"/>
        <n v="3019.0"/>
        <n v="1615.0"/>
        <n v="6091.0"/>
        <n v="803.0"/>
        <n v="3984.0"/>
        <n v="2662.0"/>
        <n v="1567.0"/>
        <n v="1995.0"/>
        <n v="5913.0"/>
        <n v="2613.0"/>
        <n v="807.0"/>
        <n v="7512.0"/>
        <n v="1911.0"/>
        <n v="2609.0"/>
        <n v="53736.0"/>
        <n v="16199.0"/>
        <n v="20812.0"/>
        <n v="20596.0"/>
        <n v="22161.0"/>
        <n v="66307.0"/>
        <n v="6336.0"/>
        <n v="28469.0"/>
        <n v="3632.0"/>
        <n v="3859.0"/>
        <n v="2165.0"/>
        <n v="3371.0"/>
        <n v="8458.0"/>
        <n v="16305.0"/>
        <n v="11618.0"/>
        <n v="5171.0"/>
        <n v="527.0"/>
        <n v="325.0"/>
        <n v="11895.0"/>
        <n v="3151.0"/>
        <n v="5365.0"/>
        <n v="378.0"/>
        <n v="1333.0"/>
        <n v="5787.0"/>
        <n v="6532.0"/>
        <n v="109265.0"/>
        <n v="5754.0"/>
        <n v="627.0"/>
        <n v="9973.0"/>
        <n v="442.0"/>
        <n v="2306.0"/>
        <n v="640.0"/>
        <n v="942.0"/>
        <n v="545.0"/>
        <n v="664.0"/>
        <n v="244.0"/>
        <n v="58.0"/>
        <n v="64.0"/>
        <n v="197.0"/>
        <n v="707.0"/>
        <n v="934.0"/>
        <n v="280.0"/>
        <n v="6196.0"/>
        <n v="1334.0"/>
        <n v="3166.0"/>
        <n v="382.0"/>
        <n v="1471.0"/>
        <n v="159.0"/>
        <n v="345.0"/>
        <n v="1645.0"/>
        <n v="1407.0"/>
        <n v="1494.0"/>
        <n v="319.0"/>
        <n v="882.0"/>
        <n v="2022.0"/>
        <n v="149.0"/>
        <n v="135.0"/>
        <n v="812.0"/>
        <n v="1502.0"/>
        <n v="56730.0"/>
        <n v="3516.0"/>
        <n v="1475.0"/>
        <n v="326.0"/>
        <n v="5288.0"/>
        <n v="1558.0"/>
        <n v="10943.0"/>
        <n v="7221.0"/>
        <n v="2334.0"/>
        <n v="1687.0"/>
        <n v="2552.0"/>
        <n v="3279.0"/>
        <n v="5066.0"/>
        <n v="2390.0"/>
        <n v="3210.0"/>
        <n v="4021.0"/>
        <n v="2254.0"/>
        <n v="5872.0"/>
        <n v="2407.0"/>
        <n v="3490.0"/>
        <n v="1478.0"/>
        <n v="14138.0"/>
        <n v="2977.0"/>
        <n v="3330.0"/>
        <n v="217.0"/>
        <n v="329.0"/>
        <n v="92.0"/>
        <n v="339.0"/>
        <n v="5565.0"/>
        <n v="3185.0"/>
        <n v="1545.0"/>
        <n v="10799.0"/>
        <n v="2818.0"/>
        <n v="2344.0"/>
        <n v="725.0"/>
        <n v="1121.0"/>
        <n v="1590.0"/>
        <n v="456.0"/>
        <n v="12424.0"/>
        <n v="507.0"/>
        <n v="66115.0"/>
        <n v="5218.0"/>
        <n v="9904.0"/>
        <n v="25327.0"/>
        <n v="4392.0"/>
        <n v="13201.0"/>
        <n v="4332.0"/>
        <n v="1356.0"/>
        <n v="8536.0"/>
        <n v="2952.0"/>
        <n v="5997.0"/>
        <n v="421625.0"/>
        <n v="23887.0"/>
        <n v="8522.0"/>
        <n v="40714.0"/>
        <n v="15568.0"/>
        <n v="47624.0"/>
        <n v="2190.0"/>
        <n v="288.0"/>
        <n v="72.0"/>
        <n v="16.0"/>
        <n v="3948.0"/>
        <n v="4626.0"/>
        <n v="13526.0"/>
        <n v="1881.0"/>
        <n v="269.0"/>
        <n v="6504.0"/>
        <n v="313.0"/>
        <n v="4855.0"/>
        <n v="3794.0"/>
        <n v="1217.0"/>
        <n v="174.0"/>
        <n v="1038.0"/>
        <n v="4703.0"/>
        <n v="165.0"/>
        <n v="260.0"/>
        <n v="2030.0"/>
        <n v="224.0"/>
        <n v="48.0"/>
        <n v="33.0"/>
        <n v="493.0"/>
        <n v="220.0"/>
        <n v="41.0"/>
        <n v="32005.0"/>
        <n v="5322.0"/>
        <n v="3045.0"/>
        <n v="3413.0"/>
        <n v="599.0"/>
        <n v="161.0"/>
        <n v="162.0"/>
        <n v="1517.0"/>
        <n v="146.0"/>
        <n v="585.0"/>
        <n v="105.0"/>
        <n v="257.0"/>
        <n v="354.0"/>
        <n v="40.0"/>
        <n v="632.0"/>
        <n v="80.0"/>
        <n v="157.0"/>
        <n v="33095.0"/>
        <n v="402.0"/>
        <n v="23337.0"/>
        <n v="9284.0"/>
        <n v="2213.0"/>
        <n v="8467.0"/>
        <n v="1913.0"/>
        <n v="5695.0"/>
        <n v="3233.0"/>
        <n v="183.0"/>
        <n v="3548.0"/>
        <n v="350.0"/>
        <n v="1332.0"/>
        <n v="1192.0"/>
        <n v="1065.0"/>
        <n v="2366.0"/>
        <n v="1149.0"/>
        <n v="834.0"/>
        <n v="15132.0"/>
        <n v="1358.0"/>
        <n v="437.0"/>
        <n v="1247.0"/>
        <n v="155.0"/>
        <n v="1104.0"/>
        <n v="833.0"/>
        <n v="1101.0"/>
        <n v="476.0"/>
      </sharedItems>
    </cacheField>
    <cacheField name="n_id_zero_1_12" numFmtId="0">
      <sharedItems containsSemiMixedTypes="0" containsString="0" containsNumber="1" containsInteger="1">
        <n v="14317.0"/>
        <n v="1247.0"/>
        <n v="1035.0"/>
        <n v="615.0"/>
        <n v="1087.0"/>
        <n v="672.0"/>
        <n v="442.0"/>
        <n v="496.0"/>
        <n v="504.0"/>
        <n v="773.0"/>
        <n v="626.0"/>
        <n v="590.0"/>
        <n v="395.0"/>
        <n v="352.0"/>
        <n v="1305.0"/>
        <n v="635.0"/>
        <n v="1640.0"/>
        <n v="981.0"/>
        <n v="1791.0"/>
        <n v="3746.0"/>
        <n v="460.0"/>
        <n v="1154.0"/>
        <n v="1195.0"/>
        <n v="500.0"/>
        <n v="833.0"/>
        <n v="450.0"/>
        <n v="503.0"/>
        <n v="19.0"/>
        <n v="263.0"/>
        <n v="56282.0"/>
        <n v="1004.0"/>
        <n v="1888.0"/>
        <n v="4235.0"/>
        <n v="53826.0"/>
        <n v="4289.0"/>
        <n v="1324.0"/>
        <n v="510.0"/>
        <n v="828.0"/>
        <n v="1244.0"/>
        <n v="553.0"/>
        <n v="1421.0"/>
        <n v="1924.0"/>
        <n v="1075.0"/>
        <n v="611.0"/>
        <n v="152.0"/>
        <n v="56.0"/>
        <n v="972.0"/>
        <n v="1601.0"/>
        <n v="1106.0"/>
        <n v="1294.0"/>
        <n v="764.0"/>
        <n v="1147.0"/>
        <n v="525.0"/>
        <n v="313.0"/>
        <n v="2010.0"/>
        <n v="437.0"/>
        <n v="530.0"/>
        <n v="226.0"/>
        <n v="240.0"/>
        <n v="492.0"/>
        <n v="448.0"/>
        <n v="541.0"/>
        <n v="824.0"/>
        <n v="11966.0"/>
        <n v="1110.0"/>
        <n v="1135.0"/>
        <n v="579.0"/>
        <n v="770.0"/>
        <n v="742.0"/>
        <n v="1090.0"/>
        <n v="606.0"/>
        <n v="84.0"/>
        <n v="1062.0"/>
        <n v="1061.0"/>
        <n v="855.0"/>
        <n v="1806.0"/>
        <n v="931.0"/>
        <n v="464.0"/>
        <n v="321.0"/>
        <n v="1176.0"/>
        <n v="349.0"/>
        <n v="1333.0"/>
        <n v="2455.0"/>
        <n v="10938.0"/>
        <n v="3027.0"/>
        <n v="1470.0"/>
        <n v="2028.0"/>
        <n v="1384.0"/>
        <n v="850.0"/>
        <n v="1171.0"/>
        <n v="1830.0"/>
        <n v="631.0"/>
        <n v="1414.0"/>
        <n v="888.0"/>
        <n v="183.0"/>
        <n v="264.0"/>
        <n v="716.0"/>
        <n v="207.0"/>
        <n v="1573.0"/>
        <n v="657.0"/>
        <n v="231.0"/>
        <n v="695.0"/>
        <n v="171.0"/>
        <n v="857.0"/>
        <n v="123.0"/>
        <n v="4413.0"/>
        <n v="536.0"/>
        <n v="38152.0"/>
        <n v="1002.0"/>
        <n v="326.0"/>
        <n v="1491.0"/>
        <n v="758.0"/>
        <n v="821.0"/>
        <n v="724.0"/>
        <n v="668.0"/>
        <n v="2198.0"/>
        <n v="330.0"/>
        <n v="989.0"/>
        <n v="1041.0"/>
        <n v="680.0"/>
        <n v="935.0"/>
        <n v="1235.0"/>
        <n v="722.0"/>
        <n v="186.0"/>
        <n v="1639.0"/>
        <n v="506.0"/>
        <n v="685.0"/>
        <n v="7001.0"/>
        <n v="2617.0"/>
        <n v="2834.0"/>
        <n v="3373.0"/>
        <n v="2747.0"/>
        <n v="11006.0"/>
        <n v="1462.0"/>
        <n v="5568.0"/>
        <n v="1714.0"/>
        <n v="901.0"/>
        <n v="499.0"/>
        <n v="904.0"/>
        <n v="1313.0"/>
        <n v="2602.0"/>
        <n v="1655.0"/>
        <n v="976.0"/>
        <n v="190.0"/>
        <n v="156.0"/>
        <n v="2140.0"/>
        <n v="942.0"/>
        <n v="1221.0"/>
        <n v="136.0"/>
        <n v="632.0"/>
        <n v="1557.0"/>
        <n v="784.0"/>
        <n v="20547.0"/>
        <n v="2085.0"/>
        <n v="340.0"/>
        <n v="307.0"/>
        <n v="3415.0"/>
        <n v="246.0"/>
        <n v="1569.0"/>
        <n v="418.0"/>
        <n v="435.0"/>
        <n v="322.0"/>
        <n v="432.0"/>
        <n v="168.0"/>
        <n v="55.0"/>
        <n v="50.0"/>
        <n v="153.0"/>
        <n v="483.0"/>
        <n v="195.0"/>
        <n v="1545.0"/>
        <n v="424.0"/>
        <n v="1974.0"/>
        <n v="238.0"/>
        <n v="974.0"/>
        <n v="93.0"/>
        <n v="180.0"/>
        <n v="1005.0"/>
        <n v="490.0"/>
        <n v="1085.0"/>
        <n v="106.0"/>
        <n v="430.0"/>
        <n v="77.0"/>
        <n v="79.0"/>
        <n v="548.0"/>
        <n v="874.0"/>
        <n v="8729.0"/>
        <n v="2344.0"/>
        <n v="905.0"/>
        <n v="495.0"/>
        <n v="1376.0"/>
        <n v="2514.0"/>
        <n v="3134.0"/>
        <n v="223.0"/>
        <n v="967.0"/>
        <n v="882.0"/>
        <n v="2457.0"/>
        <n v="599.0"/>
        <n v="1736.0"/>
        <n v="2110.0"/>
        <n v="1156.0"/>
        <n v="2164.0"/>
        <n v="459.0"/>
        <n v="1808.0"/>
        <n v="930.0"/>
        <n v="2993.0"/>
        <n v="696.0"/>
        <n v="1144.0"/>
        <n v="98.0"/>
        <n v="42.0"/>
        <n v="199.0"/>
        <n v="3115.0"/>
        <n v="1510.0"/>
        <n v="816.0"/>
        <n v="3339.0"/>
        <n v="1482.0"/>
        <n v="706.0"/>
        <n v="445.0"/>
        <n v="540.0"/>
        <n v="884.0"/>
        <n v="293.0"/>
        <n v="2167.0"/>
        <n v="208.0"/>
        <n v="9903.0"/>
        <n v="1790.0"/>
        <n v="1328.0"/>
        <n v="3250.0"/>
        <n v="995.0"/>
        <n v="2551.0"/>
        <n v="1042.0"/>
        <n v="726.0"/>
        <n v="1971.0"/>
        <n v="1053.0"/>
        <n v="1753.0"/>
        <n v="51865.0"/>
        <n v="5448.0"/>
        <n v="1548.0"/>
        <n v="5523.0"/>
        <n v="2346.0"/>
        <n v="8307.0"/>
        <n v="427.0"/>
        <n v="28.0"/>
        <n v="10.0"/>
        <n v="4.0"/>
        <n v="785.0"/>
        <n v="2369.0"/>
        <n v="323.0"/>
        <n v="62.0"/>
        <n v="1186.0"/>
        <n v="66.0"/>
        <n v="608.0"/>
        <n v="243.0"/>
        <n v="39.0"/>
        <n v="1079.0"/>
        <n v="40.0"/>
        <n v="73.0"/>
        <n v="285.0"/>
        <n v="52.0"/>
        <n v="20.0"/>
        <n v="5.0"/>
        <n v="9.0"/>
        <n v="41.0"/>
        <n v="49.0"/>
        <n v="4223.0"/>
        <n v="610.0"/>
        <n v="811.0"/>
        <n v="486.0"/>
        <n v="593.0"/>
        <n v="148.0"/>
        <n v="287.0"/>
        <n v="32.0"/>
        <n v="0.0"/>
        <n v="24.0"/>
        <n v="51.0"/>
        <n v="58.0"/>
        <n v="8.0"/>
        <n v="172.0"/>
        <n v="46.0"/>
        <n v="2845.0"/>
        <n v="63.0"/>
        <n v="2251.0"/>
        <n v="294.0"/>
        <n v="1435.0"/>
        <n v="353.0"/>
        <n v="1352.0"/>
        <n v="18.0"/>
        <n v="624.0"/>
        <n v="74.0"/>
        <n v="259.0"/>
        <n v="134.0"/>
        <n v="122.0"/>
        <n v="269.0"/>
        <n v="175.0"/>
        <n v="97.0"/>
        <n v="1570.0"/>
        <n v="237.0"/>
        <n v="75.0"/>
        <n v="211.0"/>
        <n v="194.0"/>
        <n v="142.0"/>
        <n v="143.0"/>
        <n v="100.0"/>
      </sharedItems>
    </cacheField>
    <cacheField name="n_id_zero_6_12" numFmtId="0">
      <sharedItems containsSemiMixedTypes="0" containsString="0" containsNumber="1" containsInteger="1">
        <n v="5007.0"/>
        <n v="492.0"/>
        <n v="300.0"/>
        <n v="239.0"/>
        <n v="358.0"/>
        <n v="265.0"/>
        <n v="116.0"/>
        <n v="211.0"/>
        <n v="156.0"/>
        <n v="256.0"/>
        <n v="216.0"/>
        <n v="167.0"/>
        <n v="143.0"/>
        <n v="412.0"/>
        <n v="150.0"/>
        <n v="580.0"/>
        <n v="402.0"/>
        <n v="719.0"/>
        <n v="1677.0"/>
        <n v="153.0"/>
        <n v="357.0"/>
        <n v="524.0"/>
        <n v="191.0"/>
        <n v="295.0"/>
        <n v="190.0"/>
        <n v="115.0"/>
        <n v="8.0"/>
        <n v="71.0"/>
        <n v="18660.0"/>
        <n v="408.0"/>
        <n v="873.0"/>
        <n v="2068.0"/>
        <n v="23131.0"/>
        <n v="1712.0"/>
        <n v="544.0"/>
        <n v="356.0"/>
        <n v="608.0"/>
        <n v="258.0"/>
        <n v="759.0"/>
        <n v="987.0"/>
        <n v="560.0"/>
        <n v="306.0"/>
        <n v="65.0"/>
        <n v="24.0"/>
        <n v="526.0"/>
        <n v="618.0"/>
        <n v="401.0"/>
        <n v="481.0"/>
        <n v="114.0"/>
        <n v="230.0"/>
        <n v="463.0"/>
        <n v="197.0"/>
        <n v="108.0"/>
        <n v="799.0"/>
        <n v="96.0"/>
        <n v="241.0"/>
        <n v="74.0"/>
        <n v="101.0"/>
        <n v="134.0"/>
        <n v="155.0"/>
        <n v="232.0"/>
        <n v="315.0"/>
        <n v="166.0"/>
        <n v="6469.0"/>
        <n v="525.0"/>
        <n v="546.0"/>
        <n v="366.0"/>
        <n v="308.0"/>
        <n v="398.0"/>
        <n v="231.0"/>
        <n v="32.0"/>
        <n v="98.0"/>
        <n v="273.0"/>
        <n v="177.0"/>
        <n v="144.0"/>
        <n v="345.0"/>
        <n v="385.0"/>
        <n v="417.0"/>
        <n v="124.0"/>
        <n v="559.0"/>
        <n v="875.0"/>
        <n v="4395.0"/>
        <n v="1568.0"/>
        <n v="630.0"/>
        <n v="788.0"/>
        <n v="688.0"/>
        <n v="395.0"/>
        <n v="565.0"/>
        <n v="756.0"/>
        <n v="302.0"/>
        <n v="90.0"/>
        <n v="532.0"/>
        <n v="352.0"/>
        <n v="53.0"/>
        <n v="50.0"/>
        <n v="294.0"/>
        <n v="70.0"/>
        <n v="659.0"/>
        <n v="283.0"/>
        <n v="89.0"/>
        <n v="324.0"/>
        <n v="290.0"/>
        <n v="75.0"/>
        <n v="386.0"/>
        <n v="44.0"/>
        <n v="2009.0"/>
        <n v="234.0"/>
        <n v="14720.0"/>
        <n v="364.0"/>
        <n v="127.0"/>
        <n v="656.0"/>
        <n v="339.0"/>
        <n v="247.0"/>
        <n v="336.0"/>
        <n v="975.0"/>
        <n v="152.0"/>
        <n v="506.0"/>
        <n v="514.0"/>
        <n v="196.0"/>
        <n v="393.0"/>
        <n v="838.0"/>
        <n v="355.0"/>
        <n v="2709.0"/>
        <n v="1103.0"/>
        <n v="988.0"/>
        <n v="1314.0"/>
        <n v="1043.0"/>
        <n v="4714.0"/>
        <n v="1559.0"/>
        <n v="675.0"/>
        <n v="235.0"/>
        <n v="186.0"/>
        <n v="307.0"/>
        <n v="934.0"/>
        <n v="663.0"/>
        <n v="374.0"/>
        <n v="87.0"/>
        <n v="957.0"/>
        <n v="505.0"/>
        <n v="622.0"/>
        <n v="63.0"/>
        <n v="704.0"/>
        <n v="244.0"/>
        <n v="8178.0"/>
        <n v="792.0"/>
        <n v="119.0"/>
        <n v="125.0"/>
        <n v="1111.0"/>
        <n v="68.0"/>
        <n v="723.0"/>
        <n v="159.0"/>
        <n v="158.0"/>
        <n v="128.0"/>
        <n v="40.0"/>
        <n v="13.0"/>
        <n v="48.0"/>
        <n v="218.0"/>
        <n v="0.0"/>
        <n v="161.0"/>
        <n v="552.0"/>
        <n v="79.0"/>
        <n v="245.0"/>
        <n v="31.0"/>
        <n v="67.0"/>
        <n v="462.0"/>
        <n v="132.0"/>
        <n v="472.0"/>
        <n v="145.0"/>
        <n v="280.0"/>
        <n v="29.0"/>
        <n v="33.0"/>
        <n v="354.0"/>
        <n v="3657.0"/>
        <n v="1267.0"/>
        <n v="500.0"/>
        <n v="439.0"/>
        <n v="1302.0"/>
        <n v="643.0"/>
        <n v="54.0"/>
        <n v="503.0"/>
        <n v="296.0"/>
        <n v="1064.0"/>
        <n v="210.0"/>
        <n v="795.0"/>
        <n v="411.0"/>
        <n v="415.0"/>
        <n v="833.0"/>
        <n v="78.0"/>
        <n v="515.0"/>
        <n v="313.0"/>
        <n v="1128.0"/>
        <n v="138.0"/>
        <n v="501.0"/>
        <n v="84.0"/>
        <n v="5.0"/>
        <n v="1313.0"/>
        <n v="1146.0"/>
        <n v="629.0"/>
        <n v="405.0"/>
        <n v="72.0"/>
        <n v="203.0"/>
        <n v="451.0"/>
        <n v="170.0"/>
        <n v="745.0"/>
        <n v="94.0"/>
        <n v="3802.0"/>
        <n v="990.0"/>
        <n v="424.0"/>
        <n v="1144.0"/>
        <n v="418.0"/>
        <n v="718.0"/>
        <n v="517.0"/>
        <n v="396.0"/>
        <n v="951.0"/>
        <n v="555.0"/>
        <n v="657.0"/>
        <n v="24601.0"/>
        <n v="3009.0"/>
        <n v="768.0"/>
        <n v="2584.0"/>
        <n v="1116.0"/>
        <n v="4534.0"/>
        <n v="250.0"/>
        <n v="3.0"/>
        <n v="2.0"/>
        <n v="429.0"/>
        <n v="427.0"/>
        <n v="1230.0"/>
        <n v="36.0"/>
        <n v="588.0"/>
        <n v="37.0"/>
        <n v="297.0"/>
        <n v="419.0"/>
        <n v="22.0"/>
        <n v="140.0"/>
        <n v="596.0"/>
        <n v="21.0"/>
        <n v="39.0"/>
        <n v="25.0"/>
        <n v="10.0"/>
        <n v="7.0"/>
        <n v="61.0"/>
        <n v="19.0"/>
        <n v="28.0"/>
        <n v="1838.0"/>
        <n v="335.0"/>
        <n v="243.0"/>
        <n v="14.0"/>
        <n v="52.0"/>
        <n v="11.0"/>
        <n v="27.0"/>
        <n v="81.0"/>
        <n v="16.0"/>
        <n v="23.0"/>
        <n v="18.0"/>
        <n v="387.0"/>
        <n v="274.0"/>
        <n v="58.0"/>
        <n v="316.0"/>
        <n v="99.0"/>
        <n v="15.0"/>
        <n v="262.0"/>
        <n v="42.0"/>
        <n v="38.0"/>
        <n v="4.0"/>
        <n v="34.0"/>
      </sharedItems>
    </cacheField>
    <cacheField name="n_id_zero_12" numFmtId="0">
      <sharedItems containsSemiMixedTypes="0" containsString="0" containsNumber="1" containsInteger="1">
        <n v="1073.0"/>
        <n v="93.0"/>
        <n v="47.0"/>
        <n v="60.0"/>
        <n v="63.0"/>
        <n v="14.0"/>
        <n v="28.0"/>
        <n v="16.0"/>
        <n v="82.0"/>
        <n v="61.0"/>
        <n v="27.0"/>
        <n v="57.0"/>
        <n v="24.0"/>
        <n v="114.0"/>
        <n v="10.0"/>
        <n v="81.0"/>
        <n v="1.0"/>
        <n v="0.0"/>
        <n v="119.0"/>
        <n v="5.0"/>
        <n v="15.0"/>
        <n v="4985.0"/>
        <n v="228.0"/>
        <n v="599.0"/>
        <n v="6379.0"/>
        <n v="402.0"/>
        <n v="92.0"/>
        <n v="38.0"/>
        <n v="58.0"/>
        <n v="136.0"/>
        <n v="54.0"/>
        <n v="247.0"/>
        <n v="283.0"/>
        <n v="138.0"/>
        <n v="98.0"/>
        <n v="20.0"/>
        <n v="7.0"/>
        <n v="115.0"/>
        <n v="96.0"/>
        <n v="56.0"/>
        <n v="71.0"/>
        <n v="34.0"/>
        <n v="75.0"/>
        <n v="26.0"/>
        <n v="143.0"/>
        <n v="25.0"/>
        <n v="67.0"/>
        <n v="17.0"/>
        <n v="18.0"/>
        <n v="40.0"/>
        <n v="66.0"/>
        <n v="79.0"/>
        <n v="32.0"/>
        <n v="1824.0"/>
        <n v="141.0"/>
        <n v="205.0"/>
        <n v="137.0"/>
        <n v="46.0"/>
        <n v="3.0"/>
        <n v="9.0"/>
        <n v="104.0"/>
        <n v="12.0"/>
        <n v="94.0"/>
        <n v="165.0"/>
        <n v="211.0"/>
        <n v="978.0"/>
        <n v="431.0"/>
        <n v="155.0"/>
        <n v="146.0"/>
        <n v="154.0"/>
        <n v="117.0"/>
        <n v="147.0"/>
        <n v="151.0"/>
        <n v="106.0"/>
        <n v="31.0"/>
        <n v="6.0"/>
        <n v="23.0"/>
        <n v="121.0"/>
        <n v="59.0"/>
        <n v="83.0"/>
        <n v="595.0"/>
        <n v="80.0"/>
        <n v="4292.0"/>
        <n v="64.0"/>
        <n v="13.0"/>
        <n v="169.0"/>
        <n v="88.0"/>
        <n v="51.0"/>
        <n v="107.0"/>
        <n v="76.0"/>
        <n v="318.0"/>
        <n v="125.0"/>
        <n v="126.0"/>
        <n v="140.0"/>
        <n v="268.0"/>
        <n v="53.0"/>
        <n v="739.0"/>
        <n v="284.0"/>
        <n v="287.0"/>
        <n v="364.0"/>
        <n v="275.0"/>
        <n v="1300.0"/>
        <n v="132.0"/>
        <n v="372.0"/>
        <n v="180.0"/>
        <n v="39.0"/>
        <n v="45.0"/>
        <n v="74.0"/>
        <n v="280.0"/>
        <n v="176.0"/>
        <n v="70.0"/>
        <n v="248.0"/>
        <n v="182.0"/>
        <n v="160.0"/>
        <n v="2353.0"/>
        <n v="209.0"/>
        <n v="203.0"/>
        <n v="2.0"/>
        <n v="52.0"/>
        <n v="4.0"/>
        <n v="1359.0"/>
        <n v="517.0"/>
        <n v="213.0"/>
        <n v="425.0"/>
        <n v="243.0"/>
        <n v="301.0"/>
        <n v="30.0"/>
        <n v="33.0"/>
        <n v="90.0"/>
        <n v="103.0"/>
        <n v="371.0"/>
        <n v="21.0"/>
        <n v="515.0"/>
        <n v="185.0"/>
        <n v="68.0"/>
        <n v="166.0"/>
        <n v="192.0"/>
        <n v="44.0"/>
        <n v="216.0"/>
        <n v="159.0"/>
        <n v="1311.0"/>
        <n v="449.0"/>
        <n v="123.0"/>
        <n v="299.0"/>
        <n v="157.0"/>
        <n v="190.0"/>
        <n v="242.0"/>
        <n v="193.0"/>
        <n v="367.0"/>
        <n v="227.0"/>
        <n v="13466.0"/>
        <n v="1807.0"/>
        <n v="408.0"/>
        <n v="1305.0"/>
        <n v="572.0"/>
        <n v="2590.0"/>
        <n v="170.0"/>
        <n v="11.0"/>
        <n v="231.0"/>
        <n v="279.0"/>
        <n v="710.0"/>
        <n v="116.0"/>
        <n v="368.0"/>
        <n v="100.0"/>
        <n v="339.0"/>
        <n v="908.0"/>
        <n v="197.0"/>
        <n v="246.0"/>
        <n v="194.0"/>
        <n v="72.0"/>
        <n v="41.0"/>
        <n v="48.0"/>
      </sharedItems>
    </cacheField>
    <cacheField name="Porcentaje de medidores eléctricos residenciales con consumo cero 2016" numFmtId="164">
      <sharedItems containsSemiMixedTypes="0" containsString="0" containsNumber="1">
        <n v="5.275190694930254"/>
        <n v="14.721723518850988"/>
        <n v="13.786764705882353"/>
        <n v="16.494133885438234"/>
        <n v="14.45880452342488"/>
        <n v="13.723459347488348"/>
        <n v="7.880434782608695"/>
        <n v="11.517467248908297"/>
        <n v="10.427807486631016"/>
        <n v="10.861694424330196"/>
        <n v="12.475633528265107"/>
        <n v="13.740458015267176"/>
        <n v="15.113122171945701"/>
        <n v="13.503305004721435"/>
        <n v="6.286237412267318"/>
        <n v="7.327796775769419"/>
        <n v="15.743756786102063"/>
        <n v="17.92242532322782"/>
        <n v="15.914121292607348"/>
        <n v="23.201438848920862"/>
        <n v="10.736842105263158"/>
        <n v="13.471698113207546"/>
        <n v="15.688622754491018"/>
        <n v="17.685185185185187"/>
        <n v="10.214681440443213"/>
        <n v="19.05717151454363"/>
        <n v="5.356311131811831"/>
        <n v="11.428571428571429"/>
        <n v="7.349896480331263"/>
        <n v="5.989311678515832"/>
        <n v="9.383624655013799"/>
        <n v="11.827665627963691"/>
        <n v="16.93416311824435"/>
        <n v="7.554508994473983"/>
        <n v="12.583608967291436"/>
        <n v="16.35598316295851"/>
        <n v="16.289592760180994"/>
        <n v="16.159782115297322"/>
        <n v="22.08499818379949"/>
        <n v="21.864406779661017"/>
        <n v="26.715945089757128"/>
        <n v="30.04566210045662"/>
        <n v="33.674082982561636"/>
        <n v="26.198630136986303"/>
        <n v="16.331658291457288"/>
        <n v="23.076923076923077"/>
        <n v="34.83443708609271"/>
        <n v="15.907335907335908"/>
        <n v="13.59322033898305"/>
        <n v="13.857677902621722"/>
        <n v="10.008779631255488"/>
        <n v="10.843941537010844"/>
        <n v="13.601645123384253"/>
        <n v="12.969058591178406"/>
        <n v="8.681672025723472"/>
        <n v="11.798582398109865"/>
        <n v="3.0808729139922977"/>
        <n v="12.922252010723861"/>
        <n v="9.355246523388116"/>
        <n v="17.235494880546074"/>
        <n v="5.903083700440528"/>
        <n v="4.341736694677871"/>
        <n v="9.453952730236349"/>
        <n v="7.564841498559078"/>
        <n v="10.006027727546716"/>
        <n v="16.01634067838574"/>
        <n v="19.984773505900268"/>
        <n v="17.556270096463024"/>
        <n v="11.872986654394845"/>
        <n v="21.143847487001732"/>
        <n v="10.97647897362794"/>
        <n v="11.313246162592382"/>
        <n v="14.455569461827285"/>
        <n v="12.698412698412698"/>
        <n v="4.895104895104895"/>
        <n v="10.360531309297913"/>
        <n v="8.388625592417062"/>
        <n v="4.421246545901136"/>
        <n v="17.719568567026194"/>
        <n v="13.370473537604457"/>
        <n v="8.227848101265822"/>
        <n v="6.780556533990842"/>
        <n v="7.768256333830104"/>
        <n v="8.665269042627534"/>
        <n v="8.615906288532676"/>
        <n v="7.385836076643876"/>
        <n v="15.368744973248942"/>
        <n v="19.189817647778728"/>
        <n v="12.574850299401197"/>
        <n v="13.41504937010555"/>
        <n v="28.11606048222313"/>
        <n v="19.24013638577691"/>
        <n v="18.045352922389014"/>
        <n v="10.498541869184836"/>
        <n v="14.098972922502334"/>
        <n v="13.71951219512195"/>
        <n v="8.0180859080633"/>
        <n v="6.838935302117738"/>
        <n v="3.6576949620427883"/>
        <n v="2.332089552238806"/>
        <n v="12.049180327868852"/>
        <n v="12.681159420289855"/>
        <n v="12.610026789131267"/>
        <n v="18.17597944765575"/>
        <n v="17.315175097276263"/>
        <n v="21.585609593604264"/>
        <n v="21.59344750558451"/>
        <n v="22.93577981651376"/>
        <n v="22.772861356932154"/>
        <n v="15.492957746478874"/>
        <n v="13.91370593531408"/>
        <n v="10.483870967741936"/>
        <n v="5.631173441672214"/>
        <n v="7.101053452984783"/>
        <n v="11.326860841423947"/>
        <n v="8.5177733065057"/>
        <n v="16.9640548228601"/>
        <n v="16.298076923076923"/>
        <n v="10.560068405301411"/>
        <n v="11.427625041404438"/>
        <n v="20.804953560371516"/>
        <n v="16.00722377277951"/>
        <n v="18.929016189290163"/>
        <n v="12.700803212851406"/>
        <n v="19.30879038317055"/>
        <n v="12.507977026164646"/>
        <n v="19.79949874686717"/>
        <n v="8.320649416539828"/>
        <n v="15.040183696900115"/>
        <n v="9.169764560099132"/>
        <n v="11.155484558040468"/>
        <n v="12.61119832548404"/>
        <n v="13.606745879647374"/>
        <n v="5.041313086199196"/>
        <n v="6.809062287795543"/>
        <n v="4.747261195464155"/>
        <n v="6.379879588269567"/>
        <n v="4.70646631469699"/>
        <n v="7.109354970063492"/>
        <n v="8.91729797979798"/>
        <n v="5.476131932979732"/>
        <n v="18.584801762114537"/>
        <n v="6.089660533817051"/>
        <n v="8.591224018475751"/>
        <n v="9.107089884307328"/>
        <n v="4.303617876566564"/>
        <n v="5.728304201165287"/>
        <n v="5.706662076088827"/>
        <n v="7.232643589247727"/>
        <n v="16.50853889943074"/>
        <n v="21.53846153846154"/>
        <n v="8.045397225725095"/>
        <n v="16.026658203744844"/>
        <n v="11.593662628145387"/>
        <n v="16.666666666666668"/>
        <n v="19.204801200300075"/>
        <n v="12.165197857266287"/>
        <n v="3.7354562155541946"/>
        <n v="7.484555896215623"/>
        <n v="13.764337851929092"/>
        <n v="18.9792663476874"/>
        <n v="15.566625155666252"/>
        <n v="11.14007821117016"/>
        <n v="15.384615384615385"/>
        <n v="31.352992194275803"/>
        <n v="24.84375"/>
        <n v="16.772823779193207"/>
        <n v="23.486238532110093"/>
        <n v="21.686746987951807"/>
        <n v="29.098360655737704"/>
        <n v="68.96551724137932"/>
        <n v="20.3125"/>
        <n v="24.365482233502537"/>
        <n v="30.834512022630836"/>
        <n v="0.0"/>
        <n v="31.071428571428573"/>
        <n v="7.940606843124597"/>
        <n v="12.068965517241379"/>
        <n v="17.435249526216044"/>
        <n v="20.680628272251308"/>
        <n v="16.655336505778383"/>
        <n v="19.49685534591195"/>
        <n v="19.420289855072465"/>
        <n v="28.085106382978722"/>
        <n v="9.381663113006397"/>
        <n v="31.593038821954483"/>
        <n v="16.439909297052154"/>
        <n v="13.847675568743819"/>
        <n v="19.463087248322147"/>
        <n v="24.444444444444443"/>
        <n v="19.458128078817733"/>
        <n v="23.568575233022635"/>
        <n v="6.44632469592808"/>
        <n v="36.03526734926052"/>
        <n v="33.898305084745765"/>
        <n v="39.263803680981596"/>
        <n v="28.177150192554556"/>
        <n v="4.614822260805995"/>
        <n v="18.03074366431242"/>
        <n v="27.549271636675236"/>
        <n v="3.200948429164197"/>
        <n v="19.71003134796238"/>
        <n v="9.02714242146996"/>
        <n v="21.002763521515988"/>
        <n v="8.786610878661088"/>
        <n v="24.766355140186917"/>
        <n v="10.221337975627954"/>
        <n v="18.411712511091395"/>
        <n v="14.185967302452315"/>
        <n v="3.240548400498546"/>
        <n v="14.756446991404012"/>
        <n v="21.17726657645467"/>
        <n v="7.978497665865045"/>
        <n v="4.635539133355727"/>
        <n v="15.045045045045045"/>
        <n v="22.119815668202765"/>
        <n v="25.53191489361702"/>
        <n v="5.434782608695652"/>
        <n v="15.634218289085545"/>
        <n v="23.593890386343215"/>
        <n v="17.739403453689167"/>
        <n v="23.55987055016181"/>
        <n v="10.612093712380776"/>
        <n v="22.320794889992904"/>
        <n v="17.27815699658703"/>
        <n v="9.931034482758621"/>
        <n v="18.108831400535237"/>
        <n v="28.364779874213838"/>
        <n v="37.280701754385966"/>
        <n v="5.9964584674822925"/>
        <n v="18.54043392504931"/>
        <n v="5.750586099977312"/>
        <n v="18.972786508240706"/>
        <n v="4.281098546042003"/>
        <n v="4.516918703360051"/>
        <n v="9.517304189435338"/>
        <n v="5.438981895310961"/>
        <n v="11.934441366574331"/>
        <n v="29.20353982300885"/>
        <n v="11.141049671977507"/>
        <n v="18.80081300813008"/>
        <n v="10.955477738869435"/>
        <n v="5.834805810850875"/>
        <n v="12.596809980324025"/>
        <n v="9.011969021356489"/>
        <n v="6.346711204990912"/>
        <n v="7.168550873586844"/>
        <n v="9.520409877372753"/>
        <n v="11.415525114155251"/>
        <n v="4.513888888888889"/>
        <n v="4.166666666666667"/>
        <n v="12.5"/>
        <n v="10.866261398176292"/>
        <n v="9.230436662343276"/>
        <n v="9.093597515895313"/>
        <n v="10.15417331206805"/>
        <n v="13.382899628252789"/>
        <n v="9.040590405904059"/>
        <n v="11.821086261980831"/>
        <n v="6.11740473738414"/>
        <n v="11.043753294675804"/>
        <n v="11.91454396055875"/>
        <n v="12.64367816091954"/>
        <n v="13.48747591522158"/>
        <n v="12.672762066765895"/>
        <n v="12.727272727272727"/>
        <n v="15.0"/>
        <n v="5.665024630541872"/>
        <n v="11.160714285714286"/>
        <n v="8.823529411764707"/>
        <n v="20.833333333333332"/>
        <n v="9.090909090909092"/>
        <n v="43.75"/>
        <n v="12.373225152129818"/>
        <n v="8.636363636363637"/>
        <n v="10.76923076923077"/>
        <n v="7.317073170731708"/>
        <n v="5.742852679268864"/>
        <n v="10.285538839422781"/>
        <n v="7.5535512965050735"/>
        <n v="7.980295566502463"/>
        <n v="9.493114561968943"/>
        <n v="11.185308848080133"/>
        <n v="15.527950310559007"/>
        <n v="11.728395061728396"/>
        <n v="8.833223467369809"/>
        <n v="9.58904109589041"/>
        <n v="8.88888888888889"/>
        <n v="10.476190476190476"/>
        <n v="9.727626459143968"/>
        <n v="7.627118644067797"/>
        <n v="7.5"/>
        <n v="12.816455696202532"/>
        <n v="20.0"/>
        <n v="14.64968152866242"/>
        <n v="1.2237498111497205"/>
        <n v="4.477611940298507"/>
        <n v="1.658310836868492"/>
        <n v="0.7647565704437742"/>
        <n v="3.0727519204699503"/>
        <n v="3.2360930672020785"/>
        <n v="3.0318870883429168"/>
        <n v="5.548726953467955"/>
        <n v="2.2270337148159602"/>
        <n v="2.790304396843292"/>
        <n v="3.7142857142857144"/>
        <n v="5.63063063063063"/>
        <n v="1.2583892617449663"/>
        <n v="2.15962441314554"/>
        <n v="1.6483516483516483"/>
        <n v="1.392515230635335"/>
        <n v="0.9592326139088729"/>
        <n v="1.731430081945546"/>
        <n v="3.0927835051546393"/>
        <n v="3.6613272311212817"/>
        <n v="3.0473135525260626"/>
        <n v="2.5806451612903225"/>
        <n v="3.8043478260869565"/>
        <n v="1.3205282112845138"/>
        <n v="1.9981834695731153"/>
        <n v="7.142857142857143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datos_2016" cacheId="0" dataCaption="" compact="0" compactData="0">
  <location ref="K1:M11" firstHeaderRow="0" firstDataRow="2" firstDataCol="0"/>
  <pivotFields>
    <pivotField name="DEP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D_MUN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t="default"/>
      </items>
    </pivotField>
    <pivotField name="n_id_unic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t="default"/>
      </items>
    </pivotField>
    <pivotField name="n_id_zero_1_1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t="default"/>
      </items>
    </pivotField>
    <pivotField name="n_id_zero_6_12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t="default"/>
      </items>
    </pivotField>
    <pivotField name="n_id_zero_1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name="Porcentaje de medidores eléctricos residenciales con consumo cero 2016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</pivotFields>
  <rowFields>
    <field x="0"/>
  </rowFields>
  <colFields>
    <field x="-2"/>
  </colFields>
  <dataFields>
    <dataField name="Suma de n_id_unicos" fld="2" baseField="0"/>
    <dataField name="Suma de n_id_zero_6_12" fld="4" baseField="0"/>
  </dataFields>
</pivotTableDefinition>
</file>

<file path=xl/pivotTables/pivotTable2.xml><?xml version="1.0" encoding="utf-8"?>
<pivotTableDefinition xmlns="http://schemas.openxmlformats.org/spreadsheetml/2006/main" name="datos_2016 2" cacheId="0" dataCaption="" compact="0" compactData="0">
  <location ref="K14:M18" firstHeaderRow="0" firstDataRow="2" firstDataCol="0"/>
  <pivotFields>
    <pivotField name="DE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D_MUNI" axis="axisRow" compact="0" outline="0" multipleItemSelectionAllowed="1" showAll="0" sortType="ascending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x="238"/>
        <item x="239"/>
        <item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6"/>
        <item h="1" x="317"/>
        <item h="1" x="318"/>
        <item h="1" x="319"/>
        <item h="1" x="320"/>
        <item h="1" x="321"/>
        <item h="1" x="322"/>
        <item h="1" x="323"/>
        <item h="1" x="324"/>
        <item h="1" x="325"/>
        <item h="1" x="326"/>
        <item h="1" x="327"/>
        <item h="1" x="328"/>
        <item t="default"/>
      </items>
    </pivotField>
    <pivotField name="n_id_unic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t="default"/>
      </items>
    </pivotField>
    <pivotField name="n_id_zero_1_1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t="default"/>
      </items>
    </pivotField>
    <pivotField name="n_id_zero_6_12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t="default"/>
      </items>
    </pivotField>
    <pivotField name="n_id_zero_1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name="Porcentaje de medidores eléctricos residenciales con consumo cero 2016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</pivotFields>
  <rowFields>
    <field x="1"/>
  </rowFields>
  <colFields>
    <field x="-2"/>
  </colFields>
  <dataFields>
    <dataField name="Suma de n_id_unicos" fld="2" baseField="0"/>
    <dataField name="Suma de n_id_zero_6_12" fld="4" baseField="0"/>
  </dataFields>
</pivotTableDefinition>
</file>

<file path=xl/pivotTables/pivotTable3.xml><?xml version="1.0" encoding="utf-8"?>
<pivotTableDefinition xmlns="http://schemas.openxmlformats.org/spreadsheetml/2006/main" name="datos_2024" cacheId="1" dataCaption="" compact="0" compactData="0">
  <location ref="K1:M11" firstHeaderRow="0" firstDataRow="2" firstDataCol="0"/>
  <pivotFields>
    <pivotField name="DEP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D_MUN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t="default"/>
      </items>
    </pivotField>
    <pivotField name="n_id_unic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t="default"/>
      </items>
    </pivotField>
    <pivotField name="n_id_zero_1_1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t="default"/>
      </items>
    </pivotField>
    <pivotField name="n_id_zero_6_12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t="default"/>
      </items>
    </pivotField>
    <pivotField name="n_id_zero_1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t="default"/>
      </items>
    </pivotField>
    <pivotField name="Porcentaje de medidores eléctricos residenciales con consumo cero 2016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t="default"/>
      </items>
    </pivotField>
  </pivotFields>
  <rowFields>
    <field x="0"/>
  </rowFields>
  <colFields>
    <field x="-2"/>
  </colFields>
  <dataFields>
    <dataField name="Suma de n_id_unicos" fld="2" baseField="0"/>
    <dataField name="Suma de n_id_zero_6_12" fld="4" baseField="0"/>
  </dataFields>
</pivotTableDefinition>
</file>

<file path=xl/pivotTables/pivotTable4.xml><?xml version="1.0" encoding="utf-8"?>
<pivotTableDefinition xmlns="http://schemas.openxmlformats.org/spreadsheetml/2006/main" name="datos_2024 2" cacheId="1" dataCaption="" compact="0" compactData="0">
  <location ref="K14:M18" firstHeaderRow="0" firstDataRow="2" firstDataCol="0"/>
  <pivotFields>
    <pivotField name="DE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D_MUNI" axis="axisRow" compact="0" outline="0" multipleItemSelectionAllowed="1" showAll="0" sortType="ascending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x="236"/>
        <item x="237"/>
        <item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6"/>
        <item h="1" x="317"/>
        <item h="1" x="318"/>
        <item h="1" x="319"/>
        <item h="1" x="320"/>
        <item h="1" x="321"/>
        <item h="1" x="322"/>
        <item h="1" x="323"/>
        <item h="1" x="324"/>
        <item t="default"/>
      </items>
    </pivotField>
    <pivotField name="n_id_unic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t="default"/>
      </items>
    </pivotField>
    <pivotField name="n_id_zero_1_1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t="default"/>
      </items>
    </pivotField>
    <pivotField name="n_id_zero_6_12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t="default"/>
      </items>
    </pivotField>
    <pivotField name="n_id_zero_1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t="default"/>
      </items>
    </pivotField>
    <pivotField name="Porcentaje de medidores eléctricos residenciales con consumo cero 2016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t="default"/>
      </items>
    </pivotField>
  </pivotFields>
  <rowFields>
    <field x="1"/>
  </rowFields>
  <colFields>
    <field x="-2"/>
  </colFields>
  <dataFields>
    <dataField name="Suma de n_id_unicos" fld="2" baseField="0"/>
    <dataField name="Suma de n_id_zero_6_12" fld="4" baseField="0"/>
  </dataFields>
</pivotTableDefinition>
</file>

<file path=xl/tables/table1.xml><?xml version="1.0" encoding="utf-8"?>
<table xmlns="http://schemas.openxmlformats.org/spreadsheetml/2006/main" ref="A1:D344" displayName="Table_1" name="Table_1" id="1">
  <tableColumns count="4">
    <tableColumn name="COD" id="1"/>
    <tableColumn name="Name" id="2"/>
    <tableColumn name="Porcentaje de medidores eléctricos residenciales con consumo cero 2016 (%)" id="3"/>
    <tableColumn name="Porcentaje de medidores eléctricos residenciales con consumo cero 2023 (%)" id="4"/>
  </tableColumns>
  <tableStyleInfo name="Indicador_MU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pivotTable" Target="../pivotTables/pivotTable4.xm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86"/>
    <col customWidth="1" min="3" max="6" width="15.0"/>
    <col customWidth="1" min="7" max="7" width="9.43"/>
    <col customWidth="1" min="8" max="10" width="8.86"/>
    <col customWidth="1" min="11" max="11" width="16.57"/>
    <col customWidth="1" min="12" max="12" width="19.0"/>
    <col customWidth="1" min="13" max="13" width="22.29"/>
    <col customWidth="1" min="14" max="26" width="8.86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/>
      <c r="I1" s="1"/>
      <c r="J1" s="1"/>
      <c r="N1" s="5" t="s">
        <v>6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4">
        <f t="shared" ref="A2:A330" si="1">VALUE(MID(B2,1,1))</f>
        <v>1</v>
      </c>
      <c r="B2" s="4">
        <v>10101.0</v>
      </c>
      <c r="C2" s="4">
        <v>67379.0</v>
      </c>
      <c r="D2" s="4">
        <v>8920.0</v>
      </c>
      <c r="E2" s="4">
        <v>2422.0</v>
      </c>
      <c r="F2" s="4">
        <v>560.0</v>
      </c>
      <c r="G2" s="6">
        <f t="shared" ref="G2:G330" si="2">100*E2/C2</f>
        <v>3.594591787</v>
      </c>
      <c r="N2" s="4">
        <f t="shared" ref="N2:N11" si="3">100*M2/L2</f>
        <v>6.136760557</v>
      </c>
    </row>
    <row r="3" ht="14.25" customHeight="1">
      <c r="A3" s="4">
        <f t="shared" si="1"/>
        <v>1</v>
      </c>
      <c r="B3" s="4">
        <v>10102.0</v>
      </c>
      <c r="C3" s="4">
        <v>2450.0</v>
      </c>
      <c r="D3" s="4">
        <v>828.0</v>
      </c>
      <c r="E3" s="4">
        <v>281.0</v>
      </c>
      <c r="F3" s="4">
        <v>79.0</v>
      </c>
      <c r="G3" s="6">
        <f t="shared" si="2"/>
        <v>11.46938776</v>
      </c>
      <c r="N3" s="4">
        <f t="shared" si="3"/>
        <v>8.818919908</v>
      </c>
    </row>
    <row r="4" ht="14.25" customHeight="1">
      <c r="A4" s="4">
        <f t="shared" si="1"/>
        <v>1</v>
      </c>
      <c r="B4" s="4">
        <v>10103.0</v>
      </c>
      <c r="C4" s="4">
        <v>930.0</v>
      </c>
      <c r="D4" s="4">
        <v>662.0</v>
      </c>
      <c r="E4" s="4">
        <v>139.0</v>
      </c>
      <c r="F4" s="4">
        <v>11.0</v>
      </c>
      <c r="G4" s="6">
        <f t="shared" si="2"/>
        <v>14.94623656</v>
      </c>
      <c r="N4" s="4">
        <f t="shared" si="3"/>
        <v>5.947673845</v>
      </c>
    </row>
    <row r="5" ht="14.25" customHeight="1">
      <c r="A5" s="4">
        <f t="shared" si="1"/>
        <v>1</v>
      </c>
      <c r="B5" s="4">
        <v>10201.0</v>
      </c>
      <c r="C5" s="4">
        <v>752.0</v>
      </c>
      <c r="D5" s="4">
        <v>332.0</v>
      </c>
      <c r="E5" s="4">
        <v>81.0</v>
      </c>
      <c r="F5" s="4">
        <v>1.0</v>
      </c>
      <c r="G5" s="6">
        <f t="shared" si="2"/>
        <v>10.7712766</v>
      </c>
      <c r="N5" s="4">
        <f t="shared" si="3"/>
        <v>7.40589198</v>
      </c>
    </row>
    <row r="6" ht="14.25" customHeight="1">
      <c r="A6" s="4">
        <f t="shared" si="1"/>
        <v>1</v>
      </c>
      <c r="B6" s="4">
        <v>10202.0</v>
      </c>
      <c r="C6" s="4">
        <v>1610.0</v>
      </c>
      <c r="D6" s="4">
        <v>817.0</v>
      </c>
      <c r="E6" s="4">
        <v>198.0</v>
      </c>
      <c r="F6" s="4">
        <v>22.0</v>
      </c>
      <c r="G6" s="6">
        <f t="shared" si="2"/>
        <v>12.29813665</v>
      </c>
      <c r="N6" s="4">
        <f t="shared" si="3"/>
        <v>9.895484838</v>
      </c>
    </row>
    <row r="7" ht="14.25" customHeight="1">
      <c r="A7" s="4">
        <f t="shared" si="1"/>
        <v>1</v>
      </c>
      <c r="B7" s="4">
        <v>10301.0</v>
      </c>
      <c r="C7" s="4">
        <v>1089.0</v>
      </c>
      <c r="D7" s="4">
        <v>458.0</v>
      </c>
      <c r="E7" s="4">
        <v>149.0</v>
      </c>
      <c r="F7" s="4">
        <v>35.0</v>
      </c>
      <c r="G7" s="6">
        <f t="shared" si="2"/>
        <v>13.68227732</v>
      </c>
      <c r="N7" s="4">
        <f t="shared" si="3"/>
        <v>5.055398093</v>
      </c>
    </row>
    <row r="8" ht="14.25" customHeight="1">
      <c r="A8" s="4">
        <f t="shared" si="1"/>
        <v>1</v>
      </c>
      <c r="B8" s="4">
        <v>10302.0</v>
      </c>
      <c r="C8" s="4">
        <v>1059.0</v>
      </c>
      <c r="D8" s="4">
        <v>416.0</v>
      </c>
      <c r="E8" s="4">
        <v>86.0</v>
      </c>
      <c r="F8" s="4">
        <v>16.0</v>
      </c>
      <c r="G8" s="6">
        <f t="shared" si="2"/>
        <v>8.120868744</v>
      </c>
      <c r="N8" s="4">
        <f t="shared" si="3"/>
        <v>4.120274673</v>
      </c>
    </row>
    <row r="9" ht="14.25" customHeight="1">
      <c r="A9" s="4">
        <f t="shared" si="1"/>
        <v>1</v>
      </c>
      <c r="B9" s="4">
        <v>10303.0</v>
      </c>
      <c r="C9" s="4">
        <v>1280.0</v>
      </c>
      <c r="D9" s="4">
        <v>538.0</v>
      </c>
      <c r="E9" s="4">
        <v>121.0</v>
      </c>
      <c r="F9" s="4">
        <v>14.0</v>
      </c>
      <c r="G9" s="6">
        <f t="shared" si="2"/>
        <v>9.453125</v>
      </c>
      <c r="N9" s="4">
        <f t="shared" si="3"/>
        <v>0.8285279909</v>
      </c>
    </row>
    <row r="10" ht="14.25" customHeight="1">
      <c r="A10" s="4">
        <f t="shared" si="1"/>
        <v>1</v>
      </c>
      <c r="B10" s="4">
        <v>10304.0</v>
      </c>
      <c r="C10" s="4">
        <v>1292.0</v>
      </c>
      <c r="D10" s="4">
        <v>566.0</v>
      </c>
      <c r="E10" s="4">
        <v>137.0</v>
      </c>
      <c r="F10" s="4">
        <v>28.0</v>
      </c>
      <c r="G10" s="6">
        <f t="shared" si="2"/>
        <v>10.60371517</v>
      </c>
      <c r="N10" s="4">
        <f t="shared" si="3"/>
        <v>2.139283834</v>
      </c>
    </row>
    <row r="11" ht="14.25" customHeight="1">
      <c r="A11" s="4">
        <f t="shared" si="1"/>
        <v>1</v>
      </c>
      <c r="B11" s="4">
        <v>10401.0</v>
      </c>
      <c r="C11" s="4">
        <v>1775.0</v>
      </c>
      <c r="D11" s="4">
        <v>628.0</v>
      </c>
      <c r="E11" s="4">
        <v>158.0</v>
      </c>
      <c r="F11" s="4">
        <v>36.0</v>
      </c>
      <c r="G11" s="6">
        <f t="shared" si="2"/>
        <v>8.901408451</v>
      </c>
      <c r="N11" s="4">
        <f t="shared" si="3"/>
        <v>6.465129884</v>
      </c>
    </row>
    <row r="12" ht="14.25" customHeight="1">
      <c r="A12" s="4">
        <f t="shared" si="1"/>
        <v>1</v>
      </c>
      <c r="B12" s="4">
        <v>10402.0</v>
      </c>
      <c r="C12" s="4">
        <v>1455.0</v>
      </c>
      <c r="D12" s="4">
        <v>516.0</v>
      </c>
      <c r="E12" s="4">
        <v>125.0</v>
      </c>
      <c r="F12" s="4">
        <v>21.0</v>
      </c>
      <c r="G12" s="6">
        <f t="shared" si="2"/>
        <v>8.591065292</v>
      </c>
    </row>
    <row r="13" ht="14.25" customHeight="1">
      <c r="A13" s="4">
        <f t="shared" si="1"/>
        <v>1</v>
      </c>
      <c r="B13" s="4">
        <v>10403.0</v>
      </c>
      <c r="C13" s="4">
        <v>798.0</v>
      </c>
      <c r="D13" s="4">
        <v>209.0</v>
      </c>
      <c r="E13" s="4">
        <v>40.0</v>
      </c>
      <c r="F13" s="4">
        <v>5.0</v>
      </c>
      <c r="G13" s="6">
        <f t="shared" si="2"/>
        <v>5.012531328</v>
      </c>
    </row>
    <row r="14" ht="14.25" customHeight="1">
      <c r="A14" s="4">
        <f t="shared" si="1"/>
        <v>1</v>
      </c>
      <c r="B14" s="4">
        <v>10404.0</v>
      </c>
      <c r="C14" s="4">
        <v>850.0</v>
      </c>
      <c r="D14" s="4">
        <v>307.0</v>
      </c>
      <c r="E14" s="4">
        <v>85.0</v>
      </c>
      <c r="F14" s="4">
        <v>13.0</v>
      </c>
      <c r="G14" s="6">
        <f t="shared" si="2"/>
        <v>10</v>
      </c>
    </row>
    <row r="15" ht="14.25" customHeight="1">
      <c r="A15" s="4">
        <f t="shared" si="1"/>
        <v>1</v>
      </c>
      <c r="B15" s="4">
        <v>10405.0</v>
      </c>
      <c r="C15" s="4">
        <v>865.0</v>
      </c>
      <c r="D15" s="4">
        <v>533.0</v>
      </c>
      <c r="E15" s="4">
        <v>176.0</v>
      </c>
      <c r="F15" s="4">
        <v>22.0</v>
      </c>
      <c r="G15" s="6">
        <f t="shared" si="2"/>
        <v>20.34682081</v>
      </c>
      <c r="N15" s="4">
        <f t="shared" ref="N15:N18" si="4">100*M15/L15</f>
        <v>2.91773199</v>
      </c>
    </row>
    <row r="16" ht="14.25" customHeight="1">
      <c r="A16" s="4">
        <f t="shared" si="1"/>
        <v>1</v>
      </c>
      <c r="B16" s="4">
        <v>10501.0</v>
      </c>
      <c r="C16" s="4">
        <v>4277.0</v>
      </c>
      <c r="D16" s="4">
        <v>823.0</v>
      </c>
      <c r="E16" s="4">
        <v>183.0</v>
      </c>
      <c r="F16" s="4">
        <v>37.0</v>
      </c>
      <c r="G16" s="6">
        <f t="shared" si="2"/>
        <v>4.278700023</v>
      </c>
      <c r="N16" s="4">
        <f t="shared" si="4"/>
        <v>6.086221471</v>
      </c>
    </row>
    <row r="17" ht="14.25" customHeight="1">
      <c r="A17" s="4">
        <f t="shared" si="1"/>
        <v>1</v>
      </c>
      <c r="B17" s="4">
        <v>10502.0</v>
      </c>
      <c r="C17" s="4">
        <v>1001.0</v>
      </c>
      <c r="D17" s="4">
        <v>230.0</v>
      </c>
      <c r="E17" s="4">
        <v>32.0</v>
      </c>
      <c r="F17" s="4">
        <v>3.0</v>
      </c>
      <c r="G17" s="6">
        <f t="shared" si="2"/>
        <v>3.196803197</v>
      </c>
      <c r="N17" s="4">
        <f t="shared" si="4"/>
        <v>3.766630708</v>
      </c>
    </row>
    <row r="18" ht="14.25" customHeight="1">
      <c r="A18" s="4">
        <f t="shared" si="1"/>
        <v>1</v>
      </c>
      <c r="B18" s="4">
        <v>10601.0</v>
      </c>
      <c r="C18" s="4">
        <v>2434.0</v>
      </c>
      <c r="D18" s="4">
        <v>974.0</v>
      </c>
      <c r="E18" s="4">
        <v>212.0</v>
      </c>
      <c r="F18" s="4">
        <v>26.0</v>
      </c>
      <c r="G18" s="6">
        <f t="shared" si="2"/>
        <v>8.709942482</v>
      </c>
      <c r="N18" s="4">
        <f t="shared" si="4"/>
        <v>3.51530907</v>
      </c>
    </row>
    <row r="19" ht="14.25" customHeight="1">
      <c r="A19" s="4">
        <f t="shared" si="1"/>
        <v>1</v>
      </c>
      <c r="B19" s="4">
        <v>10602.0</v>
      </c>
      <c r="C19" s="4">
        <v>1742.0</v>
      </c>
      <c r="D19" s="4">
        <v>941.0</v>
      </c>
      <c r="E19" s="4">
        <v>198.0</v>
      </c>
      <c r="F19" s="4">
        <v>18.0</v>
      </c>
      <c r="G19" s="6">
        <f t="shared" si="2"/>
        <v>11.36624569</v>
      </c>
    </row>
    <row r="20" ht="14.25" customHeight="1">
      <c r="A20" s="4">
        <f t="shared" si="1"/>
        <v>1</v>
      </c>
      <c r="B20" s="4">
        <v>10701.0</v>
      </c>
      <c r="C20" s="4">
        <v>3571.0</v>
      </c>
      <c r="D20" s="4">
        <v>1288.0</v>
      </c>
      <c r="E20" s="4">
        <v>385.0</v>
      </c>
      <c r="F20" s="4">
        <v>48.0</v>
      </c>
      <c r="G20" s="6">
        <f t="shared" si="2"/>
        <v>10.78129376</v>
      </c>
    </row>
    <row r="21" ht="14.25" customHeight="1">
      <c r="A21" s="4">
        <f t="shared" si="1"/>
        <v>1</v>
      </c>
      <c r="B21" s="4">
        <v>10702.0</v>
      </c>
      <c r="C21" s="4">
        <v>3813.0</v>
      </c>
      <c r="D21" s="4">
        <v>1809.0</v>
      </c>
      <c r="E21" s="4">
        <v>670.0</v>
      </c>
      <c r="F21" s="4">
        <v>185.0</v>
      </c>
      <c r="G21" s="6">
        <f t="shared" si="2"/>
        <v>17.57146604</v>
      </c>
    </row>
    <row r="22" ht="14.25" customHeight="1">
      <c r="A22" s="4">
        <f t="shared" si="1"/>
        <v>1</v>
      </c>
      <c r="B22" s="4">
        <v>10703.0</v>
      </c>
      <c r="C22" s="4">
        <v>951.0</v>
      </c>
      <c r="D22" s="4">
        <v>290.0</v>
      </c>
      <c r="E22" s="4">
        <v>73.0</v>
      </c>
      <c r="F22" s="4">
        <v>9.0</v>
      </c>
      <c r="G22" s="6">
        <f t="shared" si="2"/>
        <v>7.676130389</v>
      </c>
    </row>
    <row r="23" ht="14.25" customHeight="1">
      <c r="A23" s="4">
        <f t="shared" si="1"/>
        <v>1</v>
      </c>
      <c r="B23" s="4">
        <v>10704.0</v>
      </c>
      <c r="C23" s="4">
        <v>1836.0</v>
      </c>
      <c r="D23" s="4">
        <v>555.0</v>
      </c>
      <c r="E23" s="4">
        <v>173.0</v>
      </c>
      <c r="F23" s="4">
        <v>27.0</v>
      </c>
      <c r="G23" s="6">
        <f t="shared" si="2"/>
        <v>9.422657952</v>
      </c>
    </row>
    <row r="24" ht="14.25" customHeight="1">
      <c r="A24" s="4">
        <f t="shared" si="1"/>
        <v>1</v>
      </c>
      <c r="B24" s="4">
        <v>10801.0</v>
      </c>
      <c r="C24" s="4">
        <v>2232.0</v>
      </c>
      <c r="D24" s="4">
        <v>842.0</v>
      </c>
      <c r="E24" s="4">
        <v>244.0</v>
      </c>
      <c r="F24" s="4">
        <v>48.0</v>
      </c>
      <c r="G24" s="6">
        <f t="shared" si="2"/>
        <v>10.93189964</v>
      </c>
    </row>
    <row r="25" ht="14.25" customHeight="1">
      <c r="A25" s="4">
        <f t="shared" si="1"/>
        <v>1</v>
      </c>
      <c r="B25" s="4">
        <v>10901.0</v>
      </c>
      <c r="C25" s="4">
        <v>825.0</v>
      </c>
      <c r="D25" s="4">
        <v>350.0</v>
      </c>
      <c r="E25" s="4">
        <v>98.0</v>
      </c>
      <c r="F25" s="4">
        <v>9.0</v>
      </c>
      <c r="G25" s="6">
        <f t="shared" si="2"/>
        <v>11.87878788</v>
      </c>
    </row>
    <row r="26" ht="14.25" customHeight="1">
      <c r="A26" s="4">
        <f t="shared" si="1"/>
        <v>1</v>
      </c>
      <c r="B26" s="4">
        <v>10902.0</v>
      </c>
      <c r="C26" s="4">
        <v>2341.0</v>
      </c>
      <c r="D26" s="4">
        <v>670.0</v>
      </c>
      <c r="E26" s="4">
        <v>203.0</v>
      </c>
      <c r="F26" s="4">
        <v>36.0</v>
      </c>
      <c r="G26" s="6">
        <f t="shared" si="2"/>
        <v>8.671507903</v>
      </c>
    </row>
    <row r="27" ht="14.25" customHeight="1">
      <c r="A27" s="4">
        <f t="shared" si="1"/>
        <v>1</v>
      </c>
      <c r="B27" s="4">
        <v>10903.0</v>
      </c>
      <c r="C27" s="4">
        <v>796.0</v>
      </c>
      <c r="D27" s="4">
        <v>329.0</v>
      </c>
      <c r="E27" s="4">
        <v>89.0</v>
      </c>
      <c r="F27" s="4">
        <v>14.0</v>
      </c>
      <c r="G27" s="6">
        <f t="shared" si="2"/>
        <v>11.18090452</v>
      </c>
    </row>
    <row r="28" ht="14.25" customHeight="1">
      <c r="A28" s="4">
        <f t="shared" si="1"/>
        <v>1</v>
      </c>
      <c r="B28" s="4">
        <v>11001.0</v>
      </c>
      <c r="C28" s="4">
        <v>1150.0</v>
      </c>
      <c r="D28" s="4">
        <v>165.0</v>
      </c>
      <c r="E28" s="4">
        <v>19.0</v>
      </c>
      <c r="F28" s="4">
        <v>1.0</v>
      </c>
      <c r="G28" s="6">
        <f t="shared" si="2"/>
        <v>1.652173913</v>
      </c>
    </row>
    <row r="29" ht="14.25" customHeight="1">
      <c r="A29" s="4">
        <f t="shared" si="1"/>
        <v>1</v>
      </c>
      <c r="B29" s="4">
        <v>11002.0</v>
      </c>
      <c r="C29" s="4">
        <v>263.0</v>
      </c>
      <c r="D29" s="4">
        <v>53.0</v>
      </c>
      <c r="E29" s="4">
        <v>20.0</v>
      </c>
      <c r="F29" s="4">
        <v>4.0</v>
      </c>
      <c r="G29" s="6">
        <f t="shared" si="2"/>
        <v>7.604562738</v>
      </c>
    </row>
    <row r="30" ht="14.25" customHeight="1">
      <c r="A30" s="4">
        <f t="shared" si="1"/>
        <v>1</v>
      </c>
      <c r="B30" s="4">
        <v>11003.0</v>
      </c>
      <c r="C30" s="4">
        <v>839.0</v>
      </c>
      <c r="D30" s="4">
        <v>258.0</v>
      </c>
      <c r="E30" s="4">
        <v>55.0</v>
      </c>
      <c r="F30" s="4">
        <v>4.0</v>
      </c>
      <c r="G30" s="6">
        <f t="shared" si="2"/>
        <v>6.555423123</v>
      </c>
    </row>
    <row r="31" ht="14.25" customHeight="1">
      <c r="A31" s="4">
        <f t="shared" si="1"/>
        <v>2</v>
      </c>
      <c r="B31" s="4">
        <v>20101.0</v>
      </c>
      <c r="C31" s="4">
        <v>250683.0</v>
      </c>
      <c r="D31" s="4">
        <v>41346.0</v>
      </c>
      <c r="E31" s="4">
        <v>11026.0</v>
      </c>
      <c r="F31" s="4">
        <v>2852.0</v>
      </c>
      <c r="G31" s="6">
        <f t="shared" si="2"/>
        <v>4.398383616</v>
      </c>
    </row>
    <row r="32" ht="14.25" customHeight="1">
      <c r="A32" s="4">
        <f t="shared" si="1"/>
        <v>2</v>
      </c>
      <c r="B32" s="4">
        <v>20102.0</v>
      </c>
      <c r="C32" s="4">
        <v>3773.0</v>
      </c>
      <c r="D32" s="4">
        <v>1482.0</v>
      </c>
      <c r="E32" s="4">
        <v>317.0</v>
      </c>
      <c r="F32" s="4">
        <v>73.0</v>
      </c>
      <c r="G32" s="6">
        <f t="shared" si="2"/>
        <v>8.401802279</v>
      </c>
    </row>
    <row r="33" ht="14.25" customHeight="1">
      <c r="A33" s="4">
        <f t="shared" si="1"/>
        <v>2</v>
      </c>
      <c r="B33" s="4">
        <v>20103.0</v>
      </c>
      <c r="C33" s="4">
        <v>4435.0</v>
      </c>
      <c r="D33" s="4">
        <v>2494.0</v>
      </c>
      <c r="E33" s="4">
        <v>468.0</v>
      </c>
      <c r="F33" s="4">
        <v>101.0</v>
      </c>
      <c r="G33" s="6">
        <f t="shared" si="2"/>
        <v>10.5524239</v>
      </c>
    </row>
    <row r="34" ht="14.25" customHeight="1">
      <c r="A34" s="4">
        <f t="shared" si="1"/>
        <v>2</v>
      </c>
      <c r="B34" s="4">
        <v>20104.0</v>
      </c>
      <c r="C34" s="4">
        <v>5757.0</v>
      </c>
      <c r="D34" s="4">
        <v>1921.0</v>
      </c>
      <c r="E34" s="4">
        <v>780.0</v>
      </c>
      <c r="F34" s="4">
        <v>182.0</v>
      </c>
      <c r="G34" s="6">
        <f t="shared" si="2"/>
        <v>13.54872329</v>
      </c>
    </row>
    <row r="35" ht="14.25" customHeight="1">
      <c r="A35" s="4">
        <f t="shared" si="1"/>
        <v>2</v>
      </c>
      <c r="B35" s="4">
        <v>20105.0</v>
      </c>
      <c r="C35" s="4">
        <v>263573.0</v>
      </c>
      <c r="D35" s="4">
        <v>55961.0</v>
      </c>
      <c r="E35" s="4">
        <v>20483.0</v>
      </c>
      <c r="F35" s="4">
        <v>5379.0</v>
      </c>
      <c r="G35" s="6">
        <f t="shared" si="2"/>
        <v>7.77128158</v>
      </c>
    </row>
    <row r="36" ht="14.25" customHeight="1">
      <c r="A36" s="4">
        <f t="shared" si="1"/>
        <v>2</v>
      </c>
      <c r="B36" s="4">
        <v>20201.0</v>
      </c>
      <c r="C36" s="4">
        <v>18505.0</v>
      </c>
      <c r="D36" s="4">
        <v>7315.0</v>
      </c>
      <c r="E36" s="4">
        <v>1705.0</v>
      </c>
      <c r="F36" s="4">
        <v>345.0</v>
      </c>
      <c r="G36" s="6">
        <f t="shared" si="2"/>
        <v>9.21372602</v>
      </c>
    </row>
    <row r="37" ht="14.25" customHeight="1">
      <c r="A37" s="4">
        <f t="shared" si="1"/>
        <v>2</v>
      </c>
      <c r="B37" s="4">
        <v>20202.0</v>
      </c>
      <c r="C37" s="4">
        <v>3232.0</v>
      </c>
      <c r="D37" s="4">
        <v>2018.0</v>
      </c>
      <c r="E37" s="4">
        <v>690.0</v>
      </c>
      <c r="F37" s="4">
        <v>58.0</v>
      </c>
      <c r="G37" s="6">
        <f t="shared" si="2"/>
        <v>21.3490099</v>
      </c>
    </row>
    <row r="38" ht="14.25" customHeight="1">
      <c r="A38" s="4">
        <f t="shared" si="1"/>
        <v>2</v>
      </c>
      <c r="B38" s="4">
        <v>20203.0</v>
      </c>
      <c r="C38" s="4">
        <v>1784.0</v>
      </c>
      <c r="D38" s="4">
        <v>710.0</v>
      </c>
      <c r="E38" s="4">
        <v>238.0</v>
      </c>
      <c r="F38" s="4">
        <v>2.0</v>
      </c>
      <c r="G38" s="6">
        <f t="shared" si="2"/>
        <v>13.34080717</v>
      </c>
    </row>
    <row r="39" ht="14.25" customHeight="1">
      <c r="A39" s="4">
        <f t="shared" si="1"/>
        <v>2</v>
      </c>
      <c r="B39" s="4">
        <v>20204.0</v>
      </c>
      <c r="C39" s="4">
        <v>2599.0</v>
      </c>
      <c r="D39" s="4">
        <v>1338.0</v>
      </c>
      <c r="E39" s="4">
        <v>472.0</v>
      </c>
      <c r="F39" s="4">
        <v>1.0</v>
      </c>
      <c r="G39" s="6">
        <f t="shared" si="2"/>
        <v>18.16083109</v>
      </c>
    </row>
    <row r="40" ht="14.25" customHeight="1">
      <c r="A40" s="4">
        <f t="shared" si="1"/>
        <v>2</v>
      </c>
      <c r="B40" s="4">
        <v>20205.0</v>
      </c>
      <c r="C40" s="4">
        <v>2788.0</v>
      </c>
      <c r="D40" s="4">
        <v>1660.0</v>
      </c>
      <c r="E40" s="4">
        <v>529.0</v>
      </c>
      <c r="F40" s="4">
        <v>1.0</v>
      </c>
      <c r="G40" s="6">
        <f t="shared" si="2"/>
        <v>18.97417504</v>
      </c>
    </row>
    <row r="41" ht="14.25" customHeight="1">
      <c r="A41" s="4">
        <f t="shared" si="1"/>
        <v>2</v>
      </c>
      <c r="B41" s="4">
        <v>20206.0</v>
      </c>
      <c r="C41" s="4">
        <v>1289.0</v>
      </c>
      <c r="D41" s="4">
        <v>709.0</v>
      </c>
      <c r="E41" s="4">
        <v>260.0</v>
      </c>
      <c r="F41" s="4">
        <v>2.0</v>
      </c>
      <c r="G41" s="6">
        <f t="shared" si="2"/>
        <v>20.17067494</v>
      </c>
    </row>
    <row r="42" ht="14.25" customHeight="1">
      <c r="A42" s="4">
        <f t="shared" si="1"/>
        <v>2</v>
      </c>
      <c r="B42" s="4">
        <v>20301.0</v>
      </c>
      <c r="C42" s="4">
        <v>2928.0</v>
      </c>
      <c r="D42" s="4">
        <v>2049.0</v>
      </c>
      <c r="E42" s="4">
        <v>763.0</v>
      </c>
      <c r="F42" s="4">
        <v>167.0</v>
      </c>
      <c r="G42" s="6">
        <f t="shared" si="2"/>
        <v>26.05874317</v>
      </c>
    </row>
    <row r="43" ht="14.25" customHeight="1">
      <c r="A43" s="4">
        <f t="shared" si="1"/>
        <v>2</v>
      </c>
      <c r="B43" s="4">
        <v>20302.0</v>
      </c>
      <c r="C43" s="4">
        <v>3350.0</v>
      </c>
      <c r="D43" s="4">
        <v>2542.0</v>
      </c>
      <c r="E43" s="4">
        <v>914.0</v>
      </c>
      <c r="F43" s="4">
        <v>134.0</v>
      </c>
      <c r="G43" s="6">
        <f t="shared" si="2"/>
        <v>27.28358209</v>
      </c>
    </row>
    <row r="44" ht="14.25" customHeight="1">
      <c r="A44" s="4">
        <f t="shared" si="1"/>
        <v>2</v>
      </c>
      <c r="B44" s="4">
        <v>20303.0</v>
      </c>
      <c r="C44" s="4">
        <v>1131.0</v>
      </c>
      <c r="D44" s="4">
        <v>753.0</v>
      </c>
      <c r="E44" s="4">
        <v>347.0</v>
      </c>
      <c r="F44" s="4">
        <v>47.0</v>
      </c>
      <c r="G44" s="6">
        <f t="shared" si="2"/>
        <v>30.68081344</v>
      </c>
    </row>
    <row r="45" ht="14.25" customHeight="1">
      <c r="A45" s="4">
        <f t="shared" si="1"/>
        <v>2</v>
      </c>
      <c r="B45" s="4">
        <v>20304.0</v>
      </c>
      <c r="C45" s="4">
        <v>938.0</v>
      </c>
      <c r="D45" s="4">
        <v>660.0</v>
      </c>
      <c r="E45" s="4">
        <v>194.0</v>
      </c>
      <c r="F45" s="4">
        <v>39.0</v>
      </c>
      <c r="G45" s="6">
        <f t="shared" si="2"/>
        <v>20.68230277</v>
      </c>
    </row>
    <row r="46" ht="14.25" customHeight="1">
      <c r="A46" s="4">
        <f t="shared" si="1"/>
        <v>2</v>
      </c>
      <c r="B46" s="4">
        <v>20305.0</v>
      </c>
      <c r="C46" s="4">
        <v>349.0</v>
      </c>
      <c r="D46" s="4">
        <v>227.0</v>
      </c>
      <c r="E46" s="4">
        <v>61.0</v>
      </c>
      <c r="F46" s="4">
        <v>7.0</v>
      </c>
      <c r="G46" s="6">
        <f t="shared" si="2"/>
        <v>17.47851003</v>
      </c>
    </row>
    <row r="47" ht="14.25" customHeight="1">
      <c r="A47" s="4">
        <f t="shared" si="1"/>
        <v>2</v>
      </c>
      <c r="B47" s="4">
        <v>20306.0</v>
      </c>
      <c r="C47" s="4">
        <v>371.0</v>
      </c>
      <c r="D47" s="4">
        <v>226.0</v>
      </c>
      <c r="E47" s="4">
        <v>63.0</v>
      </c>
      <c r="F47" s="4">
        <v>22.0</v>
      </c>
      <c r="G47" s="6">
        <f t="shared" si="2"/>
        <v>16.98113208</v>
      </c>
    </row>
    <row r="48" ht="14.25" customHeight="1">
      <c r="A48" s="4">
        <f t="shared" si="1"/>
        <v>2</v>
      </c>
      <c r="B48" s="4">
        <v>20307.0</v>
      </c>
      <c r="C48" s="4">
        <v>101.0</v>
      </c>
      <c r="D48" s="4">
        <v>59.0</v>
      </c>
      <c r="E48" s="4">
        <v>17.0</v>
      </c>
      <c r="F48" s="4">
        <v>1.0</v>
      </c>
      <c r="G48" s="6">
        <f t="shared" si="2"/>
        <v>16.83168317</v>
      </c>
    </row>
    <row r="49" ht="14.25" customHeight="1">
      <c r="A49" s="4">
        <f t="shared" si="1"/>
        <v>2</v>
      </c>
      <c r="B49" s="4">
        <v>20308.0</v>
      </c>
      <c r="C49" s="4">
        <v>413.0</v>
      </c>
      <c r="D49" s="4">
        <v>354.0</v>
      </c>
      <c r="E49" s="4">
        <v>205.0</v>
      </c>
      <c r="F49" s="4">
        <v>38.0</v>
      </c>
      <c r="G49" s="6">
        <f t="shared" si="2"/>
        <v>49.63680387</v>
      </c>
    </row>
    <row r="50" ht="14.25" customHeight="1">
      <c r="A50" s="4">
        <f t="shared" si="1"/>
        <v>2</v>
      </c>
      <c r="B50" s="4">
        <v>20401.0</v>
      </c>
      <c r="C50" s="4">
        <v>5262.0</v>
      </c>
      <c r="D50" s="4">
        <v>2110.0</v>
      </c>
      <c r="E50" s="4">
        <v>571.0</v>
      </c>
      <c r="F50" s="4">
        <v>85.0</v>
      </c>
      <c r="G50" s="6">
        <f t="shared" si="2"/>
        <v>10.85138731</v>
      </c>
    </row>
    <row r="51" ht="14.25" customHeight="1">
      <c r="A51" s="4">
        <f t="shared" si="1"/>
        <v>2</v>
      </c>
      <c r="B51" s="4">
        <v>20402.0</v>
      </c>
      <c r="C51" s="4">
        <v>3346.0</v>
      </c>
      <c r="D51" s="4">
        <v>1733.0</v>
      </c>
      <c r="E51" s="4">
        <v>436.0</v>
      </c>
      <c r="F51" s="4">
        <v>54.0</v>
      </c>
      <c r="G51" s="6">
        <f t="shared" si="2"/>
        <v>13.03048416</v>
      </c>
    </row>
    <row r="52" ht="14.25" customHeight="1">
      <c r="A52" s="4">
        <f t="shared" si="1"/>
        <v>2</v>
      </c>
      <c r="B52" s="4">
        <v>20403.0</v>
      </c>
      <c r="C52" s="4">
        <v>3519.0</v>
      </c>
      <c r="D52" s="4">
        <v>1995.0</v>
      </c>
      <c r="E52" s="4">
        <v>550.0</v>
      </c>
      <c r="F52" s="4">
        <v>69.0</v>
      </c>
      <c r="G52" s="6">
        <f t="shared" si="2"/>
        <v>15.62944018</v>
      </c>
    </row>
    <row r="53" ht="14.25" customHeight="1">
      <c r="A53" s="4">
        <f t="shared" si="1"/>
        <v>2</v>
      </c>
      <c r="B53" s="4">
        <v>20404.0</v>
      </c>
      <c r="C53" s="4">
        <v>1136.0</v>
      </c>
      <c r="D53" s="4">
        <v>558.0</v>
      </c>
      <c r="E53" s="4">
        <v>138.0</v>
      </c>
      <c r="F53" s="4">
        <v>0.0</v>
      </c>
      <c r="G53" s="6">
        <f t="shared" si="2"/>
        <v>12.14788732</v>
      </c>
    </row>
    <row r="54" ht="14.25" customHeight="1">
      <c r="A54" s="4">
        <f t="shared" si="1"/>
        <v>2</v>
      </c>
      <c r="B54" s="4">
        <v>20405.0</v>
      </c>
      <c r="C54" s="4">
        <v>1900.0</v>
      </c>
      <c r="D54" s="4">
        <v>1075.0</v>
      </c>
      <c r="E54" s="4">
        <v>294.0</v>
      </c>
      <c r="F54" s="4">
        <v>0.0</v>
      </c>
      <c r="G54" s="6">
        <f t="shared" si="2"/>
        <v>15.47368421</v>
      </c>
    </row>
    <row r="55" ht="14.25" customHeight="1">
      <c r="A55" s="4">
        <f t="shared" si="1"/>
        <v>2</v>
      </c>
      <c r="B55" s="4">
        <v>20501.0</v>
      </c>
      <c r="C55" s="4">
        <v>2301.0</v>
      </c>
      <c r="D55" s="4">
        <v>1182.0</v>
      </c>
      <c r="E55" s="4">
        <v>424.0</v>
      </c>
      <c r="F55" s="4">
        <v>77.0</v>
      </c>
      <c r="G55" s="6">
        <f t="shared" si="2"/>
        <v>18.42677097</v>
      </c>
    </row>
    <row r="56" ht="14.25" customHeight="1">
      <c r="A56" s="4">
        <f t="shared" si="1"/>
        <v>2</v>
      </c>
      <c r="B56" s="4">
        <v>20502.0</v>
      </c>
      <c r="C56" s="4">
        <v>1496.0</v>
      </c>
      <c r="D56" s="4">
        <v>636.0</v>
      </c>
      <c r="E56" s="4">
        <v>161.0</v>
      </c>
      <c r="F56" s="4">
        <v>34.0</v>
      </c>
      <c r="G56" s="6">
        <f t="shared" si="2"/>
        <v>10.76203209</v>
      </c>
    </row>
    <row r="57" ht="14.25" customHeight="1">
      <c r="A57" s="4">
        <f t="shared" si="1"/>
        <v>2</v>
      </c>
      <c r="B57" s="4">
        <v>20503.0</v>
      </c>
      <c r="C57" s="4">
        <v>837.0</v>
      </c>
      <c r="D57" s="4">
        <v>548.0</v>
      </c>
      <c r="E57" s="4">
        <v>140.0</v>
      </c>
      <c r="F57" s="4">
        <v>34.0</v>
      </c>
      <c r="G57" s="6">
        <f t="shared" si="2"/>
        <v>16.72640382</v>
      </c>
    </row>
    <row r="58" ht="14.25" customHeight="1">
      <c r="A58" s="4">
        <f t="shared" si="1"/>
        <v>2</v>
      </c>
      <c r="B58" s="4">
        <v>20601.0</v>
      </c>
      <c r="C58" s="4">
        <v>5418.0</v>
      </c>
      <c r="D58" s="4">
        <v>2809.0</v>
      </c>
      <c r="E58" s="4">
        <v>1022.0</v>
      </c>
      <c r="F58" s="4">
        <v>164.0</v>
      </c>
      <c r="G58" s="6">
        <f t="shared" si="2"/>
        <v>18.8630491</v>
      </c>
    </row>
    <row r="59" ht="14.25" customHeight="1">
      <c r="A59" s="4">
        <f t="shared" si="1"/>
        <v>2</v>
      </c>
      <c r="B59" s="4">
        <v>20602.0</v>
      </c>
      <c r="C59" s="4">
        <v>2476.0</v>
      </c>
      <c r="D59" s="4">
        <v>535.0</v>
      </c>
      <c r="E59" s="4">
        <v>178.0</v>
      </c>
      <c r="F59" s="4">
        <v>53.0</v>
      </c>
      <c r="G59" s="6">
        <f t="shared" si="2"/>
        <v>7.18901454</v>
      </c>
    </row>
    <row r="60" ht="14.25" customHeight="1">
      <c r="A60" s="4">
        <f t="shared" si="1"/>
        <v>2</v>
      </c>
      <c r="B60" s="4">
        <v>20603.0</v>
      </c>
      <c r="C60" s="4">
        <v>1443.0</v>
      </c>
      <c r="D60" s="4">
        <v>905.0</v>
      </c>
      <c r="E60" s="4">
        <v>205.0</v>
      </c>
      <c r="F60" s="4">
        <v>40.0</v>
      </c>
      <c r="G60" s="6">
        <f t="shared" si="2"/>
        <v>14.20651421</v>
      </c>
    </row>
    <row r="61" ht="14.25" customHeight="1">
      <c r="A61" s="4">
        <f t="shared" si="1"/>
        <v>2</v>
      </c>
      <c r="B61" s="4">
        <v>20604.0</v>
      </c>
      <c r="C61" s="4">
        <v>785.0</v>
      </c>
      <c r="D61" s="4">
        <v>310.0</v>
      </c>
      <c r="E61" s="4">
        <v>121.0</v>
      </c>
      <c r="F61" s="4">
        <v>24.0</v>
      </c>
      <c r="G61" s="6">
        <f t="shared" si="2"/>
        <v>15.41401274</v>
      </c>
    </row>
    <row r="62" ht="14.25" customHeight="1">
      <c r="A62" s="4">
        <f t="shared" si="1"/>
        <v>2</v>
      </c>
      <c r="B62" s="4">
        <v>20605.0</v>
      </c>
      <c r="C62" s="4">
        <v>638.0</v>
      </c>
      <c r="D62" s="4">
        <v>342.0</v>
      </c>
      <c r="E62" s="4">
        <v>147.0</v>
      </c>
      <c r="F62" s="4">
        <v>11.0</v>
      </c>
      <c r="G62" s="6">
        <f t="shared" si="2"/>
        <v>23.04075235</v>
      </c>
    </row>
    <row r="63" ht="14.25" customHeight="1">
      <c r="A63" s="4">
        <f t="shared" si="1"/>
        <v>2</v>
      </c>
      <c r="B63" s="4">
        <v>20606.0</v>
      </c>
      <c r="C63" s="4">
        <v>1842.0</v>
      </c>
      <c r="D63" s="4">
        <v>488.0</v>
      </c>
      <c r="E63" s="4">
        <v>163.0</v>
      </c>
      <c r="F63" s="4">
        <v>42.0</v>
      </c>
      <c r="G63" s="6">
        <f t="shared" si="2"/>
        <v>8.84907709</v>
      </c>
    </row>
    <row r="64" ht="14.25" customHeight="1">
      <c r="A64" s="4">
        <f t="shared" si="1"/>
        <v>2</v>
      </c>
      <c r="B64" s="4">
        <v>20607.0</v>
      </c>
      <c r="C64" s="4">
        <v>1943.0</v>
      </c>
      <c r="D64" s="4">
        <v>480.0</v>
      </c>
      <c r="E64" s="4">
        <v>93.0</v>
      </c>
      <c r="F64" s="4">
        <v>21.0</v>
      </c>
      <c r="G64" s="6">
        <f t="shared" si="2"/>
        <v>4.786412764</v>
      </c>
    </row>
    <row r="65" ht="14.25" customHeight="1">
      <c r="A65" s="4">
        <f t="shared" si="1"/>
        <v>2</v>
      </c>
      <c r="B65" s="4">
        <v>20608.0</v>
      </c>
      <c r="C65" s="4">
        <v>1595.0</v>
      </c>
      <c r="D65" s="4">
        <v>376.0</v>
      </c>
      <c r="E65" s="4">
        <v>115.0</v>
      </c>
      <c r="F65" s="4">
        <v>37.0</v>
      </c>
      <c r="G65" s="6">
        <f t="shared" si="2"/>
        <v>7.210031348</v>
      </c>
    </row>
    <row r="66" ht="14.25" customHeight="1">
      <c r="A66" s="4">
        <f t="shared" si="1"/>
        <v>2</v>
      </c>
      <c r="B66" s="4">
        <v>20701.0</v>
      </c>
      <c r="C66" s="4">
        <v>2893.0</v>
      </c>
      <c r="D66" s="4">
        <v>729.0</v>
      </c>
      <c r="E66" s="4">
        <v>257.0</v>
      </c>
      <c r="F66" s="4">
        <v>55.0</v>
      </c>
      <c r="G66" s="6">
        <f t="shared" si="2"/>
        <v>8.883511925</v>
      </c>
    </row>
    <row r="67" ht="14.25" customHeight="1">
      <c r="A67" s="4">
        <f t="shared" si="1"/>
        <v>2</v>
      </c>
      <c r="B67" s="4">
        <v>20702.0</v>
      </c>
      <c r="C67" s="4">
        <v>959.0</v>
      </c>
      <c r="D67" s="4">
        <v>488.0</v>
      </c>
      <c r="E67" s="4">
        <v>141.0</v>
      </c>
      <c r="F67" s="4">
        <v>13.0</v>
      </c>
      <c r="G67" s="6">
        <f t="shared" si="2"/>
        <v>14.70281543</v>
      </c>
    </row>
    <row r="68" ht="14.25" customHeight="1">
      <c r="A68" s="4">
        <f t="shared" si="1"/>
        <v>2</v>
      </c>
      <c r="B68" s="4">
        <v>20801.0</v>
      </c>
      <c r="C68" s="4">
        <v>28321.0</v>
      </c>
      <c r="D68" s="4">
        <v>9958.0</v>
      </c>
      <c r="E68" s="4">
        <v>4253.0</v>
      </c>
      <c r="F68" s="4">
        <v>1236.0</v>
      </c>
      <c r="G68" s="6">
        <f t="shared" si="2"/>
        <v>15.0171251</v>
      </c>
    </row>
    <row r="69" ht="14.25" customHeight="1">
      <c r="A69" s="4">
        <f t="shared" si="1"/>
        <v>2</v>
      </c>
      <c r="B69" s="4">
        <v>20802.0</v>
      </c>
      <c r="C69" s="4">
        <v>2370.0</v>
      </c>
      <c r="D69" s="4">
        <v>1997.0</v>
      </c>
      <c r="E69" s="4">
        <v>687.0</v>
      </c>
      <c r="F69" s="4">
        <v>226.0</v>
      </c>
      <c r="G69" s="6">
        <f t="shared" si="2"/>
        <v>28.98734177</v>
      </c>
    </row>
    <row r="70" ht="14.25" customHeight="1">
      <c r="A70" s="4">
        <f t="shared" si="1"/>
        <v>2</v>
      </c>
      <c r="B70" s="4">
        <v>20803.0</v>
      </c>
      <c r="C70" s="4">
        <v>2748.0</v>
      </c>
      <c r="D70" s="4">
        <v>1741.0</v>
      </c>
      <c r="E70" s="4">
        <v>492.0</v>
      </c>
      <c r="F70" s="4">
        <v>158.0</v>
      </c>
      <c r="G70" s="6">
        <f t="shared" si="2"/>
        <v>17.90393013</v>
      </c>
    </row>
    <row r="71" ht="14.25" customHeight="1">
      <c r="A71" s="4">
        <f t="shared" si="1"/>
        <v>2</v>
      </c>
      <c r="B71" s="4">
        <v>20804.0</v>
      </c>
      <c r="C71" s="4">
        <v>1798.0</v>
      </c>
      <c r="D71" s="4">
        <v>1070.0</v>
      </c>
      <c r="E71" s="4">
        <v>387.0</v>
      </c>
      <c r="F71" s="4">
        <v>127.0</v>
      </c>
      <c r="G71" s="6">
        <f t="shared" si="2"/>
        <v>21.52391546</v>
      </c>
    </row>
    <row r="72" ht="14.25" customHeight="1">
      <c r="A72" s="4">
        <f t="shared" si="1"/>
        <v>2</v>
      </c>
      <c r="B72" s="4">
        <v>20805.0</v>
      </c>
      <c r="C72" s="4">
        <v>1447.0</v>
      </c>
      <c r="D72" s="4">
        <v>1151.0</v>
      </c>
      <c r="E72" s="4">
        <v>330.0</v>
      </c>
      <c r="F72" s="4">
        <v>60.0</v>
      </c>
      <c r="G72" s="6">
        <f t="shared" si="2"/>
        <v>22.80580511</v>
      </c>
    </row>
    <row r="73" ht="14.25" customHeight="1">
      <c r="A73" s="4">
        <f t="shared" si="1"/>
        <v>2</v>
      </c>
      <c r="B73" s="4">
        <v>20806.0</v>
      </c>
      <c r="C73" s="4">
        <v>3329.0</v>
      </c>
      <c r="D73" s="4">
        <v>2121.0</v>
      </c>
      <c r="E73" s="4">
        <v>581.0</v>
      </c>
      <c r="F73" s="4">
        <v>163.0</v>
      </c>
      <c r="G73" s="6">
        <f t="shared" si="2"/>
        <v>17.4526885</v>
      </c>
    </row>
    <row r="74" ht="14.25" customHeight="1">
      <c r="A74" s="4">
        <f t="shared" si="1"/>
        <v>2</v>
      </c>
      <c r="B74" s="4">
        <v>20807.0</v>
      </c>
      <c r="C74" s="4">
        <v>1475.0</v>
      </c>
      <c r="D74" s="4">
        <v>827.0</v>
      </c>
      <c r="E74" s="4">
        <v>318.0</v>
      </c>
      <c r="F74" s="4">
        <v>99.0</v>
      </c>
      <c r="G74" s="6">
        <f t="shared" si="2"/>
        <v>21.55932203</v>
      </c>
    </row>
    <row r="75" ht="14.25" customHeight="1">
      <c r="A75" s="4">
        <f t="shared" si="1"/>
        <v>2</v>
      </c>
      <c r="B75" s="4">
        <v>20901.0</v>
      </c>
      <c r="C75" s="4">
        <v>2609.0</v>
      </c>
      <c r="D75" s="4">
        <v>1281.0</v>
      </c>
      <c r="E75" s="4">
        <v>355.0</v>
      </c>
      <c r="F75" s="4">
        <v>67.0</v>
      </c>
      <c r="G75" s="6">
        <f t="shared" si="2"/>
        <v>13.60674588</v>
      </c>
    </row>
    <row r="76" ht="14.25" customHeight="1">
      <c r="A76" s="4">
        <f t="shared" si="1"/>
        <v>2</v>
      </c>
      <c r="B76" s="4">
        <v>20902.0</v>
      </c>
      <c r="C76" s="4">
        <v>3175.0</v>
      </c>
      <c r="D76" s="4">
        <v>2040.0</v>
      </c>
      <c r="E76" s="4">
        <v>492.0</v>
      </c>
      <c r="F76" s="4">
        <v>62.0</v>
      </c>
      <c r="G76" s="6">
        <f t="shared" si="2"/>
        <v>15.49606299</v>
      </c>
    </row>
    <row r="77" ht="14.25" customHeight="1">
      <c r="A77" s="4">
        <f t="shared" si="1"/>
        <v>2</v>
      </c>
      <c r="B77" s="4">
        <v>20903.0</v>
      </c>
      <c r="C77" s="4">
        <v>1548.0</v>
      </c>
      <c r="D77" s="4">
        <v>930.0</v>
      </c>
      <c r="E77" s="4">
        <v>346.0</v>
      </c>
      <c r="F77" s="4">
        <v>83.0</v>
      </c>
      <c r="G77" s="6">
        <f t="shared" si="2"/>
        <v>22.35142119</v>
      </c>
    </row>
    <row r="78" ht="14.25" customHeight="1">
      <c r="A78" s="4">
        <f t="shared" si="1"/>
        <v>2</v>
      </c>
      <c r="B78" s="4">
        <v>20904.0</v>
      </c>
      <c r="C78" s="4">
        <v>273.0</v>
      </c>
      <c r="D78" s="4">
        <v>188.0</v>
      </c>
      <c r="E78" s="4">
        <v>72.0</v>
      </c>
      <c r="F78" s="4">
        <v>14.0</v>
      </c>
      <c r="G78" s="6">
        <f t="shared" si="2"/>
        <v>26.37362637</v>
      </c>
    </row>
    <row r="79" ht="14.25" customHeight="1">
      <c r="A79" s="4">
        <f t="shared" si="1"/>
        <v>2</v>
      </c>
      <c r="B79" s="4">
        <v>20905.0</v>
      </c>
      <c r="C79" s="4">
        <v>2118.0</v>
      </c>
      <c r="D79" s="4">
        <v>808.0</v>
      </c>
      <c r="E79" s="4">
        <v>452.0</v>
      </c>
      <c r="F79" s="4">
        <v>281.0</v>
      </c>
      <c r="G79" s="6">
        <f t="shared" si="2"/>
        <v>21.34088763</v>
      </c>
    </row>
    <row r="80" ht="14.25" customHeight="1">
      <c r="A80" s="4">
        <f t="shared" si="1"/>
        <v>2</v>
      </c>
      <c r="B80" s="4">
        <v>21001.0</v>
      </c>
      <c r="C80" s="4">
        <v>2163.0</v>
      </c>
      <c r="D80" s="4">
        <v>1033.0</v>
      </c>
      <c r="E80" s="4">
        <v>264.0</v>
      </c>
      <c r="F80" s="4">
        <v>41.0</v>
      </c>
      <c r="G80" s="6">
        <f t="shared" si="2"/>
        <v>12.20527046</v>
      </c>
    </row>
    <row r="81" ht="14.25" customHeight="1">
      <c r="A81" s="4">
        <f t="shared" si="1"/>
        <v>2</v>
      </c>
      <c r="B81" s="4">
        <v>21002.0</v>
      </c>
      <c r="C81" s="4">
        <v>1356.0</v>
      </c>
      <c r="D81" s="4">
        <v>434.0</v>
      </c>
      <c r="E81" s="4">
        <v>120.0</v>
      </c>
      <c r="F81" s="4">
        <v>20.0</v>
      </c>
      <c r="G81" s="6">
        <f t="shared" si="2"/>
        <v>8.849557522</v>
      </c>
    </row>
    <row r="82" ht="14.25" customHeight="1">
      <c r="A82" s="4">
        <f t="shared" si="1"/>
        <v>2</v>
      </c>
      <c r="B82" s="4">
        <v>21003.0</v>
      </c>
      <c r="C82" s="4">
        <v>3240.0</v>
      </c>
      <c r="D82" s="4">
        <v>977.0</v>
      </c>
      <c r="E82" s="4">
        <v>273.0</v>
      </c>
      <c r="F82" s="4">
        <v>56.0</v>
      </c>
      <c r="G82" s="6">
        <f t="shared" si="2"/>
        <v>8.425925926</v>
      </c>
    </row>
    <row r="83" ht="14.25" customHeight="1">
      <c r="A83" s="4">
        <f t="shared" si="1"/>
        <v>2</v>
      </c>
      <c r="B83" s="4">
        <v>21004.0</v>
      </c>
      <c r="C83" s="4">
        <v>1953.0</v>
      </c>
      <c r="D83" s="4">
        <v>1443.0</v>
      </c>
      <c r="E83" s="4">
        <v>530.0</v>
      </c>
      <c r="F83" s="4">
        <v>171.0</v>
      </c>
      <c r="G83" s="6">
        <f t="shared" si="2"/>
        <v>27.13773682</v>
      </c>
    </row>
    <row r="84" ht="14.25" customHeight="1">
      <c r="A84" s="4">
        <f t="shared" si="1"/>
        <v>2</v>
      </c>
      <c r="B84" s="4">
        <v>21005.0</v>
      </c>
      <c r="C84" s="4">
        <v>1027.0</v>
      </c>
      <c r="D84" s="4">
        <v>842.0</v>
      </c>
      <c r="E84" s="4">
        <v>352.0</v>
      </c>
      <c r="F84" s="4">
        <v>44.0</v>
      </c>
      <c r="G84" s="6">
        <f t="shared" si="2"/>
        <v>34.27458617</v>
      </c>
    </row>
    <row r="85" ht="14.25" customHeight="1">
      <c r="A85" s="4">
        <f t="shared" si="1"/>
        <v>2</v>
      </c>
      <c r="B85" s="4">
        <v>21006.0</v>
      </c>
      <c r="C85" s="4">
        <v>636.0</v>
      </c>
      <c r="D85" s="4">
        <v>344.0</v>
      </c>
      <c r="E85" s="4">
        <v>69.0</v>
      </c>
      <c r="F85" s="4">
        <v>3.0</v>
      </c>
      <c r="G85" s="6">
        <f t="shared" si="2"/>
        <v>10.8490566</v>
      </c>
    </row>
    <row r="86" ht="14.25" customHeight="1">
      <c r="A86" s="4">
        <f t="shared" si="1"/>
        <v>2</v>
      </c>
      <c r="B86" s="4">
        <v>21101.0</v>
      </c>
      <c r="C86" s="4">
        <v>4533.0</v>
      </c>
      <c r="D86" s="4">
        <v>1087.0</v>
      </c>
      <c r="E86" s="4">
        <v>265.0</v>
      </c>
      <c r="F86" s="4">
        <v>41.0</v>
      </c>
      <c r="G86" s="6">
        <f t="shared" si="2"/>
        <v>5.84601809</v>
      </c>
    </row>
    <row r="87" ht="14.25" customHeight="1">
      <c r="A87" s="4">
        <f t="shared" si="1"/>
        <v>2</v>
      </c>
      <c r="B87" s="4">
        <v>21102.0</v>
      </c>
      <c r="C87" s="4">
        <v>4321.0</v>
      </c>
      <c r="D87" s="4">
        <v>1362.0</v>
      </c>
      <c r="E87" s="4">
        <v>328.0</v>
      </c>
      <c r="F87" s="4">
        <v>40.0</v>
      </c>
      <c r="G87" s="6">
        <f t="shared" si="2"/>
        <v>7.590835455</v>
      </c>
    </row>
    <row r="88" ht="14.25" customHeight="1">
      <c r="A88" s="4">
        <f t="shared" si="1"/>
        <v>2</v>
      </c>
      <c r="B88" s="4">
        <v>21103.0</v>
      </c>
      <c r="C88" s="4">
        <v>1382.0</v>
      </c>
      <c r="D88" s="4">
        <v>397.0</v>
      </c>
      <c r="E88" s="4">
        <v>75.0</v>
      </c>
      <c r="F88" s="4">
        <v>7.0</v>
      </c>
      <c r="G88" s="6">
        <f t="shared" si="2"/>
        <v>5.426917511</v>
      </c>
    </row>
    <row r="89" ht="14.25" customHeight="1">
      <c r="A89" s="4">
        <f t="shared" si="1"/>
        <v>2</v>
      </c>
      <c r="B89" s="4">
        <v>21104.0</v>
      </c>
      <c r="C89" s="4">
        <v>5298.0</v>
      </c>
      <c r="D89" s="4">
        <v>1786.0</v>
      </c>
      <c r="E89" s="4">
        <v>696.0</v>
      </c>
      <c r="F89" s="4">
        <v>236.0</v>
      </c>
      <c r="G89" s="6">
        <f t="shared" si="2"/>
        <v>13.13703284</v>
      </c>
    </row>
    <row r="90" ht="14.25" customHeight="1">
      <c r="A90" s="4">
        <f t="shared" si="1"/>
        <v>2</v>
      </c>
      <c r="B90" s="4">
        <v>21105.0</v>
      </c>
      <c r="C90" s="4">
        <v>6923.0</v>
      </c>
      <c r="D90" s="4">
        <v>2067.0</v>
      </c>
      <c r="E90" s="4">
        <v>350.0</v>
      </c>
      <c r="F90" s="4">
        <v>76.0</v>
      </c>
      <c r="G90" s="6">
        <f t="shared" si="2"/>
        <v>5.055611729</v>
      </c>
    </row>
    <row r="91" ht="14.25" customHeight="1">
      <c r="A91" s="4">
        <f t="shared" si="1"/>
        <v>2</v>
      </c>
      <c r="B91" s="4">
        <v>21201.0</v>
      </c>
      <c r="C91" s="4">
        <v>6972.0</v>
      </c>
      <c r="D91" s="4">
        <v>3562.0</v>
      </c>
      <c r="E91" s="4">
        <v>1188.0</v>
      </c>
      <c r="F91" s="4">
        <v>315.0</v>
      </c>
      <c r="G91" s="6">
        <f t="shared" si="2"/>
        <v>17.03958692</v>
      </c>
    </row>
    <row r="92" ht="14.25" customHeight="1">
      <c r="A92" s="4">
        <f t="shared" si="1"/>
        <v>2</v>
      </c>
      <c r="B92" s="4">
        <v>21202.0</v>
      </c>
      <c r="C92" s="4">
        <v>7167.0</v>
      </c>
      <c r="D92" s="4">
        <v>2762.0</v>
      </c>
      <c r="E92" s="4">
        <v>937.0</v>
      </c>
      <c r="F92" s="4">
        <v>242.0</v>
      </c>
      <c r="G92" s="6">
        <f t="shared" si="2"/>
        <v>13.07381052</v>
      </c>
    </row>
    <row r="93" ht="14.25" customHeight="1">
      <c r="A93" s="4">
        <f t="shared" si="1"/>
        <v>2</v>
      </c>
      <c r="B93" s="4">
        <v>21203.0</v>
      </c>
      <c r="C93" s="4">
        <v>5079.0</v>
      </c>
      <c r="D93" s="4">
        <v>2423.0</v>
      </c>
      <c r="E93" s="4">
        <v>741.0</v>
      </c>
      <c r="F93" s="4">
        <v>203.0</v>
      </c>
      <c r="G93" s="6">
        <f t="shared" si="2"/>
        <v>14.58948612</v>
      </c>
    </row>
    <row r="94" ht="14.25" customHeight="1">
      <c r="A94" s="4">
        <f t="shared" si="1"/>
        <v>2</v>
      </c>
      <c r="B94" s="4">
        <v>21204.0</v>
      </c>
      <c r="C94" s="4">
        <v>1869.0</v>
      </c>
      <c r="D94" s="4">
        <v>781.0</v>
      </c>
      <c r="E94" s="4">
        <v>256.0</v>
      </c>
      <c r="F94" s="4">
        <v>48.0</v>
      </c>
      <c r="G94" s="6">
        <f t="shared" si="2"/>
        <v>13.69716426</v>
      </c>
    </row>
    <row r="95" ht="14.25" customHeight="1">
      <c r="A95" s="4">
        <f t="shared" si="1"/>
        <v>2</v>
      </c>
      <c r="B95" s="4">
        <v>21301.0</v>
      </c>
      <c r="C95" s="4">
        <v>4998.0</v>
      </c>
      <c r="D95" s="4">
        <v>3546.0</v>
      </c>
      <c r="E95" s="4">
        <v>1032.0</v>
      </c>
      <c r="F95" s="4">
        <v>182.0</v>
      </c>
      <c r="G95" s="6">
        <f t="shared" si="2"/>
        <v>20.6482593</v>
      </c>
    </row>
    <row r="96" ht="14.25" customHeight="1">
      <c r="A96" s="4">
        <f t="shared" si="1"/>
        <v>2</v>
      </c>
      <c r="B96" s="4">
        <v>21302.0</v>
      </c>
      <c r="C96" s="4">
        <v>2148.0</v>
      </c>
      <c r="D96" s="4">
        <v>1707.0</v>
      </c>
      <c r="E96" s="4">
        <v>632.0</v>
      </c>
      <c r="F96" s="4">
        <v>119.0</v>
      </c>
      <c r="G96" s="6">
        <f t="shared" si="2"/>
        <v>29.42271881</v>
      </c>
    </row>
    <row r="97" ht="14.25" customHeight="1">
      <c r="A97" s="4">
        <f t="shared" si="1"/>
        <v>2</v>
      </c>
      <c r="B97" s="4">
        <v>21303.0</v>
      </c>
      <c r="C97" s="4">
        <v>1863.0</v>
      </c>
      <c r="D97" s="4">
        <v>1384.0</v>
      </c>
      <c r="E97" s="4">
        <v>452.0</v>
      </c>
      <c r="F97" s="4">
        <v>131.0</v>
      </c>
      <c r="G97" s="6">
        <f t="shared" si="2"/>
        <v>24.2619431</v>
      </c>
    </row>
    <row r="98" ht="14.25" customHeight="1">
      <c r="A98" s="4">
        <f t="shared" si="1"/>
        <v>2</v>
      </c>
      <c r="B98" s="4">
        <v>21304.0</v>
      </c>
      <c r="C98" s="4">
        <v>2832.0</v>
      </c>
      <c r="D98" s="4">
        <v>1665.0</v>
      </c>
      <c r="E98" s="4">
        <v>473.0</v>
      </c>
      <c r="F98" s="4">
        <v>113.0</v>
      </c>
      <c r="G98" s="6">
        <f t="shared" si="2"/>
        <v>16.7019774</v>
      </c>
    </row>
    <row r="99" ht="14.25" customHeight="1">
      <c r="A99" s="4">
        <f t="shared" si="1"/>
        <v>2</v>
      </c>
      <c r="B99" s="4">
        <v>21305.0</v>
      </c>
      <c r="C99" s="4">
        <v>5701.0</v>
      </c>
      <c r="D99" s="4">
        <v>2890.0</v>
      </c>
      <c r="E99" s="4">
        <v>719.0</v>
      </c>
      <c r="F99" s="4">
        <v>148.0</v>
      </c>
      <c r="G99" s="6">
        <f t="shared" si="2"/>
        <v>12.61182249</v>
      </c>
    </row>
    <row r="100" ht="14.25" customHeight="1">
      <c r="A100" s="4">
        <f t="shared" si="1"/>
        <v>2</v>
      </c>
      <c r="B100" s="4">
        <v>21306.0</v>
      </c>
      <c r="C100" s="4">
        <v>1790.0</v>
      </c>
      <c r="D100" s="4">
        <v>674.0</v>
      </c>
      <c r="E100" s="4">
        <v>205.0</v>
      </c>
      <c r="F100" s="4">
        <v>72.0</v>
      </c>
      <c r="G100" s="6">
        <f t="shared" si="2"/>
        <v>11.45251397</v>
      </c>
    </row>
    <row r="101" ht="14.25" customHeight="1">
      <c r="A101" s="4">
        <f t="shared" si="1"/>
        <v>2</v>
      </c>
      <c r="B101" s="4">
        <v>21307.0</v>
      </c>
      <c r="C101" s="4">
        <v>623.0</v>
      </c>
      <c r="D101" s="4">
        <v>194.0</v>
      </c>
      <c r="E101" s="4">
        <v>42.0</v>
      </c>
      <c r="F101" s="4">
        <v>11.0</v>
      </c>
      <c r="G101" s="6">
        <f t="shared" si="2"/>
        <v>6.741573034</v>
      </c>
    </row>
    <row r="102" ht="14.25" customHeight="1">
      <c r="A102" s="4">
        <f t="shared" si="1"/>
        <v>2</v>
      </c>
      <c r="B102" s="4">
        <v>21401.0</v>
      </c>
      <c r="C102" s="4">
        <v>4901.0</v>
      </c>
      <c r="D102" s="4">
        <v>830.0</v>
      </c>
      <c r="E102" s="4">
        <v>244.0</v>
      </c>
      <c r="F102" s="4">
        <v>76.0</v>
      </c>
      <c r="G102" s="6">
        <f t="shared" si="2"/>
        <v>4.978575801</v>
      </c>
    </row>
    <row r="103" ht="14.25" customHeight="1">
      <c r="A103" s="4">
        <f t="shared" si="1"/>
        <v>2</v>
      </c>
      <c r="B103" s="4">
        <v>21402.0</v>
      </c>
      <c r="C103" s="4">
        <v>5374.0</v>
      </c>
      <c r="D103" s="4">
        <v>1572.0</v>
      </c>
      <c r="E103" s="4">
        <v>348.0</v>
      </c>
      <c r="F103" s="4">
        <v>65.0</v>
      </c>
      <c r="G103" s="6">
        <f t="shared" si="2"/>
        <v>6.475623372</v>
      </c>
    </row>
    <row r="104" ht="14.25" customHeight="1">
      <c r="A104" s="4">
        <f t="shared" si="1"/>
        <v>2</v>
      </c>
      <c r="B104" s="4">
        <v>21501.0</v>
      </c>
      <c r="C104" s="4">
        <v>834.0</v>
      </c>
      <c r="D104" s="4">
        <v>188.0</v>
      </c>
      <c r="E104" s="4">
        <v>14.0</v>
      </c>
      <c r="F104" s="4">
        <v>4.0</v>
      </c>
      <c r="G104" s="6">
        <f t="shared" si="2"/>
        <v>1.678657074</v>
      </c>
    </row>
    <row r="105" ht="14.25" customHeight="1">
      <c r="A105" s="4">
        <f t="shared" si="1"/>
        <v>2</v>
      </c>
      <c r="B105" s="4">
        <v>21502.0</v>
      </c>
      <c r="C105" s="4">
        <v>1455.0</v>
      </c>
      <c r="D105" s="4">
        <v>308.0</v>
      </c>
      <c r="E105" s="4">
        <v>40.0</v>
      </c>
      <c r="F105" s="4">
        <v>6.0</v>
      </c>
      <c r="G105" s="6">
        <f t="shared" si="2"/>
        <v>2.749140893</v>
      </c>
    </row>
    <row r="106" ht="14.25" customHeight="1">
      <c r="A106" s="4">
        <f t="shared" si="1"/>
        <v>2</v>
      </c>
      <c r="B106" s="4">
        <v>21601.0</v>
      </c>
      <c r="C106" s="4">
        <v>1903.0</v>
      </c>
      <c r="D106" s="4">
        <v>1324.0</v>
      </c>
      <c r="E106" s="4">
        <v>248.0</v>
      </c>
      <c r="F106" s="4">
        <v>46.0</v>
      </c>
      <c r="G106" s="6">
        <f t="shared" si="2"/>
        <v>13.03205465</v>
      </c>
    </row>
    <row r="107" ht="14.25" customHeight="1">
      <c r="A107" s="4">
        <f t="shared" si="1"/>
        <v>2</v>
      </c>
      <c r="B107" s="4">
        <v>21602.0</v>
      </c>
      <c r="C107" s="4">
        <v>316.0</v>
      </c>
      <c r="D107" s="4">
        <v>238.0</v>
      </c>
      <c r="E107" s="4">
        <v>79.0</v>
      </c>
      <c r="F107" s="4">
        <v>16.0</v>
      </c>
      <c r="G107" s="6">
        <f t="shared" si="2"/>
        <v>25</v>
      </c>
    </row>
    <row r="108" ht="14.25" customHeight="1">
      <c r="A108" s="4">
        <f t="shared" si="1"/>
        <v>2</v>
      </c>
      <c r="B108" s="4">
        <v>21701.0</v>
      </c>
      <c r="C108" s="4">
        <v>4801.0</v>
      </c>
      <c r="D108" s="4">
        <v>2284.0</v>
      </c>
      <c r="E108" s="4">
        <v>850.0</v>
      </c>
      <c r="F108" s="4">
        <v>189.0</v>
      </c>
      <c r="G108" s="6">
        <f t="shared" si="2"/>
        <v>17.70464487</v>
      </c>
    </row>
    <row r="109" ht="14.25" customHeight="1">
      <c r="A109" s="4">
        <f t="shared" si="1"/>
        <v>2</v>
      </c>
      <c r="B109" s="4">
        <v>21702.0</v>
      </c>
      <c r="C109" s="4">
        <v>1755.0</v>
      </c>
      <c r="D109" s="4">
        <v>915.0</v>
      </c>
      <c r="E109" s="4">
        <v>326.0</v>
      </c>
      <c r="F109" s="4">
        <v>72.0</v>
      </c>
      <c r="G109" s="6">
        <f t="shared" si="2"/>
        <v>18.57549858</v>
      </c>
    </row>
    <row r="110" ht="14.25" customHeight="1">
      <c r="A110" s="4">
        <f t="shared" si="1"/>
        <v>2</v>
      </c>
      <c r="B110" s="4">
        <v>21703.0</v>
      </c>
      <c r="C110" s="4">
        <v>466.0</v>
      </c>
      <c r="D110" s="4">
        <v>300.0</v>
      </c>
      <c r="E110" s="4">
        <v>95.0</v>
      </c>
      <c r="F110" s="4">
        <v>10.0</v>
      </c>
      <c r="G110" s="6">
        <f t="shared" si="2"/>
        <v>20.38626609</v>
      </c>
    </row>
    <row r="111" ht="14.25" customHeight="1">
      <c r="A111" s="4">
        <f t="shared" si="1"/>
        <v>2</v>
      </c>
      <c r="B111" s="4">
        <v>21801.0</v>
      </c>
      <c r="C111" s="4">
        <v>156.0</v>
      </c>
      <c r="D111" s="4">
        <v>147.0</v>
      </c>
      <c r="E111" s="4">
        <v>65.0</v>
      </c>
      <c r="F111" s="4">
        <v>13.0</v>
      </c>
      <c r="G111" s="6">
        <f t="shared" si="2"/>
        <v>41.66666667</v>
      </c>
    </row>
    <row r="112" ht="14.25" customHeight="1">
      <c r="A112" s="4">
        <f t="shared" si="1"/>
        <v>2</v>
      </c>
      <c r="B112" s="4">
        <v>21802.0</v>
      </c>
      <c r="C112" s="4">
        <v>1085.0</v>
      </c>
      <c r="D112" s="4">
        <v>255.0</v>
      </c>
      <c r="E112" s="4">
        <v>0.0</v>
      </c>
      <c r="F112" s="4">
        <v>0.0</v>
      </c>
      <c r="G112" s="6">
        <f t="shared" si="2"/>
        <v>0</v>
      </c>
    </row>
    <row r="113" ht="14.25" customHeight="1">
      <c r="A113" s="4">
        <f t="shared" si="1"/>
        <v>2</v>
      </c>
      <c r="B113" s="4">
        <v>21803.0</v>
      </c>
      <c r="C113" s="4">
        <v>300.0</v>
      </c>
      <c r="D113" s="4">
        <v>279.0</v>
      </c>
      <c r="E113" s="4">
        <v>92.0</v>
      </c>
      <c r="F113" s="4">
        <v>26.0</v>
      </c>
      <c r="G113" s="6">
        <f t="shared" si="2"/>
        <v>30.66666667</v>
      </c>
    </row>
    <row r="114" ht="14.25" customHeight="1">
      <c r="A114" s="4">
        <f t="shared" si="1"/>
        <v>2</v>
      </c>
      <c r="B114" s="4">
        <v>21901.0</v>
      </c>
      <c r="C114" s="4">
        <v>1272.0</v>
      </c>
      <c r="D114" s="4">
        <v>905.0</v>
      </c>
      <c r="E114" s="4">
        <v>273.0</v>
      </c>
      <c r="F114" s="4">
        <v>19.0</v>
      </c>
      <c r="G114" s="6">
        <f t="shared" si="2"/>
        <v>21.46226415</v>
      </c>
    </row>
    <row r="115" ht="14.25" customHeight="1">
      <c r="A115" s="4">
        <f t="shared" si="1"/>
        <v>2</v>
      </c>
      <c r="B115" s="4">
        <v>21902.0</v>
      </c>
      <c r="C115" s="4">
        <v>195.0</v>
      </c>
      <c r="D115" s="4">
        <v>113.0</v>
      </c>
      <c r="E115" s="4">
        <v>29.0</v>
      </c>
      <c r="F115" s="4">
        <v>6.0</v>
      </c>
      <c r="G115" s="6">
        <f t="shared" si="2"/>
        <v>14.87179487</v>
      </c>
    </row>
    <row r="116" ht="14.25" customHeight="1">
      <c r="A116" s="4">
        <f t="shared" si="1"/>
        <v>2</v>
      </c>
      <c r="B116" s="4">
        <v>22001.0</v>
      </c>
      <c r="C116" s="4">
        <v>11182.0</v>
      </c>
      <c r="D116" s="4">
        <v>4096.0</v>
      </c>
      <c r="E116" s="4">
        <v>1666.0</v>
      </c>
      <c r="F116" s="4">
        <v>581.0</v>
      </c>
      <c r="G116" s="6">
        <f t="shared" si="2"/>
        <v>14.89894473</v>
      </c>
    </row>
    <row r="117" ht="14.25" customHeight="1">
      <c r="A117" s="4">
        <f t="shared" si="1"/>
        <v>2</v>
      </c>
      <c r="B117" s="4">
        <v>22002.0</v>
      </c>
      <c r="C117" s="4">
        <v>1918.0</v>
      </c>
      <c r="D117" s="4">
        <v>626.0</v>
      </c>
      <c r="E117" s="4">
        <v>154.0</v>
      </c>
      <c r="F117" s="4">
        <v>46.0</v>
      </c>
      <c r="G117" s="6">
        <f t="shared" si="2"/>
        <v>8.02919708</v>
      </c>
    </row>
    <row r="118" ht="14.25" customHeight="1">
      <c r="A118" s="4">
        <f t="shared" si="1"/>
        <v>3</v>
      </c>
      <c r="B118" s="4">
        <v>30101.0</v>
      </c>
      <c r="C118" s="4">
        <v>207056.0</v>
      </c>
      <c r="D118" s="4">
        <v>28589.0</v>
      </c>
      <c r="E118" s="4">
        <v>9655.0</v>
      </c>
      <c r="F118" s="4">
        <v>2578.0</v>
      </c>
      <c r="G118" s="6">
        <f t="shared" si="2"/>
        <v>4.662989723</v>
      </c>
    </row>
    <row r="119" ht="14.25" customHeight="1">
      <c r="A119" s="4">
        <f t="shared" si="1"/>
        <v>3</v>
      </c>
      <c r="B119" s="4">
        <v>30201.0</v>
      </c>
      <c r="C119" s="4">
        <v>4196.0</v>
      </c>
      <c r="D119" s="4">
        <v>756.0</v>
      </c>
      <c r="E119" s="4">
        <v>274.0</v>
      </c>
      <c r="F119" s="4">
        <v>46.0</v>
      </c>
      <c r="G119" s="6">
        <f t="shared" si="2"/>
        <v>6.530028599</v>
      </c>
    </row>
    <row r="120" ht="14.25" customHeight="1">
      <c r="A120" s="4">
        <f t="shared" si="1"/>
        <v>3</v>
      </c>
      <c r="B120" s="4">
        <v>30202.0</v>
      </c>
      <c r="C120" s="4">
        <v>726.0</v>
      </c>
      <c r="D120" s="4">
        <v>164.0</v>
      </c>
      <c r="E120" s="4">
        <v>45.0</v>
      </c>
      <c r="F120" s="4">
        <v>4.0</v>
      </c>
      <c r="G120" s="6">
        <f t="shared" si="2"/>
        <v>6.198347107</v>
      </c>
    </row>
    <row r="121" ht="14.25" customHeight="1">
      <c r="A121" s="4">
        <f t="shared" si="1"/>
        <v>3</v>
      </c>
      <c r="B121" s="4">
        <v>30203.0</v>
      </c>
      <c r="C121" s="4">
        <v>2313.0</v>
      </c>
      <c r="D121" s="4">
        <v>373.0</v>
      </c>
      <c r="E121" s="4">
        <v>83.0</v>
      </c>
      <c r="F121" s="4">
        <v>2.0</v>
      </c>
      <c r="G121" s="6">
        <f t="shared" si="2"/>
        <v>3.588413316</v>
      </c>
    </row>
    <row r="122" ht="14.25" customHeight="1">
      <c r="A122" s="4">
        <f t="shared" si="1"/>
        <v>3</v>
      </c>
      <c r="B122" s="4">
        <v>30301.0</v>
      </c>
      <c r="C122" s="4">
        <v>3112.0</v>
      </c>
      <c r="D122" s="4">
        <v>972.0</v>
      </c>
      <c r="E122" s="4">
        <v>279.0</v>
      </c>
      <c r="F122" s="4">
        <v>60.0</v>
      </c>
      <c r="G122" s="6">
        <f t="shared" si="2"/>
        <v>8.96529563</v>
      </c>
    </row>
    <row r="123" ht="14.25" customHeight="1">
      <c r="A123" s="4">
        <f t="shared" si="1"/>
        <v>3</v>
      </c>
      <c r="B123" s="4">
        <v>30302.0</v>
      </c>
      <c r="C123" s="4">
        <v>1569.0</v>
      </c>
      <c r="D123" s="4">
        <v>639.0</v>
      </c>
      <c r="E123" s="4">
        <v>232.0</v>
      </c>
      <c r="F123" s="4">
        <v>63.0</v>
      </c>
      <c r="G123" s="6">
        <f t="shared" si="2"/>
        <v>14.78648821</v>
      </c>
    </row>
    <row r="124" ht="14.25" customHeight="1">
      <c r="A124" s="4">
        <f t="shared" si="1"/>
        <v>3</v>
      </c>
      <c r="B124" s="4">
        <v>30303.0</v>
      </c>
      <c r="C124" s="4">
        <v>1108.0</v>
      </c>
      <c r="D124" s="4">
        <v>465.0</v>
      </c>
      <c r="E124" s="4">
        <v>154.0</v>
      </c>
      <c r="F124" s="4">
        <v>27.0</v>
      </c>
      <c r="G124" s="6">
        <f t="shared" si="2"/>
        <v>13.89891697</v>
      </c>
    </row>
    <row r="125" ht="14.25" customHeight="1">
      <c r="A125" s="4">
        <f t="shared" si="1"/>
        <v>3</v>
      </c>
      <c r="B125" s="4">
        <v>30401.0</v>
      </c>
      <c r="C125" s="4">
        <v>2561.0</v>
      </c>
      <c r="D125" s="4">
        <v>670.0</v>
      </c>
      <c r="E125" s="4">
        <v>298.0</v>
      </c>
      <c r="F125" s="4">
        <v>78.0</v>
      </c>
      <c r="G125" s="6">
        <f t="shared" si="2"/>
        <v>11.63607966</v>
      </c>
    </row>
    <row r="126" ht="14.25" customHeight="1">
      <c r="A126" s="4">
        <f t="shared" si="1"/>
        <v>3</v>
      </c>
      <c r="B126" s="4">
        <v>30402.0</v>
      </c>
      <c r="C126" s="4">
        <v>925.0</v>
      </c>
      <c r="D126" s="4">
        <v>396.0</v>
      </c>
      <c r="E126" s="4">
        <v>185.0</v>
      </c>
      <c r="F126" s="4">
        <v>39.0</v>
      </c>
      <c r="G126" s="6">
        <f t="shared" si="2"/>
        <v>20</v>
      </c>
    </row>
    <row r="127" ht="14.25" customHeight="1">
      <c r="A127" s="4">
        <f t="shared" si="1"/>
        <v>3</v>
      </c>
      <c r="B127" s="4">
        <v>30403.0</v>
      </c>
      <c r="C127" s="4">
        <v>4972.0</v>
      </c>
      <c r="D127" s="4">
        <v>1700.0</v>
      </c>
      <c r="E127" s="4">
        <v>803.0</v>
      </c>
      <c r="F127" s="4">
        <v>227.0</v>
      </c>
      <c r="G127" s="6">
        <f t="shared" si="2"/>
        <v>16.15044248</v>
      </c>
    </row>
    <row r="128" ht="14.25" customHeight="1">
      <c r="A128" s="4">
        <f t="shared" si="1"/>
        <v>3</v>
      </c>
      <c r="B128" s="4">
        <v>30404.0</v>
      </c>
      <c r="C128" s="4">
        <v>1170.0</v>
      </c>
      <c r="D128" s="4">
        <v>518.0</v>
      </c>
      <c r="E128" s="4">
        <v>176.0</v>
      </c>
      <c r="F128" s="4">
        <v>42.0</v>
      </c>
      <c r="G128" s="6">
        <f t="shared" si="2"/>
        <v>15.04273504</v>
      </c>
    </row>
    <row r="129" ht="14.25" customHeight="1">
      <c r="A129" s="4">
        <f t="shared" si="1"/>
        <v>3</v>
      </c>
      <c r="B129" s="4">
        <v>30501.0</v>
      </c>
      <c r="C129" s="4">
        <v>4767.0</v>
      </c>
      <c r="D129" s="4">
        <v>1396.0</v>
      </c>
      <c r="E129" s="4">
        <v>706.0</v>
      </c>
      <c r="F129" s="4">
        <v>162.0</v>
      </c>
      <c r="G129" s="6">
        <f t="shared" si="2"/>
        <v>14.81015314</v>
      </c>
    </row>
    <row r="130" ht="14.25" customHeight="1">
      <c r="A130" s="4">
        <f t="shared" si="1"/>
        <v>3</v>
      </c>
      <c r="B130" s="4">
        <v>30502.0</v>
      </c>
      <c r="C130" s="4">
        <v>1349.0</v>
      </c>
      <c r="D130" s="4">
        <v>483.0</v>
      </c>
      <c r="E130" s="4">
        <v>226.0</v>
      </c>
      <c r="F130" s="4">
        <v>55.0</v>
      </c>
      <c r="G130" s="6">
        <f t="shared" si="2"/>
        <v>16.75315048</v>
      </c>
    </row>
    <row r="131" ht="14.25" customHeight="1">
      <c r="A131" s="4">
        <f t="shared" si="1"/>
        <v>3</v>
      </c>
      <c r="B131" s="4">
        <v>30601.0</v>
      </c>
      <c r="C131" s="4">
        <v>981.0</v>
      </c>
      <c r="D131" s="4">
        <v>400.0</v>
      </c>
      <c r="E131" s="4">
        <v>144.0</v>
      </c>
      <c r="F131" s="4">
        <v>33.0</v>
      </c>
      <c r="G131" s="6">
        <f t="shared" si="2"/>
        <v>14.67889908</v>
      </c>
    </row>
    <row r="132" ht="14.25" customHeight="1">
      <c r="A132" s="4">
        <f t="shared" si="1"/>
        <v>3</v>
      </c>
      <c r="B132" s="4">
        <v>30602.0</v>
      </c>
      <c r="C132" s="4">
        <v>1114.0</v>
      </c>
      <c r="D132" s="4">
        <v>479.0</v>
      </c>
      <c r="E132" s="4">
        <v>199.0</v>
      </c>
      <c r="F132" s="4">
        <v>40.0</v>
      </c>
      <c r="G132" s="6">
        <f t="shared" si="2"/>
        <v>17.86355476</v>
      </c>
    </row>
    <row r="133" ht="14.25" customHeight="1">
      <c r="A133" s="4">
        <f t="shared" si="1"/>
        <v>3</v>
      </c>
      <c r="B133" s="4">
        <v>30701.0</v>
      </c>
      <c r="C133" s="4">
        <v>5818.0</v>
      </c>
      <c r="D133" s="4">
        <v>916.0</v>
      </c>
      <c r="E133" s="4">
        <v>297.0</v>
      </c>
      <c r="F133" s="4">
        <v>56.0</v>
      </c>
      <c r="G133" s="6">
        <f t="shared" si="2"/>
        <v>5.104847026</v>
      </c>
    </row>
    <row r="134" ht="14.25" customHeight="1">
      <c r="A134" s="4">
        <f t="shared" si="1"/>
        <v>3</v>
      </c>
      <c r="B134" s="4">
        <v>30702.0</v>
      </c>
      <c r="C134" s="4">
        <v>2273.0</v>
      </c>
      <c r="D134" s="4">
        <v>739.0</v>
      </c>
      <c r="E134" s="4">
        <v>360.0</v>
      </c>
      <c r="F134" s="4">
        <v>121.0</v>
      </c>
      <c r="G134" s="6">
        <f t="shared" si="2"/>
        <v>15.83809943</v>
      </c>
    </row>
    <row r="135" ht="14.25" customHeight="1">
      <c r="A135" s="4">
        <f t="shared" si="1"/>
        <v>3</v>
      </c>
      <c r="B135" s="4">
        <v>30703.0</v>
      </c>
      <c r="C135" s="4">
        <v>1138.0</v>
      </c>
      <c r="D135" s="4">
        <v>244.0</v>
      </c>
      <c r="E135" s="4">
        <v>60.0</v>
      </c>
      <c r="F135" s="4">
        <v>17.0</v>
      </c>
      <c r="G135" s="6">
        <f t="shared" si="2"/>
        <v>5.272407733</v>
      </c>
    </row>
    <row r="136" ht="14.25" customHeight="1">
      <c r="A136" s="4">
        <f t="shared" si="1"/>
        <v>3</v>
      </c>
      <c r="B136" s="4">
        <v>30801.0</v>
      </c>
      <c r="C136" s="4">
        <v>6665.0</v>
      </c>
      <c r="D136" s="4">
        <v>1470.0</v>
      </c>
      <c r="E136" s="4">
        <v>717.0</v>
      </c>
      <c r="F136" s="4">
        <v>206.0</v>
      </c>
      <c r="G136" s="6">
        <f t="shared" si="2"/>
        <v>10.75768942</v>
      </c>
    </row>
    <row r="137" ht="14.25" customHeight="1">
      <c r="A137" s="4">
        <f t="shared" si="1"/>
        <v>3</v>
      </c>
      <c r="B137" s="4">
        <v>30802.0</v>
      </c>
      <c r="C137" s="4">
        <v>1728.0</v>
      </c>
      <c r="D137" s="4">
        <v>480.0</v>
      </c>
      <c r="E137" s="4">
        <v>211.0</v>
      </c>
      <c r="F137" s="4">
        <v>51.0</v>
      </c>
      <c r="G137" s="6">
        <f t="shared" si="2"/>
        <v>12.21064815</v>
      </c>
    </row>
    <row r="138" ht="14.25" customHeight="1">
      <c r="A138" s="4">
        <f t="shared" si="1"/>
        <v>3</v>
      </c>
      <c r="B138" s="4">
        <v>30803.0</v>
      </c>
      <c r="C138" s="4">
        <v>1936.0</v>
      </c>
      <c r="D138" s="4">
        <v>517.0</v>
      </c>
      <c r="E138" s="4">
        <v>240.0</v>
      </c>
      <c r="F138" s="4">
        <v>84.0</v>
      </c>
      <c r="G138" s="6">
        <f t="shared" si="2"/>
        <v>12.39669421</v>
      </c>
    </row>
    <row r="139" ht="14.25" customHeight="1">
      <c r="A139" s="4">
        <f t="shared" si="1"/>
        <v>3</v>
      </c>
      <c r="B139" s="4">
        <v>30901.0</v>
      </c>
      <c r="C139" s="4">
        <v>39097.0</v>
      </c>
      <c r="D139" s="4">
        <v>4355.0</v>
      </c>
      <c r="E139" s="4">
        <v>1521.0</v>
      </c>
      <c r="F139" s="4">
        <v>426.0</v>
      </c>
      <c r="G139" s="6">
        <f t="shared" si="2"/>
        <v>3.890324066</v>
      </c>
    </row>
    <row r="140" ht="14.25" customHeight="1">
      <c r="A140" s="4">
        <f t="shared" si="1"/>
        <v>3</v>
      </c>
      <c r="B140" s="4">
        <v>30902.0</v>
      </c>
      <c r="C140" s="4">
        <v>14326.0</v>
      </c>
      <c r="D140" s="4">
        <v>1947.0</v>
      </c>
      <c r="E140" s="4">
        <v>627.0</v>
      </c>
      <c r="F140" s="4">
        <v>150.0</v>
      </c>
      <c r="G140" s="6">
        <f t="shared" si="2"/>
        <v>4.376657825</v>
      </c>
    </row>
    <row r="141" ht="14.25" customHeight="1">
      <c r="A141" s="4">
        <f t="shared" si="1"/>
        <v>3</v>
      </c>
      <c r="B141" s="4">
        <v>30903.0</v>
      </c>
      <c r="C141" s="4">
        <v>15449.0</v>
      </c>
      <c r="D141" s="4">
        <v>2035.0</v>
      </c>
      <c r="E141" s="4">
        <v>613.0</v>
      </c>
      <c r="F141" s="4">
        <v>156.0</v>
      </c>
      <c r="G141" s="6">
        <f t="shared" si="2"/>
        <v>3.967894362</v>
      </c>
    </row>
    <row r="142" ht="14.25" customHeight="1">
      <c r="A142" s="4">
        <f t="shared" si="1"/>
        <v>3</v>
      </c>
      <c r="B142" s="4">
        <v>30904.0</v>
      </c>
      <c r="C142" s="4">
        <v>14540.0</v>
      </c>
      <c r="D142" s="4">
        <v>2233.0</v>
      </c>
      <c r="E142" s="4">
        <v>861.0</v>
      </c>
      <c r="F142" s="4">
        <v>255.0</v>
      </c>
      <c r="G142" s="6">
        <f t="shared" si="2"/>
        <v>5.921595598</v>
      </c>
    </row>
    <row r="143" ht="14.25" customHeight="1">
      <c r="A143" s="4">
        <f t="shared" si="1"/>
        <v>3</v>
      </c>
      <c r="B143" s="4">
        <v>30905.0</v>
      </c>
      <c r="C143" s="4">
        <v>15360.0</v>
      </c>
      <c r="D143" s="4">
        <v>1613.0</v>
      </c>
      <c r="E143" s="4">
        <v>466.0</v>
      </c>
      <c r="F143" s="4">
        <v>121.0</v>
      </c>
      <c r="G143" s="6">
        <f t="shared" si="2"/>
        <v>3.033854167</v>
      </c>
    </row>
    <row r="144" ht="14.25" customHeight="1">
      <c r="A144" s="4">
        <f t="shared" si="1"/>
        <v>3</v>
      </c>
      <c r="B144" s="4">
        <v>31001.0</v>
      </c>
      <c r="C144" s="4">
        <v>50068.0</v>
      </c>
      <c r="D144" s="4">
        <v>7914.0</v>
      </c>
      <c r="E144" s="4">
        <v>2865.0</v>
      </c>
      <c r="F144" s="4">
        <v>754.0</v>
      </c>
      <c r="G144" s="6">
        <f t="shared" si="2"/>
        <v>5.722217784</v>
      </c>
    </row>
    <row r="145" ht="14.25" customHeight="1">
      <c r="A145" s="4">
        <f t="shared" si="1"/>
        <v>3</v>
      </c>
      <c r="B145" s="4">
        <v>31002.0</v>
      </c>
      <c r="C145" s="4">
        <v>5192.0</v>
      </c>
      <c r="D145" s="4">
        <v>1230.0</v>
      </c>
      <c r="E145" s="4">
        <v>459.0</v>
      </c>
      <c r="F145" s="4">
        <v>147.0</v>
      </c>
      <c r="G145" s="6">
        <f t="shared" si="2"/>
        <v>8.840523883</v>
      </c>
    </row>
    <row r="146" ht="14.25" customHeight="1">
      <c r="A146" s="4">
        <f t="shared" si="1"/>
        <v>3</v>
      </c>
      <c r="B146" s="4">
        <v>31003.0</v>
      </c>
      <c r="C146" s="4">
        <v>17301.0</v>
      </c>
      <c r="D146" s="4">
        <v>3693.0</v>
      </c>
      <c r="E146" s="4">
        <v>1222.0</v>
      </c>
      <c r="F146" s="4">
        <v>293.0</v>
      </c>
      <c r="G146" s="6">
        <f t="shared" si="2"/>
        <v>7.063175539</v>
      </c>
    </row>
    <row r="147" ht="14.25" customHeight="1">
      <c r="A147" s="4">
        <f t="shared" si="1"/>
        <v>3</v>
      </c>
      <c r="B147" s="4">
        <v>31101.0</v>
      </c>
      <c r="C147" s="4">
        <v>2036.0</v>
      </c>
      <c r="D147" s="4">
        <v>818.0</v>
      </c>
      <c r="E147" s="4">
        <v>322.0</v>
      </c>
      <c r="F147" s="4">
        <v>70.0</v>
      </c>
      <c r="G147" s="6">
        <f t="shared" si="2"/>
        <v>15.81532417</v>
      </c>
    </row>
    <row r="148" ht="14.25" customHeight="1">
      <c r="A148" s="4">
        <f t="shared" si="1"/>
        <v>3</v>
      </c>
      <c r="B148" s="4">
        <v>31201.0</v>
      </c>
      <c r="C148" s="4">
        <v>3378.0</v>
      </c>
      <c r="D148" s="4">
        <v>812.0</v>
      </c>
      <c r="E148" s="4">
        <v>215.0</v>
      </c>
      <c r="F148" s="4">
        <v>41.0</v>
      </c>
      <c r="G148" s="6">
        <f t="shared" si="2"/>
        <v>6.364712848</v>
      </c>
    </row>
    <row r="149" ht="14.25" customHeight="1">
      <c r="A149" s="4">
        <f t="shared" si="1"/>
        <v>3</v>
      </c>
      <c r="B149" s="4">
        <v>31202.0</v>
      </c>
      <c r="C149" s="4">
        <v>1781.0</v>
      </c>
      <c r="D149" s="4">
        <v>470.0</v>
      </c>
      <c r="E149" s="4">
        <v>174.0</v>
      </c>
      <c r="F149" s="4">
        <v>44.0</v>
      </c>
      <c r="G149" s="6">
        <f t="shared" si="2"/>
        <v>9.769792252</v>
      </c>
    </row>
    <row r="150" ht="14.25" customHeight="1">
      <c r="A150" s="4">
        <f t="shared" si="1"/>
        <v>3</v>
      </c>
      <c r="B150" s="4">
        <v>31203.0</v>
      </c>
      <c r="C150" s="4">
        <v>2518.0</v>
      </c>
      <c r="D150" s="4">
        <v>709.0</v>
      </c>
      <c r="E150" s="4">
        <v>275.0</v>
      </c>
      <c r="F150" s="4">
        <v>54.0</v>
      </c>
      <c r="G150" s="6">
        <f t="shared" si="2"/>
        <v>10.92136616</v>
      </c>
    </row>
    <row r="151" ht="14.25" customHeight="1">
      <c r="A151" s="4">
        <f t="shared" si="1"/>
        <v>3</v>
      </c>
      <c r="B151" s="4">
        <v>31204.0</v>
      </c>
      <c r="C151" s="4">
        <v>4837.0</v>
      </c>
      <c r="D151" s="4">
        <v>875.0</v>
      </c>
      <c r="E151" s="4">
        <v>271.0</v>
      </c>
      <c r="F151" s="4">
        <v>51.0</v>
      </c>
      <c r="G151" s="6">
        <f t="shared" si="2"/>
        <v>5.602646268</v>
      </c>
    </row>
    <row r="152" ht="14.25" customHeight="1">
      <c r="A152" s="4">
        <f t="shared" si="1"/>
        <v>3</v>
      </c>
      <c r="B152" s="4">
        <v>31205.0</v>
      </c>
      <c r="C152" s="4">
        <v>11142.0</v>
      </c>
      <c r="D152" s="4">
        <v>2248.0</v>
      </c>
      <c r="E152" s="4">
        <v>707.0</v>
      </c>
      <c r="F152" s="4">
        <v>229.0</v>
      </c>
      <c r="G152" s="6">
        <f t="shared" si="2"/>
        <v>6.345359899</v>
      </c>
    </row>
    <row r="153" ht="14.25" customHeight="1">
      <c r="A153" s="4">
        <f t="shared" si="1"/>
        <v>3</v>
      </c>
      <c r="B153" s="4">
        <v>31206.0</v>
      </c>
      <c r="C153" s="4">
        <v>6932.0</v>
      </c>
      <c r="D153" s="4">
        <v>1015.0</v>
      </c>
      <c r="E153" s="4">
        <v>271.0</v>
      </c>
      <c r="F153" s="4">
        <v>81.0</v>
      </c>
      <c r="G153" s="6">
        <f t="shared" si="2"/>
        <v>3.909405655</v>
      </c>
    </row>
    <row r="154" ht="14.25" customHeight="1">
      <c r="A154" s="4">
        <f t="shared" si="1"/>
        <v>3</v>
      </c>
      <c r="B154" s="4">
        <v>31301.0</v>
      </c>
      <c r="C154" s="4">
        <v>5163.0</v>
      </c>
      <c r="D154" s="4">
        <v>1104.0</v>
      </c>
      <c r="E154" s="4">
        <v>355.0</v>
      </c>
      <c r="F154" s="4">
        <v>73.0</v>
      </c>
      <c r="G154" s="6">
        <f t="shared" si="2"/>
        <v>6.875847376</v>
      </c>
    </row>
    <row r="155" ht="14.25" customHeight="1">
      <c r="A155" s="4">
        <f t="shared" si="1"/>
        <v>3</v>
      </c>
      <c r="B155" s="4">
        <v>31302.0</v>
      </c>
      <c r="C155" s="4">
        <v>473.0</v>
      </c>
      <c r="D155" s="4">
        <v>180.0</v>
      </c>
      <c r="E155" s="4">
        <v>51.0</v>
      </c>
      <c r="F155" s="4">
        <v>6.0</v>
      </c>
      <c r="G155" s="6">
        <f t="shared" si="2"/>
        <v>10.78224101</v>
      </c>
    </row>
    <row r="156" ht="14.25" customHeight="1">
      <c r="A156" s="4">
        <f t="shared" si="1"/>
        <v>3</v>
      </c>
      <c r="B156" s="4">
        <v>31303.0</v>
      </c>
      <c r="C156" s="4">
        <v>297.0</v>
      </c>
      <c r="D156" s="4">
        <v>121.0</v>
      </c>
      <c r="E156" s="4">
        <v>38.0</v>
      </c>
      <c r="F156" s="4">
        <v>9.0</v>
      </c>
      <c r="G156" s="6">
        <f t="shared" si="2"/>
        <v>12.79461279</v>
      </c>
    </row>
    <row r="157" ht="14.25" customHeight="1">
      <c r="A157" s="4">
        <f t="shared" si="1"/>
        <v>3</v>
      </c>
      <c r="B157" s="4">
        <v>31401.0</v>
      </c>
      <c r="C157" s="4">
        <v>9916.0</v>
      </c>
      <c r="D157" s="4">
        <v>1836.0</v>
      </c>
      <c r="E157" s="4">
        <v>777.0</v>
      </c>
      <c r="F157" s="4">
        <v>191.0</v>
      </c>
      <c r="G157" s="6">
        <f t="shared" si="2"/>
        <v>7.835820896</v>
      </c>
    </row>
    <row r="158" ht="14.25" customHeight="1">
      <c r="A158" s="4">
        <f t="shared" si="1"/>
        <v>3</v>
      </c>
      <c r="B158" s="4">
        <v>31402.0</v>
      </c>
      <c r="C158" s="4">
        <v>3091.0</v>
      </c>
      <c r="D158" s="4">
        <v>1128.0</v>
      </c>
      <c r="E158" s="4">
        <v>597.0</v>
      </c>
      <c r="F158" s="4">
        <v>193.0</v>
      </c>
      <c r="G158" s="6">
        <f t="shared" si="2"/>
        <v>19.31413782</v>
      </c>
    </row>
    <row r="159" ht="14.25" customHeight="1">
      <c r="A159" s="4">
        <f t="shared" si="1"/>
        <v>3</v>
      </c>
      <c r="B159" s="4">
        <v>31403.0</v>
      </c>
      <c r="C159" s="4">
        <v>4575.0</v>
      </c>
      <c r="D159" s="4">
        <v>1014.0</v>
      </c>
      <c r="E159" s="4">
        <v>491.0</v>
      </c>
      <c r="F159" s="4">
        <v>149.0</v>
      </c>
      <c r="G159" s="6">
        <f t="shared" si="2"/>
        <v>10.73224044</v>
      </c>
    </row>
    <row r="160" ht="14.25" customHeight="1">
      <c r="A160" s="4">
        <f t="shared" si="1"/>
        <v>3</v>
      </c>
      <c r="B160" s="4">
        <v>31404.0</v>
      </c>
      <c r="C160" s="4">
        <v>293.0</v>
      </c>
      <c r="D160" s="4">
        <v>108.0</v>
      </c>
      <c r="E160" s="4">
        <v>57.0</v>
      </c>
      <c r="F160" s="4">
        <v>17.0</v>
      </c>
      <c r="G160" s="6">
        <f t="shared" si="2"/>
        <v>19.45392491</v>
      </c>
    </row>
    <row r="161" ht="14.25" customHeight="1">
      <c r="A161" s="4">
        <f t="shared" si="1"/>
        <v>3</v>
      </c>
      <c r="B161" s="4">
        <v>31501.0</v>
      </c>
      <c r="C161" s="4">
        <v>895.0</v>
      </c>
      <c r="D161" s="4">
        <v>365.0</v>
      </c>
      <c r="E161" s="4">
        <v>153.0</v>
      </c>
      <c r="F161" s="4">
        <v>24.0</v>
      </c>
      <c r="G161" s="6">
        <f t="shared" si="2"/>
        <v>17.09497207</v>
      </c>
    </row>
    <row r="162" ht="14.25" customHeight="1">
      <c r="A162" s="4">
        <f t="shared" si="1"/>
        <v>3</v>
      </c>
      <c r="B162" s="4">
        <v>31601.0</v>
      </c>
      <c r="C162" s="4">
        <v>5476.0</v>
      </c>
      <c r="D162" s="4">
        <v>1327.0</v>
      </c>
      <c r="E162" s="4">
        <v>576.0</v>
      </c>
      <c r="F162" s="4">
        <v>130.0</v>
      </c>
      <c r="G162" s="6">
        <f t="shared" si="2"/>
        <v>10.51862673</v>
      </c>
    </row>
    <row r="163" ht="14.25" customHeight="1">
      <c r="A163" s="4">
        <f t="shared" si="1"/>
        <v>3</v>
      </c>
      <c r="B163" s="4">
        <v>31602.0</v>
      </c>
      <c r="C163" s="4">
        <v>4850.0</v>
      </c>
      <c r="D163" s="4">
        <v>682.0</v>
      </c>
      <c r="E163" s="4">
        <v>220.0</v>
      </c>
      <c r="F163" s="4">
        <v>37.0</v>
      </c>
      <c r="G163" s="6">
        <f t="shared" si="2"/>
        <v>4.536082474</v>
      </c>
    </row>
    <row r="164" ht="14.25" customHeight="1">
      <c r="A164" s="4">
        <f t="shared" si="1"/>
        <v>4</v>
      </c>
      <c r="B164" s="4">
        <v>40101.0</v>
      </c>
      <c r="C164" s="4">
        <v>87056.0</v>
      </c>
      <c r="D164" s="4">
        <v>15238.0</v>
      </c>
      <c r="E164" s="4">
        <v>4670.0</v>
      </c>
      <c r="F164" s="4">
        <v>1167.0</v>
      </c>
      <c r="G164" s="6">
        <f t="shared" si="2"/>
        <v>5.364363169</v>
      </c>
    </row>
    <row r="165" ht="14.25" customHeight="1">
      <c r="A165" s="4">
        <f t="shared" si="1"/>
        <v>4</v>
      </c>
      <c r="B165" s="4">
        <v>40102.0</v>
      </c>
      <c r="C165" s="4">
        <v>4560.0</v>
      </c>
      <c r="D165" s="4">
        <v>1500.0</v>
      </c>
      <c r="E165" s="4">
        <v>238.0</v>
      </c>
      <c r="F165" s="4">
        <v>26.0</v>
      </c>
      <c r="G165" s="6">
        <f t="shared" si="2"/>
        <v>5.219298246</v>
      </c>
    </row>
    <row r="166" ht="14.25" customHeight="1">
      <c r="A166" s="4">
        <f t="shared" si="1"/>
        <v>4</v>
      </c>
      <c r="B166" s="4">
        <v>40103.0</v>
      </c>
      <c r="C166" s="4">
        <v>83.0</v>
      </c>
      <c r="D166" s="4">
        <v>58.0</v>
      </c>
      <c r="E166" s="4">
        <v>23.0</v>
      </c>
      <c r="F166" s="4">
        <v>6.0</v>
      </c>
      <c r="G166" s="6">
        <f t="shared" si="2"/>
        <v>27.71084337</v>
      </c>
    </row>
    <row r="167" ht="14.25" customHeight="1">
      <c r="A167" s="4">
        <f t="shared" si="1"/>
        <v>4</v>
      </c>
      <c r="B167" s="4">
        <v>40104.0</v>
      </c>
      <c r="C167" s="4">
        <v>10875.0</v>
      </c>
      <c r="D167" s="4">
        <v>2717.0</v>
      </c>
      <c r="E167" s="4">
        <v>154.0</v>
      </c>
      <c r="F167" s="4">
        <v>9.0</v>
      </c>
      <c r="G167" s="6">
        <f t="shared" si="2"/>
        <v>1.416091954</v>
      </c>
    </row>
    <row r="168" ht="14.25" customHeight="1">
      <c r="A168" s="4">
        <f t="shared" si="1"/>
        <v>4</v>
      </c>
      <c r="B168" s="4">
        <v>40201.0</v>
      </c>
      <c r="C168" s="4">
        <v>7296.0</v>
      </c>
      <c r="D168" s="4">
        <v>3041.0</v>
      </c>
      <c r="E168" s="4">
        <v>1174.0</v>
      </c>
      <c r="F168" s="4">
        <v>75.0</v>
      </c>
      <c r="G168" s="6">
        <f t="shared" si="2"/>
        <v>16.09100877</v>
      </c>
    </row>
    <row r="169" ht="14.25" customHeight="1">
      <c r="A169" s="4">
        <f t="shared" si="1"/>
        <v>4</v>
      </c>
      <c r="B169" s="4">
        <v>40202.0</v>
      </c>
      <c r="C169" s="4">
        <v>685.0</v>
      </c>
      <c r="D169" s="4">
        <v>78.0</v>
      </c>
      <c r="E169" s="4">
        <v>12.0</v>
      </c>
      <c r="F169" s="4">
        <v>3.0</v>
      </c>
      <c r="G169" s="6">
        <f t="shared" si="2"/>
        <v>1.751824818</v>
      </c>
    </row>
    <row r="170" ht="14.25" customHeight="1">
      <c r="A170" s="4">
        <f t="shared" si="1"/>
        <v>4</v>
      </c>
      <c r="B170" s="4">
        <v>40301.0</v>
      </c>
      <c r="C170" s="4">
        <v>1374.0</v>
      </c>
      <c r="D170" s="4">
        <v>1061.0</v>
      </c>
      <c r="E170" s="4">
        <v>325.0</v>
      </c>
      <c r="F170" s="4">
        <v>30.0</v>
      </c>
      <c r="G170" s="6">
        <f t="shared" si="2"/>
        <v>23.65356623</v>
      </c>
    </row>
    <row r="171" ht="14.25" customHeight="1">
      <c r="A171" s="4">
        <f t="shared" si="1"/>
        <v>4</v>
      </c>
      <c r="B171" s="4">
        <v>40302.0</v>
      </c>
      <c r="C171" s="4">
        <v>227.0</v>
      </c>
      <c r="D171" s="4">
        <v>204.0</v>
      </c>
      <c r="E171" s="4">
        <v>67.0</v>
      </c>
      <c r="F171" s="4">
        <v>6.0</v>
      </c>
      <c r="G171" s="6">
        <f t="shared" si="2"/>
        <v>29.5154185</v>
      </c>
    </row>
    <row r="172" ht="14.25" customHeight="1">
      <c r="A172" s="4">
        <f t="shared" si="1"/>
        <v>4</v>
      </c>
      <c r="B172" s="4">
        <v>40401.0</v>
      </c>
      <c r="C172" s="4">
        <v>873.0</v>
      </c>
      <c r="D172" s="4">
        <v>257.0</v>
      </c>
      <c r="E172" s="4">
        <v>76.0</v>
      </c>
      <c r="F172" s="4">
        <v>20.0</v>
      </c>
      <c r="G172" s="6">
        <f t="shared" si="2"/>
        <v>8.705612829</v>
      </c>
    </row>
    <row r="173" ht="14.25" customHeight="1">
      <c r="A173" s="4">
        <f t="shared" si="1"/>
        <v>4</v>
      </c>
      <c r="B173" s="4">
        <v>40402.0</v>
      </c>
      <c r="C173" s="4">
        <v>442.0</v>
      </c>
      <c r="D173" s="4">
        <v>333.0</v>
      </c>
      <c r="E173" s="4">
        <v>129.0</v>
      </c>
      <c r="F173" s="4">
        <v>19.0</v>
      </c>
      <c r="G173" s="6">
        <f t="shared" si="2"/>
        <v>29.18552036</v>
      </c>
    </row>
    <row r="174" ht="14.25" customHeight="1">
      <c r="A174" s="4">
        <f t="shared" si="1"/>
        <v>4</v>
      </c>
      <c r="B174" s="4">
        <v>40501.0</v>
      </c>
      <c r="C174" s="4">
        <v>561.0</v>
      </c>
      <c r="D174" s="4">
        <v>352.0</v>
      </c>
      <c r="E174" s="4">
        <v>124.0</v>
      </c>
      <c r="F174" s="4">
        <v>15.0</v>
      </c>
      <c r="G174" s="6">
        <f t="shared" si="2"/>
        <v>22.10338681</v>
      </c>
    </row>
    <row r="175" ht="14.25" customHeight="1">
      <c r="A175" s="4">
        <f t="shared" si="1"/>
        <v>4</v>
      </c>
      <c r="B175" s="4">
        <v>40502.0</v>
      </c>
      <c r="C175" s="4">
        <v>28.0</v>
      </c>
      <c r="D175" s="4">
        <v>28.0</v>
      </c>
      <c r="E175" s="4">
        <v>14.0</v>
      </c>
      <c r="F175" s="4">
        <v>0.0</v>
      </c>
      <c r="G175" s="6">
        <f t="shared" si="2"/>
        <v>50</v>
      </c>
    </row>
    <row r="176" ht="14.25" customHeight="1">
      <c r="A176" s="4">
        <f t="shared" si="1"/>
        <v>4</v>
      </c>
      <c r="B176" s="4">
        <v>40503.0</v>
      </c>
      <c r="C176" s="4">
        <v>63.0</v>
      </c>
      <c r="D176" s="4">
        <v>54.0</v>
      </c>
      <c r="E176" s="4">
        <v>16.0</v>
      </c>
      <c r="F176" s="4">
        <v>1.0</v>
      </c>
      <c r="G176" s="6">
        <f t="shared" si="2"/>
        <v>25.3968254</v>
      </c>
    </row>
    <row r="177" ht="14.25" customHeight="1">
      <c r="A177" s="4">
        <f t="shared" si="1"/>
        <v>4</v>
      </c>
      <c r="B177" s="4">
        <v>40504.0</v>
      </c>
      <c r="C177" s="4">
        <v>58.0</v>
      </c>
      <c r="D177" s="4">
        <v>33.0</v>
      </c>
      <c r="E177" s="4">
        <v>1.0</v>
      </c>
      <c r="F177" s="4">
        <v>0.0</v>
      </c>
      <c r="G177" s="6">
        <f t="shared" si="2"/>
        <v>1.724137931</v>
      </c>
    </row>
    <row r="178" ht="14.25" customHeight="1">
      <c r="A178" s="4">
        <f t="shared" si="1"/>
        <v>4</v>
      </c>
      <c r="B178" s="4">
        <v>40505.0</v>
      </c>
      <c r="C178" s="4">
        <v>61.0</v>
      </c>
      <c r="D178" s="4">
        <v>50.0</v>
      </c>
      <c r="E178" s="4">
        <v>25.0</v>
      </c>
      <c r="F178" s="4">
        <v>2.0</v>
      </c>
      <c r="G178" s="6">
        <f t="shared" si="2"/>
        <v>40.98360656</v>
      </c>
    </row>
    <row r="179" ht="14.25" customHeight="1">
      <c r="A179" s="4">
        <f t="shared" si="1"/>
        <v>4</v>
      </c>
      <c r="B179" s="4">
        <v>40601.0</v>
      </c>
      <c r="C179" s="4">
        <v>171.0</v>
      </c>
      <c r="D179" s="4">
        <v>129.0</v>
      </c>
      <c r="E179" s="4">
        <v>45.0</v>
      </c>
      <c r="F179" s="4">
        <v>16.0</v>
      </c>
      <c r="G179" s="6">
        <f t="shared" si="2"/>
        <v>26.31578947</v>
      </c>
    </row>
    <row r="180" ht="14.25" customHeight="1">
      <c r="A180" s="4">
        <f t="shared" si="1"/>
        <v>4</v>
      </c>
      <c r="B180" s="4">
        <v>40602.0</v>
      </c>
      <c r="C180" s="4">
        <v>1175.0</v>
      </c>
      <c r="D180" s="4">
        <v>608.0</v>
      </c>
      <c r="E180" s="4">
        <v>67.0</v>
      </c>
      <c r="F180" s="4">
        <v>0.0</v>
      </c>
      <c r="G180" s="6">
        <f t="shared" si="2"/>
        <v>5.70212766</v>
      </c>
    </row>
    <row r="181" ht="14.25" customHeight="1">
      <c r="A181" s="4">
        <f t="shared" si="1"/>
        <v>4</v>
      </c>
      <c r="B181" s="4">
        <v>40603.0</v>
      </c>
      <c r="C181" s="4">
        <v>6.0</v>
      </c>
      <c r="D181" s="4">
        <v>5.0</v>
      </c>
      <c r="E181" s="4">
        <v>1.0</v>
      </c>
      <c r="F181" s="4">
        <v>0.0</v>
      </c>
      <c r="G181" s="6">
        <f t="shared" si="2"/>
        <v>16.66666667</v>
      </c>
    </row>
    <row r="182" ht="14.25" customHeight="1">
      <c r="A182" s="4">
        <f t="shared" si="1"/>
        <v>4</v>
      </c>
      <c r="B182" s="4">
        <v>40701.0</v>
      </c>
      <c r="C182" s="4">
        <v>5439.0</v>
      </c>
      <c r="D182" s="4">
        <v>1177.0</v>
      </c>
      <c r="E182" s="4">
        <v>479.0</v>
      </c>
      <c r="F182" s="4">
        <v>67.0</v>
      </c>
      <c r="G182" s="6">
        <f t="shared" si="2"/>
        <v>8.80676595</v>
      </c>
    </row>
    <row r="183" ht="14.25" customHeight="1">
      <c r="A183" s="4">
        <f t="shared" si="1"/>
        <v>4</v>
      </c>
      <c r="B183" s="4">
        <v>40702.0</v>
      </c>
      <c r="C183" s="4">
        <v>965.0</v>
      </c>
      <c r="D183" s="4">
        <v>261.0</v>
      </c>
      <c r="E183" s="4">
        <v>93.0</v>
      </c>
      <c r="F183" s="4">
        <v>24.0</v>
      </c>
      <c r="G183" s="6">
        <f t="shared" si="2"/>
        <v>9.637305699</v>
      </c>
    </row>
    <row r="184" ht="14.25" customHeight="1">
      <c r="A184" s="4">
        <f t="shared" si="1"/>
        <v>4</v>
      </c>
      <c r="B184" s="4">
        <v>40801.0</v>
      </c>
      <c r="C184" s="4">
        <v>3383.0</v>
      </c>
      <c r="D184" s="4">
        <v>2888.0</v>
      </c>
      <c r="E184" s="4">
        <v>1174.0</v>
      </c>
      <c r="F184" s="4">
        <v>121.0</v>
      </c>
      <c r="G184" s="6">
        <f t="shared" si="2"/>
        <v>34.7029264</v>
      </c>
    </row>
    <row r="185" ht="14.25" customHeight="1">
      <c r="A185" s="4">
        <f t="shared" si="1"/>
        <v>4</v>
      </c>
      <c r="B185" s="4">
        <v>40802.0</v>
      </c>
      <c r="C185" s="4">
        <v>179.0</v>
      </c>
      <c r="D185" s="4">
        <v>147.0</v>
      </c>
      <c r="E185" s="4">
        <v>60.0</v>
      </c>
      <c r="F185" s="4">
        <v>4.0</v>
      </c>
      <c r="G185" s="6">
        <f t="shared" si="2"/>
        <v>33.51955307</v>
      </c>
    </row>
    <row r="186" ht="14.25" customHeight="1">
      <c r="A186" s="4">
        <f t="shared" si="1"/>
        <v>4</v>
      </c>
      <c r="B186" s="4">
        <v>40901.0</v>
      </c>
      <c r="C186" s="4">
        <v>762.0</v>
      </c>
      <c r="D186" s="4">
        <v>449.0</v>
      </c>
      <c r="E186" s="4">
        <v>175.0</v>
      </c>
      <c r="F186" s="4">
        <v>19.0</v>
      </c>
      <c r="G186" s="6">
        <f t="shared" si="2"/>
        <v>22.96587927</v>
      </c>
    </row>
    <row r="187" ht="14.25" customHeight="1">
      <c r="A187" s="4">
        <f t="shared" si="1"/>
        <v>4</v>
      </c>
      <c r="B187" s="4">
        <v>40902.0</v>
      </c>
      <c r="C187" s="4">
        <v>132.0</v>
      </c>
      <c r="D187" s="4">
        <v>59.0</v>
      </c>
      <c r="E187" s="4">
        <v>19.0</v>
      </c>
      <c r="F187" s="4">
        <v>1.0</v>
      </c>
      <c r="G187" s="6">
        <f t="shared" si="2"/>
        <v>14.39393939</v>
      </c>
    </row>
    <row r="188" ht="14.25" customHeight="1">
      <c r="A188" s="4">
        <f t="shared" si="1"/>
        <v>4</v>
      </c>
      <c r="B188" s="4">
        <v>40903.0</v>
      </c>
      <c r="C188" s="4">
        <v>339.0</v>
      </c>
      <c r="D188" s="4">
        <v>194.0</v>
      </c>
      <c r="E188" s="4">
        <v>61.0</v>
      </c>
      <c r="F188" s="4">
        <v>12.0</v>
      </c>
      <c r="G188" s="6">
        <f t="shared" si="2"/>
        <v>17.99410029</v>
      </c>
    </row>
    <row r="189" ht="14.25" customHeight="1">
      <c r="A189" s="4">
        <f t="shared" si="1"/>
        <v>4</v>
      </c>
      <c r="B189" s="4">
        <v>41001.0</v>
      </c>
      <c r="C189" s="4">
        <v>793.0</v>
      </c>
      <c r="D189" s="4">
        <v>411.0</v>
      </c>
      <c r="E189" s="4">
        <v>79.0</v>
      </c>
      <c r="F189" s="4">
        <v>15.0</v>
      </c>
      <c r="G189" s="6">
        <f t="shared" si="2"/>
        <v>9.962168979</v>
      </c>
    </row>
    <row r="190" ht="14.25" customHeight="1">
      <c r="A190" s="4">
        <f t="shared" si="1"/>
        <v>4</v>
      </c>
      <c r="B190" s="4">
        <v>41101.0</v>
      </c>
      <c r="C190" s="4">
        <v>2272.0</v>
      </c>
      <c r="D190" s="4">
        <v>326.0</v>
      </c>
      <c r="E190" s="4">
        <v>0.0</v>
      </c>
      <c r="F190" s="4">
        <v>0.0</v>
      </c>
      <c r="G190" s="6">
        <f t="shared" si="2"/>
        <v>0</v>
      </c>
    </row>
    <row r="191" ht="14.25" customHeight="1">
      <c r="A191" s="4">
        <f t="shared" si="1"/>
        <v>4</v>
      </c>
      <c r="B191" s="4">
        <v>41201.0</v>
      </c>
      <c r="C191" s="4">
        <v>1124.0</v>
      </c>
      <c r="D191" s="4">
        <v>833.0</v>
      </c>
      <c r="E191" s="4">
        <v>285.0</v>
      </c>
      <c r="F191" s="4">
        <v>49.0</v>
      </c>
      <c r="G191" s="6">
        <f t="shared" si="2"/>
        <v>25.35587189</v>
      </c>
    </row>
    <row r="192" ht="14.25" customHeight="1">
      <c r="A192" s="4">
        <f t="shared" si="1"/>
        <v>4</v>
      </c>
      <c r="B192" s="4">
        <v>41202.0</v>
      </c>
      <c r="C192" s="4">
        <v>365.0</v>
      </c>
      <c r="D192" s="4">
        <v>291.0</v>
      </c>
      <c r="E192" s="4">
        <v>117.0</v>
      </c>
      <c r="F192" s="4">
        <v>18.0</v>
      </c>
      <c r="G192" s="6">
        <f t="shared" si="2"/>
        <v>32.05479452</v>
      </c>
    </row>
    <row r="193" ht="14.25" customHeight="1">
      <c r="A193" s="4">
        <f t="shared" si="1"/>
        <v>4</v>
      </c>
      <c r="B193" s="4">
        <v>41301.0</v>
      </c>
      <c r="C193" s="4">
        <v>520.0</v>
      </c>
      <c r="D193" s="4">
        <v>107.0</v>
      </c>
      <c r="E193" s="4">
        <v>11.0</v>
      </c>
      <c r="F193" s="4">
        <v>1.0</v>
      </c>
      <c r="G193" s="6">
        <f t="shared" si="2"/>
        <v>2.115384615</v>
      </c>
    </row>
    <row r="194" ht="14.25" customHeight="1">
      <c r="A194" s="4">
        <f t="shared" si="1"/>
        <v>4</v>
      </c>
      <c r="B194" s="4">
        <v>41401.0</v>
      </c>
      <c r="C194" s="4">
        <v>1298.0</v>
      </c>
      <c r="D194" s="4">
        <v>574.0</v>
      </c>
      <c r="E194" s="4">
        <v>201.0</v>
      </c>
      <c r="F194" s="4">
        <v>35.0</v>
      </c>
      <c r="G194" s="6">
        <f t="shared" si="2"/>
        <v>15.4853621</v>
      </c>
    </row>
    <row r="195" ht="14.25" customHeight="1">
      <c r="A195" s="4">
        <f t="shared" si="1"/>
        <v>4</v>
      </c>
      <c r="B195" s="4">
        <v>41501.0</v>
      </c>
      <c r="C195" s="4">
        <v>65.0</v>
      </c>
      <c r="D195" s="4">
        <v>28.0</v>
      </c>
      <c r="E195" s="4">
        <v>0.0</v>
      </c>
      <c r="F195" s="4">
        <v>0.0</v>
      </c>
      <c r="G195" s="6">
        <f t="shared" si="2"/>
        <v>0</v>
      </c>
    </row>
    <row r="196" ht="14.25" customHeight="1">
      <c r="A196" s="4">
        <f t="shared" si="1"/>
        <v>4</v>
      </c>
      <c r="B196" s="4">
        <v>41502.0</v>
      </c>
      <c r="C196" s="4">
        <v>93.0</v>
      </c>
      <c r="D196" s="4">
        <v>46.0</v>
      </c>
      <c r="E196" s="4">
        <v>0.0</v>
      </c>
      <c r="F196" s="4">
        <v>0.0</v>
      </c>
      <c r="G196" s="6">
        <f t="shared" si="2"/>
        <v>0</v>
      </c>
    </row>
    <row r="197" ht="14.25" customHeight="1">
      <c r="A197" s="4">
        <f t="shared" si="1"/>
        <v>4</v>
      </c>
      <c r="B197" s="4">
        <v>41503.0</v>
      </c>
      <c r="C197" s="4">
        <v>66.0</v>
      </c>
      <c r="D197" s="4">
        <v>37.0</v>
      </c>
      <c r="E197" s="4">
        <v>0.0</v>
      </c>
      <c r="F197" s="4">
        <v>0.0</v>
      </c>
      <c r="G197" s="6">
        <f t="shared" si="2"/>
        <v>0</v>
      </c>
    </row>
    <row r="198" ht="14.25" customHeight="1">
      <c r="A198" s="4">
        <f t="shared" si="1"/>
        <v>4</v>
      </c>
      <c r="B198" s="4">
        <v>41601.0</v>
      </c>
      <c r="C198" s="4">
        <v>1031.0</v>
      </c>
      <c r="D198" s="4">
        <v>315.0</v>
      </c>
      <c r="E198" s="4">
        <v>40.0</v>
      </c>
      <c r="F198" s="4">
        <v>10.0</v>
      </c>
      <c r="G198" s="6">
        <f t="shared" si="2"/>
        <v>3.879728419</v>
      </c>
    </row>
    <row r="199" ht="14.25" customHeight="1">
      <c r="A199" s="4">
        <f t="shared" si="1"/>
        <v>5</v>
      </c>
      <c r="B199" s="4">
        <v>50101.0</v>
      </c>
      <c r="C199" s="4">
        <v>41716.0</v>
      </c>
      <c r="D199" s="4">
        <v>7335.0</v>
      </c>
      <c r="E199" s="4">
        <v>1630.0</v>
      </c>
      <c r="F199" s="4">
        <v>429.0</v>
      </c>
      <c r="G199" s="6">
        <f t="shared" si="2"/>
        <v>3.90737367</v>
      </c>
    </row>
    <row r="200" ht="14.25" customHeight="1">
      <c r="A200" s="4">
        <f t="shared" si="1"/>
        <v>5</v>
      </c>
      <c r="B200" s="4">
        <v>50102.0</v>
      </c>
      <c r="C200" s="4">
        <v>3391.0</v>
      </c>
      <c r="D200" s="4">
        <v>2028.0</v>
      </c>
      <c r="E200" s="4">
        <v>745.0</v>
      </c>
      <c r="F200" s="4">
        <v>153.0</v>
      </c>
      <c r="G200" s="6">
        <f t="shared" si="2"/>
        <v>21.96992038</v>
      </c>
    </row>
    <row r="201" ht="14.25" customHeight="1">
      <c r="A201" s="4">
        <f t="shared" si="1"/>
        <v>5</v>
      </c>
      <c r="B201" s="4">
        <v>50103.0</v>
      </c>
      <c r="C201" s="4">
        <v>1481.0</v>
      </c>
      <c r="D201" s="4">
        <v>700.0</v>
      </c>
      <c r="E201" s="4">
        <v>314.0</v>
      </c>
      <c r="F201" s="4">
        <v>149.0</v>
      </c>
      <c r="G201" s="6">
        <f t="shared" si="2"/>
        <v>21.20189061</v>
      </c>
    </row>
    <row r="202" ht="14.25" customHeight="1">
      <c r="A202" s="4">
        <f t="shared" si="1"/>
        <v>5</v>
      </c>
      <c r="B202" s="4">
        <v>50104.0</v>
      </c>
      <c r="C202" s="4">
        <v>286.0</v>
      </c>
      <c r="D202" s="4">
        <v>172.0</v>
      </c>
      <c r="E202" s="4">
        <v>98.0</v>
      </c>
      <c r="F202" s="4">
        <v>57.0</v>
      </c>
      <c r="G202" s="6">
        <f t="shared" si="2"/>
        <v>34.26573427</v>
      </c>
    </row>
    <row r="203" ht="14.25" customHeight="1">
      <c r="A203" s="4">
        <f t="shared" si="1"/>
        <v>5</v>
      </c>
      <c r="B203" s="4">
        <v>50201.0</v>
      </c>
      <c r="C203" s="4">
        <v>4189.0</v>
      </c>
      <c r="D203" s="4">
        <v>150.0</v>
      </c>
      <c r="E203" s="4">
        <v>0.0</v>
      </c>
      <c r="F203" s="4">
        <v>0.0</v>
      </c>
      <c r="G203" s="6">
        <f t="shared" si="2"/>
        <v>0</v>
      </c>
    </row>
    <row r="204" ht="14.25" customHeight="1">
      <c r="A204" s="4">
        <f t="shared" si="1"/>
        <v>5</v>
      </c>
      <c r="B204" s="4">
        <v>50202.0</v>
      </c>
      <c r="C204" s="4">
        <v>1252.0</v>
      </c>
      <c r="D204" s="4">
        <v>818.0</v>
      </c>
      <c r="E204" s="4">
        <v>331.0</v>
      </c>
      <c r="F204" s="4">
        <v>28.0</v>
      </c>
      <c r="G204" s="6">
        <f t="shared" si="2"/>
        <v>26.43769968</v>
      </c>
    </row>
    <row r="205" ht="14.25" customHeight="1">
      <c r="A205" s="4">
        <f t="shared" si="1"/>
        <v>5</v>
      </c>
      <c r="B205" s="4">
        <v>50203.0</v>
      </c>
      <c r="C205" s="4">
        <v>7796.0</v>
      </c>
      <c r="D205" s="4">
        <v>1934.0</v>
      </c>
      <c r="E205" s="4">
        <v>270.0</v>
      </c>
      <c r="F205" s="4">
        <v>18.0</v>
      </c>
      <c r="G205" s="6">
        <f t="shared" si="2"/>
        <v>3.46331452</v>
      </c>
    </row>
    <row r="206" ht="14.25" customHeight="1">
      <c r="A206" s="4">
        <f t="shared" si="1"/>
        <v>5</v>
      </c>
      <c r="B206" s="4">
        <v>50301.0</v>
      </c>
      <c r="C206" s="4">
        <v>6248.0</v>
      </c>
      <c r="D206" s="4">
        <v>2173.0</v>
      </c>
      <c r="E206" s="4">
        <v>846.0</v>
      </c>
      <c r="F206" s="4">
        <v>405.0</v>
      </c>
      <c r="G206" s="6">
        <f t="shared" si="2"/>
        <v>13.54033291</v>
      </c>
    </row>
    <row r="207" ht="14.25" customHeight="1">
      <c r="A207" s="4">
        <f t="shared" si="1"/>
        <v>5</v>
      </c>
      <c r="B207" s="4">
        <v>50302.0</v>
      </c>
      <c r="C207" s="4">
        <v>2280.0</v>
      </c>
      <c r="D207" s="4">
        <v>1145.0</v>
      </c>
      <c r="E207" s="4">
        <v>270.0</v>
      </c>
      <c r="F207" s="4">
        <v>60.0</v>
      </c>
      <c r="G207" s="6">
        <f t="shared" si="2"/>
        <v>11.84210526</v>
      </c>
    </row>
    <row r="208" ht="14.25" customHeight="1">
      <c r="A208" s="4">
        <f t="shared" si="1"/>
        <v>5</v>
      </c>
      <c r="B208" s="4">
        <v>50303.0</v>
      </c>
      <c r="C208" s="4">
        <v>740.0</v>
      </c>
      <c r="D208" s="4">
        <v>229.0</v>
      </c>
      <c r="E208" s="4">
        <v>20.0</v>
      </c>
      <c r="F208" s="4">
        <v>4.0</v>
      </c>
      <c r="G208" s="6">
        <f t="shared" si="2"/>
        <v>2.702702703</v>
      </c>
    </row>
    <row r="209" ht="14.25" customHeight="1">
      <c r="A209" s="4">
        <f t="shared" si="1"/>
        <v>5</v>
      </c>
      <c r="B209" s="4">
        <v>50401.0</v>
      </c>
      <c r="C209" s="4">
        <v>5044.0</v>
      </c>
      <c r="D209" s="4">
        <v>2536.0</v>
      </c>
      <c r="E209" s="4">
        <v>537.0</v>
      </c>
      <c r="F209" s="4">
        <v>154.0</v>
      </c>
      <c r="G209" s="6">
        <f t="shared" si="2"/>
        <v>10.64631245</v>
      </c>
    </row>
    <row r="210" ht="14.25" customHeight="1">
      <c r="A210" s="4">
        <f t="shared" si="1"/>
        <v>5</v>
      </c>
      <c r="B210" s="4">
        <v>50402.0</v>
      </c>
      <c r="C210" s="4">
        <v>2961.0</v>
      </c>
      <c r="D210" s="4">
        <v>1866.0</v>
      </c>
      <c r="E210" s="4">
        <v>359.0</v>
      </c>
      <c r="F210" s="4">
        <v>13.0</v>
      </c>
      <c r="G210" s="6">
        <f t="shared" si="2"/>
        <v>12.12428234</v>
      </c>
    </row>
    <row r="211" ht="14.25" customHeight="1">
      <c r="A211" s="4">
        <f t="shared" si="1"/>
        <v>5</v>
      </c>
      <c r="B211" s="4">
        <v>50403.0</v>
      </c>
      <c r="C211" s="4">
        <v>4277.0</v>
      </c>
      <c r="D211" s="4">
        <v>2433.0</v>
      </c>
      <c r="E211" s="4">
        <v>786.0</v>
      </c>
      <c r="F211" s="4">
        <v>226.0</v>
      </c>
      <c r="G211" s="6">
        <f t="shared" si="2"/>
        <v>18.37736731</v>
      </c>
    </row>
    <row r="212" ht="14.25" customHeight="1">
      <c r="A212" s="4">
        <f t="shared" si="1"/>
        <v>5</v>
      </c>
      <c r="B212" s="4">
        <v>50404.0</v>
      </c>
      <c r="C212" s="4">
        <v>1596.0</v>
      </c>
      <c r="D212" s="4">
        <v>909.0</v>
      </c>
      <c r="E212" s="4">
        <v>296.0</v>
      </c>
      <c r="F212" s="4">
        <v>39.0</v>
      </c>
      <c r="G212" s="6">
        <f t="shared" si="2"/>
        <v>18.54636591</v>
      </c>
    </row>
    <row r="213" ht="14.25" customHeight="1">
      <c r="A213" s="4">
        <f t="shared" si="1"/>
        <v>5</v>
      </c>
      <c r="B213" s="4">
        <v>50501.0</v>
      </c>
      <c r="C213" s="4">
        <v>1574.0</v>
      </c>
      <c r="D213" s="4">
        <v>964.0</v>
      </c>
      <c r="E213" s="4">
        <v>306.0</v>
      </c>
      <c r="F213" s="4">
        <v>21.0</v>
      </c>
      <c r="G213" s="6">
        <f t="shared" si="2"/>
        <v>19.44091487</v>
      </c>
    </row>
    <row r="214" ht="14.25" customHeight="1">
      <c r="A214" s="4">
        <f t="shared" si="1"/>
        <v>5</v>
      </c>
      <c r="B214" s="4">
        <v>50502.0</v>
      </c>
      <c r="C214" s="4">
        <v>1396.0</v>
      </c>
      <c r="D214" s="4">
        <v>864.0</v>
      </c>
      <c r="E214" s="4">
        <v>426.0</v>
      </c>
      <c r="F214" s="4">
        <v>128.0</v>
      </c>
      <c r="G214" s="6">
        <f t="shared" si="2"/>
        <v>30.51575931</v>
      </c>
    </row>
    <row r="215" ht="14.25" customHeight="1">
      <c r="A215" s="4">
        <f t="shared" si="1"/>
        <v>5</v>
      </c>
      <c r="B215" s="4">
        <v>50601.0</v>
      </c>
      <c r="C215" s="4">
        <v>5312.0</v>
      </c>
      <c r="D215" s="4">
        <v>2534.0</v>
      </c>
      <c r="E215" s="4">
        <v>1005.0</v>
      </c>
      <c r="F215" s="4">
        <v>387.0</v>
      </c>
      <c r="G215" s="6">
        <f t="shared" si="2"/>
        <v>18.91942771</v>
      </c>
    </row>
    <row r="216" ht="14.25" customHeight="1">
      <c r="A216" s="4">
        <f t="shared" si="1"/>
        <v>5</v>
      </c>
      <c r="B216" s="4">
        <v>50602.0</v>
      </c>
      <c r="C216" s="4">
        <v>2271.0</v>
      </c>
      <c r="D216" s="4">
        <v>1179.0</v>
      </c>
      <c r="E216" s="4">
        <v>457.0</v>
      </c>
      <c r="F216" s="4">
        <v>91.0</v>
      </c>
      <c r="G216" s="6">
        <f t="shared" si="2"/>
        <v>20.1232937</v>
      </c>
    </row>
    <row r="217" ht="14.25" customHeight="1">
      <c r="A217" s="4">
        <f t="shared" si="1"/>
        <v>5</v>
      </c>
      <c r="B217" s="4">
        <v>50701.0</v>
      </c>
      <c r="C217" s="4">
        <v>2804.0</v>
      </c>
      <c r="D217" s="4">
        <v>1649.0</v>
      </c>
      <c r="E217" s="4">
        <v>448.0</v>
      </c>
      <c r="F217" s="4">
        <v>23.0</v>
      </c>
      <c r="G217" s="6">
        <f t="shared" si="2"/>
        <v>15.97717546</v>
      </c>
    </row>
    <row r="218" ht="14.25" customHeight="1">
      <c r="A218" s="4">
        <f t="shared" si="1"/>
        <v>5</v>
      </c>
      <c r="B218" s="4">
        <v>50702.0</v>
      </c>
      <c r="C218" s="4">
        <v>1269.0</v>
      </c>
      <c r="D218" s="4">
        <v>776.0</v>
      </c>
      <c r="E218" s="4">
        <v>131.0</v>
      </c>
      <c r="F218" s="4">
        <v>16.0</v>
      </c>
      <c r="G218" s="6">
        <f t="shared" si="2"/>
        <v>10.32308905</v>
      </c>
    </row>
    <row r="219" ht="14.25" customHeight="1">
      <c r="A219" s="4">
        <f t="shared" si="1"/>
        <v>5</v>
      </c>
      <c r="B219" s="4">
        <v>50801.0</v>
      </c>
      <c r="C219" s="4">
        <v>12288.0</v>
      </c>
      <c r="D219" s="4">
        <v>3882.0</v>
      </c>
      <c r="E219" s="4">
        <v>1451.0</v>
      </c>
      <c r="F219" s="4">
        <v>403.0</v>
      </c>
      <c r="G219" s="6">
        <f t="shared" si="2"/>
        <v>11.80826823</v>
      </c>
    </row>
    <row r="220" ht="14.25" customHeight="1">
      <c r="A220" s="4">
        <f t="shared" si="1"/>
        <v>5</v>
      </c>
      <c r="B220" s="4">
        <v>50802.0</v>
      </c>
      <c r="C220" s="4">
        <v>3047.0</v>
      </c>
      <c r="D220" s="4">
        <v>776.0</v>
      </c>
      <c r="E220" s="4">
        <v>152.0</v>
      </c>
      <c r="F220" s="4">
        <v>33.0</v>
      </c>
      <c r="G220" s="6">
        <f t="shared" si="2"/>
        <v>4.988513292</v>
      </c>
    </row>
    <row r="221" ht="14.25" customHeight="1">
      <c r="A221" s="4">
        <f t="shared" si="1"/>
        <v>5</v>
      </c>
      <c r="B221" s="4">
        <v>50901.0</v>
      </c>
      <c r="C221" s="4">
        <v>1210.0</v>
      </c>
      <c r="D221" s="4">
        <v>769.0</v>
      </c>
      <c r="E221" s="4">
        <v>265.0</v>
      </c>
      <c r="F221" s="4">
        <v>62.0</v>
      </c>
      <c r="G221" s="6">
        <f t="shared" si="2"/>
        <v>21.90082645</v>
      </c>
    </row>
    <row r="222" ht="14.25" customHeight="1">
      <c r="A222" s="4">
        <f t="shared" si="1"/>
        <v>5</v>
      </c>
      <c r="B222" s="4">
        <v>50902.0</v>
      </c>
      <c r="C222" s="4">
        <v>524.0</v>
      </c>
      <c r="D222" s="4">
        <v>298.0</v>
      </c>
      <c r="E222" s="4">
        <v>117.0</v>
      </c>
      <c r="F222" s="4">
        <v>22.0</v>
      </c>
      <c r="G222" s="6">
        <f t="shared" si="2"/>
        <v>22.32824427</v>
      </c>
    </row>
    <row r="223" ht="14.25" customHeight="1">
      <c r="A223" s="4">
        <f t="shared" si="1"/>
        <v>5</v>
      </c>
      <c r="B223" s="4">
        <v>51001.0</v>
      </c>
      <c r="C223" s="4">
        <v>552.0</v>
      </c>
      <c r="D223" s="4">
        <v>264.0</v>
      </c>
      <c r="E223" s="4">
        <v>90.0</v>
      </c>
      <c r="F223" s="4">
        <v>30.0</v>
      </c>
      <c r="G223" s="6">
        <f t="shared" si="2"/>
        <v>16.30434783</v>
      </c>
    </row>
    <row r="224" ht="14.25" customHeight="1">
      <c r="A224" s="4">
        <f t="shared" si="1"/>
        <v>5</v>
      </c>
      <c r="B224" s="4">
        <v>51003.0</v>
      </c>
      <c r="C224" s="4">
        <v>147.0</v>
      </c>
      <c r="D224" s="4">
        <v>60.0</v>
      </c>
      <c r="E224" s="4">
        <v>14.0</v>
      </c>
      <c r="F224" s="4">
        <v>7.0</v>
      </c>
      <c r="G224" s="6">
        <f t="shared" si="2"/>
        <v>9.523809524</v>
      </c>
    </row>
    <row r="225" ht="14.25" customHeight="1">
      <c r="A225" s="4">
        <f t="shared" si="1"/>
        <v>5</v>
      </c>
      <c r="B225" s="4">
        <v>51101.0</v>
      </c>
      <c r="C225" s="4">
        <v>5322.0</v>
      </c>
      <c r="D225" s="4">
        <v>2200.0</v>
      </c>
      <c r="E225" s="4">
        <v>499.0</v>
      </c>
      <c r="F225" s="4">
        <v>137.0</v>
      </c>
      <c r="G225" s="6">
        <f t="shared" si="2"/>
        <v>9.376174371</v>
      </c>
    </row>
    <row r="226" ht="14.25" customHeight="1">
      <c r="A226" s="4">
        <f t="shared" si="1"/>
        <v>5</v>
      </c>
      <c r="B226" s="4">
        <v>51102.0</v>
      </c>
      <c r="C226" s="4">
        <v>2787.0</v>
      </c>
      <c r="D226" s="4">
        <v>1417.0</v>
      </c>
      <c r="E226" s="4">
        <v>388.0</v>
      </c>
      <c r="F226" s="4">
        <v>73.0</v>
      </c>
      <c r="G226" s="6">
        <f t="shared" si="2"/>
        <v>13.92177969</v>
      </c>
    </row>
    <row r="227" ht="14.25" customHeight="1">
      <c r="A227" s="4">
        <f t="shared" si="1"/>
        <v>5</v>
      </c>
      <c r="B227" s="4">
        <v>51103.0</v>
      </c>
      <c r="C227" s="4">
        <v>992.0</v>
      </c>
      <c r="D227" s="4">
        <v>647.0</v>
      </c>
      <c r="E227" s="4">
        <v>266.0</v>
      </c>
      <c r="F227" s="4">
        <v>43.0</v>
      </c>
      <c r="G227" s="6">
        <f t="shared" si="2"/>
        <v>26.81451613</v>
      </c>
    </row>
    <row r="228" ht="14.25" customHeight="1">
      <c r="A228" s="4">
        <f t="shared" si="1"/>
        <v>5</v>
      </c>
      <c r="B228" s="4">
        <v>51201.0</v>
      </c>
      <c r="C228" s="4">
        <v>8293.0</v>
      </c>
      <c r="D228" s="4">
        <v>2031.0</v>
      </c>
      <c r="E228" s="4">
        <v>658.0</v>
      </c>
      <c r="F228" s="4">
        <v>125.0</v>
      </c>
      <c r="G228" s="6">
        <f t="shared" si="2"/>
        <v>7.934402508</v>
      </c>
    </row>
    <row r="229" ht="14.25" customHeight="1">
      <c r="A229" s="4">
        <f t="shared" si="1"/>
        <v>5</v>
      </c>
      <c r="B229" s="4">
        <v>51202.0</v>
      </c>
      <c r="C229" s="4">
        <v>2131.0</v>
      </c>
      <c r="D229" s="4">
        <v>1161.0</v>
      </c>
      <c r="E229" s="4">
        <v>284.0</v>
      </c>
      <c r="F229" s="4">
        <v>55.0</v>
      </c>
      <c r="G229" s="6">
        <f t="shared" si="2"/>
        <v>13.32707649</v>
      </c>
    </row>
    <row r="230" ht="14.25" customHeight="1">
      <c r="A230" s="4">
        <f t="shared" si="1"/>
        <v>5</v>
      </c>
      <c r="B230" s="4">
        <v>51203.0</v>
      </c>
      <c r="C230" s="4">
        <v>1872.0</v>
      </c>
      <c r="D230" s="4">
        <v>496.0</v>
      </c>
      <c r="E230" s="4">
        <v>90.0</v>
      </c>
      <c r="F230" s="4">
        <v>4.0</v>
      </c>
      <c r="G230" s="6">
        <f t="shared" si="2"/>
        <v>4.807692308</v>
      </c>
    </row>
    <row r="231" ht="14.25" customHeight="1">
      <c r="A231" s="4">
        <f t="shared" si="1"/>
        <v>5</v>
      </c>
      <c r="B231" s="4">
        <v>51301.0</v>
      </c>
      <c r="C231" s="4">
        <v>628.0</v>
      </c>
      <c r="D231" s="4">
        <v>412.0</v>
      </c>
      <c r="E231" s="4">
        <v>133.0</v>
      </c>
      <c r="F231" s="4">
        <v>19.0</v>
      </c>
      <c r="G231" s="6">
        <f t="shared" si="2"/>
        <v>21.17834395</v>
      </c>
    </row>
    <row r="232" ht="14.25" customHeight="1">
      <c r="A232" s="4">
        <f t="shared" si="1"/>
        <v>5</v>
      </c>
      <c r="B232" s="4">
        <v>51302.0</v>
      </c>
      <c r="C232" s="4">
        <v>1090.0</v>
      </c>
      <c r="D232" s="4">
        <v>608.0</v>
      </c>
      <c r="E232" s="4">
        <v>209.0</v>
      </c>
      <c r="F232" s="4">
        <v>29.0</v>
      </c>
      <c r="G232" s="6">
        <f t="shared" si="2"/>
        <v>19.17431193</v>
      </c>
    </row>
    <row r="233" ht="14.25" customHeight="1">
      <c r="A233" s="4">
        <f t="shared" si="1"/>
        <v>5</v>
      </c>
      <c r="B233" s="4">
        <v>51401.0</v>
      </c>
      <c r="C233" s="4">
        <v>1195.0</v>
      </c>
      <c r="D233" s="4">
        <v>775.0</v>
      </c>
      <c r="E233" s="4">
        <v>305.0</v>
      </c>
      <c r="F233" s="4">
        <v>62.0</v>
      </c>
      <c r="G233" s="6">
        <f t="shared" si="2"/>
        <v>25.52301255</v>
      </c>
    </row>
    <row r="234" ht="14.25" customHeight="1">
      <c r="A234" s="4">
        <f t="shared" si="1"/>
        <v>5</v>
      </c>
      <c r="B234" s="4">
        <v>51402.0</v>
      </c>
      <c r="C234" s="4">
        <v>425.0</v>
      </c>
      <c r="D234" s="4">
        <v>322.0</v>
      </c>
      <c r="E234" s="4">
        <v>173.0</v>
      </c>
      <c r="F234" s="4">
        <v>39.0</v>
      </c>
      <c r="G234" s="6">
        <f t="shared" si="2"/>
        <v>40.70588235</v>
      </c>
    </row>
    <row r="235" ht="14.25" customHeight="1">
      <c r="A235" s="4">
        <f t="shared" si="1"/>
        <v>5</v>
      </c>
      <c r="B235" s="4">
        <v>51501.0</v>
      </c>
      <c r="C235" s="4">
        <v>8841.0</v>
      </c>
      <c r="D235" s="4">
        <v>1265.0</v>
      </c>
      <c r="E235" s="4">
        <v>392.0</v>
      </c>
      <c r="F235" s="4">
        <v>49.0</v>
      </c>
      <c r="G235" s="6">
        <f t="shared" si="2"/>
        <v>4.433887569</v>
      </c>
    </row>
    <row r="236" ht="14.25" customHeight="1">
      <c r="A236" s="4">
        <f t="shared" si="1"/>
        <v>5</v>
      </c>
      <c r="B236" s="4">
        <v>51601.0</v>
      </c>
      <c r="C236" s="4">
        <v>225.0</v>
      </c>
      <c r="D236" s="4">
        <v>102.0</v>
      </c>
      <c r="E236" s="4">
        <v>28.0</v>
      </c>
      <c r="F236" s="4">
        <v>6.0</v>
      </c>
      <c r="G236" s="6">
        <f t="shared" si="2"/>
        <v>12.44444444</v>
      </c>
    </row>
    <row r="237" ht="14.25" customHeight="1">
      <c r="A237" s="4">
        <f t="shared" si="1"/>
        <v>6</v>
      </c>
      <c r="B237" s="4">
        <v>60101.0</v>
      </c>
      <c r="C237" s="4">
        <v>50743.0</v>
      </c>
      <c r="D237" s="4">
        <v>9380.0</v>
      </c>
      <c r="E237" s="4">
        <v>2196.0</v>
      </c>
      <c r="F237" s="4">
        <v>685.0</v>
      </c>
      <c r="G237" s="6">
        <f t="shared" si="2"/>
        <v>4.327690519</v>
      </c>
    </row>
    <row r="238" ht="14.25" customHeight="1">
      <c r="A238" s="4">
        <f t="shared" si="1"/>
        <v>6</v>
      </c>
      <c r="B238" s="4">
        <v>60201.0</v>
      </c>
      <c r="C238" s="4">
        <v>4161.0</v>
      </c>
      <c r="D238" s="4">
        <v>1589.0</v>
      </c>
      <c r="E238" s="4">
        <v>499.0</v>
      </c>
      <c r="F238" s="4">
        <v>79.0</v>
      </c>
      <c r="G238" s="6">
        <f t="shared" si="2"/>
        <v>11.99230954</v>
      </c>
    </row>
    <row r="239" ht="14.25" customHeight="1">
      <c r="A239" s="4">
        <f t="shared" si="1"/>
        <v>6</v>
      </c>
      <c r="B239" s="4">
        <v>60202.0</v>
      </c>
      <c r="C239" s="4">
        <v>9029.0</v>
      </c>
      <c r="D239" s="4">
        <v>1327.0</v>
      </c>
      <c r="E239" s="4">
        <v>286.0</v>
      </c>
      <c r="F239" s="4">
        <v>40.0</v>
      </c>
      <c r="G239" s="6">
        <f t="shared" si="2"/>
        <v>3.16757116</v>
      </c>
    </row>
    <row r="240" ht="14.25" customHeight="1">
      <c r="A240" s="4">
        <f t="shared" si="1"/>
        <v>6</v>
      </c>
      <c r="B240" s="4">
        <v>60301.0</v>
      </c>
      <c r="C240" s="4">
        <v>19947.0</v>
      </c>
      <c r="D240" s="4">
        <v>2431.0</v>
      </c>
      <c r="E240" s="4">
        <v>582.0</v>
      </c>
      <c r="F240" s="4">
        <v>71.0</v>
      </c>
      <c r="G240" s="6">
        <f t="shared" si="2"/>
        <v>2.91773199</v>
      </c>
    </row>
    <row r="241" ht="14.25" customHeight="1">
      <c r="A241" s="4">
        <f t="shared" si="1"/>
        <v>6</v>
      </c>
      <c r="B241" s="4">
        <v>60302.0</v>
      </c>
      <c r="C241" s="4">
        <v>3549.0</v>
      </c>
      <c r="D241" s="4">
        <v>760.0</v>
      </c>
      <c r="E241" s="4">
        <v>216.0</v>
      </c>
      <c r="F241" s="4">
        <v>41.0</v>
      </c>
      <c r="G241" s="6">
        <f t="shared" si="2"/>
        <v>6.086221471</v>
      </c>
    </row>
    <row r="242" ht="14.25" customHeight="1">
      <c r="A242" s="4">
        <f t="shared" si="1"/>
        <v>6</v>
      </c>
      <c r="B242" s="4">
        <v>60303.0</v>
      </c>
      <c r="C242" s="4">
        <v>11124.0</v>
      </c>
      <c r="D242" s="4">
        <v>2388.0</v>
      </c>
      <c r="E242" s="4">
        <v>419.0</v>
      </c>
      <c r="F242" s="4">
        <v>29.0</v>
      </c>
      <c r="G242" s="6">
        <f t="shared" si="2"/>
        <v>3.766630708</v>
      </c>
    </row>
    <row r="243" ht="14.25" customHeight="1">
      <c r="A243" s="4">
        <f t="shared" si="1"/>
        <v>6</v>
      </c>
      <c r="B243" s="4">
        <v>60401.0</v>
      </c>
      <c r="C243" s="4">
        <v>3384.0</v>
      </c>
      <c r="D243" s="4">
        <v>1239.0</v>
      </c>
      <c r="E243" s="4">
        <v>293.0</v>
      </c>
      <c r="F243" s="4">
        <v>68.0</v>
      </c>
      <c r="G243" s="6">
        <f t="shared" si="2"/>
        <v>8.658392435</v>
      </c>
    </row>
    <row r="244" ht="14.25" customHeight="1">
      <c r="A244" s="4">
        <f t="shared" si="1"/>
        <v>6</v>
      </c>
      <c r="B244" s="4">
        <v>60402.0</v>
      </c>
      <c r="C244" s="4">
        <v>1082.0</v>
      </c>
      <c r="D244" s="4">
        <v>526.0</v>
      </c>
      <c r="E244" s="4">
        <v>51.0</v>
      </c>
      <c r="F244" s="4">
        <v>0.0</v>
      </c>
      <c r="G244" s="6">
        <f t="shared" si="2"/>
        <v>4.71349353</v>
      </c>
    </row>
    <row r="245" ht="14.25" customHeight="1">
      <c r="A245" s="4">
        <f t="shared" si="1"/>
        <v>6</v>
      </c>
      <c r="B245" s="4">
        <v>60501.0</v>
      </c>
      <c r="C245" s="4">
        <v>6056.0</v>
      </c>
      <c r="D245" s="4">
        <v>2929.0</v>
      </c>
      <c r="E245" s="4">
        <v>741.0</v>
      </c>
      <c r="F245" s="4">
        <v>171.0</v>
      </c>
      <c r="G245" s="6">
        <f t="shared" si="2"/>
        <v>12.23579921</v>
      </c>
    </row>
    <row r="246" ht="14.25" customHeight="1">
      <c r="A246" s="4">
        <f t="shared" si="1"/>
        <v>6</v>
      </c>
      <c r="B246" s="4">
        <v>60502.0</v>
      </c>
      <c r="C246" s="4">
        <v>2615.0</v>
      </c>
      <c r="D246" s="4">
        <v>1023.0</v>
      </c>
      <c r="E246" s="4">
        <v>218.0</v>
      </c>
      <c r="F246" s="4">
        <v>10.0</v>
      </c>
      <c r="G246" s="6">
        <f t="shared" si="2"/>
        <v>8.336520076</v>
      </c>
    </row>
    <row r="247" ht="14.25" customHeight="1">
      <c r="A247" s="4">
        <f t="shared" si="1"/>
        <v>6</v>
      </c>
      <c r="B247" s="4">
        <v>60601.0</v>
      </c>
      <c r="C247" s="4">
        <v>4740.0</v>
      </c>
      <c r="D247" s="4">
        <v>2090.0</v>
      </c>
      <c r="E247" s="4">
        <v>385.0</v>
      </c>
      <c r="F247" s="4">
        <v>17.0</v>
      </c>
      <c r="G247" s="6">
        <f t="shared" si="2"/>
        <v>8.122362869</v>
      </c>
    </row>
    <row r="248" ht="14.25" customHeight="1">
      <c r="A248" s="4">
        <f t="shared" si="1"/>
        <v>7</v>
      </c>
      <c r="B248" s="4">
        <v>70101.0</v>
      </c>
      <c r="C248" s="4">
        <v>323773.0</v>
      </c>
      <c r="D248" s="4">
        <v>31194.0</v>
      </c>
      <c r="E248" s="4">
        <v>11653.0</v>
      </c>
      <c r="F248" s="4">
        <v>4882.0</v>
      </c>
      <c r="G248" s="6">
        <f t="shared" si="2"/>
        <v>3.599126549</v>
      </c>
    </row>
    <row r="249" ht="14.25" customHeight="1">
      <c r="A249" s="4">
        <f t="shared" si="1"/>
        <v>7</v>
      </c>
      <c r="B249" s="4">
        <v>70102.0</v>
      </c>
      <c r="C249" s="4">
        <v>11871.0</v>
      </c>
      <c r="D249" s="4">
        <v>1967.0</v>
      </c>
      <c r="E249" s="4">
        <v>913.0</v>
      </c>
      <c r="F249" s="4">
        <v>455.0</v>
      </c>
      <c r="G249" s="6">
        <f t="shared" si="2"/>
        <v>7.691011709</v>
      </c>
    </row>
    <row r="250" ht="14.25" customHeight="1">
      <c r="A250" s="4">
        <f t="shared" si="1"/>
        <v>7</v>
      </c>
      <c r="B250" s="4">
        <v>70103.0</v>
      </c>
      <c r="C250" s="4">
        <v>3941.0</v>
      </c>
      <c r="D250" s="4">
        <v>632.0</v>
      </c>
      <c r="E250" s="4">
        <v>283.0</v>
      </c>
      <c r="F250" s="4">
        <v>143.0</v>
      </c>
      <c r="G250" s="6">
        <f t="shared" si="2"/>
        <v>7.180918549</v>
      </c>
    </row>
    <row r="251" ht="14.25" customHeight="1">
      <c r="A251" s="4">
        <f t="shared" si="1"/>
        <v>7</v>
      </c>
      <c r="B251" s="4">
        <v>70104.0</v>
      </c>
      <c r="C251" s="4">
        <v>24579.0</v>
      </c>
      <c r="D251" s="4">
        <v>2838.0</v>
      </c>
      <c r="E251" s="4">
        <v>1003.0</v>
      </c>
      <c r="F251" s="4">
        <v>380.0</v>
      </c>
      <c r="G251" s="6">
        <f t="shared" si="2"/>
        <v>4.080719313</v>
      </c>
    </row>
    <row r="252" ht="14.25" customHeight="1">
      <c r="A252" s="4">
        <f t="shared" si="1"/>
        <v>7</v>
      </c>
      <c r="B252" s="4">
        <v>70105.0</v>
      </c>
      <c r="C252" s="4">
        <v>10827.0</v>
      </c>
      <c r="D252" s="4">
        <v>1129.0</v>
      </c>
      <c r="E252" s="4">
        <v>434.0</v>
      </c>
      <c r="F252" s="4">
        <v>181.0</v>
      </c>
      <c r="G252" s="6">
        <f t="shared" si="2"/>
        <v>4.008497275</v>
      </c>
    </row>
    <row r="253" ht="14.25" customHeight="1">
      <c r="A253" s="4">
        <f t="shared" si="1"/>
        <v>7</v>
      </c>
      <c r="B253" s="4">
        <v>70201.0</v>
      </c>
      <c r="C253" s="4">
        <v>27862.0</v>
      </c>
      <c r="D253" s="4">
        <v>3933.0</v>
      </c>
      <c r="E253" s="4">
        <v>1481.0</v>
      </c>
      <c r="F253" s="4">
        <v>517.0</v>
      </c>
      <c r="G253" s="6">
        <f t="shared" si="2"/>
        <v>5.315483454</v>
      </c>
    </row>
    <row r="254" ht="14.25" customHeight="1">
      <c r="A254" s="4">
        <f t="shared" si="1"/>
        <v>7</v>
      </c>
      <c r="B254" s="4">
        <v>70202.0</v>
      </c>
      <c r="C254" s="4">
        <v>1884.0</v>
      </c>
      <c r="D254" s="4">
        <v>209.0</v>
      </c>
      <c r="E254" s="4">
        <v>88.0</v>
      </c>
      <c r="F254" s="4">
        <v>42.0</v>
      </c>
      <c r="G254" s="6">
        <f t="shared" si="2"/>
        <v>4.670912951</v>
      </c>
    </row>
    <row r="255" ht="14.25" customHeight="1">
      <c r="A255" s="4">
        <f t="shared" si="1"/>
        <v>7</v>
      </c>
      <c r="B255" s="4">
        <v>70301.0</v>
      </c>
      <c r="C255" s="4">
        <v>7157.0</v>
      </c>
      <c r="D255" s="4">
        <v>700.0</v>
      </c>
      <c r="E255" s="4">
        <v>233.0</v>
      </c>
      <c r="F255" s="4">
        <v>45.0</v>
      </c>
      <c r="G255" s="6">
        <f t="shared" si="2"/>
        <v>3.255554003</v>
      </c>
    </row>
    <row r="256" ht="14.25" customHeight="1">
      <c r="A256" s="4">
        <f t="shared" si="1"/>
        <v>7</v>
      </c>
      <c r="B256" s="4">
        <v>70302.0</v>
      </c>
      <c r="C256" s="4">
        <v>1756.0</v>
      </c>
      <c r="D256" s="4">
        <v>211.0</v>
      </c>
      <c r="E256" s="4">
        <v>78.0</v>
      </c>
      <c r="F256" s="4">
        <v>10.0</v>
      </c>
      <c r="G256" s="6">
        <f t="shared" si="2"/>
        <v>4.44191344</v>
      </c>
    </row>
    <row r="257" ht="14.25" customHeight="1">
      <c r="A257" s="4">
        <f t="shared" si="1"/>
        <v>7</v>
      </c>
      <c r="B257" s="4">
        <v>70303.0</v>
      </c>
      <c r="C257" s="4">
        <v>593.0</v>
      </c>
      <c r="D257" s="4">
        <v>84.0</v>
      </c>
      <c r="E257" s="4">
        <v>35.0</v>
      </c>
      <c r="F257" s="4">
        <v>4.0</v>
      </c>
      <c r="G257" s="6">
        <f t="shared" si="2"/>
        <v>5.902192243</v>
      </c>
    </row>
    <row r="258" ht="14.25" customHeight="1">
      <c r="A258" s="4">
        <f t="shared" si="1"/>
        <v>7</v>
      </c>
      <c r="B258" s="4">
        <v>70401.0</v>
      </c>
      <c r="C258" s="4">
        <v>2897.0</v>
      </c>
      <c r="D258" s="4">
        <v>434.0</v>
      </c>
      <c r="E258" s="4">
        <v>185.0</v>
      </c>
      <c r="F258" s="4">
        <v>72.0</v>
      </c>
      <c r="G258" s="6">
        <f t="shared" si="2"/>
        <v>6.385916465</v>
      </c>
    </row>
    <row r="259" ht="14.25" customHeight="1">
      <c r="A259" s="4">
        <f t="shared" si="1"/>
        <v>7</v>
      </c>
      <c r="B259" s="4">
        <v>70402.0</v>
      </c>
      <c r="C259" s="4">
        <v>3656.0</v>
      </c>
      <c r="D259" s="4">
        <v>449.0</v>
      </c>
      <c r="E259" s="4">
        <v>186.0</v>
      </c>
      <c r="F259" s="4">
        <v>69.0</v>
      </c>
      <c r="G259" s="6">
        <f t="shared" si="2"/>
        <v>5.087527352</v>
      </c>
    </row>
    <row r="260" ht="14.25" customHeight="1">
      <c r="A260" s="4">
        <f t="shared" si="1"/>
        <v>7</v>
      </c>
      <c r="B260" s="4">
        <v>70403.0</v>
      </c>
      <c r="C260" s="4">
        <v>9264.0</v>
      </c>
      <c r="D260" s="4">
        <v>1082.0</v>
      </c>
      <c r="E260" s="4">
        <v>416.0</v>
      </c>
      <c r="F260" s="4">
        <v>151.0</v>
      </c>
      <c r="G260" s="6">
        <f t="shared" si="2"/>
        <v>4.490500864</v>
      </c>
    </row>
    <row r="261" ht="14.25" customHeight="1">
      <c r="A261" s="4">
        <f t="shared" si="1"/>
        <v>7</v>
      </c>
      <c r="B261" s="4">
        <v>70404.0</v>
      </c>
      <c r="C261" s="4">
        <v>1278.0</v>
      </c>
      <c r="D261" s="4">
        <v>166.0</v>
      </c>
      <c r="E261" s="4">
        <v>61.0</v>
      </c>
      <c r="F261" s="4">
        <v>16.0</v>
      </c>
      <c r="G261" s="6">
        <f t="shared" si="2"/>
        <v>4.773082942</v>
      </c>
    </row>
    <row r="262" ht="14.25" customHeight="1">
      <c r="A262" s="4">
        <f t="shared" si="1"/>
        <v>7</v>
      </c>
      <c r="B262" s="4">
        <v>70501.0</v>
      </c>
      <c r="C262" s="4">
        <v>3190.0</v>
      </c>
      <c r="D262" s="4">
        <v>398.0</v>
      </c>
      <c r="E262" s="4">
        <v>123.0</v>
      </c>
      <c r="F262" s="4">
        <v>29.0</v>
      </c>
      <c r="G262" s="6">
        <f t="shared" si="2"/>
        <v>3.855799373</v>
      </c>
    </row>
    <row r="263" ht="14.25" customHeight="1">
      <c r="A263" s="4">
        <f t="shared" si="1"/>
        <v>7</v>
      </c>
      <c r="B263" s="4">
        <v>70502.0</v>
      </c>
      <c r="C263" s="4">
        <v>4161.0</v>
      </c>
      <c r="D263" s="4">
        <v>604.0</v>
      </c>
      <c r="E263" s="4">
        <v>264.0</v>
      </c>
      <c r="F263" s="4">
        <v>128.0</v>
      </c>
      <c r="G263" s="6">
        <f t="shared" si="2"/>
        <v>6.344628695</v>
      </c>
    </row>
    <row r="264" ht="14.25" customHeight="1">
      <c r="A264" s="4">
        <f t="shared" si="1"/>
        <v>7</v>
      </c>
      <c r="B264" s="4">
        <v>70503.0</v>
      </c>
      <c r="C264" s="4">
        <v>3384.0</v>
      </c>
      <c r="D264" s="4">
        <v>455.0</v>
      </c>
      <c r="E264" s="4">
        <v>153.0</v>
      </c>
      <c r="F264" s="4">
        <v>38.0</v>
      </c>
      <c r="G264" s="6">
        <f t="shared" si="2"/>
        <v>4.521276596</v>
      </c>
    </row>
    <row r="265" ht="14.25" customHeight="1">
      <c r="A265" s="4">
        <f t="shared" si="1"/>
        <v>7</v>
      </c>
      <c r="B265" s="4">
        <v>70601.0</v>
      </c>
      <c r="C265" s="4">
        <v>3790.0</v>
      </c>
      <c r="D265" s="4">
        <v>312.0</v>
      </c>
      <c r="E265" s="4">
        <v>100.0</v>
      </c>
      <c r="F265" s="4">
        <v>43.0</v>
      </c>
      <c r="G265" s="6">
        <f t="shared" si="2"/>
        <v>2.638522427</v>
      </c>
    </row>
    <row r="266" ht="14.25" customHeight="1">
      <c r="A266" s="4">
        <f t="shared" si="1"/>
        <v>7</v>
      </c>
      <c r="B266" s="4">
        <v>70602.0</v>
      </c>
      <c r="C266" s="4">
        <v>2823.0</v>
      </c>
      <c r="D266" s="4">
        <v>483.0</v>
      </c>
      <c r="E266" s="4">
        <v>190.0</v>
      </c>
      <c r="F266" s="4">
        <v>58.0</v>
      </c>
      <c r="G266" s="6">
        <f t="shared" si="2"/>
        <v>6.730428622</v>
      </c>
    </row>
    <row r="267" ht="14.25" customHeight="1">
      <c r="A267" s="4">
        <f t="shared" si="1"/>
        <v>7</v>
      </c>
      <c r="B267" s="4">
        <v>70603.0</v>
      </c>
      <c r="C267" s="4">
        <v>960.0</v>
      </c>
      <c r="D267" s="4">
        <v>96.0</v>
      </c>
      <c r="E267" s="4">
        <v>46.0</v>
      </c>
      <c r="F267" s="4">
        <v>17.0</v>
      </c>
      <c r="G267" s="6">
        <f t="shared" si="2"/>
        <v>4.791666667</v>
      </c>
    </row>
    <row r="268" ht="14.25" customHeight="1">
      <c r="A268" s="4">
        <f t="shared" si="1"/>
        <v>7</v>
      </c>
      <c r="B268" s="4">
        <v>70701.0</v>
      </c>
      <c r="C268" s="4">
        <v>769.0</v>
      </c>
      <c r="D268" s="4">
        <v>97.0</v>
      </c>
      <c r="E268" s="4">
        <v>25.0</v>
      </c>
      <c r="F268" s="4">
        <v>4.0</v>
      </c>
      <c r="G268" s="6">
        <f t="shared" si="2"/>
        <v>3.250975293</v>
      </c>
    </row>
    <row r="269" ht="14.25" customHeight="1">
      <c r="A269" s="4">
        <f t="shared" si="1"/>
        <v>7</v>
      </c>
      <c r="B269" s="4">
        <v>70702.0</v>
      </c>
      <c r="C269" s="4">
        <v>2273.0</v>
      </c>
      <c r="D269" s="4">
        <v>334.0</v>
      </c>
      <c r="E269" s="4">
        <v>120.0</v>
      </c>
      <c r="F269" s="4">
        <v>24.0</v>
      </c>
      <c r="G269" s="6">
        <f t="shared" si="2"/>
        <v>5.279366476</v>
      </c>
    </row>
    <row r="270" ht="14.25" customHeight="1">
      <c r="A270" s="4">
        <f t="shared" si="1"/>
        <v>7</v>
      </c>
      <c r="B270" s="4">
        <v>70703.0</v>
      </c>
      <c r="C270" s="4">
        <v>3123.0</v>
      </c>
      <c r="D270" s="4">
        <v>520.0</v>
      </c>
      <c r="E270" s="4">
        <v>221.0</v>
      </c>
      <c r="F270" s="4">
        <v>115.0</v>
      </c>
      <c r="G270" s="6">
        <f t="shared" si="2"/>
        <v>7.076528979</v>
      </c>
    </row>
    <row r="271" ht="14.25" customHeight="1">
      <c r="A271" s="4">
        <f t="shared" si="1"/>
        <v>7</v>
      </c>
      <c r="B271" s="4">
        <v>70704.0</v>
      </c>
      <c r="C271" s="4">
        <v>655.0</v>
      </c>
      <c r="D271" s="4">
        <v>96.0</v>
      </c>
      <c r="E271" s="4">
        <v>34.0</v>
      </c>
      <c r="F271" s="4">
        <v>8.0</v>
      </c>
      <c r="G271" s="6">
        <f t="shared" si="2"/>
        <v>5.190839695</v>
      </c>
    </row>
    <row r="272" ht="14.25" customHeight="1">
      <c r="A272" s="4">
        <f t="shared" si="1"/>
        <v>7</v>
      </c>
      <c r="B272" s="4">
        <v>70705.0</v>
      </c>
      <c r="C272" s="4">
        <v>1414.0</v>
      </c>
      <c r="D272" s="4">
        <v>209.0</v>
      </c>
      <c r="E272" s="4">
        <v>49.0</v>
      </c>
      <c r="F272" s="4">
        <v>5.0</v>
      </c>
      <c r="G272" s="6">
        <f t="shared" si="2"/>
        <v>3.465346535</v>
      </c>
    </row>
    <row r="273" ht="14.25" customHeight="1">
      <c r="A273" s="4">
        <f t="shared" si="1"/>
        <v>7</v>
      </c>
      <c r="B273" s="4">
        <v>70706.0</v>
      </c>
      <c r="C273" s="4">
        <v>7491.0</v>
      </c>
      <c r="D273" s="4">
        <v>658.0</v>
      </c>
      <c r="E273" s="4">
        <v>215.0</v>
      </c>
      <c r="F273" s="4">
        <v>47.0</v>
      </c>
      <c r="G273" s="6">
        <f t="shared" si="2"/>
        <v>2.8701108</v>
      </c>
    </row>
    <row r="274" ht="14.25" customHeight="1">
      <c r="A274" s="4">
        <f t="shared" si="1"/>
        <v>7</v>
      </c>
      <c r="B274" s="4">
        <v>70707.0</v>
      </c>
      <c r="C274" s="4">
        <v>806.0</v>
      </c>
      <c r="D274" s="4">
        <v>99.0</v>
      </c>
      <c r="E274" s="4">
        <v>30.0</v>
      </c>
      <c r="F274" s="4">
        <v>3.0</v>
      </c>
      <c r="G274" s="6">
        <f t="shared" si="2"/>
        <v>3.722084367</v>
      </c>
    </row>
    <row r="275" ht="14.25" customHeight="1">
      <c r="A275" s="4">
        <f t="shared" si="1"/>
        <v>7</v>
      </c>
      <c r="B275" s="4">
        <v>70801.0</v>
      </c>
      <c r="C275" s="4">
        <v>4444.0</v>
      </c>
      <c r="D275" s="4">
        <v>816.0</v>
      </c>
      <c r="E275" s="4">
        <v>302.0</v>
      </c>
      <c r="F275" s="4">
        <v>60.0</v>
      </c>
      <c r="G275" s="6">
        <f t="shared" si="2"/>
        <v>6.795679568</v>
      </c>
    </row>
    <row r="276" ht="14.25" customHeight="1">
      <c r="A276" s="4">
        <f t="shared" si="1"/>
        <v>7</v>
      </c>
      <c r="B276" s="4">
        <v>70802.0</v>
      </c>
      <c r="C276" s="4">
        <v>520.0</v>
      </c>
      <c r="D276" s="4">
        <v>93.0</v>
      </c>
      <c r="E276" s="4">
        <v>31.0</v>
      </c>
      <c r="F276" s="4">
        <v>4.0</v>
      </c>
      <c r="G276" s="6">
        <f t="shared" si="2"/>
        <v>5.961538462</v>
      </c>
    </row>
    <row r="277" ht="14.25" customHeight="1">
      <c r="A277" s="4">
        <f t="shared" si="1"/>
        <v>7</v>
      </c>
      <c r="B277" s="4">
        <v>70803.0</v>
      </c>
      <c r="C277" s="4">
        <v>646.0</v>
      </c>
      <c r="D277" s="4">
        <v>142.0</v>
      </c>
      <c r="E277" s="4">
        <v>38.0</v>
      </c>
      <c r="F277" s="4">
        <v>5.0</v>
      </c>
      <c r="G277" s="6">
        <f t="shared" si="2"/>
        <v>5.882352941</v>
      </c>
    </row>
    <row r="278" ht="14.25" customHeight="1">
      <c r="A278" s="4">
        <f t="shared" si="1"/>
        <v>7</v>
      </c>
      <c r="B278" s="4">
        <v>70804.0</v>
      </c>
      <c r="C278" s="4">
        <v>356.0</v>
      </c>
      <c r="D278" s="4">
        <v>107.0</v>
      </c>
      <c r="E278" s="4">
        <v>42.0</v>
      </c>
      <c r="F278" s="4">
        <v>9.0</v>
      </c>
      <c r="G278" s="6">
        <f t="shared" si="2"/>
        <v>11.79775281</v>
      </c>
    </row>
    <row r="279" ht="14.25" customHeight="1">
      <c r="A279" s="4">
        <f t="shared" si="1"/>
        <v>7</v>
      </c>
      <c r="B279" s="4">
        <v>70901.0</v>
      </c>
      <c r="C279" s="4">
        <v>2784.0</v>
      </c>
      <c r="D279" s="4">
        <v>531.0</v>
      </c>
      <c r="E279" s="4">
        <v>198.0</v>
      </c>
      <c r="F279" s="4">
        <v>36.0</v>
      </c>
      <c r="G279" s="6">
        <f t="shared" si="2"/>
        <v>7.112068966</v>
      </c>
    </row>
    <row r="280" ht="14.25" customHeight="1">
      <c r="A280" s="4">
        <f t="shared" si="1"/>
        <v>7</v>
      </c>
      <c r="B280" s="4">
        <v>70902.0</v>
      </c>
      <c r="C280" s="4">
        <v>2301.0</v>
      </c>
      <c r="D280" s="4">
        <v>463.0</v>
      </c>
      <c r="E280" s="4">
        <v>157.0</v>
      </c>
      <c r="F280" s="4">
        <v>38.0</v>
      </c>
      <c r="G280" s="6">
        <f t="shared" si="2"/>
        <v>6.823120382</v>
      </c>
    </row>
    <row r="281" ht="14.25" customHeight="1">
      <c r="A281" s="4">
        <f t="shared" si="1"/>
        <v>7</v>
      </c>
      <c r="B281" s="4">
        <v>70903.0</v>
      </c>
      <c r="C281" s="4">
        <v>2567.0</v>
      </c>
      <c r="D281" s="4">
        <v>356.0</v>
      </c>
      <c r="E281" s="4">
        <v>134.0</v>
      </c>
      <c r="F281" s="4">
        <v>37.0</v>
      </c>
      <c r="G281" s="6">
        <f t="shared" si="2"/>
        <v>5.220101286</v>
      </c>
    </row>
    <row r="282" ht="14.25" customHeight="1">
      <c r="A282" s="4">
        <f t="shared" si="1"/>
        <v>7</v>
      </c>
      <c r="B282" s="4">
        <v>70904.0</v>
      </c>
      <c r="C282" s="4">
        <v>406.0</v>
      </c>
      <c r="D282" s="4">
        <v>97.0</v>
      </c>
      <c r="E282" s="4">
        <v>43.0</v>
      </c>
      <c r="F282" s="4">
        <v>6.0</v>
      </c>
      <c r="G282" s="6">
        <f t="shared" si="2"/>
        <v>10.591133</v>
      </c>
    </row>
    <row r="283" ht="14.25" customHeight="1">
      <c r="A283" s="4">
        <f t="shared" si="1"/>
        <v>7</v>
      </c>
      <c r="B283" s="4">
        <v>71001.0</v>
      </c>
      <c r="C283" s="4">
        <v>24148.0</v>
      </c>
      <c r="D283" s="4">
        <v>2282.0</v>
      </c>
      <c r="E283" s="4">
        <v>756.0</v>
      </c>
      <c r="F283" s="4">
        <v>164.0</v>
      </c>
      <c r="G283" s="6">
        <f t="shared" si="2"/>
        <v>3.130694053</v>
      </c>
    </row>
    <row r="284" ht="14.25" customHeight="1">
      <c r="A284" s="4">
        <f t="shared" si="1"/>
        <v>7</v>
      </c>
      <c r="B284" s="4">
        <v>71002.0</v>
      </c>
      <c r="C284" s="4">
        <v>2630.0</v>
      </c>
      <c r="D284" s="4">
        <v>345.0</v>
      </c>
      <c r="E284" s="4">
        <v>153.0</v>
      </c>
      <c r="F284" s="4">
        <v>50.0</v>
      </c>
      <c r="G284" s="6">
        <f t="shared" si="2"/>
        <v>5.817490494</v>
      </c>
    </row>
    <row r="285" ht="14.25" customHeight="1">
      <c r="A285" s="4">
        <f t="shared" si="1"/>
        <v>7</v>
      </c>
      <c r="B285" s="4">
        <v>71003.0</v>
      </c>
      <c r="C285" s="4">
        <v>4205.0</v>
      </c>
      <c r="D285" s="4">
        <v>415.0</v>
      </c>
      <c r="E285" s="4">
        <v>158.0</v>
      </c>
      <c r="F285" s="4">
        <v>61.0</v>
      </c>
      <c r="G285" s="6">
        <f t="shared" si="2"/>
        <v>3.757431629</v>
      </c>
    </row>
    <row r="286" ht="14.25" customHeight="1">
      <c r="A286" s="4">
        <f t="shared" si="1"/>
        <v>7</v>
      </c>
      <c r="B286" s="4">
        <v>71004.0</v>
      </c>
      <c r="C286" s="4">
        <v>2426.0</v>
      </c>
      <c r="D286" s="4">
        <v>289.0</v>
      </c>
      <c r="E286" s="4">
        <v>123.0</v>
      </c>
      <c r="F286" s="4">
        <v>48.0</v>
      </c>
      <c r="G286" s="6">
        <f t="shared" si="2"/>
        <v>5.070074196</v>
      </c>
    </row>
    <row r="287" ht="14.25" customHeight="1">
      <c r="A287" s="4">
        <f t="shared" si="1"/>
        <v>7</v>
      </c>
      <c r="B287" s="4">
        <v>71005.0</v>
      </c>
      <c r="C287" s="4">
        <v>2820.0</v>
      </c>
      <c r="D287" s="4">
        <v>366.0</v>
      </c>
      <c r="E287" s="4">
        <v>145.0</v>
      </c>
      <c r="F287" s="4">
        <v>61.0</v>
      </c>
      <c r="G287" s="6">
        <f t="shared" si="2"/>
        <v>5.141843972</v>
      </c>
    </row>
    <row r="288" ht="14.25" customHeight="1">
      <c r="A288" s="4">
        <f t="shared" si="1"/>
        <v>7</v>
      </c>
      <c r="B288" s="4">
        <v>71101.0</v>
      </c>
      <c r="C288" s="4">
        <v>3077.0</v>
      </c>
      <c r="D288" s="4">
        <v>437.0</v>
      </c>
      <c r="E288" s="4">
        <v>163.0</v>
      </c>
      <c r="F288" s="4">
        <v>22.0</v>
      </c>
      <c r="G288" s="6">
        <f t="shared" si="2"/>
        <v>5.297367566</v>
      </c>
    </row>
    <row r="289" ht="14.25" customHeight="1">
      <c r="A289" s="4">
        <f t="shared" si="1"/>
        <v>7</v>
      </c>
      <c r="B289" s="4">
        <v>71102.0</v>
      </c>
      <c r="C289" s="4">
        <v>1509.0</v>
      </c>
      <c r="D289" s="4">
        <v>173.0</v>
      </c>
      <c r="E289" s="4">
        <v>58.0</v>
      </c>
      <c r="F289" s="4">
        <v>7.0</v>
      </c>
      <c r="G289" s="6">
        <f t="shared" si="2"/>
        <v>3.843605036</v>
      </c>
    </row>
    <row r="290" ht="14.25" customHeight="1">
      <c r="A290" s="4">
        <f t="shared" si="1"/>
        <v>7</v>
      </c>
      <c r="B290" s="4">
        <v>71103.0</v>
      </c>
      <c r="C290" s="4">
        <v>1216.0</v>
      </c>
      <c r="D290" s="4">
        <v>173.0</v>
      </c>
      <c r="E290" s="4">
        <v>46.0</v>
      </c>
      <c r="F290" s="4">
        <v>2.0</v>
      </c>
      <c r="G290" s="6">
        <f t="shared" si="2"/>
        <v>3.782894737</v>
      </c>
    </row>
    <row r="291" ht="14.25" customHeight="1">
      <c r="A291" s="4">
        <f t="shared" si="1"/>
        <v>7</v>
      </c>
      <c r="B291" s="4">
        <v>71104.0</v>
      </c>
      <c r="C291" s="4">
        <v>7591.0</v>
      </c>
      <c r="D291" s="4">
        <v>1098.0</v>
      </c>
      <c r="E291" s="4">
        <v>377.0</v>
      </c>
      <c r="F291" s="4">
        <v>62.0</v>
      </c>
      <c r="G291" s="6">
        <f t="shared" si="2"/>
        <v>4.966407588</v>
      </c>
    </row>
    <row r="292" ht="14.25" customHeight="1">
      <c r="A292" s="4">
        <f t="shared" si="1"/>
        <v>7</v>
      </c>
      <c r="B292" s="4">
        <v>71105.0</v>
      </c>
      <c r="C292" s="4">
        <v>934.0</v>
      </c>
      <c r="D292" s="4">
        <v>94.0</v>
      </c>
      <c r="E292" s="4">
        <v>27.0</v>
      </c>
      <c r="F292" s="4">
        <v>12.0</v>
      </c>
      <c r="G292" s="6">
        <f t="shared" si="2"/>
        <v>2.890792291</v>
      </c>
    </row>
    <row r="293" ht="14.25" customHeight="1">
      <c r="A293" s="4">
        <f t="shared" si="1"/>
        <v>7</v>
      </c>
      <c r="B293" s="4">
        <v>71106.0</v>
      </c>
      <c r="C293" s="4">
        <v>3828.0</v>
      </c>
      <c r="D293" s="4">
        <v>504.0</v>
      </c>
      <c r="E293" s="4">
        <v>202.0</v>
      </c>
      <c r="F293" s="4">
        <v>86.0</v>
      </c>
      <c r="G293" s="6">
        <f t="shared" si="2"/>
        <v>5.276907001</v>
      </c>
    </row>
    <row r="294" ht="14.25" customHeight="1">
      <c r="A294" s="4">
        <f t="shared" si="1"/>
        <v>7</v>
      </c>
      <c r="B294" s="4">
        <v>71201.0</v>
      </c>
      <c r="C294" s="4">
        <v>1776.0</v>
      </c>
      <c r="D294" s="4">
        <v>0.0</v>
      </c>
      <c r="E294" s="4">
        <v>0.0</v>
      </c>
      <c r="F294" s="4">
        <v>0.0</v>
      </c>
      <c r="G294" s="6">
        <f t="shared" si="2"/>
        <v>0</v>
      </c>
    </row>
    <row r="295" ht="14.25" customHeight="1">
      <c r="A295" s="4">
        <f t="shared" si="1"/>
        <v>7</v>
      </c>
      <c r="B295" s="4">
        <v>71301.0</v>
      </c>
      <c r="C295" s="4">
        <v>3558.0</v>
      </c>
      <c r="D295" s="4">
        <v>555.0</v>
      </c>
      <c r="E295" s="4">
        <v>189.0</v>
      </c>
      <c r="F295" s="4">
        <v>36.0</v>
      </c>
      <c r="G295" s="6">
        <f t="shared" si="2"/>
        <v>5.311973019</v>
      </c>
    </row>
    <row r="296" ht="14.25" customHeight="1">
      <c r="A296" s="4">
        <f t="shared" si="1"/>
        <v>7</v>
      </c>
      <c r="B296" s="4">
        <v>71302.0</v>
      </c>
      <c r="C296" s="4">
        <v>1294.0</v>
      </c>
      <c r="D296" s="4">
        <v>254.0</v>
      </c>
      <c r="E296" s="4">
        <v>115.0</v>
      </c>
      <c r="F296" s="4">
        <v>28.0</v>
      </c>
      <c r="G296" s="6">
        <f t="shared" si="2"/>
        <v>8.887171561</v>
      </c>
    </row>
    <row r="297" ht="14.25" customHeight="1">
      <c r="A297" s="4">
        <f t="shared" si="1"/>
        <v>7</v>
      </c>
      <c r="B297" s="4">
        <v>71401.0</v>
      </c>
      <c r="C297" s="4">
        <v>4053.0</v>
      </c>
      <c r="D297" s="4">
        <v>718.0</v>
      </c>
      <c r="E297" s="4">
        <v>299.0</v>
      </c>
      <c r="F297" s="4">
        <v>42.0</v>
      </c>
      <c r="G297" s="6">
        <f t="shared" si="2"/>
        <v>7.377251419</v>
      </c>
    </row>
    <row r="298" ht="14.25" customHeight="1">
      <c r="A298" s="4">
        <f t="shared" si="1"/>
        <v>7</v>
      </c>
      <c r="B298" s="4">
        <v>71402.0</v>
      </c>
      <c r="C298" s="4">
        <v>3693.0</v>
      </c>
      <c r="D298" s="4">
        <v>563.0</v>
      </c>
      <c r="E298" s="4">
        <v>214.0</v>
      </c>
      <c r="F298" s="4">
        <v>25.0</v>
      </c>
      <c r="G298" s="6">
        <f t="shared" si="2"/>
        <v>5.794746818</v>
      </c>
    </row>
    <row r="299" ht="14.25" customHeight="1">
      <c r="A299" s="4">
        <f t="shared" si="1"/>
        <v>7</v>
      </c>
      <c r="B299" s="4">
        <v>71403.0</v>
      </c>
      <c r="C299" s="4">
        <v>826.0</v>
      </c>
      <c r="D299" s="4">
        <v>108.0</v>
      </c>
      <c r="E299" s="4">
        <v>33.0</v>
      </c>
      <c r="F299" s="4">
        <v>7.0</v>
      </c>
      <c r="G299" s="6">
        <f t="shared" si="2"/>
        <v>3.995157385</v>
      </c>
    </row>
    <row r="300" ht="14.25" customHeight="1">
      <c r="A300" s="4">
        <f t="shared" si="1"/>
        <v>7</v>
      </c>
      <c r="B300" s="4">
        <v>71501.0</v>
      </c>
      <c r="C300" s="4">
        <v>4341.0</v>
      </c>
      <c r="D300" s="4">
        <v>618.0</v>
      </c>
      <c r="E300" s="4">
        <v>182.0</v>
      </c>
      <c r="F300" s="4">
        <v>35.0</v>
      </c>
      <c r="G300" s="6">
        <f t="shared" si="2"/>
        <v>4.192582354</v>
      </c>
    </row>
    <row r="301" ht="14.25" customHeight="1">
      <c r="A301" s="4">
        <f t="shared" si="1"/>
        <v>7</v>
      </c>
      <c r="B301" s="4">
        <v>71502.0</v>
      </c>
      <c r="C301" s="4">
        <v>891.0</v>
      </c>
      <c r="D301" s="4">
        <v>148.0</v>
      </c>
      <c r="E301" s="4">
        <v>46.0</v>
      </c>
      <c r="F301" s="4">
        <v>4.0</v>
      </c>
      <c r="G301" s="6">
        <f t="shared" si="2"/>
        <v>5.162738496</v>
      </c>
    </row>
    <row r="302" ht="14.25" customHeight="1">
      <c r="A302" s="4">
        <f t="shared" si="1"/>
        <v>7</v>
      </c>
      <c r="B302" s="4">
        <v>71503.0</v>
      </c>
      <c r="C302" s="4">
        <v>844.0</v>
      </c>
      <c r="D302" s="4">
        <v>129.0</v>
      </c>
      <c r="E302" s="4">
        <v>53.0</v>
      </c>
      <c r="F302" s="4">
        <v>6.0</v>
      </c>
      <c r="G302" s="6">
        <f t="shared" si="2"/>
        <v>6.279620853</v>
      </c>
    </row>
    <row r="303" ht="14.25" customHeight="1">
      <c r="A303" s="4">
        <f t="shared" si="1"/>
        <v>8</v>
      </c>
      <c r="B303" s="4">
        <v>80101.0</v>
      </c>
      <c r="C303" s="4">
        <v>35825.0</v>
      </c>
      <c r="D303" s="4">
        <v>5155.0</v>
      </c>
      <c r="E303" s="4">
        <v>458.0</v>
      </c>
      <c r="F303" s="4">
        <v>37.0</v>
      </c>
      <c r="G303" s="6">
        <f t="shared" si="2"/>
        <v>1.278436846</v>
      </c>
    </row>
    <row r="304" ht="14.25" customHeight="1">
      <c r="A304" s="4">
        <f t="shared" si="1"/>
        <v>8</v>
      </c>
      <c r="B304" s="4">
        <v>80102.0</v>
      </c>
      <c r="C304" s="4">
        <v>137.0</v>
      </c>
      <c r="D304" s="4">
        <v>28.0</v>
      </c>
      <c r="E304" s="4">
        <v>6.0</v>
      </c>
      <c r="F304" s="4">
        <v>0.0</v>
      </c>
      <c r="G304" s="6">
        <f t="shared" si="2"/>
        <v>4.379562044</v>
      </c>
    </row>
    <row r="305" ht="14.25" customHeight="1">
      <c r="A305" s="4">
        <f t="shared" si="1"/>
        <v>8</v>
      </c>
      <c r="B305" s="4">
        <v>80201.0</v>
      </c>
      <c r="C305" s="4">
        <v>18564.0</v>
      </c>
      <c r="D305" s="4">
        <v>0.0</v>
      </c>
      <c r="E305" s="4">
        <v>0.0</v>
      </c>
      <c r="F305" s="4">
        <v>0.0</v>
      </c>
      <c r="G305" s="6">
        <f t="shared" si="2"/>
        <v>0</v>
      </c>
    </row>
    <row r="306" ht="14.25" customHeight="1">
      <c r="A306" s="4">
        <f t="shared" si="1"/>
        <v>8</v>
      </c>
      <c r="B306" s="4">
        <v>80202.0</v>
      </c>
      <c r="C306" s="4">
        <v>7307.0</v>
      </c>
      <c r="D306" s="4">
        <v>0.0</v>
      </c>
      <c r="E306" s="4">
        <v>0.0</v>
      </c>
      <c r="F306" s="4">
        <v>0.0</v>
      </c>
      <c r="G306" s="6">
        <f t="shared" si="2"/>
        <v>0</v>
      </c>
    </row>
    <row r="307" ht="14.25" customHeight="1">
      <c r="A307" s="4">
        <f t="shared" si="1"/>
        <v>8</v>
      </c>
      <c r="B307" s="4">
        <v>80301.0</v>
      </c>
      <c r="C307" s="4">
        <v>3456.0</v>
      </c>
      <c r="D307" s="4">
        <v>360.0</v>
      </c>
      <c r="E307" s="4">
        <v>25.0</v>
      </c>
      <c r="F307" s="4">
        <v>0.0</v>
      </c>
      <c r="G307" s="6">
        <f t="shared" si="2"/>
        <v>0.7233796296</v>
      </c>
    </row>
    <row r="308" ht="14.25" customHeight="1">
      <c r="A308" s="4">
        <f t="shared" si="1"/>
        <v>8</v>
      </c>
      <c r="B308" s="4">
        <v>80302.0</v>
      </c>
      <c r="C308" s="4">
        <v>13479.0</v>
      </c>
      <c r="D308" s="4">
        <v>1599.0</v>
      </c>
      <c r="E308" s="4">
        <v>202.0</v>
      </c>
      <c r="F308" s="4">
        <v>0.0</v>
      </c>
      <c r="G308" s="6">
        <f t="shared" si="2"/>
        <v>1.498627495</v>
      </c>
    </row>
    <row r="309" ht="14.25" customHeight="1">
      <c r="A309" s="4">
        <f t="shared" si="1"/>
        <v>8</v>
      </c>
      <c r="B309" s="4">
        <v>80303.0</v>
      </c>
      <c r="C309" s="4">
        <v>2097.0</v>
      </c>
      <c r="D309" s="4">
        <v>247.0</v>
      </c>
      <c r="E309" s="4">
        <v>3.0</v>
      </c>
      <c r="F309" s="4">
        <v>0.0</v>
      </c>
      <c r="G309" s="6">
        <f t="shared" si="2"/>
        <v>0.1430615165</v>
      </c>
    </row>
    <row r="310" ht="14.25" customHeight="1">
      <c r="A310" s="4">
        <f t="shared" si="1"/>
        <v>8</v>
      </c>
      <c r="B310" s="4">
        <v>80304.0</v>
      </c>
      <c r="C310" s="4">
        <v>6733.0</v>
      </c>
      <c r="D310" s="4">
        <v>710.0</v>
      </c>
      <c r="E310" s="4">
        <v>75.0</v>
      </c>
      <c r="F310" s="4">
        <v>0.0</v>
      </c>
      <c r="G310" s="6">
        <f t="shared" si="2"/>
        <v>1.113916531</v>
      </c>
    </row>
    <row r="311" ht="14.25" customHeight="1">
      <c r="A311" s="4">
        <f t="shared" si="1"/>
        <v>8</v>
      </c>
      <c r="B311" s="4">
        <v>80401.0</v>
      </c>
      <c r="C311" s="4">
        <v>7621.0</v>
      </c>
      <c r="D311" s="4">
        <v>397.0</v>
      </c>
      <c r="E311" s="4">
        <v>5.0</v>
      </c>
      <c r="F311" s="4">
        <v>0.0</v>
      </c>
      <c r="G311" s="6">
        <f t="shared" si="2"/>
        <v>0.0656081879</v>
      </c>
    </row>
    <row r="312" ht="14.25" customHeight="1">
      <c r="A312" s="4">
        <f t="shared" si="1"/>
        <v>8</v>
      </c>
      <c r="B312" s="4">
        <v>80501.0</v>
      </c>
      <c r="C312" s="4">
        <v>7183.0</v>
      </c>
      <c r="D312" s="4">
        <v>637.0</v>
      </c>
      <c r="E312" s="4">
        <v>39.0</v>
      </c>
      <c r="F312" s="4">
        <v>0.0</v>
      </c>
      <c r="G312" s="6">
        <f t="shared" si="2"/>
        <v>0.5429486287</v>
      </c>
    </row>
    <row r="313" ht="14.25" customHeight="1">
      <c r="A313" s="4">
        <f t="shared" si="1"/>
        <v>8</v>
      </c>
      <c r="B313" s="4">
        <v>80601.0</v>
      </c>
      <c r="C313" s="4">
        <v>171.0</v>
      </c>
      <c r="D313" s="4">
        <v>35.0</v>
      </c>
      <c r="E313" s="4">
        <v>4.0</v>
      </c>
      <c r="F313" s="4">
        <v>0.0</v>
      </c>
      <c r="G313" s="6">
        <f t="shared" si="2"/>
        <v>2.339181287</v>
      </c>
    </row>
    <row r="314" ht="14.25" customHeight="1">
      <c r="A314" s="4">
        <f t="shared" si="1"/>
        <v>8</v>
      </c>
      <c r="B314" s="4">
        <v>80602.0</v>
      </c>
      <c r="C314" s="4">
        <v>1480.0</v>
      </c>
      <c r="D314" s="4">
        <v>304.0</v>
      </c>
      <c r="E314" s="4">
        <v>48.0</v>
      </c>
      <c r="F314" s="4">
        <v>0.0</v>
      </c>
      <c r="G314" s="6">
        <f t="shared" si="2"/>
        <v>3.243243243</v>
      </c>
    </row>
    <row r="315" ht="14.25" customHeight="1">
      <c r="A315" s="4">
        <f t="shared" si="1"/>
        <v>8</v>
      </c>
      <c r="B315" s="4">
        <v>80701.0</v>
      </c>
      <c r="C315" s="4">
        <v>1743.0</v>
      </c>
      <c r="D315" s="4">
        <v>169.0</v>
      </c>
      <c r="E315" s="4">
        <v>15.0</v>
      </c>
      <c r="F315" s="4">
        <v>0.0</v>
      </c>
      <c r="G315" s="6">
        <f t="shared" si="2"/>
        <v>0.8605851979</v>
      </c>
    </row>
    <row r="316" ht="14.25" customHeight="1">
      <c r="A316" s="4">
        <f t="shared" si="1"/>
        <v>8</v>
      </c>
      <c r="B316" s="4">
        <v>80702.0</v>
      </c>
      <c r="C316" s="4">
        <v>1376.0</v>
      </c>
      <c r="D316" s="4">
        <v>122.0</v>
      </c>
      <c r="E316" s="4">
        <v>31.0</v>
      </c>
      <c r="F316" s="4">
        <v>0.0</v>
      </c>
      <c r="G316" s="6">
        <f t="shared" si="2"/>
        <v>2.252906977</v>
      </c>
    </row>
    <row r="317" ht="14.25" customHeight="1">
      <c r="A317" s="4">
        <f t="shared" si="1"/>
        <v>8</v>
      </c>
      <c r="B317" s="4">
        <v>80801.0</v>
      </c>
      <c r="C317" s="4">
        <v>3074.0</v>
      </c>
      <c r="D317" s="4">
        <v>323.0</v>
      </c>
      <c r="E317" s="4">
        <v>10.0</v>
      </c>
      <c r="F317" s="4">
        <v>0.0</v>
      </c>
      <c r="G317" s="6">
        <f t="shared" si="2"/>
        <v>0.3253090436</v>
      </c>
    </row>
    <row r="318" ht="14.25" customHeight="1">
      <c r="A318" s="4">
        <f t="shared" si="1"/>
        <v>8</v>
      </c>
      <c r="B318" s="4">
        <v>80802.0</v>
      </c>
      <c r="C318" s="4">
        <v>502.0</v>
      </c>
      <c r="D318" s="4">
        <v>59.0</v>
      </c>
      <c r="E318" s="4">
        <v>0.0</v>
      </c>
      <c r="F318" s="4">
        <v>0.0</v>
      </c>
      <c r="G318" s="6">
        <f t="shared" si="2"/>
        <v>0</v>
      </c>
    </row>
    <row r="319" ht="14.25" customHeight="1">
      <c r="A319" s="4">
        <f t="shared" si="1"/>
        <v>8</v>
      </c>
      <c r="B319" s="4">
        <v>80803.0</v>
      </c>
      <c r="C319" s="4">
        <v>413.0</v>
      </c>
      <c r="D319" s="4">
        <v>52.0</v>
      </c>
      <c r="E319" s="4">
        <v>0.0</v>
      </c>
      <c r="F319" s="4">
        <v>0.0</v>
      </c>
      <c r="G319" s="6">
        <f t="shared" si="2"/>
        <v>0</v>
      </c>
    </row>
    <row r="320" ht="14.25" customHeight="1">
      <c r="A320" s="4">
        <f t="shared" si="1"/>
        <v>9</v>
      </c>
      <c r="B320" s="4">
        <v>90101.0</v>
      </c>
      <c r="C320" s="4">
        <v>11745.0</v>
      </c>
      <c r="D320" s="4">
        <v>1758.0</v>
      </c>
      <c r="E320" s="4">
        <v>238.0</v>
      </c>
      <c r="F320" s="4">
        <v>10.0</v>
      </c>
      <c r="G320" s="6">
        <f t="shared" si="2"/>
        <v>2.02639421</v>
      </c>
    </row>
    <row r="321" ht="14.25" customHeight="1">
      <c r="A321" s="4">
        <f t="shared" si="1"/>
        <v>9</v>
      </c>
      <c r="B321" s="4">
        <v>90102.0</v>
      </c>
      <c r="C321" s="4">
        <v>911.0</v>
      </c>
      <c r="D321" s="4">
        <v>174.0</v>
      </c>
      <c r="E321" s="4">
        <v>32.0</v>
      </c>
      <c r="F321" s="4">
        <v>1.0</v>
      </c>
      <c r="G321" s="6">
        <f t="shared" si="2"/>
        <v>3.512623491</v>
      </c>
    </row>
    <row r="322" ht="14.25" customHeight="1">
      <c r="A322" s="4">
        <f t="shared" si="1"/>
        <v>9</v>
      </c>
      <c r="B322" s="4">
        <v>90104.0</v>
      </c>
      <c r="C322" s="4">
        <v>202.0</v>
      </c>
      <c r="D322" s="4">
        <v>43.0</v>
      </c>
      <c r="E322" s="4">
        <v>1.0</v>
      </c>
      <c r="F322" s="4">
        <v>0.0</v>
      </c>
      <c r="G322" s="6">
        <f t="shared" si="2"/>
        <v>0.495049505</v>
      </c>
    </row>
    <row r="323" ht="14.25" customHeight="1">
      <c r="A323" s="4">
        <f t="shared" si="1"/>
        <v>9</v>
      </c>
      <c r="B323" s="4">
        <v>90201.0</v>
      </c>
      <c r="C323" s="4">
        <v>764.0</v>
      </c>
      <c r="D323" s="4">
        <v>245.0</v>
      </c>
      <c r="E323" s="4">
        <v>32.0</v>
      </c>
      <c r="F323" s="4">
        <v>1.0</v>
      </c>
      <c r="G323" s="6">
        <f t="shared" si="2"/>
        <v>4.188481675</v>
      </c>
    </row>
    <row r="324" ht="14.25" customHeight="1">
      <c r="A324" s="4">
        <f t="shared" si="1"/>
        <v>9</v>
      </c>
      <c r="B324" s="4">
        <v>90202.0</v>
      </c>
      <c r="C324" s="4">
        <v>102.0</v>
      </c>
      <c r="D324" s="4">
        <v>38.0</v>
      </c>
      <c r="E324" s="4">
        <v>3.0</v>
      </c>
      <c r="F324" s="4">
        <v>0.0</v>
      </c>
      <c r="G324" s="6">
        <f t="shared" si="2"/>
        <v>2.941176471</v>
      </c>
    </row>
    <row r="325" ht="14.25" customHeight="1">
      <c r="A325" s="4">
        <f t="shared" si="1"/>
        <v>9</v>
      </c>
      <c r="B325" s="4">
        <v>90203.0</v>
      </c>
      <c r="C325" s="4">
        <v>404.0</v>
      </c>
      <c r="D325" s="4">
        <v>51.0</v>
      </c>
      <c r="E325" s="4">
        <v>16.0</v>
      </c>
      <c r="F325" s="4">
        <v>2.0</v>
      </c>
      <c r="G325" s="6">
        <f t="shared" si="2"/>
        <v>3.96039604</v>
      </c>
    </row>
    <row r="326" ht="14.25" customHeight="1">
      <c r="A326" s="4">
        <f t="shared" si="1"/>
        <v>9</v>
      </c>
      <c r="B326" s="4">
        <v>90301.0</v>
      </c>
      <c r="C326" s="4">
        <v>184.0</v>
      </c>
      <c r="D326" s="4">
        <v>0.0</v>
      </c>
      <c r="E326" s="4">
        <v>0.0</v>
      </c>
      <c r="F326" s="4">
        <v>0.0</v>
      </c>
      <c r="G326" s="6">
        <f t="shared" si="2"/>
        <v>0</v>
      </c>
    </row>
    <row r="327" ht="14.25" customHeight="1">
      <c r="A327" s="4">
        <f t="shared" si="1"/>
        <v>9</v>
      </c>
      <c r="B327" s="4">
        <v>90302.0</v>
      </c>
      <c r="C327" s="4">
        <v>186.0</v>
      </c>
      <c r="D327" s="4">
        <v>22.0</v>
      </c>
      <c r="E327" s="4">
        <v>1.0</v>
      </c>
      <c r="F327" s="4">
        <v>0.0</v>
      </c>
      <c r="G327" s="6">
        <f t="shared" si="2"/>
        <v>0.5376344086</v>
      </c>
    </row>
    <row r="328" ht="14.25" customHeight="1">
      <c r="A328" s="4">
        <f t="shared" si="1"/>
        <v>9</v>
      </c>
      <c r="B328" s="4">
        <v>90303.0</v>
      </c>
      <c r="C328" s="4">
        <v>501.0</v>
      </c>
      <c r="D328" s="4">
        <v>66.0</v>
      </c>
      <c r="E328" s="4">
        <v>2.0</v>
      </c>
      <c r="F328" s="4">
        <v>0.0</v>
      </c>
      <c r="G328" s="6">
        <f t="shared" si="2"/>
        <v>0.3992015968</v>
      </c>
    </row>
    <row r="329" ht="14.25" customHeight="1">
      <c r="A329" s="4">
        <f t="shared" si="1"/>
        <v>9</v>
      </c>
      <c r="B329" s="4">
        <v>90501.0</v>
      </c>
      <c r="C329" s="4">
        <v>80.0</v>
      </c>
      <c r="D329" s="4">
        <v>0.0</v>
      </c>
      <c r="E329" s="4">
        <v>0.0</v>
      </c>
      <c r="F329" s="4">
        <v>0.0</v>
      </c>
      <c r="G329" s="6">
        <f t="shared" si="2"/>
        <v>0</v>
      </c>
    </row>
    <row r="330" ht="14.25" customHeight="1">
      <c r="A330" s="4">
        <f t="shared" si="1"/>
        <v>9</v>
      </c>
      <c r="B330" s="4">
        <v>90502.0</v>
      </c>
      <c r="C330" s="4">
        <v>113.0</v>
      </c>
      <c r="D330" s="4">
        <v>0.0</v>
      </c>
      <c r="E330" s="4">
        <v>0.0</v>
      </c>
      <c r="F330" s="4">
        <v>0.0</v>
      </c>
      <c r="G330" s="6">
        <f t="shared" si="2"/>
        <v>0</v>
      </c>
    </row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0" width="8.86"/>
    <col customWidth="1" min="11" max="11" width="16.57"/>
    <col customWidth="1" min="12" max="12" width="19.0"/>
    <col customWidth="1" min="13" max="13" width="22.29"/>
    <col customWidth="1" min="14" max="26" width="8.86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1"/>
      <c r="I1" s="1"/>
      <c r="J1" s="1"/>
      <c r="N1" s="5" t="s">
        <v>6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4">
        <f t="shared" ref="A2:A326" si="1">VALUE(MID(B2,1,1))</f>
        <v>1</v>
      </c>
      <c r="B2" s="4">
        <v>10101.0</v>
      </c>
      <c r="C2" s="4">
        <v>94916.0</v>
      </c>
      <c r="D2" s="4">
        <v>14317.0</v>
      </c>
      <c r="E2" s="4">
        <v>5007.0</v>
      </c>
      <c r="F2" s="4">
        <v>1073.0</v>
      </c>
      <c r="G2" s="6">
        <f t="shared" ref="G2:G326" si="2">100*E2/C2</f>
        <v>5.275190695</v>
      </c>
      <c r="N2" s="4">
        <f t="shared" ref="N2:N11" si="3">100*M2/L2</f>
        <v>8.713315209</v>
      </c>
    </row>
    <row r="3" ht="14.25" customHeight="1">
      <c r="A3" s="4">
        <f t="shared" si="1"/>
        <v>1</v>
      </c>
      <c r="B3" s="4">
        <v>10102.0</v>
      </c>
      <c r="C3" s="4">
        <v>3342.0</v>
      </c>
      <c r="D3" s="4">
        <v>1247.0</v>
      </c>
      <c r="E3" s="4">
        <v>492.0</v>
      </c>
      <c r="F3" s="4">
        <v>93.0</v>
      </c>
      <c r="G3" s="6">
        <f t="shared" si="2"/>
        <v>14.72172352</v>
      </c>
      <c r="N3" s="4">
        <f t="shared" si="3"/>
        <v>9.114883763</v>
      </c>
    </row>
    <row r="4" ht="14.25" customHeight="1">
      <c r="A4" s="4">
        <f t="shared" si="1"/>
        <v>1</v>
      </c>
      <c r="B4" s="4">
        <v>10103.0</v>
      </c>
      <c r="C4" s="4">
        <v>2176.0</v>
      </c>
      <c r="D4" s="4">
        <v>1035.0</v>
      </c>
      <c r="E4" s="4">
        <v>300.0</v>
      </c>
      <c r="F4" s="4">
        <v>47.0</v>
      </c>
      <c r="G4" s="6">
        <f t="shared" si="2"/>
        <v>13.78676471</v>
      </c>
      <c r="N4" s="4">
        <f t="shared" si="3"/>
        <v>6.761084355</v>
      </c>
    </row>
    <row r="5" ht="14.25" customHeight="1">
      <c r="A5" s="4">
        <f t="shared" si="1"/>
        <v>1</v>
      </c>
      <c r="B5" s="4">
        <v>10201.0</v>
      </c>
      <c r="C5" s="4">
        <v>1449.0</v>
      </c>
      <c r="D5" s="4">
        <v>615.0</v>
      </c>
      <c r="E5" s="4">
        <v>239.0</v>
      </c>
      <c r="F5" s="4">
        <v>60.0</v>
      </c>
      <c r="G5" s="6">
        <f t="shared" si="2"/>
        <v>16.49413389</v>
      </c>
      <c r="N5" s="4">
        <f t="shared" si="3"/>
        <v>10.05542711</v>
      </c>
    </row>
    <row r="6" ht="14.25" customHeight="1">
      <c r="A6" s="4">
        <f t="shared" si="1"/>
        <v>1</v>
      </c>
      <c r="B6" s="4">
        <v>10202.0</v>
      </c>
      <c r="C6" s="4">
        <v>2476.0</v>
      </c>
      <c r="D6" s="4">
        <v>1087.0</v>
      </c>
      <c r="E6" s="4">
        <v>358.0</v>
      </c>
      <c r="F6" s="4">
        <v>63.0</v>
      </c>
      <c r="G6" s="6">
        <f t="shared" si="2"/>
        <v>14.45880452</v>
      </c>
      <c r="N6" s="4">
        <f t="shared" si="3"/>
        <v>11.50429545</v>
      </c>
    </row>
    <row r="7" ht="14.25" customHeight="1">
      <c r="A7" s="4">
        <f t="shared" si="1"/>
        <v>1</v>
      </c>
      <c r="B7" s="4">
        <v>10301.0</v>
      </c>
      <c r="C7" s="4">
        <v>1931.0</v>
      </c>
      <c r="D7" s="4">
        <v>672.0</v>
      </c>
      <c r="E7" s="4">
        <v>265.0</v>
      </c>
      <c r="F7" s="4">
        <v>60.0</v>
      </c>
      <c r="G7" s="6">
        <f t="shared" si="2"/>
        <v>13.72345935</v>
      </c>
      <c r="N7" s="4">
        <f t="shared" si="3"/>
        <v>7.175727958</v>
      </c>
    </row>
    <row r="8" ht="14.25" customHeight="1">
      <c r="A8" s="4">
        <f t="shared" si="1"/>
        <v>1</v>
      </c>
      <c r="B8" s="4">
        <v>10302.0</v>
      </c>
      <c r="C8" s="4">
        <v>1472.0</v>
      </c>
      <c r="D8" s="4">
        <v>442.0</v>
      </c>
      <c r="E8" s="4">
        <v>116.0</v>
      </c>
      <c r="F8" s="4">
        <v>14.0</v>
      </c>
      <c r="G8" s="6">
        <f t="shared" si="2"/>
        <v>7.880434783</v>
      </c>
      <c r="N8" s="4">
        <f t="shared" si="3"/>
        <v>6.850064588</v>
      </c>
    </row>
    <row r="9" ht="14.25" customHeight="1">
      <c r="A9" s="4">
        <f t="shared" si="1"/>
        <v>1</v>
      </c>
      <c r="B9" s="4">
        <v>10303.0</v>
      </c>
      <c r="C9" s="4">
        <v>1832.0</v>
      </c>
      <c r="D9" s="4">
        <v>496.0</v>
      </c>
      <c r="E9" s="4">
        <v>211.0</v>
      </c>
      <c r="F9" s="4">
        <v>28.0</v>
      </c>
      <c r="G9" s="6">
        <f t="shared" si="2"/>
        <v>11.51746725</v>
      </c>
      <c r="N9" s="4">
        <f t="shared" si="3"/>
        <v>1.963715908</v>
      </c>
    </row>
    <row r="10" ht="14.25" customHeight="1">
      <c r="A10" s="4">
        <f t="shared" si="1"/>
        <v>1</v>
      </c>
      <c r="B10" s="4">
        <v>10304.0</v>
      </c>
      <c r="C10" s="4">
        <v>1496.0</v>
      </c>
      <c r="D10" s="4">
        <v>504.0</v>
      </c>
      <c r="E10" s="4">
        <v>156.0</v>
      </c>
      <c r="F10" s="4">
        <v>16.0</v>
      </c>
      <c r="G10" s="6">
        <f t="shared" si="2"/>
        <v>10.42780749</v>
      </c>
      <c r="N10" s="4">
        <f t="shared" si="3"/>
        <v>2.156297212</v>
      </c>
    </row>
    <row r="11" ht="14.25" customHeight="1">
      <c r="A11" s="4">
        <f t="shared" si="1"/>
        <v>1</v>
      </c>
      <c r="B11" s="4">
        <v>10401.0</v>
      </c>
      <c r="C11" s="4">
        <v>2762.0</v>
      </c>
      <c r="D11" s="4">
        <v>773.0</v>
      </c>
      <c r="E11" s="4">
        <v>300.0</v>
      </c>
      <c r="F11" s="4">
        <v>82.0</v>
      </c>
      <c r="G11" s="6">
        <f t="shared" si="2"/>
        <v>10.86169442</v>
      </c>
      <c r="N11" s="4">
        <f t="shared" si="3"/>
        <v>7.916296431</v>
      </c>
    </row>
    <row r="12" ht="14.25" customHeight="1">
      <c r="A12" s="4">
        <f t="shared" si="1"/>
        <v>1</v>
      </c>
      <c r="B12" s="4">
        <v>10402.0</v>
      </c>
      <c r="C12" s="4">
        <v>2052.0</v>
      </c>
      <c r="D12" s="4">
        <v>626.0</v>
      </c>
      <c r="E12" s="4">
        <v>256.0</v>
      </c>
      <c r="F12" s="4">
        <v>61.0</v>
      </c>
      <c r="G12" s="6">
        <f t="shared" si="2"/>
        <v>12.47563353</v>
      </c>
    </row>
    <row r="13" ht="14.25" customHeight="1">
      <c r="A13" s="4">
        <f t="shared" si="1"/>
        <v>1</v>
      </c>
      <c r="B13" s="4">
        <v>10403.0</v>
      </c>
      <c r="C13" s="4">
        <v>1572.0</v>
      </c>
      <c r="D13" s="4">
        <v>590.0</v>
      </c>
      <c r="E13" s="4">
        <v>216.0</v>
      </c>
      <c r="F13" s="4">
        <v>27.0</v>
      </c>
      <c r="G13" s="6">
        <f t="shared" si="2"/>
        <v>13.74045802</v>
      </c>
    </row>
    <row r="14" ht="14.25" customHeight="1">
      <c r="A14" s="4">
        <f t="shared" si="1"/>
        <v>1</v>
      </c>
      <c r="B14" s="4">
        <v>10404.0</v>
      </c>
      <c r="C14" s="4">
        <v>1105.0</v>
      </c>
      <c r="D14" s="4">
        <v>395.0</v>
      </c>
      <c r="E14" s="4">
        <v>167.0</v>
      </c>
      <c r="F14" s="4">
        <v>57.0</v>
      </c>
      <c r="G14" s="6">
        <f t="shared" si="2"/>
        <v>15.11312217</v>
      </c>
    </row>
    <row r="15" ht="14.25" customHeight="1">
      <c r="A15" s="4">
        <f t="shared" si="1"/>
        <v>1</v>
      </c>
      <c r="B15" s="4">
        <v>10405.0</v>
      </c>
      <c r="C15" s="4">
        <v>1059.0</v>
      </c>
      <c r="D15" s="4">
        <v>352.0</v>
      </c>
      <c r="E15" s="4">
        <v>143.0</v>
      </c>
      <c r="F15" s="4">
        <v>24.0</v>
      </c>
      <c r="G15" s="6">
        <f t="shared" si="2"/>
        <v>13.503305</v>
      </c>
      <c r="N15" s="4">
        <f t="shared" ref="N15:N18" si="4">100*M15/L15</f>
        <v>4.516918703</v>
      </c>
    </row>
    <row r="16" ht="14.25" customHeight="1">
      <c r="A16" s="4">
        <f t="shared" si="1"/>
        <v>1</v>
      </c>
      <c r="B16" s="4">
        <v>10501.0</v>
      </c>
      <c r="C16" s="4">
        <v>6554.0</v>
      </c>
      <c r="D16" s="4">
        <v>1305.0</v>
      </c>
      <c r="E16" s="4">
        <v>412.0</v>
      </c>
      <c r="F16" s="4">
        <v>114.0</v>
      </c>
      <c r="G16" s="6">
        <f t="shared" si="2"/>
        <v>6.286237412</v>
      </c>
      <c r="N16" s="4">
        <f t="shared" si="4"/>
        <v>9.517304189</v>
      </c>
    </row>
    <row r="17" ht="14.25" customHeight="1">
      <c r="A17" s="4">
        <f t="shared" si="1"/>
        <v>1</v>
      </c>
      <c r="B17" s="4">
        <v>10502.0</v>
      </c>
      <c r="C17" s="4">
        <v>2047.0</v>
      </c>
      <c r="D17" s="4">
        <v>635.0</v>
      </c>
      <c r="E17" s="4">
        <v>150.0</v>
      </c>
      <c r="F17" s="4">
        <v>10.0</v>
      </c>
      <c r="G17" s="6">
        <f t="shared" si="2"/>
        <v>7.327796776</v>
      </c>
      <c r="N17" s="4">
        <f t="shared" si="4"/>
        <v>5.438981895</v>
      </c>
    </row>
    <row r="18" ht="14.25" customHeight="1">
      <c r="A18" s="4">
        <f t="shared" si="1"/>
        <v>1</v>
      </c>
      <c r="B18" s="4">
        <v>10601.0</v>
      </c>
      <c r="C18" s="4">
        <v>3684.0</v>
      </c>
      <c r="D18" s="4">
        <v>1640.0</v>
      </c>
      <c r="E18" s="4">
        <v>580.0</v>
      </c>
      <c r="F18" s="4">
        <v>93.0</v>
      </c>
      <c r="G18" s="6">
        <f t="shared" si="2"/>
        <v>15.74375679</v>
      </c>
      <c r="N18" s="4">
        <f t="shared" si="4"/>
        <v>5.31220876</v>
      </c>
    </row>
    <row r="19" ht="14.25" customHeight="1">
      <c r="A19" s="4">
        <f t="shared" si="1"/>
        <v>1</v>
      </c>
      <c r="B19" s="4">
        <v>10602.0</v>
      </c>
      <c r="C19" s="4">
        <v>2243.0</v>
      </c>
      <c r="D19" s="4">
        <v>981.0</v>
      </c>
      <c r="E19" s="4">
        <v>402.0</v>
      </c>
      <c r="F19" s="4">
        <v>81.0</v>
      </c>
      <c r="G19" s="6">
        <f t="shared" si="2"/>
        <v>17.92242532</v>
      </c>
    </row>
    <row r="20" ht="14.25" customHeight="1">
      <c r="A20" s="4">
        <f t="shared" si="1"/>
        <v>1</v>
      </c>
      <c r="B20" s="4">
        <v>10701.0</v>
      </c>
      <c r="C20" s="4">
        <v>4518.0</v>
      </c>
      <c r="D20" s="4">
        <v>1791.0</v>
      </c>
      <c r="E20" s="4">
        <v>719.0</v>
      </c>
      <c r="F20" s="4">
        <v>1.0</v>
      </c>
      <c r="G20" s="6">
        <f t="shared" si="2"/>
        <v>15.91412129</v>
      </c>
    </row>
    <row r="21" ht="14.25" customHeight="1">
      <c r="A21" s="4">
        <f t="shared" si="1"/>
        <v>1</v>
      </c>
      <c r="B21" s="4">
        <v>10702.0</v>
      </c>
      <c r="C21" s="4">
        <v>7228.0</v>
      </c>
      <c r="D21" s="4">
        <v>3746.0</v>
      </c>
      <c r="E21" s="4">
        <v>1677.0</v>
      </c>
      <c r="F21" s="4">
        <v>0.0</v>
      </c>
      <c r="G21" s="6">
        <f t="shared" si="2"/>
        <v>23.20143885</v>
      </c>
    </row>
    <row r="22" ht="14.25" customHeight="1">
      <c r="A22" s="4">
        <f t="shared" si="1"/>
        <v>1</v>
      </c>
      <c r="B22" s="4">
        <v>10703.0</v>
      </c>
      <c r="C22" s="4">
        <v>1425.0</v>
      </c>
      <c r="D22" s="4">
        <v>460.0</v>
      </c>
      <c r="E22" s="4">
        <v>153.0</v>
      </c>
      <c r="F22" s="4">
        <v>0.0</v>
      </c>
      <c r="G22" s="6">
        <f t="shared" si="2"/>
        <v>10.73684211</v>
      </c>
    </row>
    <row r="23" ht="14.25" customHeight="1">
      <c r="A23" s="4">
        <f t="shared" si="1"/>
        <v>1</v>
      </c>
      <c r="B23" s="4">
        <v>10704.0</v>
      </c>
      <c r="C23" s="4">
        <v>2650.0</v>
      </c>
      <c r="D23" s="4">
        <v>1154.0</v>
      </c>
      <c r="E23" s="4">
        <v>357.0</v>
      </c>
      <c r="F23" s="4">
        <v>0.0</v>
      </c>
      <c r="G23" s="6">
        <f t="shared" si="2"/>
        <v>13.47169811</v>
      </c>
    </row>
    <row r="24" ht="14.25" customHeight="1">
      <c r="A24" s="4">
        <f t="shared" si="1"/>
        <v>1</v>
      </c>
      <c r="B24" s="4">
        <v>10801.0</v>
      </c>
      <c r="C24" s="4">
        <v>3340.0</v>
      </c>
      <c r="D24" s="4">
        <v>1195.0</v>
      </c>
      <c r="E24" s="4">
        <v>524.0</v>
      </c>
      <c r="F24" s="4">
        <v>119.0</v>
      </c>
      <c r="G24" s="6">
        <f t="shared" si="2"/>
        <v>15.68862275</v>
      </c>
    </row>
    <row r="25" ht="14.25" customHeight="1">
      <c r="A25" s="4">
        <f t="shared" si="1"/>
        <v>1</v>
      </c>
      <c r="B25" s="4">
        <v>10901.0</v>
      </c>
      <c r="C25" s="4">
        <v>1080.0</v>
      </c>
      <c r="D25" s="4">
        <v>500.0</v>
      </c>
      <c r="E25" s="4">
        <v>191.0</v>
      </c>
      <c r="F25" s="4">
        <v>0.0</v>
      </c>
      <c r="G25" s="6">
        <f t="shared" si="2"/>
        <v>17.68518519</v>
      </c>
    </row>
    <row r="26" ht="14.25" customHeight="1">
      <c r="A26" s="4">
        <f t="shared" si="1"/>
        <v>1</v>
      </c>
      <c r="B26" s="4">
        <v>10902.0</v>
      </c>
      <c r="C26" s="4">
        <v>2888.0</v>
      </c>
      <c r="D26" s="4">
        <v>833.0</v>
      </c>
      <c r="E26" s="4">
        <v>295.0</v>
      </c>
      <c r="F26" s="4">
        <v>0.0</v>
      </c>
      <c r="G26" s="6">
        <f t="shared" si="2"/>
        <v>10.21468144</v>
      </c>
    </row>
    <row r="27" ht="14.25" customHeight="1">
      <c r="A27" s="4">
        <f t="shared" si="1"/>
        <v>1</v>
      </c>
      <c r="B27" s="4">
        <v>10903.0</v>
      </c>
      <c r="C27" s="4">
        <v>997.0</v>
      </c>
      <c r="D27" s="4">
        <v>450.0</v>
      </c>
      <c r="E27" s="4">
        <v>190.0</v>
      </c>
      <c r="F27" s="4">
        <v>0.0</v>
      </c>
      <c r="G27" s="6">
        <f t="shared" si="2"/>
        <v>19.05717151</v>
      </c>
    </row>
    <row r="28" ht="14.25" customHeight="1">
      <c r="A28" s="4">
        <f t="shared" si="1"/>
        <v>1</v>
      </c>
      <c r="B28" s="4">
        <v>11001.0</v>
      </c>
      <c r="C28" s="4">
        <v>2147.0</v>
      </c>
      <c r="D28" s="4">
        <v>503.0</v>
      </c>
      <c r="E28" s="4">
        <v>115.0</v>
      </c>
      <c r="F28" s="4">
        <v>10.0</v>
      </c>
      <c r="G28" s="6">
        <f t="shared" si="2"/>
        <v>5.356311132</v>
      </c>
    </row>
    <row r="29" ht="14.25" customHeight="1">
      <c r="A29" s="4">
        <f t="shared" si="1"/>
        <v>1</v>
      </c>
      <c r="B29" s="4">
        <v>11002.0</v>
      </c>
      <c r="C29" s="4">
        <v>70.0</v>
      </c>
      <c r="D29" s="4">
        <v>19.0</v>
      </c>
      <c r="E29" s="4">
        <v>8.0</v>
      </c>
      <c r="F29" s="4">
        <v>5.0</v>
      </c>
      <c r="G29" s="6">
        <f t="shared" si="2"/>
        <v>11.42857143</v>
      </c>
    </row>
    <row r="30" ht="14.25" customHeight="1">
      <c r="A30" s="4">
        <f t="shared" si="1"/>
        <v>1</v>
      </c>
      <c r="B30" s="4">
        <v>11003.0</v>
      </c>
      <c r="C30" s="4">
        <v>966.0</v>
      </c>
      <c r="D30" s="4">
        <v>263.0</v>
      </c>
      <c r="E30" s="4">
        <v>71.0</v>
      </c>
      <c r="F30" s="4">
        <v>15.0</v>
      </c>
      <c r="G30" s="6">
        <f t="shared" si="2"/>
        <v>7.34989648</v>
      </c>
    </row>
    <row r="31" ht="14.25" customHeight="1">
      <c r="A31" s="4">
        <f t="shared" si="1"/>
        <v>2</v>
      </c>
      <c r="B31" s="4">
        <v>20101.0</v>
      </c>
      <c r="C31" s="4">
        <v>311555.0</v>
      </c>
      <c r="D31" s="4">
        <v>56282.0</v>
      </c>
      <c r="E31" s="4">
        <v>18660.0</v>
      </c>
      <c r="F31" s="4">
        <v>4985.0</v>
      </c>
      <c r="G31" s="6">
        <f t="shared" si="2"/>
        <v>5.989311679</v>
      </c>
    </row>
    <row r="32" ht="14.25" customHeight="1">
      <c r="A32" s="4">
        <f t="shared" si="1"/>
        <v>2</v>
      </c>
      <c r="B32" s="4">
        <v>20102.0</v>
      </c>
      <c r="C32" s="4">
        <v>4348.0</v>
      </c>
      <c r="D32" s="4">
        <v>1004.0</v>
      </c>
      <c r="E32" s="4">
        <v>408.0</v>
      </c>
      <c r="F32" s="4">
        <v>82.0</v>
      </c>
      <c r="G32" s="6">
        <f t="shared" si="2"/>
        <v>9.383624655</v>
      </c>
    </row>
    <row r="33" ht="14.25" customHeight="1">
      <c r="A33" s="4">
        <f t="shared" si="1"/>
        <v>2</v>
      </c>
      <c r="B33" s="4">
        <v>20103.0</v>
      </c>
      <c r="C33" s="4">
        <v>7381.0</v>
      </c>
      <c r="D33" s="4">
        <v>1888.0</v>
      </c>
      <c r="E33" s="4">
        <v>873.0</v>
      </c>
      <c r="F33" s="4">
        <v>228.0</v>
      </c>
      <c r="G33" s="6">
        <f t="shared" si="2"/>
        <v>11.82766563</v>
      </c>
    </row>
    <row r="34" ht="14.25" customHeight="1">
      <c r="A34" s="4">
        <f t="shared" si="1"/>
        <v>2</v>
      </c>
      <c r="B34" s="4">
        <v>20104.0</v>
      </c>
      <c r="C34" s="4">
        <v>12212.0</v>
      </c>
      <c r="D34" s="4">
        <v>4235.0</v>
      </c>
      <c r="E34" s="4">
        <v>2068.0</v>
      </c>
      <c r="F34" s="4">
        <v>599.0</v>
      </c>
      <c r="G34" s="6">
        <f t="shared" si="2"/>
        <v>16.93416312</v>
      </c>
    </row>
    <row r="35" ht="14.25" customHeight="1">
      <c r="A35" s="4">
        <f t="shared" si="1"/>
        <v>2</v>
      </c>
      <c r="B35" s="4">
        <v>20105.0</v>
      </c>
      <c r="C35" s="4">
        <v>306188.0</v>
      </c>
      <c r="D35" s="4">
        <v>53826.0</v>
      </c>
      <c r="E35" s="4">
        <v>23131.0</v>
      </c>
      <c r="F35" s="4">
        <v>6379.0</v>
      </c>
      <c r="G35" s="6">
        <f t="shared" si="2"/>
        <v>7.554508994</v>
      </c>
    </row>
    <row r="36" ht="14.25" customHeight="1">
      <c r="A36" s="4">
        <f t="shared" si="1"/>
        <v>2</v>
      </c>
      <c r="B36" s="4">
        <v>20201.0</v>
      </c>
      <c r="C36" s="4">
        <v>13605.0</v>
      </c>
      <c r="D36" s="4">
        <v>4289.0</v>
      </c>
      <c r="E36" s="4">
        <v>1712.0</v>
      </c>
      <c r="F36" s="4">
        <v>402.0</v>
      </c>
      <c r="G36" s="6">
        <f t="shared" si="2"/>
        <v>12.58360897</v>
      </c>
    </row>
    <row r="37" ht="14.25" customHeight="1">
      <c r="A37" s="4">
        <f t="shared" si="1"/>
        <v>2</v>
      </c>
      <c r="B37" s="4">
        <v>20202.0</v>
      </c>
      <c r="C37" s="4">
        <v>3326.0</v>
      </c>
      <c r="D37" s="4">
        <v>1324.0</v>
      </c>
      <c r="E37" s="4">
        <v>544.0</v>
      </c>
      <c r="F37" s="4">
        <v>92.0</v>
      </c>
      <c r="G37" s="6">
        <f t="shared" si="2"/>
        <v>16.35598316</v>
      </c>
    </row>
    <row r="38" ht="14.25" customHeight="1">
      <c r="A38" s="4">
        <f t="shared" si="1"/>
        <v>2</v>
      </c>
      <c r="B38" s="4">
        <v>20203.0</v>
      </c>
      <c r="C38" s="4">
        <v>1326.0</v>
      </c>
      <c r="D38" s="4">
        <v>510.0</v>
      </c>
      <c r="E38" s="4">
        <v>216.0</v>
      </c>
      <c r="F38" s="4">
        <v>38.0</v>
      </c>
      <c r="G38" s="6">
        <f t="shared" si="2"/>
        <v>16.28959276</v>
      </c>
    </row>
    <row r="39" ht="14.25" customHeight="1">
      <c r="A39" s="4">
        <f t="shared" si="1"/>
        <v>2</v>
      </c>
      <c r="B39" s="4">
        <v>20204.0</v>
      </c>
      <c r="C39" s="4">
        <v>2203.0</v>
      </c>
      <c r="D39" s="4">
        <v>828.0</v>
      </c>
      <c r="E39" s="4">
        <v>356.0</v>
      </c>
      <c r="F39" s="4">
        <v>58.0</v>
      </c>
      <c r="G39" s="6">
        <f t="shared" si="2"/>
        <v>16.15978212</v>
      </c>
    </row>
    <row r="40" ht="14.25" customHeight="1">
      <c r="A40" s="4">
        <f t="shared" si="1"/>
        <v>2</v>
      </c>
      <c r="B40" s="4">
        <v>20205.0</v>
      </c>
      <c r="C40" s="4">
        <v>2753.0</v>
      </c>
      <c r="D40" s="4">
        <v>1244.0</v>
      </c>
      <c r="E40" s="4">
        <v>608.0</v>
      </c>
      <c r="F40" s="4">
        <v>136.0</v>
      </c>
      <c r="G40" s="6">
        <f t="shared" si="2"/>
        <v>22.08499818</v>
      </c>
    </row>
    <row r="41" ht="14.25" customHeight="1">
      <c r="A41" s="4">
        <f t="shared" si="1"/>
        <v>2</v>
      </c>
      <c r="B41" s="4">
        <v>20206.0</v>
      </c>
      <c r="C41" s="4">
        <v>1180.0</v>
      </c>
      <c r="D41" s="4">
        <v>553.0</v>
      </c>
      <c r="E41" s="4">
        <v>258.0</v>
      </c>
      <c r="F41" s="4">
        <v>54.0</v>
      </c>
      <c r="G41" s="6">
        <f t="shared" si="2"/>
        <v>21.86440678</v>
      </c>
    </row>
    <row r="42" ht="14.25" customHeight="1">
      <c r="A42" s="4">
        <f t="shared" si="1"/>
        <v>2</v>
      </c>
      <c r="B42" s="4">
        <v>20301.0</v>
      </c>
      <c r="C42" s="4">
        <v>2841.0</v>
      </c>
      <c r="D42" s="4">
        <v>1421.0</v>
      </c>
      <c r="E42" s="4">
        <v>759.0</v>
      </c>
      <c r="F42" s="4">
        <v>247.0</v>
      </c>
      <c r="G42" s="6">
        <f t="shared" si="2"/>
        <v>26.71594509</v>
      </c>
    </row>
    <row r="43" ht="14.25" customHeight="1">
      <c r="A43" s="4">
        <f t="shared" si="1"/>
        <v>2</v>
      </c>
      <c r="B43" s="4">
        <v>20302.0</v>
      </c>
      <c r="C43" s="4">
        <v>3285.0</v>
      </c>
      <c r="D43" s="4">
        <v>1924.0</v>
      </c>
      <c r="E43" s="4">
        <v>987.0</v>
      </c>
      <c r="F43" s="4">
        <v>283.0</v>
      </c>
      <c r="G43" s="6">
        <f t="shared" si="2"/>
        <v>30.0456621</v>
      </c>
    </row>
    <row r="44" ht="14.25" customHeight="1">
      <c r="A44" s="4">
        <f t="shared" si="1"/>
        <v>2</v>
      </c>
      <c r="B44" s="4">
        <v>20303.0</v>
      </c>
      <c r="C44" s="4">
        <v>1663.0</v>
      </c>
      <c r="D44" s="4">
        <v>1075.0</v>
      </c>
      <c r="E44" s="4">
        <v>560.0</v>
      </c>
      <c r="F44" s="4">
        <v>138.0</v>
      </c>
      <c r="G44" s="6">
        <f t="shared" si="2"/>
        <v>33.67408298</v>
      </c>
    </row>
    <row r="45" ht="14.25" customHeight="1">
      <c r="A45" s="4">
        <f t="shared" si="1"/>
        <v>2</v>
      </c>
      <c r="B45" s="4">
        <v>20304.0</v>
      </c>
      <c r="C45" s="4">
        <v>1168.0</v>
      </c>
      <c r="D45" s="4">
        <v>611.0</v>
      </c>
      <c r="E45" s="4">
        <v>306.0</v>
      </c>
      <c r="F45" s="4">
        <v>98.0</v>
      </c>
      <c r="G45" s="6">
        <f t="shared" si="2"/>
        <v>26.19863014</v>
      </c>
    </row>
    <row r="46" ht="14.25" customHeight="1">
      <c r="A46" s="4">
        <f t="shared" si="1"/>
        <v>2</v>
      </c>
      <c r="B46" s="4">
        <v>20305.0</v>
      </c>
      <c r="C46" s="4">
        <v>398.0</v>
      </c>
      <c r="D46" s="4">
        <v>152.0</v>
      </c>
      <c r="E46" s="4">
        <v>65.0</v>
      </c>
      <c r="F46" s="4">
        <v>20.0</v>
      </c>
      <c r="G46" s="6">
        <f t="shared" si="2"/>
        <v>16.33165829</v>
      </c>
    </row>
    <row r="47" ht="14.25" customHeight="1">
      <c r="A47" s="4">
        <f t="shared" si="1"/>
        <v>2</v>
      </c>
      <c r="B47" s="4">
        <v>20307.0</v>
      </c>
      <c r="C47" s="4">
        <v>104.0</v>
      </c>
      <c r="D47" s="4">
        <v>56.0</v>
      </c>
      <c r="E47" s="4">
        <v>24.0</v>
      </c>
      <c r="F47" s="4">
        <v>7.0</v>
      </c>
      <c r="G47" s="6">
        <f t="shared" si="2"/>
        <v>23.07692308</v>
      </c>
    </row>
    <row r="48" ht="14.25" customHeight="1">
      <c r="A48" s="4">
        <f t="shared" si="1"/>
        <v>2</v>
      </c>
      <c r="B48" s="4">
        <v>20308.0</v>
      </c>
      <c r="C48" s="4">
        <v>1510.0</v>
      </c>
      <c r="D48" s="4">
        <v>972.0</v>
      </c>
      <c r="E48" s="4">
        <v>526.0</v>
      </c>
      <c r="F48" s="4">
        <v>115.0</v>
      </c>
      <c r="G48" s="6">
        <f t="shared" si="2"/>
        <v>34.83443709</v>
      </c>
    </row>
    <row r="49" ht="14.25" customHeight="1">
      <c r="A49" s="4">
        <f t="shared" si="1"/>
        <v>2</v>
      </c>
      <c r="B49" s="4">
        <v>20401.0</v>
      </c>
      <c r="C49" s="4">
        <v>3885.0</v>
      </c>
      <c r="D49" s="4">
        <v>1601.0</v>
      </c>
      <c r="E49" s="4">
        <v>618.0</v>
      </c>
      <c r="F49" s="4">
        <v>96.0</v>
      </c>
      <c r="G49" s="6">
        <f t="shared" si="2"/>
        <v>15.90733591</v>
      </c>
    </row>
    <row r="50" ht="14.25" customHeight="1">
      <c r="A50" s="4">
        <f t="shared" si="1"/>
        <v>2</v>
      </c>
      <c r="B50" s="4">
        <v>20402.0</v>
      </c>
      <c r="C50" s="4">
        <v>2950.0</v>
      </c>
      <c r="D50" s="4">
        <v>1106.0</v>
      </c>
      <c r="E50" s="4">
        <v>401.0</v>
      </c>
      <c r="F50" s="4">
        <v>56.0</v>
      </c>
      <c r="G50" s="6">
        <f t="shared" si="2"/>
        <v>13.59322034</v>
      </c>
    </row>
    <row r="51" ht="14.25" customHeight="1">
      <c r="A51" s="4">
        <f t="shared" si="1"/>
        <v>2</v>
      </c>
      <c r="B51" s="4">
        <v>20403.0</v>
      </c>
      <c r="C51" s="4">
        <v>3471.0</v>
      </c>
      <c r="D51" s="4">
        <v>1294.0</v>
      </c>
      <c r="E51" s="4">
        <v>481.0</v>
      </c>
      <c r="F51" s="4">
        <v>71.0</v>
      </c>
      <c r="G51" s="6">
        <f t="shared" si="2"/>
        <v>13.8576779</v>
      </c>
    </row>
    <row r="52" ht="14.25" customHeight="1">
      <c r="A52" s="4">
        <f t="shared" si="1"/>
        <v>2</v>
      </c>
      <c r="B52" s="4">
        <v>20404.0</v>
      </c>
      <c r="C52" s="4">
        <v>1139.0</v>
      </c>
      <c r="D52" s="4">
        <v>352.0</v>
      </c>
      <c r="E52" s="4">
        <v>114.0</v>
      </c>
      <c r="F52" s="4">
        <v>14.0</v>
      </c>
      <c r="G52" s="6">
        <f t="shared" si="2"/>
        <v>10.00877963</v>
      </c>
    </row>
    <row r="53" ht="14.25" customHeight="1">
      <c r="A53" s="4">
        <f t="shared" si="1"/>
        <v>2</v>
      </c>
      <c r="B53" s="4">
        <v>20405.0</v>
      </c>
      <c r="C53" s="4">
        <v>2121.0</v>
      </c>
      <c r="D53" s="4">
        <v>764.0</v>
      </c>
      <c r="E53" s="4">
        <v>230.0</v>
      </c>
      <c r="F53" s="4">
        <v>34.0</v>
      </c>
      <c r="G53" s="6">
        <f t="shared" si="2"/>
        <v>10.84394154</v>
      </c>
    </row>
    <row r="54" ht="14.25" customHeight="1">
      <c r="A54" s="4">
        <f t="shared" si="1"/>
        <v>2</v>
      </c>
      <c r="B54" s="4">
        <v>20501.0</v>
      </c>
      <c r="C54" s="4">
        <v>3404.0</v>
      </c>
      <c r="D54" s="4">
        <v>1147.0</v>
      </c>
      <c r="E54" s="4">
        <v>463.0</v>
      </c>
      <c r="F54" s="4">
        <v>75.0</v>
      </c>
      <c r="G54" s="6">
        <f t="shared" si="2"/>
        <v>13.60164512</v>
      </c>
    </row>
    <row r="55" ht="14.25" customHeight="1">
      <c r="A55" s="4">
        <f t="shared" si="1"/>
        <v>2</v>
      </c>
      <c r="B55" s="4">
        <v>20502.0</v>
      </c>
      <c r="C55" s="4">
        <v>1519.0</v>
      </c>
      <c r="D55" s="4">
        <v>525.0</v>
      </c>
      <c r="E55" s="4">
        <v>197.0</v>
      </c>
      <c r="F55" s="4">
        <v>28.0</v>
      </c>
      <c r="G55" s="6">
        <f t="shared" si="2"/>
        <v>12.96905859</v>
      </c>
    </row>
    <row r="56" ht="14.25" customHeight="1">
      <c r="A56" s="4">
        <f t="shared" si="1"/>
        <v>2</v>
      </c>
      <c r="B56" s="4">
        <v>20503.0</v>
      </c>
      <c r="C56" s="4">
        <v>1244.0</v>
      </c>
      <c r="D56" s="4">
        <v>313.0</v>
      </c>
      <c r="E56" s="4">
        <v>108.0</v>
      </c>
      <c r="F56" s="4">
        <v>26.0</v>
      </c>
      <c r="G56" s="6">
        <f t="shared" si="2"/>
        <v>8.681672026</v>
      </c>
    </row>
    <row r="57" ht="14.25" customHeight="1">
      <c r="A57" s="4">
        <f t="shared" si="1"/>
        <v>2</v>
      </c>
      <c r="B57" s="4">
        <v>20601.0</v>
      </c>
      <c r="C57" s="4">
        <v>6772.0</v>
      </c>
      <c r="D57" s="4">
        <v>2010.0</v>
      </c>
      <c r="E57" s="4">
        <v>799.0</v>
      </c>
      <c r="F57" s="4">
        <v>143.0</v>
      </c>
      <c r="G57" s="6">
        <f t="shared" si="2"/>
        <v>11.7985824</v>
      </c>
    </row>
    <row r="58" ht="14.25" customHeight="1">
      <c r="A58" s="4">
        <f t="shared" si="1"/>
        <v>2</v>
      </c>
      <c r="B58" s="4">
        <v>20602.0</v>
      </c>
      <c r="C58" s="4">
        <v>3116.0</v>
      </c>
      <c r="D58" s="4">
        <v>437.0</v>
      </c>
      <c r="E58" s="4">
        <v>96.0</v>
      </c>
      <c r="F58" s="4">
        <v>25.0</v>
      </c>
      <c r="G58" s="6">
        <f t="shared" si="2"/>
        <v>3.080872914</v>
      </c>
    </row>
    <row r="59" ht="14.25" customHeight="1">
      <c r="A59" s="4">
        <f t="shared" si="1"/>
        <v>2</v>
      </c>
      <c r="B59" s="4">
        <v>20603.0</v>
      </c>
      <c r="C59" s="4">
        <v>1865.0</v>
      </c>
      <c r="D59" s="4">
        <v>530.0</v>
      </c>
      <c r="E59" s="4">
        <v>241.0</v>
      </c>
      <c r="F59" s="4">
        <v>67.0</v>
      </c>
      <c r="G59" s="6">
        <f t="shared" si="2"/>
        <v>12.92225201</v>
      </c>
    </row>
    <row r="60" ht="14.25" customHeight="1">
      <c r="A60" s="4">
        <f t="shared" si="1"/>
        <v>2</v>
      </c>
      <c r="B60" s="4">
        <v>20604.0</v>
      </c>
      <c r="C60" s="4">
        <v>791.0</v>
      </c>
      <c r="D60" s="4">
        <v>226.0</v>
      </c>
      <c r="E60" s="4">
        <v>74.0</v>
      </c>
      <c r="F60" s="4">
        <v>17.0</v>
      </c>
      <c r="G60" s="6">
        <f t="shared" si="2"/>
        <v>9.355246523</v>
      </c>
    </row>
    <row r="61" ht="14.25" customHeight="1">
      <c r="A61" s="4">
        <f t="shared" si="1"/>
        <v>2</v>
      </c>
      <c r="B61" s="4">
        <v>20605.0</v>
      </c>
      <c r="C61" s="4">
        <v>586.0</v>
      </c>
      <c r="D61" s="4">
        <v>240.0</v>
      </c>
      <c r="E61" s="4">
        <v>101.0</v>
      </c>
      <c r="F61" s="4">
        <v>18.0</v>
      </c>
      <c r="G61" s="6">
        <f t="shared" si="2"/>
        <v>17.23549488</v>
      </c>
    </row>
    <row r="62" ht="14.25" customHeight="1">
      <c r="A62" s="4">
        <f t="shared" si="1"/>
        <v>2</v>
      </c>
      <c r="B62" s="4">
        <v>20606.0</v>
      </c>
      <c r="C62" s="4">
        <v>2270.0</v>
      </c>
      <c r="D62" s="4">
        <v>492.0</v>
      </c>
      <c r="E62" s="4">
        <v>134.0</v>
      </c>
      <c r="F62" s="4">
        <v>18.0</v>
      </c>
      <c r="G62" s="6">
        <f t="shared" si="2"/>
        <v>5.9030837</v>
      </c>
    </row>
    <row r="63" ht="14.25" customHeight="1">
      <c r="A63" s="4">
        <f t="shared" si="1"/>
        <v>2</v>
      </c>
      <c r="B63" s="4">
        <v>20607.0</v>
      </c>
      <c r="C63" s="4">
        <v>3570.0</v>
      </c>
      <c r="D63" s="4">
        <v>448.0</v>
      </c>
      <c r="E63" s="4">
        <v>155.0</v>
      </c>
      <c r="F63" s="4">
        <v>40.0</v>
      </c>
      <c r="G63" s="6">
        <f t="shared" si="2"/>
        <v>4.341736695</v>
      </c>
    </row>
    <row r="64" ht="14.25" customHeight="1">
      <c r="A64" s="4">
        <f t="shared" si="1"/>
        <v>2</v>
      </c>
      <c r="B64" s="4">
        <v>20608.0</v>
      </c>
      <c r="C64" s="4">
        <v>2454.0</v>
      </c>
      <c r="D64" s="4">
        <v>541.0</v>
      </c>
      <c r="E64" s="4">
        <v>232.0</v>
      </c>
      <c r="F64" s="4">
        <v>66.0</v>
      </c>
      <c r="G64" s="6">
        <f t="shared" si="2"/>
        <v>9.45395273</v>
      </c>
    </row>
    <row r="65" ht="14.25" customHeight="1">
      <c r="A65" s="4">
        <f t="shared" si="1"/>
        <v>2</v>
      </c>
      <c r="B65" s="4">
        <v>20701.0</v>
      </c>
      <c r="C65" s="4">
        <v>4164.0</v>
      </c>
      <c r="D65" s="4">
        <v>824.0</v>
      </c>
      <c r="E65" s="4">
        <v>315.0</v>
      </c>
      <c r="F65" s="4">
        <v>79.0</v>
      </c>
      <c r="G65" s="6">
        <f t="shared" si="2"/>
        <v>7.564841499</v>
      </c>
    </row>
    <row r="66" ht="14.25" customHeight="1">
      <c r="A66" s="4">
        <f t="shared" si="1"/>
        <v>2</v>
      </c>
      <c r="B66" s="4">
        <v>20702.0</v>
      </c>
      <c r="C66" s="4">
        <v>1659.0</v>
      </c>
      <c r="D66" s="4">
        <v>541.0</v>
      </c>
      <c r="E66" s="4">
        <v>166.0</v>
      </c>
      <c r="F66" s="4">
        <v>32.0</v>
      </c>
      <c r="G66" s="6">
        <f t="shared" si="2"/>
        <v>10.00602773</v>
      </c>
    </row>
    <row r="67" ht="14.25" customHeight="1">
      <c r="A67" s="4">
        <f t="shared" si="1"/>
        <v>2</v>
      </c>
      <c r="B67" s="4">
        <v>20801.0</v>
      </c>
      <c r="C67" s="4">
        <v>40390.0</v>
      </c>
      <c r="D67" s="4">
        <v>11966.0</v>
      </c>
      <c r="E67" s="4">
        <v>6469.0</v>
      </c>
      <c r="F67" s="4">
        <v>1824.0</v>
      </c>
      <c r="G67" s="6">
        <f t="shared" si="2"/>
        <v>16.01634068</v>
      </c>
    </row>
    <row r="68" ht="14.25" customHeight="1">
      <c r="A68" s="4">
        <f t="shared" si="1"/>
        <v>2</v>
      </c>
      <c r="B68" s="4">
        <v>20802.0</v>
      </c>
      <c r="C68" s="4">
        <v>2627.0</v>
      </c>
      <c r="D68" s="4">
        <v>1110.0</v>
      </c>
      <c r="E68" s="4">
        <v>525.0</v>
      </c>
      <c r="F68" s="4">
        <v>141.0</v>
      </c>
      <c r="G68" s="6">
        <f t="shared" si="2"/>
        <v>19.98477351</v>
      </c>
    </row>
    <row r="69" ht="14.25" customHeight="1">
      <c r="A69" s="4">
        <f t="shared" si="1"/>
        <v>2</v>
      </c>
      <c r="B69" s="4">
        <v>20803.0</v>
      </c>
      <c r="C69" s="4">
        <v>3110.0</v>
      </c>
      <c r="D69" s="4">
        <v>1135.0</v>
      </c>
      <c r="E69" s="4">
        <v>546.0</v>
      </c>
      <c r="F69" s="4">
        <v>205.0</v>
      </c>
      <c r="G69" s="6">
        <f t="shared" si="2"/>
        <v>17.5562701</v>
      </c>
    </row>
    <row r="70" ht="14.25" customHeight="1">
      <c r="A70" s="4">
        <f t="shared" si="1"/>
        <v>2</v>
      </c>
      <c r="B70" s="4">
        <v>20804.0</v>
      </c>
      <c r="C70" s="4">
        <v>2173.0</v>
      </c>
      <c r="D70" s="4">
        <v>579.0</v>
      </c>
      <c r="E70" s="4">
        <v>258.0</v>
      </c>
      <c r="F70" s="4">
        <v>67.0</v>
      </c>
      <c r="G70" s="6">
        <f t="shared" si="2"/>
        <v>11.87298665</v>
      </c>
    </row>
    <row r="71" ht="14.25" customHeight="1">
      <c r="A71" s="4">
        <f t="shared" si="1"/>
        <v>2</v>
      </c>
      <c r="B71" s="4">
        <v>20807.0</v>
      </c>
      <c r="C71" s="4">
        <v>1731.0</v>
      </c>
      <c r="D71" s="4">
        <v>770.0</v>
      </c>
      <c r="E71" s="4">
        <v>366.0</v>
      </c>
      <c r="F71" s="4">
        <v>137.0</v>
      </c>
      <c r="G71" s="6">
        <f t="shared" si="2"/>
        <v>21.14384749</v>
      </c>
    </row>
    <row r="72" ht="14.25" customHeight="1">
      <c r="A72" s="4">
        <f t="shared" si="1"/>
        <v>2</v>
      </c>
      <c r="B72" s="4">
        <v>20901.0</v>
      </c>
      <c r="C72" s="4">
        <v>2806.0</v>
      </c>
      <c r="D72" s="4">
        <v>742.0</v>
      </c>
      <c r="E72" s="4">
        <v>308.0</v>
      </c>
      <c r="F72" s="4">
        <v>63.0</v>
      </c>
      <c r="G72" s="6">
        <f t="shared" si="2"/>
        <v>10.97647897</v>
      </c>
    </row>
    <row r="73" ht="14.25" customHeight="1">
      <c r="A73" s="4">
        <f t="shared" si="1"/>
        <v>2</v>
      </c>
      <c r="B73" s="4">
        <v>20902.0</v>
      </c>
      <c r="C73" s="4">
        <v>3518.0</v>
      </c>
      <c r="D73" s="4">
        <v>1090.0</v>
      </c>
      <c r="E73" s="4">
        <v>398.0</v>
      </c>
      <c r="F73" s="4">
        <v>79.0</v>
      </c>
      <c r="G73" s="6">
        <f t="shared" si="2"/>
        <v>11.31324616</v>
      </c>
    </row>
    <row r="74" ht="14.25" customHeight="1">
      <c r="A74" s="4">
        <f t="shared" si="1"/>
        <v>2</v>
      </c>
      <c r="B74" s="4">
        <v>20903.0</v>
      </c>
      <c r="C74" s="4">
        <v>1598.0</v>
      </c>
      <c r="D74" s="4">
        <v>606.0</v>
      </c>
      <c r="E74" s="4">
        <v>231.0</v>
      </c>
      <c r="F74" s="4">
        <v>46.0</v>
      </c>
      <c r="G74" s="6">
        <f t="shared" si="2"/>
        <v>14.45556946</v>
      </c>
    </row>
    <row r="75" ht="14.25" customHeight="1">
      <c r="A75" s="4">
        <f t="shared" si="1"/>
        <v>2</v>
      </c>
      <c r="B75" s="4">
        <v>20904.0</v>
      </c>
      <c r="C75" s="4">
        <v>252.0</v>
      </c>
      <c r="D75" s="4">
        <v>84.0</v>
      </c>
      <c r="E75" s="4">
        <v>32.0</v>
      </c>
      <c r="F75" s="4">
        <v>3.0</v>
      </c>
      <c r="G75" s="6">
        <f t="shared" si="2"/>
        <v>12.6984127</v>
      </c>
    </row>
    <row r="76" ht="14.25" customHeight="1">
      <c r="A76" s="4">
        <f t="shared" si="1"/>
        <v>2</v>
      </c>
      <c r="B76" s="4">
        <v>20905.0</v>
      </c>
      <c r="C76" s="4">
        <v>2002.0</v>
      </c>
      <c r="D76" s="4">
        <v>1062.0</v>
      </c>
      <c r="E76" s="4">
        <v>98.0</v>
      </c>
      <c r="F76" s="4">
        <v>17.0</v>
      </c>
      <c r="G76" s="6">
        <f t="shared" si="2"/>
        <v>4.895104895</v>
      </c>
    </row>
    <row r="77" ht="14.25" customHeight="1">
      <c r="A77" s="4">
        <f t="shared" si="1"/>
        <v>2</v>
      </c>
      <c r="B77" s="4">
        <v>21001.0</v>
      </c>
      <c r="C77" s="4">
        <v>2635.0</v>
      </c>
      <c r="D77" s="4">
        <v>1061.0</v>
      </c>
      <c r="E77" s="4">
        <v>273.0</v>
      </c>
      <c r="F77" s="4">
        <v>54.0</v>
      </c>
      <c r="G77" s="6">
        <f t="shared" si="2"/>
        <v>10.36053131</v>
      </c>
    </row>
    <row r="78" ht="14.25" customHeight="1">
      <c r="A78" s="4">
        <f t="shared" si="1"/>
        <v>2</v>
      </c>
      <c r="B78" s="4">
        <v>21002.0</v>
      </c>
      <c r="C78" s="4">
        <v>2110.0</v>
      </c>
      <c r="D78" s="4">
        <v>855.0</v>
      </c>
      <c r="E78" s="4">
        <v>177.0</v>
      </c>
      <c r="F78" s="4">
        <v>16.0</v>
      </c>
      <c r="G78" s="6">
        <f t="shared" si="2"/>
        <v>8.388625592</v>
      </c>
    </row>
    <row r="79" ht="14.25" customHeight="1">
      <c r="A79" s="4">
        <f t="shared" si="1"/>
        <v>2</v>
      </c>
      <c r="B79" s="4">
        <v>21003.0</v>
      </c>
      <c r="C79" s="4">
        <v>3257.0</v>
      </c>
      <c r="D79" s="4">
        <v>1806.0</v>
      </c>
      <c r="E79" s="4">
        <v>144.0</v>
      </c>
      <c r="F79" s="4">
        <v>9.0</v>
      </c>
      <c r="G79" s="6">
        <f t="shared" si="2"/>
        <v>4.421246546</v>
      </c>
    </row>
    <row r="80" ht="14.25" customHeight="1">
      <c r="A80" s="4">
        <f t="shared" si="1"/>
        <v>2</v>
      </c>
      <c r="B80" s="4">
        <v>21004.0</v>
      </c>
      <c r="C80" s="4">
        <v>1947.0</v>
      </c>
      <c r="D80" s="4">
        <v>931.0</v>
      </c>
      <c r="E80" s="4">
        <v>345.0</v>
      </c>
      <c r="F80" s="4">
        <v>104.0</v>
      </c>
      <c r="G80" s="6">
        <f t="shared" si="2"/>
        <v>17.71956857</v>
      </c>
    </row>
    <row r="81" ht="14.25" customHeight="1">
      <c r="A81" s="4">
        <f t="shared" si="1"/>
        <v>2</v>
      </c>
      <c r="B81" s="4">
        <v>21005.0</v>
      </c>
      <c r="C81" s="4">
        <v>1077.0</v>
      </c>
      <c r="D81" s="4">
        <v>464.0</v>
      </c>
      <c r="E81" s="4">
        <v>144.0</v>
      </c>
      <c r="F81" s="4">
        <v>32.0</v>
      </c>
      <c r="G81" s="6">
        <f t="shared" si="2"/>
        <v>13.37047354</v>
      </c>
    </row>
    <row r="82" ht="14.25" customHeight="1">
      <c r="A82" s="4">
        <f t="shared" si="1"/>
        <v>2</v>
      </c>
      <c r="B82" s="4">
        <v>21006.0</v>
      </c>
      <c r="C82" s="4">
        <v>790.0</v>
      </c>
      <c r="D82" s="4">
        <v>321.0</v>
      </c>
      <c r="E82" s="4">
        <v>65.0</v>
      </c>
      <c r="F82" s="4">
        <v>12.0</v>
      </c>
      <c r="G82" s="6">
        <f t="shared" si="2"/>
        <v>8.227848101</v>
      </c>
    </row>
    <row r="83" ht="14.25" customHeight="1">
      <c r="A83" s="4">
        <f t="shared" si="1"/>
        <v>2</v>
      </c>
      <c r="B83" s="4">
        <v>21101.0</v>
      </c>
      <c r="C83" s="4">
        <v>5678.0</v>
      </c>
      <c r="D83" s="4">
        <v>1087.0</v>
      </c>
      <c r="E83" s="4">
        <v>385.0</v>
      </c>
      <c r="F83" s="4">
        <v>93.0</v>
      </c>
      <c r="G83" s="6">
        <f t="shared" si="2"/>
        <v>6.780556534</v>
      </c>
    </row>
    <row r="84" ht="14.25" customHeight="1">
      <c r="A84" s="4">
        <f t="shared" si="1"/>
        <v>2</v>
      </c>
      <c r="B84" s="4">
        <v>21102.0</v>
      </c>
      <c r="C84" s="4">
        <v>5368.0</v>
      </c>
      <c r="D84" s="4">
        <v>1176.0</v>
      </c>
      <c r="E84" s="4">
        <v>417.0</v>
      </c>
      <c r="F84" s="4">
        <v>94.0</v>
      </c>
      <c r="G84" s="6">
        <f t="shared" si="2"/>
        <v>7.768256334</v>
      </c>
    </row>
    <row r="85" ht="14.25" customHeight="1">
      <c r="A85" s="4">
        <f t="shared" si="1"/>
        <v>2</v>
      </c>
      <c r="B85" s="4">
        <v>21103.0</v>
      </c>
      <c r="C85" s="4">
        <v>1431.0</v>
      </c>
      <c r="D85" s="4">
        <v>349.0</v>
      </c>
      <c r="E85" s="4">
        <v>124.0</v>
      </c>
      <c r="F85" s="4">
        <v>28.0</v>
      </c>
      <c r="G85" s="6">
        <f t="shared" si="2"/>
        <v>8.665269043</v>
      </c>
    </row>
    <row r="86" ht="14.25" customHeight="1">
      <c r="A86" s="4">
        <f t="shared" si="1"/>
        <v>2</v>
      </c>
      <c r="B86" s="4">
        <v>21104.0</v>
      </c>
      <c r="C86" s="4">
        <v>6488.0</v>
      </c>
      <c r="D86" s="4">
        <v>1333.0</v>
      </c>
      <c r="E86" s="4">
        <v>559.0</v>
      </c>
      <c r="F86" s="4">
        <v>165.0</v>
      </c>
      <c r="G86" s="6">
        <f t="shared" si="2"/>
        <v>8.615906289</v>
      </c>
    </row>
    <row r="87" ht="14.25" customHeight="1">
      <c r="A87" s="4">
        <f t="shared" si="1"/>
        <v>2</v>
      </c>
      <c r="B87" s="4">
        <v>21105.0</v>
      </c>
      <c r="C87" s="4">
        <v>11847.0</v>
      </c>
      <c r="D87" s="4">
        <v>2455.0</v>
      </c>
      <c r="E87" s="4">
        <v>875.0</v>
      </c>
      <c r="F87" s="4">
        <v>211.0</v>
      </c>
      <c r="G87" s="6">
        <f t="shared" si="2"/>
        <v>7.385836077</v>
      </c>
    </row>
    <row r="88" ht="14.25" customHeight="1">
      <c r="A88" s="4">
        <f t="shared" si="1"/>
        <v>2</v>
      </c>
      <c r="B88" s="4">
        <v>21201.0</v>
      </c>
      <c r="C88" s="4">
        <v>28597.0</v>
      </c>
      <c r="D88" s="4">
        <v>10938.0</v>
      </c>
      <c r="E88" s="4">
        <v>4395.0</v>
      </c>
      <c r="F88" s="4">
        <v>978.0</v>
      </c>
      <c r="G88" s="6">
        <f t="shared" si="2"/>
        <v>15.36874497</v>
      </c>
    </row>
    <row r="89" ht="14.25" customHeight="1">
      <c r="A89" s="4">
        <f t="shared" si="1"/>
        <v>2</v>
      </c>
      <c r="B89" s="4">
        <v>21202.0</v>
      </c>
      <c r="C89" s="4">
        <v>8171.0</v>
      </c>
      <c r="D89" s="4">
        <v>3027.0</v>
      </c>
      <c r="E89" s="4">
        <v>1568.0</v>
      </c>
      <c r="F89" s="4">
        <v>431.0</v>
      </c>
      <c r="G89" s="6">
        <f t="shared" si="2"/>
        <v>19.18981765</v>
      </c>
    </row>
    <row r="90" ht="14.25" customHeight="1">
      <c r="A90" s="4">
        <f t="shared" si="1"/>
        <v>2</v>
      </c>
      <c r="B90" s="4">
        <v>21203.0</v>
      </c>
      <c r="C90" s="4">
        <v>5010.0</v>
      </c>
      <c r="D90" s="4">
        <v>1470.0</v>
      </c>
      <c r="E90" s="4">
        <v>630.0</v>
      </c>
      <c r="F90" s="4">
        <v>155.0</v>
      </c>
      <c r="G90" s="6">
        <f t="shared" si="2"/>
        <v>12.5748503</v>
      </c>
    </row>
    <row r="91" ht="14.25" customHeight="1">
      <c r="A91" s="4">
        <f t="shared" si="1"/>
        <v>2</v>
      </c>
      <c r="B91" s="4">
        <v>21301.0</v>
      </c>
      <c r="C91" s="4">
        <v>5874.0</v>
      </c>
      <c r="D91" s="4">
        <v>2028.0</v>
      </c>
      <c r="E91" s="4">
        <v>788.0</v>
      </c>
      <c r="F91" s="4">
        <v>146.0</v>
      </c>
      <c r="G91" s="6">
        <f t="shared" si="2"/>
        <v>13.41504937</v>
      </c>
    </row>
    <row r="92" ht="14.25" customHeight="1">
      <c r="A92" s="4">
        <f t="shared" si="1"/>
        <v>2</v>
      </c>
      <c r="B92" s="4">
        <v>21302.0</v>
      </c>
      <c r="C92" s="4">
        <v>2447.0</v>
      </c>
      <c r="D92" s="4">
        <v>1384.0</v>
      </c>
      <c r="E92" s="4">
        <v>688.0</v>
      </c>
      <c r="F92" s="4">
        <v>154.0</v>
      </c>
      <c r="G92" s="6">
        <f t="shared" si="2"/>
        <v>28.11606048</v>
      </c>
    </row>
    <row r="93" ht="14.25" customHeight="1">
      <c r="A93" s="4">
        <f t="shared" si="1"/>
        <v>2</v>
      </c>
      <c r="B93" s="4">
        <v>21303.0</v>
      </c>
      <c r="C93" s="4">
        <v>2053.0</v>
      </c>
      <c r="D93" s="4">
        <v>850.0</v>
      </c>
      <c r="E93" s="4">
        <v>395.0</v>
      </c>
      <c r="F93" s="4">
        <v>117.0</v>
      </c>
      <c r="G93" s="6">
        <f t="shared" si="2"/>
        <v>19.24013639</v>
      </c>
    </row>
    <row r="94" ht="14.25" customHeight="1">
      <c r="A94" s="4">
        <f t="shared" si="1"/>
        <v>2</v>
      </c>
      <c r="B94" s="4">
        <v>21304.0</v>
      </c>
      <c r="C94" s="4">
        <v>3131.0</v>
      </c>
      <c r="D94" s="4">
        <v>1171.0</v>
      </c>
      <c r="E94" s="4">
        <v>565.0</v>
      </c>
      <c r="F94" s="4">
        <v>147.0</v>
      </c>
      <c r="G94" s="6">
        <f t="shared" si="2"/>
        <v>18.04535292</v>
      </c>
    </row>
    <row r="95" ht="14.25" customHeight="1">
      <c r="A95" s="4">
        <f t="shared" si="1"/>
        <v>2</v>
      </c>
      <c r="B95" s="4">
        <v>21305.0</v>
      </c>
      <c r="C95" s="4">
        <v>7201.0</v>
      </c>
      <c r="D95" s="4">
        <v>1830.0</v>
      </c>
      <c r="E95" s="4">
        <v>756.0</v>
      </c>
      <c r="F95" s="4">
        <v>151.0</v>
      </c>
      <c r="G95" s="6">
        <f t="shared" si="2"/>
        <v>10.49854187</v>
      </c>
    </row>
    <row r="96" ht="14.25" customHeight="1">
      <c r="A96" s="4">
        <f t="shared" si="1"/>
        <v>2</v>
      </c>
      <c r="B96" s="4">
        <v>21306.0</v>
      </c>
      <c r="C96" s="4">
        <v>2142.0</v>
      </c>
      <c r="D96" s="4">
        <v>631.0</v>
      </c>
      <c r="E96" s="4">
        <v>302.0</v>
      </c>
      <c r="F96" s="4">
        <v>106.0</v>
      </c>
      <c r="G96" s="6">
        <f t="shared" si="2"/>
        <v>14.09897292</v>
      </c>
    </row>
    <row r="97" ht="14.25" customHeight="1">
      <c r="A97" s="4">
        <f t="shared" si="1"/>
        <v>2</v>
      </c>
      <c r="B97" s="4">
        <v>21307.0</v>
      </c>
      <c r="C97" s="4">
        <v>656.0</v>
      </c>
      <c r="D97" s="4">
        <v>226.0</v>
      </c>
      <c r="E97" s="4">
        <v>90.0</v>
      </c>
      <c r="F97" s="4">
        <v>31.0</v>
      </c>
      <c r="G97" s="6">
        <f t="shared" si="2"/>
        <v>13.7195122</v>
      </c>
    </row>
    <row r="98" ht="14.25" customHeight="1">
      <c r="A98" s="4">
        <f t="shared" si="1"/>
        <v>2</v>
      </c>
      <c r="B98" s="4">
        <v>21401.0</v>
      </c>
      <c r="C98" s="4">
        <v>6635.0</v>
      </c>
      <c r="D98" s="4">
        <v>1414.0</v>
      </c>
      <c r="E98" s="4">
        <v>532.0</v>
      </c>
      <c r="F98" s="4">
        <v>138.0</v>
      </c>
      <c r="G98" s="6">
        <f t="shared" si="2"/>
        <v>8.018085908</v>
      </c>
    </row>
    <row r="99" ht="14.25" customHeight="1">
      <c r="A99" s="4">
        <f t="shared" si="1"/>
        <v>2</v>
      </c>
      <c r="B99" s="4">
        <v>21402.0</v>
      </c>
      <c r="C99" s="4">
        <v>5147.0</v>
      </c>
      <c r="D99" s="4">
        <v>888.0</v>
      </c>
      <c r="E99" s="4">
        <v>352.0</v>
      </c>
      <c r="F99" s="4">
        <v>79.0</v>
      </c>
      <c r="G99" s="6">
        <f t="shared" si="2"/>
        <v>6.838935302</v>
      </c>
    </row>
    <row r="100" ht="14.25" customHeight="1">
      <c r="A100" s="4">
        <f t="shared" si="1"/>
        <v>2</v>
      </c>
      <c r="B100" s="4">
        <v>21501.0</v>
      </c>
      <c r="C100" s="4">
        <v>1449.0</v>
      </c>
      <c r="D100" s="4">
        <v>183.0</v>
      </c>
      <c r="E100" s="4">
        <v>53.0</v>
      </c>
      <c r="F100" s="4">
        <v>6.0</v>
      </c>
      <c r="G100" s="6">
        <f t="shared" si="2"/>
        <v>3.657694962</v>
      </c>
    </row>
    <row r="101" ht="14.25" customHeight="1">
      <c r="A101" s="4">
        <f t="shared" si="1"/>
        <v>2</v>
      </c>
      <c r="B101" s="4">
        <v>21502.0</v>
      </c>
      <c r="C101" s="4">
        <v>2144.0</v>
      </c>
      <c r="D101" s="4">
        <v>264.0</v>
      </c>
      <c r="E101" s="4">
        <v>50.0</v>
      </c>
      <c r="F101" s="4">
        <v>9.0</v>
      </c>
      <c r="G101" s="6">
        <f t="shared" si="2"/>
        <v>2.332089552</v>
      </c>
    </row>
    <row r="102" ht="14.25" customHeight="1">
      <c r="A102" s="4">
        <f t="shared" si="1"/>
        <v>2</v>
      </c>
      <c r="B102" s="4">
        <v>21601.0</v>
      </c>
      <c r="C102" s="4">
        <v>2440.0</v>
      </c>
      <c r="D102" s="4">
        <v>716.0</v>
      </c>
      <c r="E102" s="4">
        <v>294.0</v>
      </c>
      <c r="F102" s="4">
        <v>63.0</v>
      </c>
      <c r="G102" s="6">
        <f t="shared" si="2"/>
        <v>12.04918033</v>
      </c>
    </row>
    <row r="103" ht="14.25" customHeight="1">
      <c r="A103" s="4">
        <f t="shared" si="1"/>
        <v>2</v>
      </c>
      <c r="B103" s="4">
        <v>21602.0</v>
      </c>
      <c r="C103" s="4">
        <v>552.0</v>
      </c>
      <c r="D103" s="4">
        <v>207.0</v>
      </c>
      <c r="E103" s="4">
        <v>70.0</v>
      </c>
      <c r="F103" s="4">
        <v>23.0</v>
      </c>
      <c r="G103" s="6">
        <f t="shared" si="2"/>
        <v>12.68115942</v>
      </c>
    </row>
    <row r="104" ht="14.25" customHeight="1">
      <c r="A104" s="4">
        <f t="shared" si="1"/>
        <v>2</v>
      </c>
      <c r="B104" s="4">
        <v>21701.0</v>
      </c>
      <c r="C104" s="4">
        <v>5226.0</v>
      </c>
      <c r="D104" s="4">
        <v>1573.0</v>
      </c>
      <c r="E104" s="4">
        <v>659.0</v>
      </c>
      <c r="F104" s="4">
        <v>121.0</v>
      </c>
      <c r="G104" s="6">
        <f t="shared" si="2"/>
        <v>12.61002679</v>
      </c>
    </row>
    <row r="105" ht="14.25" customHeight="1">
      <c r="A105" s="4">
        <f t="shared" si="1"/>
        <v>2</v>
      </c>
      <c r="B105" s="4">
        <v>21702.0</v>
      </c>
      <c r="C105" s="4">
        <v>1557.0</v>
      </c>
      <c r="D105" s="4">
        <v>657.0</v>
      </c>
      <c r="E105" s="4">
        <v>283.0</v>
      </c>
      <c r="F105" s="4">
        <v>59.0</v>
      </c>
      <c r="G105" s="6">
        <f t="shared" si="2"/>
        <v>18.17597945</v>
      </c>
    </row>
    <row r="106" ht="14.25" customHeight="1">
      <c r="A106" s="4">
        <f t="shared" si="1"/>
        <v>2</v>
      </c>
      <c r="B106" s="4">
        <v>21703.0</v>
      </c>
      <c r="C106" s="4">
        <v>514.0</v>
      </c>
      <c r="D106" s="4">
        <v>231.0</v>
      </c>
      <c r="E106" s="4">
        <v>89.0</v>
      </c>
      <c r="F106" s="4">
        <v>17.0</v>
      </c>
      <c r="G106" s="6">
        <f t="shared" si="2"/>
        <v>17.3151751</v>
      </c>
    </row>
    <row r="107" ht="14.25" customHeight="1">
      <c r="A107" s="4">
        <f t="shared" si="1"/>
        <v>2</v>
      </c>
      <c r="B107" s="4">
        <v>21801.0</v>
      </c>
      <c r="C107" s="4">
        <v>1501.0</v>
      </c>
      <c r="D107" s="4">
        <v>773.0</v>
      </c>
      <c r="E107" s="4">
        <v>324.0</v>
      </c>
      <c r="F107" s="4">
        <v>83.0</v>
      </c>
      <c r="G107" s="6">
        <f t="shared" si="2"/>
        <v>21.58560959</v>
      </c>
    </row>
    <row r="108" ht="14.25" customHeight="1">
      <c r="A108" s="4">
        <f t="shared" si="1"/>
        <v>2</v>
      </c>
      <c r="B108" s="4">
        <v>21802.0</v>
      </c>
      <c r="C108" s="4">
        <v>1343.0</v>
      </c>
      <c r="D108" s="4">
        <v>695.0</v>
      </c>
      <c r="E108" s="4">
        <v>290.0</v>
      </c>
      <c r="F108" s="4">
        <v>79.0</v>
      </c>
      <c r="G108" s="6">
        <f t="shared" si="2"/>
        <v>21.59344751</v>
      </c>
    </row>
    <row r="109" ht="14.25" customHeight="1">
      <c r="A109" s="4">
        <f t="shared" si="1"/>
        <v>2</v>
      </c>
      <c r="B109" s="4">
        <v>21803.0</v>
      </c>
      <c r="C109" s="4">
        <v>327.0</v>
      </c>
      <c r="D109" s="4">
        <v>171.0</v>
      </c>
      <c r="E109" s="4">
        <v>75.0</v>
      </c>
      <c r="F109" s="4">
        <v>20.0</v>
      </c>
      <c r="G109" s="6">
        <f t="shared" si="2"/>
        <v>22.93577982</v>
      </c>
    </row>
    <row r="110" ht="14.25" customHeight="1">
      <c r="A110" s="4">
        <f t="shared" si="1"/>
        <v>2</v>
      </c>
      <c r="B110" s="4">
        <v>21901.0</v>
      </c>
      <c r="C110" s="4">
        <v>1695.0</v>
      </c>
      <c r="D110" s="4">
        <v>857.0</v>
      </c>
      <c r="E110" s="4">
        <v>386.0</v>
      </c>
      <c r="F110" s="4">
        <v>94.0</v>
      </c>
      <c r="G110" s="6">
        <f t="shared" si="2"/>
        <v>22.77286136</v>
      </c>
    </row>
    <row r="111" ht="14.25" customHeight="1">
      <c r="A111" s="4">
        <f t="shared" si="1"/>
        <v>2</v>
      </c>
      <c r="B111" s="4">
        <v>21902.0</v>
      </c>
      <c r="C111" s="4">
        <v>284.0</v>
      </c>
      <c r="D111" s="4">
        <v>123.0</v>
      </c>
      <c r="E111" s="4">
        <v>44.0</v>
      </c>
      <c r="F111" s="4">
        <v>6.0</v>
      </c>
      <c r="G111" s="6">
        <f t="shared" si="2"/>
        <v>15.49295775</v>
      </c>
    </row>
    <row r="112" ht="14.25" customHeight="1">
      <c r="A112" s="4">
        <f t="shared" si="1"/>
        <v>2</v>
      </c>
      <c r="B112" s="4">
        <v>22001.0</v>
      </c>
      <c r="C112" s="4">
        <v>14439.0</v>
      </c>
      <c r="D112" s="4">
        <v>4413.0</v>
      </c>
      <c r="E112" s="4">
        <v>2009.0</v>
      </c>
      <c r="F112" s="4">
        <v>595.0</v>
      </c>
      <c r="G112" s="6">
        <f t="shared" si="2"/>
        <v>13.91370594</v>
      </c>
    </row>
    <row r="113" ht="14.25" customHeight="1">
      <c r="A113" s="4">
        <f t="shared" si="1"/>
        <v>2</v>
      </c>
      <c r="B113" s="4">
        <v>22002.0</v>
      </c>
      <c r="C113" s="4">
        <v>2232.0</v>
      </c>
      <c r="D113" s="4">
        <v>536.0</v>
      </c>
      <c r="E113" s="4">
        <v>234.0</v>
      </c>
      <c r="F113" s="4">
        <v>80.0</v>
      </c>
      <c r="G113" s="6">
        <f t="shared" si="2"/>
        <v>10.48387097</v>
      </c>
    </row>
    <row r="114" ht="14.25" customHeight="1">
      <c r="A114" s="4">
        <f t="shared" si="1"/>
        <v>3</v>
      </c>
      <c r="B114" s="4">
        <v>30101.0</v>
      </c>
      <c r="C114" s="4">
        <v>261402.0</v>
      </c>
      <c r="D114" s="4">
        <v>38152.0</v>
      </c>
      <c r="E114" s="4">
        <v>14720.0</v>
      </c>
      <c r="F114" s="4">
        <v>4292.0</v>
      </c>
      <c r="G114" s="6">
        <f t="shared" si="2"/>
        <v>5.631173442</v>
      </c>
    </row>
    <row r="115" ht="14.25" customHeight="1">
      <c r="A115" s="4">
        <f t="shared" si="1"/>
        <v>3</v>
      </c>
      <c r="B115" s="4">
        <v>30201.0</v>
      </c>
      <c r="C115" s="4">
        <v>5126.0</v>
      </c>
      <c r="D115" s="4">
        <v>1002.0</v>
      </c>
      <c r="E115" s="4">
        <v>364.0</v>
      </c>
      <c r="F115" s="4">
        <v>64.0</v>
      </c>
      <c r="G115" s="6">
        <f t="shared" si="2"/>
        <v>7.101053453</v>
      </c>
    </row>
    <row r="116" ht="14.25" customHeight="1">
      <c r="A116" s="4">
        <f t="shared" si="1"/>
        <v>3</v>
      </c>
      <c r="B116" s="4">
        <v>30202.0</v>
      </c>
      <c r="C116" s="4">
        <v>618.0</v>
      </c>
      <c r="D116" s="4">
        <v>152.0</v>
      </c>
      <c r="E116" s="4">
        <v>70.0</v>
      </c>
      <c r="F116" s="4">
        <v>13.0</v>
      </c>
      <c r="G116" s="6">
        <f t="shared" si="2"/>
        <v>11.32686084</v>
      </c>
    </row>
    <row r="117" ht="14.25" customHeight="1">
      <c r="A117" s="4">
        <f t="shared" si="1"/>
        <v>3</v>
      </c>
      <c r="B117" s="4">
        <v>30203.0</v>
      </c>
      <c r="C117" s="4">
        <v>1491.0</v>
      </c>
      <c r="D117" s="4">
        <v>326.0</v>
      </c>
      <c r="E117" s="4">
        <v>127.0</v>
      </c>
      <c r="F117" s="4">
        <v>31.0</v>
      </c>
      <c r="G117" s="6">
        <f t="shared" si="2"/>
        <v>8.517773307</v>
      </c>
    </row>
    <row r="118" ht="14.25" customHeight="1">
      <c r="A118" s="4">
        <f t="shared" si="1"/>
        <v>3</v>
      </c>
      <c r="B118" s="4">
        <v>30301.0</v>
      </c>
      <c r="C118" s="4">
        <v>3867.0</v>
      </c>
      <c r="D118" s="4">
        <v>1491.0</v>
      </c>
      <c r="E118" s="4">
        <v>656.0</v>
      </c>
      <c r="F118" s="4">
        <v>169.0</v>
      </c>
      <c r="G118" s="6">
        <f t="shared" si="2"/>
        <v>16.96405482</v>
      </c>
    </row>
    <row r="119" ht="14.25" customHeight="1">
      <c r="A119" s="4">
        <f t="shared" si="1"/>
        <v>3</v>
      </c>
      <c r="B119" s="4">
        <v>30302.0</v>
      </c>
      <c r="C119" s="4">
        <v>2080.0</v>
      </c>
      <c r="D119" s="4">
        <v>758.0</v>
      </c>
      <c r="E119" s="4">
        <v>339.0</v>
      </c>
      <c r="F119" s="4">
        <v>88.0</v>
      </c>
      <c r="G119" s="6">
        <f t="shared" si="2"/>
        <v>16.29807692</v>
      </c>
    </row>
    <row r="120" ht="14.25" customHeight="1">
      <c r="A120" s="4">
        <f t="shared" si="1"/>
        <v>3</v>
      </c>
      <c r="B120" s="4">
        <v>30303.0</v>
      </c>
      <c r="C120" s="4">
        <v>2339.0</v>
      </c>
      <c r="D120" s="4">
        <v>821.0</v>
      </c>
      <c r="E120" s="4">
        <v>247.0</v>
      </c>
      <c r="F120" s="4">
        <v>51.0</v>
      </c>
      <c r="G120" s="6">
        <f t="shared" si="2"/>
        <v>10.56006841</v>
      </c>
    </row>
    <row r="121" ht="14.25" customHeight="1">
      <c r="A121" s="4">
        <f t="shared" si="1"/>
        <v>3</v>
      </c>
      <c r="B121" s="4">
        <v>30401.0</v>
      </c>
      <c r="C121" s="4">
        <v>3019.0</v>
      </c>
      <c r="D121" s="4">
        <v>724.0</v>
      </c>
      <c r="E121" s="4">
        <v>345.0</v>
      </c>
      <c r="F121" s="4">
        <v>107.0</v>
      </c>
      <c r="G121" s="6">
        <f t="shared" si="2"/>
        <v>11.42762504</v>
      </c>
    </row>
    <row r="122" ht="14.25" customHeight="1">
      <c r="A122" s="4">
        <f t="shared" si="1"/>
        <v>3</v>
      </c>
      <c r="B122" s="4">
        <v>30402.0</v>
      </c>
      <c r="C122" s="4">
        <v>1615.0</v>
      </c>
      <c r="D122" s="4">
        <v>668.0</v>
      </c>
      <c r="E122" s="4">
        <v>336.0</v>
      </c>
      <c r="F122" s="4">
        <v>76.0</v>
      </c>
      <c r="G122" s="6">
        <f t="shared" si="2"/>
        <v>20.80495356</v>
      </c>
    </row>
    <row r="123" ht="14.25" customHeight="1">
      <c r="A123" s="4">
        <f t="shared" si="1"/>
        <v>3</v>
      </c>
      <c r="B123" s="4">
        <v>30403.0</v>
      </c>
      <c r="C123" s="4">
        <v>6091.0</v>
      </c>
      <c r="D123" s="4">
        <v>2198.0</v>
      </c>
      <c r="E123" s="4">
        <v>975.0</v>
      </c>
      <c r="F123" s="4">
        <v>318.0</v>
      </c>
      <c r="G123" s="6">
        <f t="shared" si="2"/>
        <v>16.00722377</v>
      </c>
    </row>
    <row r="124" ht="14.25" customHeight="1">
      <c r="A124" s="4">
        <f t="shared" si="1"/>
        <v>3</v>
      </c>
      <c r="B124" s="4">
        <v>30404.0</v>
      </c>
      <c r="C124" s="4">
        <v>803.0</v>
      </c>
      <c r="D124" s="4">
        <v>330.0</v>
      </c>
      <c r="E124" s="4">
        <v>152.0</v>
      </c>
      <c r="F124" s="4">
        <v>32.0</v>
      </c>
      <c r="G124" s="6">
        <f t="shared" si="2"/>
        <v>18.92901619</v>
      </c>
    </row>
    <row r="125" ht="14.25" customHeight="1">
      <c r="A125" s="4">
        <f t="shared" si="1"/>
        <v>3</v>
      </c>
      <c r="B125" s="4">
        <v>30501.0</v>
      </c>
      <c r="C125" s="4">
        <v>3984.0</v>
      </c>
      <c r="D125" s="4">
        <v>989.0</v>
      </c>
      <c r="E125" s="4">
        <v>506.0</v>
      </c>
      <c r="F125" s="4">
        <v>125.0</v>
      </c>
      <c r="G125" s="6">
        <f t="shared" si="2"/>
        <v>12.70080321</v>
      </c>
    </row>
    <row r="126" ht="14.25" customHeight="1">
      <c r="A126" s="4">
        <f t="shared" si="1"/>
        <v>3</v>
      </c>
      <c r="B126" s="4">
        <v>30502.0</v>
      </c>
      <c r="C126" s="4">
        <v>2662.0</v>
      </c>
      <c r="D126" s="4">
        <v>1041.0</v>
      </c>
      <c r="E126" s="4">
        <v>514.0</v>
      </c>
      <c r="F126" s="4">
        <v>125.0</v>
      </c>
      <c r="G126" s="6">
        <f t="shared" si="2"/>
        <v>19.30879038</v>
      </c>
    </row>
    <row r="127" ht="14.25" customHeight="1">
      <c r="A127" s="4">
        <f t="shared" si="1"/>
        <v>3</v>
      </c>
      <c r="B127" s="4">
        <v>30601.0</v>
      </c>
      <c r="C127" s="4">
        <v>1567.0</v>
      </c>
      <c r="D127" s="4">
        <v>680.0</v>
      </c>
      <c r="E127" s="4">
        <v>196.0</v>
      </c>
      <c r="F127" s="4">
        <v>46.0</v>
      </c>
      <c r="G127" s="6">
        <f t="shared" si="2"/>
        <v>12.50797703</v>
      </c>
    </row>
    <row r="128" ht="14.25" customHeight="1">
      <c r="A128" s="4">
        <f t="shared" si="1"/>
        <v>3</v>
      </c>
      <c r="B128" s="4">
        <v>30602.0</v>
      </c>
      <c r="C128" s="4">
        <v>1995.0</v>
      </c>
      <c r="D128" s="4">
        <v>935.0</v>
      </c>
      <c r="E128" s="4">
        <v>395.0</v>
      </c>
      <c r="F128" s="4">
        <v>63.0</v>
      </c>
      <c r="G128" s="6">
        <f t="shared" si="2"/>
        <v>19.79949875</v>
      </c>
    </row>
    <row r="129" ht="14.25" customHeight="1">
      <c r="A129" s="4">
        <f t="shared" si="1"/>
        <v>3</v>
      </c>
      <c r="B129" s="4">
        <v>30701.0</v>
      </c>
      <c r="C129" s="4">
        <v>5913.0</v>
      </c>
      <c r="D129" s="4">
        <v>1235.0</v>
      </c>
      <c r="E129" s="4">
        <v>492.0</v>
      </c>
      <c r="F129" s="4">
        <v>126.0</v>
      </c>
      <c r="G129" s="6">
        <f t="shared" si="2"/>
        <v>8.320649417</v>
      </c>
    </row>
    <row r="130" ht="14.25" customHeight="1">
      <c r="A130" s="4">
        <f t="shared" si="1"/>
        <v>3</v>
      </c>
      <c r="B130" s="4">
        <v>30702.0</v>
      </c>
      <c r="C130" s="4">
        <v>2613.0</v>
      </c>
      <c r="D130" s="4">
        <v>722.0</v>
      </c>
      <c r="E130" s="4">
        <v>393.0</v>
      </c>
      <c r="F130" s="4">
        <v>140.0</v>
      </c>
      <c r="G130" s="6">
        <f t="shared" si="2"/>
        <v>15.0401837</v>
      </c>
    </row>
    <row r="131" ht="14.25" customHeight="1">
      <c r="A131" s="4">
        <f t="shared" si="1"/>
        <v>3</v>
      </c>
      <c r="B131" s="4">
        <v>30703.0</v>
      </c>
      <c r="C131" s="4">
        <v>807.0</v>
      </c>
      <c r="D131" s="4">
        <v>186.0</v>
      </c>
      <c r="E131" s="4">
        <v>74.0</v>
      </c>
      <c r="F131" s="4">
        <v>17.0</v>
      </c>
      <c r="G131" s="6">
        <f t="shared" si="2"/>
        <v>9.16976456</v>
      </c>
    </row>
    <row r="132" ht="14.25" customHeight="1">
      <c r="A132" s="4">
        <f t="shared" si="1"/>
        <v>3</v>
      </c>
      <c r="B132" s="4">
        <v>30801.0</v>
      </c>
      <c r="C132" s="4">
        <v>7512.0</v>
      </c>
      <c r="D132" s="4">
        <v>1639.0</v>
      </c>
      <c r="E132" s="4">
        <v>838.0</v>
      </c>
      <c r="F132" s="4">
        <v>268.0</v>
      </c>
      <c r="G132" s="6">
        <f t="shared" si="2"/>
        <v>11.15548456</v>
      </c>
    </row>
    <row r="133" ht="14.25" customHeight="1">
      <c r="A133" s="4">
        <f t="shared" si="1"/>
        <v>3</v>
      </c>
      <c r="B133" s="4">
        <v>30802.0</v>
      </c>
      <c r="C133" s="4">
        <v>1911.0</v>
      </c>
      <c r="D133" s="4">
        <v>506.0</v>
      </c>
      <c r="E133" s="4">
        <v>241.0</v>
      </c>
      <c r="F133" s="4">
        <v>53.0</v>
      </c>
      <c r="G133" s="6">
        <f t="shared" si="2"/>
        <v>12.61119833</v>
      </c>
    </row>
    <row r="134" ht="14.25" customHeight="1">
      <c r="A134" s="4">
        <f t="shared" si="1"/>
        <v>3</v>
      </c>
      <c r="B134" s="4">
        <v>30803.0</v>
      </c>
      <c r="C134" s="4">
        <v>2609.0</v>
      </c>
      <c r="D134" s="4">
        <v>685.0</v>
      </c>
      <c r="E134" s="4">
        <v>355.0</v>
      </c>
      <c r="F134" s="4">
        <v>119.0</v>
      </c>
      <c r="G134" s="6">
        <f t="shared" si="2"/>
        <v>13.60674588</v>
      </c>
    </row>
    <row r="135" ht="14.25" customHeight="1">
      <c r="A135" s="4">
        <f t="shared" si="1"/>
        <v>3</v>
      </c>
      <c r="B135" s="4">
        <v>30901.0</v>
      </c>
      <c r="C135" s="4">
        <v>53736.0</v>
      </c>
      <c r="D135" s="4">
        <v>7001.0</v>
      </c>
      <c r="E135" s="4">
        <v>2709.0</v>
      </c>
      <c r="F135" s="4">
        <v>739.0</v>
      </c>
      <c r="G135" s="6">
        <f t="shared" si="2"/>
        <v>5.041313086</v>
      </c>
    </row>
    <row r="136" ht="14.25" customHeight="1">
      <c r="A136" s="4">
        <f t="shared" si="1"/>
        <v>3</v>
      </c>
      <c r="B136" s="4">
        <v>30902.0</v>
      </c>
      <c r="C136" s="4">
        <v>16199.0</v>
      </c>
      <c r="D136" s="4">
        <v>2617.0</v>
      </c>
      <c r="E136" s="4">
        <v>1103.0</v>
      </c>
      <c r="F136" s="4">
        <v>284.0</v>
      </c>
      <c r="G136" s="6">
        <f t="shared" si="2"/>
        <v>6.809062288</v>
      </c>
    </row>
    <row r="137" ht="14.25" customHeight="1">
      <c r="A137" s="4">
        <f t="shared" si="1"/>
        <v>3</v>
      </c>
      <c r="B137" s="4">
        <v>30903.0</v>
      </c>
      <c r="C137" s="4">
        <v>20812.0</v>
      </c>
      <c r="D137" s="4">
        <v>2834.0</v>
      </c>
      <c r="E137" s="4">
        <v>988.0</v>
      </c>
      <c r="F137" s="4">
        <v>287.0</v>
      </c>
      <c r="G137" s="6">
        <f t="shared" si="2"/>
        <v>4.747261195</v>
      </c>
    </row>
    <row r="138" ht="14.25" customHeight="1">
      <c r="A138" s="4">
        <f t="shared" si="1"/>
        <v>3</v>
      </c>
      <c r="B138" s="4">
        <v>30904.0</v>
      </c>
      <c r="C138" s="4">
        <v>20596.0</v>
      </c>
      <c r="D138" s="4">
        <v>3373.0</v>
      </c>
      <c r="E138" s="4">
        <v>1314.0</v>
      </c>
      <c r="F138" s="4">
        <v>364.0</v>
      </c>
      <c r="G138" s="6">
        <f t="shared" si="2"/>
        <v>6.379879588</v>
      </c>
    </row>
    <row r="139" ht="14.25" customHeight="1">
      <c r="A139" s="4">
        <f t="shared" si="1"/>
        <v>3</v>
      </c>
      <c r="B139" s="4">
        <v>30905.0</v>
      </c>
      <c r="C139" s="4">
        <v>22161.0</v>
      </c>
      <c r="D139" s="4">
        <v>2747.0</v>
      </c>
      <c r="E139" s="4">
        <v>1043.0</v>
      </c>
      <c r="F139" s="4">
        <v>275.0</v>
      </c>
      <c r="G139" s="6">
        <f t="shared" si="2"/>
        <v>4.706466315</v>
      </c>
    </row>
    <row r="140" ht="14.25" customHeight="1">
      <c r="A140" s="4">
        <f t="shared" si="1"/>
        <v>3</v>
      </c>
      <c r="B140" s="4">
        <v>31001.0</v>
      </c>
      <c r="C140" s="4">
        <v>66307.0</v>
      </c>
      <c r="D140" s="4">
        <v>11006.0</v>
      </c>
      <c r="E140" s="4">
        <v>4714.0</v>
      </c>
      <c r="F140" s="4">
        <v>1300.0</v>
      </c>
      <c r="G140" s="6">
        <f t="shared" si="2"/>
        <v>7.10935497</v>
      </c>
    </row>
    <row r="141" ht="14.25" customHeight="1">
      <c r="A141" s="4">
        <f t="shared" si="1"/>
        <v>3</v>
      </c>
      <c r="B141" s="4">
        <v>31002.0</v>
      </c>
      <c r="C141" s="4">
        <v>6336.0</v>
      </c>
      <c r="D141" s="4">
        <v>1462.0</v>
      </c>
      <c r="E141" s="4">
        <v>565.0</v>
      </c>
      <c r="F141" s="4">
        <v>132.0</v>
      </c>
      <c r="G141" s="6">
        <f t="shared" si="2"/>
        <v>8.91729798</v>
      </c>
    </row>
    <row r="142" ht="14.25" customHeight="1">
      <c r="A142" s="4">
        <f t="shared" si="1"/>
        <v>3</v>
      </c>
      <c r="B142" s="4">
        <v>31003.0</v>
      </c>
      <c r="C142" s="4">
        <v>28469.0</v>
      </c>
      <c r="D142" s="4">
        <v>5568.0</v>
      </c>
      <c r="E142" s="4">
        <v>1559.0</v>
      </c>
      <c r="F142" s="4">
        <v>372.0</v>
      </c>
      <c r="G142" s="6">
        <f t="shared" si="2"/>
        <v>5.476131933</v>
      </c>
    </row>
    <row r="143" ht="14.25" customHeight="1">
      <c r="A143" s="4">
        <f t="shared" si="1"/>
        <v>3</v>
      </c>
      <c r="B143" s="4">
        <v>31101.0</v>
      </c>
      <c r="C143" s="4">
        <v>3632.0</v>
      </c>
      <c r="D143" s="4">
        <v>1714.0</v>
      </c>
      <c r="E143" s="4">
        <v>675.0</v>
      </c>
      <c r="F143" s="4">
        <v>180.0</v>
      </c>
      <c r="G143" s="6">
        <f t="shared" si="2"/>
        <v>18.58480176</v>
      </c>
    </row>
    <row r="144" ht="14.25" customHeight="1">
      <c r="A144" s="4">
        <f t="shared" si="1"/>
        <v>3</v>
      </c>
      <c r="B144" s="4">
        <v>31201.0</v>
      </c>
      <c r="C144" s="4">
        <v>3859.0</v>
      </c>
      <c r="D144" s="4">
        <v>901.0</v>
      </c>
      <c r="E144" s="4">
        <v>235.0</v>
      </c>
      <c r="F144" s="4">
        <v>38.0</v>
      </c>
      <c r="G144" s="6">
        <f t="shared" si="2"/>
        <v>6.089660534</v>
      </c>
    </row>
    <row r="145" ht="14.25" customHeight="1">
      <c r="A145" s="4">
        <f t="shared" si="1"/>
        <v>3</v>
      </c>
      <c r="B145" s="4">
        <v>31202.0</v>
      </c>
      <c r="C145" s="4">
        <v>2165.0</v>
      </c>
      <c r="D145" s="4">
        <v>499.0</v>
      </c>
      <c r="E145" s="4">
        <v>186.0</v>
      </c>
      <c r="F145" s="4">
        <v>39.0</v>
      </c>
      <c r="G145" s="6">
        <f t="shared" si="2"/>
        <v>8.591224018</v>
      </c>
    </row>
    <row r="146" ht="14.25" customHeight="1">
      <c r="A146" s="4">
        <f t="shared" si="1"/>
        <v>3</v>
      </c>
      <c r="B146" s="4">
        <v>31203.0</v>
      </c>
      <c r="C146" s="4">
        <v>3371.0</v>
      </c>
      <c r="D146" s="4">
        <v>904.0</v>
      </c>
      <c r="E146" s="4">
        <v>307.0</v>
      </c>
      <c r="F146" s="4">
        <v>45.0</v>
      </c>
      <c r="G146" s="6">
        <f t="shared" si="2"/>
        <v>9.107089884</v>
      </c>
    </row>
    <row r="147" ht="14.25" customHeight="1">
      <c r="A147" s="4">
        <f t="shared" si="1"/>
        <v>3</v>
      </c>
      <c r="B147" s="4">
        <v>31204.0</v>
      </c>
      <c r="C147" s="4">
        <v>8458.0</v>
      </c>
      <c r="D147" s="4">
        <v>1313.0</v>
      </c>
      <c r="E147" s="4">
        <v>364.0</v>
      </c>
      <c r="F147" s="4">
        <v>74.0</v>
      </c>
      <c r="G147" s="6">
        <f t="shared" si="2"/>
        <v>4.303617877</v>
      </c>
    </row>
    <row r="148" ht="14.25" customHeight="1">
      <c r="A148" s="4">
        <f t="shared" si="1"/>
        <v>3</v>
      </c>
      <c r="B148" s="4">
        <v>31205.0</v>
      </c>
      <c r="C148" s="4">
        <v>16305.0</v>
      </c>
      <c r="D148" s="4">
        <v>2602.0</v>
      </c>
      <c r="E148" s="4">
        <v>934.0</v>
      </c>
      <c r="F148" s="4">
        <v>280.0</v>
      </c>
      <c r="G148" s="6">
        <f t="shared" si="2"/>
        <v>5.728304201</v>
      </c>
    </row>
    <row r="149" ht="14.25" customHeight="1">
      <c r="A149" s="4">
        <f t="shared" si="1"/>
        <v>3</v>
      </c>
      <c r="B149" s="4">
        <v>31206.0</v>
      </c>
      <c r="C149" s="4">
        <v>11618.0</v>
      </c>
      <c r="D149" s="4">
        <v>1655.0</v>
      </c>
      <c r="E149" s="4">
        <v>663.0</v>
      </c>
      <c r="F149" s="4">
        <v>176.0</v>
      </c>
      <c r="G149" s="6">
        <f t="shared" si="2"/>
        <v>5.706662076</v>
      </c>
    </row>
    <row r="150" ht="14.25" customHeight="1">
      <c r="A150" s="4">
        <f t="shared" si="1"/>
        <v>3</v>
      </c>
      <c r="B150" s="4">
        <v>31301.0</v>
      </c>
      <c r="C150" s="4">
        <v>5171.0</v>
      </c>
      <c r="D150" s="4">
        <v>976.0</v>
      </c>
      <c r="E150" s="4">
        <v>374.0</v>
      </c>
      <c r="F150" s="4">
        <v>70.0</v>
      </c>
      <c r="G150" s="6">
        <f t="shared" si="2"/>
        <v>7.232643589</v>
      </c>
    </row>
    <row r="151" ht="14.25" customHeight="1">
      <c r="A151" s="4">
        <f t="shared" si="1"/>
        <v>3</v>
      </c>
      <c r="B151" s="4">
        <v>31302.0</v>
      </c>
      <c r="C151" s="4">
        <v>527.0</v>
      </c>
      <c r="D151" s="4">
        <v>190.0</v>
      </c>
      <c r="E151" s="4">
        <v>87.0</v>
      </c>
      <c r="F151" s="4">
        <v>16.0</v>
      </c>
      <c r="G151" s="6">
        <f t="shared" si="2"/>
        <v>16.5085389</v>
      </c>
    </row>
    <row r="152" ht="14.25" customHeight="1">
      <c r="A152" s="4">
        <f t="shared" si="1"/>
        <v>3</v>
      </c>
      <c r="B152" s="4">
        <v>31303.0</v>
      </c>
      <c r="C152" s="4">
        <v>325.0</v>
      </c>
      <c r="D152" s="4">
        <v>156.0</v>
      </c>
      <c r="E152" s="4">
        <v>70.0</v>
      </c>
      <c r="F152" s="4">
        <v>5.0</v>
      </c>
      <c r="G152" s="6">
        <f t="shared" si="2"/>
        <v>21.53846154</v>
      </c>
    </row>
    <row r="153" ht="14.25" customHeight="1">
      <c r="A153" s="4">
        <f t="shared" si="1"/>
        <v>3</v>
      </c>
      <c r="B153" s="4">
        <v>31401.0</v>
      </c>
      <c r="C153" s="4">
        <v>11895.0</v>
      </c>
      <c r="D153" s="4">
        <v>2140.0</v>
      </c>
      <c r="E153" s="4">
        <v>957.0</v>
      </c>
      <c r="F153" s="4">
        <v>248.0</v>
      </c>
      <c r="G153" s="6">
        <f t="shared" si="2"/>
        <v>8.045397226</v>
      </c>
    </row>
    <row r="154" ht="14.25" customHeight="1">
      <c r="A154" s="4">
        <f t="shared" si="1"/>
        <v>3</v>
      </c>
      <c r="B154" s="4">
        <v>31402.0</v>
      </c>
      <c r="C154" s="4">
        <v>3151.0</v>
      </c>
      <c r="D154" s="4">
        <v>942.0</v>
      </c>
      <c r="E154" s="4">
        <v>505.0</v>
      </c>
      <c r="F154" s="4">
        <v>147.0</v>
      </c>
      <c r="G154" s="6">
        <f t="shared" si="2"/>
        <v>16.0266582</v>
      </c>
    </row>
    <row r="155" ht="14.25" customHeight="1">
      <c r="A155" s="4">
        <f t="shared" si="1"/>
        <v>3</v>
      </c>
      <c r="B155" s="4">
        <v>31403.0</v>
      </c>
      <c r="C155" s="4">
        <v>5365.0</v>
      </c>
      <c r="D155" s="4">
        <v>1221.0</v>
      </c>
      <c r="E155" s="4">
        <v>622.0</v>
      </c>
      <c r="F155" s="4">
        <v>182.0</v>
      </c>
      <c r="G155" s="6">
        <f t="shared" si="2"/>
        <v>11.59366263</v>
      </c>
    </row>
    <row r="156" ht="14.25" customHeight="1">
      <c r="A156" s="4">
        <f t="shared" si="1"/>
        <v>3</v>
      </c>
      <c r="B156" s="4">
        <v>31404.0</v>
      </c>
      <c r="C156" s="4">
        <v>378.0</v>
      </c>
      <c r="D156" s="4">
        <v>136.0</v>
      </c>
      <c r="E156" s="4">
        <v>63.0</v>
      </c>
      <c r="F156" s="4">
        <v>16.0</v>
      </c>
      <c r="G156" s="6">
        <f t="shared" si="2"/>
        <v>16.66666667</v>
      </c>
    </row>
    <row r="157" ht="14.25" customHeight="1">
      <c r="A157" s="4">
        <f t="shared" si="1"/>
        <v>3</v>
      </c>
      <c r="B157" s="4">
        <v>31501.0</v>
      </c>
      <c r="C157" s="4">
        <v>1333.0</v>
      </c>
      <c r="D157" s="4">
        <v>632.0</v>
      </c>
      <c r="E157" s="4">
        <v>256.0</v>
      </c>
      <c r="F157" s="4">
        <v>45.0</v>
      </c>
      <c r="G157" s="6">
        <f t="shared" si="2"/>
        <v>19.2048012</v>
      </c>
    </row>
    <row r="158" ht="14.25" customHeight="1">
      <c r="A158" s="4">
        <f t="shared" si="1"/>
        <v>3</v>
      </c>
      <c r="B158" s="4">
        <v>31601.0</v>
      </c>
      <c r="C158" s="4">
        <v>5787.0</v>
      </c>
      <c r="D158" s="4">
        <v>1557.0</v>
      </c>
      <c r="E158" s="4">
        <v>704.0</v>
      </c>
      <c r="F158" s="4">
        <v>160.0</v>
      </c>
      <c r="G158" s="6">
        <f t="shared" si="2"/>
        <v>12.16519786</v>
      </c>
    </row>
    <row r="159" ht="14.25" customHeight="1">
      <c r="A159" s="4">
        <f t="shared" si="1"/>
        <v>3</v>
      </c>
      <c r="B159" s="4">
        <v>31602.0</v>
      </c>
      <c r="C159" s="4">
        <v>6532.0</v>
      </c>
      <c r="D159" s="4">
        <v>784.0</v>
      </c>
      <c r="E159" s="4">
        <v>244.0</v>
      </c>
      <c r="F159" s="4">
        <v>67.0</v>
      </c>
      <c r="G159" s="6">
        <f t="shared" si="2"/>
        <v>3.735456216</v>
      </c>
    </row>
    <row r="160" ht="14.25" customHeight="1">
      <c r="A160" s="4">
        <f t="shared" si="1"/>
        <v>4</v>
      </c>
      <c r="B160" s="4">
        <v>40101.0</v>
      </c>
      <c r="C160" s="4">
        <v>109265.0</v>
      </c>
      <c r="D160" s="4">
        <v>20547.0</v>
      </c>
      <c r="E160" s="4">
        <v>8178.0</v>
      </c>
      <c r="F160" s="4">
        <v>2353.0</v>
      </c>
      <c r="G160" s="6">
        <f t="shared" si="2"/>
        <v>7.484555896</v>
      </c>
    </row>
    <row r="161" ht="14.25" customHeight="1">
      <c r="A161" s="4">
        <f t="shared" si="1"/>
        <v>4</v>
      </c>
      <c r="B161" s="4">
        <v>40102.0</v>
      </c>
      <c r="C161" s="4">
        <v>5754.0</v>
      </c>
      <c r="D161" s="4">
        <v>2085.0</v>
      </c>
      <c r="E161" s="4">
        <v>792.0</v>
      </c>
      <c r="F161" s="4">
        <v>209.0</v>
      </c>
      <c r="G161" s="6">
        <f t="shared" si="2"/>
        <v>13.76433785</v>
      </c>
    </row>
    <row r="162" ht="14.25" customHeight="1">
      <c r="A162" s="4">
        <f t="shared" si="1"/>
        <v>4</v>
      </c>
      <c r="B162" s="4">
        <v>40103.0</v>
      </c>
      <c r="C162" s="4">
        <v>627.0</v>
      </c>
      <c r="D162" s="4">
        <v>340.0</v>
      </c>
      <c r="E162" s="4">
        <v>119.0</v>
      </c>
      <c r="F162" s="4">
        <v>10.0</v>
      </c>
      <c r="G162" s="6">
        <f t="shared" si="2"/>
        <v>18.97926635</v>
      </c>
    </row>
    <row r="163" ht="14.25" customHeight="1">
      <c r="A163" s="4">
        <f t="shared" si="1"/>
        <v>4</v>
      </c>
      <c r="B163" s="4">
        <v>40104.0</v>
      </c>
      <c r="C163" s="4">
        <v>803.0</v>
      </c>
      <c r="D163" s="4">
        <v>307.0</v>
      </c>
      <c r="E163" s="4">
        <v>125.0</v>
      </c>
      <c r="F163" s="4">
        <v>34.0</v>
      </c>
      <c r="G163" s="6">
        <f t="shared" si="2"/>
        <v>15.56662516</v>
      </c>
    </row>
    <row r="164" ht="14.25" customHeight="1">
      <c r="A164" s="4">
        <f t="shared" si="1"/>
        <v>4</v>
      </c>
      <c r="B164" s="4">
        <v>40201.0</v>
      </c>
      <c r="C164" s="4">
        <v>9973.0</v>
      </c>
      <c r="D164" s="4">
        <v>3415.0</v>
      </c>
      <c r="E164" s="4">
        <v>1111.0</v>
      </c>
      <c r="F164" s="4">
        <v>203.0</v>
      </c>
      <c r="G164" s="6">
        <f t="shared" si="2"/>
        <v>11.14007821</v>
      </c>
    </row>
    <row r="165" ht="14.25" customHeight="1">
      <c r="A165" s="4">
        <f t="shared" si="1"/>
        <v>4</v>
      </c>
      <c r="B165" s="4">
        <v>40202.0</v>
      </c>
      <c r="C165" s="4">
        <v>442.0</v>
      </c>
      <c r="D165" s="4">
        <v>246.0</v>
      </c>
      <c r="E165" s="4">
        <v>68.0</v>
      </c>
      <c r="F165" s="4">
        <v>5.0</v>
      </c>
      <c r="G165" s="6">
        <f t="shared" si="2"/>
        <v>15.38461538</v>
      </c>
    </row>
    <row r="166" ht="14.25" customHeight="1">
      <c r="A166" s="4">
        <f t="shared" si="1"/>
        <v>4</v>
      </c>
      <c r="B166" s="4">
        <v>40301.0</v>
      </c>
      <c r="C166" s="4">
        <v>2306.0</v>
      </c>
      <c r="D166" s="4">
        <v>1569.0</v>
      </c>
      <c r="E166" s="4">
        <v>723.0</v>
      </c>
      <c r="F166" s="4">
        <v>79.0</v>
      </c>
      <c r="G166" s="6">
        <f t="shared" si="2"/>
        <v>31.35299219</v>
      </c>
    </row>
    <row r="167" ht="14.25" customHeight="1">
      <c r="A167" s="4">
        <f t="shared" si="1"/>
        <v>4</v>
      </c>
      <c r="B167" s="4">
        <v>40302.0</v>
      </c>
      <c r="C167" s="4">
        <v>640.0</v>
      </c>
      <c r="D167" s="4">
        <v>418.0</v>
      </c>
      <c r="E167" s="4">
        <v>159.0</v>
      </c>
      <c r="F167" s="4">
        <v>24.0</v>
      </c>
      <c r="G167" s="6">
        <f t="shared" si="2"/>
        <v>24.84375</v>
      </c>
    </row>
    <row r="168" ht="14.25" customHeight="1">
      <c r="A168" s="4">
        <f t="shared" si="1"/>
        <v>4</v>
      </c>
      <c r="B168" s="4">
        <v>40401.0</v>
      </c>
      <c r="C168" s="4">
        <v>942.0</v>
      </c>
      <c r="D168" s="4">
        <v>435.0</v>
      </c>
      <c r="E168" s="4">
        <v>158.0</v>
      </c>
      <c r="F168" s="4">
        <v>40.0</v>
      </c>
      <c r="G168" s="6">
        <f t="shared" si="2"/>
        <v>16.77282378</v>
      </c>
    </row>
    <row r="169" ht="14.25" customHeight="1">
      <c r="A169" s="4">
        <f t="shared" si="1"/>
        <v>4</v>
      </c>
      <c r="B169" s="4">
        <v>40402.0</v>
      </c>
      <c r="C169" s="4">
        <v>545.0</v>
      </c>
      <c r="D169" s="4">
        <v>322.0</v>
      </c>
      <c r="E169" s="4">
        <v>128.0</v>
      </c>
      <c r="F169" s="4">
        <v>17.0</v>
      </c>
      <c r="G169" s="6">
        <f t="shared" si="2"/>
        <v>23.48623853</v>
      </c>
    </row>
    <row r="170" ht="14.25" customHeight="1">
      <c r="A170" s="4">
        <f t="shared" si="1"/>
        <v>4</v>
      </c>
      <c r="B170" s="4">
        <v>40501.0</v>
      </c>
      <c r="C170" s="4">
        <v>664.0</v>
      </c>
      <c r="D170" s="4">
        <v>432.0</v>
      </c>
      <c r="E170" s="4">
        <v>144.0</v>
      </c>
      <c r="F170" s="4">
        <v>10.0</v>
      </c>
      <c r="G170" s="6">
        <f t="shared" si="2"/>
        <v>21.68674699</v>
      </c>
    </row>
    <row r="171" ht="14.25" customHeight="1">
      <c r="A171" s="4">
        <f t="shared" si="1"/>
        <v>4</v>
      </c>
      <c r="B171" s="4">
        <v>40502.0</v>
      </c>
      <c r="C171" s="4">
        <v>244.0</v>
      </c>
      <c r="D171" s="4">
        <v>168.0</v>
      </c>
      <c r="E171" s="4">
        <v>71.0</v>
      </c>
      <c r="F171" s="4">
        <v>9.0</v>
      </c>
      <c r="G171" s="6">
        <f t="shared" si="2"/>
        <v>29.09836066</v>
      </c>
    </row>
    <row r="172" ht="14.25" customHeight="1">
      <c r="A172" s="4">
        <f t="shared" si="1"/>
        <v>4</v>
      </c>
      <c r="B172" s="4">
        <v>40503.0</v>
      </c>
      <c r="C172" s="4">
        <v>58.0</v>
      </c>
      <c r="D172" s="4">
        <v>55.0</v>
      </c>
      <c r="E172" s="4">
        <v>40.0</v>
      </c>
      <c r="F172" s="4">
        <v>3.0</v>
      </c>
      <c r="G172" s="6">
        <f t="shared" si="2"/>
        <v>68.96551724</v>
      </c>
    </row>
    <row r="173" ht="14.25" customHeight="1">
      <c r="A173" s="4">
        <f t="shared" si="1"/>
        <v>4</v>
      </c>
      <c r="B173" s="4">
        <v>40504.0</v>
      </c>
      <c r="C173" s="4">
        <v>64.0</v>
      </c>
      <c r="D173" s="4">
        <v>50.0</v>
      </c>
      <c r="E173" s="4">
        <v>13.0</v>
      </c>
      <c r="F173" s="4">
        <v>1.0</v>
      </c>
      <c r="G173" s="6">
        <f t="shared" si="2"/>
        <v>20.3125</v>
      </c>
    </row>
    <row r="174" ht="14.25" customHeight="1">
      <c r="A174" s="4">
        <f t="shared" si="1"/>
        <v>4</v>
      </c>
      <c r="B174" s="4">
        <v>40505.0</v>
      </c>
      <c r="C174" s="4">
        <v>197.0</v>
      </c>
      <c r="D174" s="4">
        <v>153.0</v>
      </c>
      <c r="E174" s="4">
        <v>48.0</v>
      </c>
      <c r="F174" s="4">
        <v>2.0</v>
      </c>
      <c r="G174" s="6">
        <f t="shared" si="2"/>
        <v>24.36548223</v>
      </c>
    </row>
    <row r="175" ht="14.25" customHeight="1">
      <c r="A175" s="4">
        <f t="shared" si="1"/>
        <v>4</v>
      </c>
      <c r="B175" s="4">
        <v>40601.0</v>
      </c>
      <c r="C175" s="4">
        <v>707.0</v>
      </c>
      <c r="D175" s="4">
        <v>483.0</v>
      </c>
      <c r="E175" s="4">
        <v>218.0</v>
      </c>
      <c r="F175" s="4">
        <v>52.0</v>
      </c>
      <c r="G175" s="6">
        <f t="shared" si="2"/>
        <v>30.83451202</v>
      </c>
    </row>
    <row r="176" ht="14.25" customHeight="1">
      <c r="A176" s="4">
        <f t="shared" si="1"/>
        <v>4</v>
      </c>
      <c r="B176" s="4">
        <v>40602.0</v>
      </c>
      <c r="C176" s="4">
        <v>934.0</v>
      </c>
      <c r="D176" s="4">
        <v>156.0</v>
      </c>
      <c r="E176" s="4">
        <v>0.0</v>
      </c>
      <c r="F176" s="4">
        <v>0.0</v>
      </c>
      <c r="G176" s="6">
        <f t="shared" si="2"/>
        <v>0</v>
      </c>
    </row>
    <row r="177" ht="14.25" customHeight="1">
      <c r="A177" s="4">
        <f t="shared" si="1"/>
        <v>4</v>
      </c>
      <c r="B177" s="4">
        <v>40603.0</v>
      </c>
      <c r="C177" s="4">
        <v>280.0</v>
      </c>
      <c r="D177" s="4">
        <v>195.0</v>
      </c>
      <c r="E177" s="4">
        <v>87.0</v>
      </c>
      <c r="F177" s="4">
        <v>23.0</v>
      </c>
      <c r="G177" s="6">
        <f t="shared" si="2"/>
        <v>31.07142857</v>
      </c>
    </row>
    <row r="178" ht="14.25" customHeight="1">
      <c r="A178" s="4">
        <f t="shared" si="1"/>
        <v>4</v>
      </c>
      <c r="B178" s="4">
        <v>40701.0</v>
      </c>
      <c r="C178" s="4">
        <v>6196.0</v>
      </c>
      <c r="D178" s="4">
        <v>1545.0</v>
      </c>
      <c r="E178" s="4">
        <v>492.0</v>
      </c>
      <c r="F178" s="4">
        <v>76.0</v>
      </c>
      <c r="G178" s="6">
        <f t="shared" si="2"/>
        <v>7.940606843</v>
      </c>
    </row>
    <row r="179" ht="14.25" customHeight="1">
      <c r="A179" s="4">
        <f t="shared" si="1"/>
        <v>4</v>
      </c>
      <c r="B179" s="4">
        <v>40702.0</v>
      </c>
      <c r="C179" s="4">
        <v>1334.0</v>
      </c>
      <c r="D179" s="4">
        <v>424.0</v>
      </c>
      <c r="E179" s="4">
        <v>161.0</v>
      </c>
      <c r="F179" s="4">
        <v>39.0</v>
      </c>
      <c r="G179" s="6">
        <f t="shared" si="2"/>
        <v>12.06896552</v>
      </c>
    </row>
    <row r="180" ht="14.25" customHeight="1">
      <c r="A180" s="4">
        <f t="shared" si="1"/>
        <v>4</v>
      </c>
      <c r="B180" s="4">
        <v>40801.0</v>
      </c>
      <c r="C180" s="4">
        <v>3166.0</v>
      </c>
      <c r="D180" s="4">
        <v>1974.0</v>
      </c>
      <c r="E180" s="4">
        <v>552.0</v>
      </c>
      <c r="F180" s="4">
        <v>53.0</v>
      </c>
      <c r="G180" s="6">
        <f t="shared" si="2"/>
        <v>17.43524953</v>
      </c>
    </row>
    <row r="181" ht="14.25" customHeight="1">
      <c r="A181" s="4">
        <f t="shared" si="1"/>
        <v>4</v>
      </c>
      <c r="B181" s="4">
        <v>40802.0</v>
      </c>
      <c r="C181" s="4">
        <v>382.0</v>
      </c>
      <c r="D181" s="4">
        <v>238.0</v>
      </c>
      <c r="E181" s="4">
        <v>79.0</v>
      </c>
      <c r="F181" s="4">
        <v>7.0</v>
      </c>
      <c r="G181" s="6">
        <f t="shared" si="2"/>
        <v>20.68062827</v>
      </c>
    </row>
    <row r="182" ht="14.25" customHeight="1">
      <c r="A182" s="4">
        <f t="shared" si="1"/>
        <v>4</v>
      </c>
      <c r="B182" s="4">
        <v>40901.0</v>
      </c>
      <c r="C182" s="4">
        <v>1471.0</v>
      </c>
      <c r="D182" s="4">
        <v>974.0</v>
      </c>
      <c r="E182" s="4">
        <v>245.0</v>
      </c>
      <c r="F182" s="4">
        <v>17.0</v>
      </c>
      <c r="G182" s="6">
        <f t="shared" si="2"/>
        <v>16.65533651</v>
      </c>
    </row>
    <row r="183" ht="14.25" customHeight="1">
      <c r="A183" s="4">
        <f t="shared" si="1"/>
        <v>4</v>
      </c>
      <c r="B183" s="4">
        <v>40902.0</v>
      </c>
      <c r="C183" s="4">
        <v>159.0</v>
      </c>
      <c r="D183" s="4">
        <v>93.0</v>
      </c>
      <c r="E183" s="4">
        <v>31.0</v>
      </c>
      <c r="F183" s="4">
        <v>4.0</v>
      </c>
      <c r="G183" s="6">
        <f t="shared" si="2"/>
        <v>19.49685535</v>
      </c>
    </row>
    <row r="184" ht="14.25" customHeight="1">
      <c r="A184" s="4">
        <f t="shared" si="1"/>
        <v>4</v>
      </c>
      <c r="B184" s="4">
        <v>40903.0</v>
      </c>
      <c r="C184" s="4">
        <v>345.0</v>
      </c>
      <c r="D184" s="4">
        <v>180.0</v>
      </c>
      <c r="E184" s="4">
        <v>67.0</v>
      </c>
      <c r="F184" s="4">
        <v>6.0</v>
      </c>
      <c r="G184" s="6">
        <f t="shared" si="2"/>
        <v>19.42028986</v>
      </c>
    </row>
    <row r="185" ht="14.25" customHeight="1">
      <c r="A185" s="4">
        <f t="shared" si="1"/>
        <v>4</v>
      </c>
      <c r="B185" s="4">
        <v>41001.0</v>
      </c>
      <c r="C185" s="4">
        <v>1645.0</v>
      </c>
      <c r="D185" s="4">
        <v>1005.0</v>
      </c>
      <c r="E185" s="4">
        <v>462.0</v>
      </c>
      <c r="F185" s="4">
        <v>80.0</v>
      </c>
      <c r="G185" s="6">
        <f t="shared" si="2"/>
        <v>28.08510638</v>
      </c>
    </row>
    <row r="186" ht="14.25" customHeight="1">
      <c r="A186" s="4">
        <f t="shared" si="1"/>
        <v>4</v>
      </c>
      <c r="B186" s="4">
        <v>41101.0</v>
      </c>
      <c r="C186" s="4">
        <v>1407.0</v>
      </c>
      <c r="D186" s="4">
        <v>490.0</v>
      </c>
      <c r="E186" s="4">
        <v>132.0</v>
      </c>
      <c r="F186" s="4">
        <v>23.0</v>
      </c>
      <c r="G186" s="6">
        <f t="shared" si="2"/>
        <v>9.381663113</v>
      </c>
    </row>
    <row r="187" ht="14.25" customHeight="1">
      <c r="A187" s="4">
        <f t="shared" si="1"/>
        <v>4</v>
      </c>
      <c r="B187" s="4">
        <v>41201.0</v>
      </c>
      <c r="C187" s="4">
        <v>1494.0</v>
      </c>
      <c r="D187" s="4">
        <v>1085.0</v>
      </c>
      <c r="E187" s="4">
        <v>472.0</v>
      </c>
      <c r="F187" s="4">
        <v>58.0</v>
      </c>
      <c r="G187" s="6">
        <f t="shared" si="2"/>
        <v>31.59303882</v>
      </c>
    </row>
    <row r="188" ht="14.25" customHeight="1">
      <c r="A188" s="4">
        <f t="shared" si="1"/>
        <v>4</v>
      </c>
      <c r="B188" s="4">
        <v>41202.0</v>
      </c>
      <c r="C188" s="4">
        <v>319.0</v>
      </c>
      <c r="D188" s="4">
        <v>106.0</v>
      </c>
      <c r="E188" s="4">
        <v>0.0</v>
      </c>
      <c r="F188" s="4">
        <v>0.0</v>
      </c>
      <c r="G188" s="6">
        <f t="shared" si="2"/>
        <v>0</v>
      </c>
    </row>
    <row r="189" ht="14.25" customHeight="1">
      <c r="A189" s="4">
        <f t="shared" si="1"/>
        <v>4</v>
      </c>
      <c r="B189" s="4">
        <v>41301.0</v>
      </c>
      <c r="C189" s="4">
        <v>882.0</v>
      </c>
      <c r="D189" s="4">
        <v>430.0</v>
      </c>
      <c r="E189" s="4">
        <v>145.0</v>
      </c>
      <c r="F189" s="4">
        <v>20.0</v>
      </c>
      <c r="G189" s="6">
        <f t="shared" si="2"/>
        <v>16.4399093</v>
      </c>
    </row>
    <row r="190" ht="14.25" customHeight="1">
      <c r="A190" s="4">
        <f t="shared" si="1"/>
        <v>4</v>
      </c>
      <c r="B190" s="4">
        <v>41401.0</v>
      </c>
      <c r="C190" s="4">
        <v>2022.0</v>
      </c>
      <c r="D190" s="4">
        <v>901.0</v>
      </c>
      <c r="E190" s="4">
        <v>280.0</v>
      </c>
      <c r="F190" s="4">
        <v>27.0</v>
      </c>
      <c r="G190" s="6">
        <f t="shared" si="2"/>
        <v>13.84767557</v>
      </c>
    </row>
    <row r="191" ht="14.25" customHeight="1">
      <c r="A191" s="4">
        <f t="shared" si="1"/>
        <v>4</v>
      </c>
      <c r="B191" s="4">
        <v>41501.0</v>
      </c>
      <c r="C191" s="4">
        <v>149.0</v>
      </c>
      <c r="D191" s="4">
        <v>77.0</v>
      </c>
      <c r="E191" s="4">
        <v>29.0</v>
      </c>
      <c r="F191" s="4">
        <v>2.0</v>
      </c>
      <c r="G191" s="6">
        <f t="shared" si="2"/>
        <v>19.46308725</v>
      </c>
    </row>
    <row r="192" ht="14.25" customHeight="1">
      <c r="A192" s="4">
        <f t="shared" si="1"/>
        <v>4</v>
      </c>
      <c r="B192" s="4">
        <v>41502.0</v>
      </c>
      <c r="C192" s="4">
        <v>135.0</v>
      </c>
      <c r="D192" s="4">
        <v>79.0</v>
      </c>
      <c r="E192" s="4">
        <v>33.0</v>
      </c>
      <c r="F192" s="4">
        <v>1.0</v>
      </c>
      <c r="G192" s="6">
        <f t="shared" si="2"/>
        <v>24.44444444</v>
      </c>
    </row>
    <row r="193" ht="14.25" customHeight="1">
      <c r="A193" s="4">
        <f t="shared" si="1"/>
        <v>4</v>
      </c>
      <c r="B193" s="4">
        <v>41503.0</v>
      </c>
      <c r="C193" s="4">
        <v>812.0</v>
      </c>
      <c r="D193" s="4">
        <v>548.0</v>
      </c>
      <c r="E193" s="4">
        <v>158.0</v>
      </c>
      <c r="F193" s="4">
        <v>18.0</v>
      </c>
      <c r="G193" s="6">
        <f t="shared" si="2"/>
        <v>19.45812808</v>
      </c>
    </row>
    <row r="194" ht="14.25" customHeight="1">
      <c r="A194" s="4">
        <f t="shared" si="1"/>
        <v>4</v>
      </c>
      <c r="B194" s="4">
        <v>41601.0</v>
      </c>
      <c r="C194" s="4">
        <v>1502.0</v>
      </c>
      <c r="D194" s="4">
        <v>874.0</v>
      </c>
      <c r="E194" s="4">
        <v>354.0</v>
      </c>
      <c r="F194" s="4">
        <v>58.0</v>
      </c>
      <c r="G194" s="6">
        <f t="shared" si="2"/>
        <v>23.56857523</v>
      </c>
    </row>
    <row r="195" ht="14.25" customHeight="1">
      <c r="A195" s="4">
        <f t="shared" si="1"/>
        <v>5</v>
      </c>
      <c r="B195" s="4">
        <v>50101.0</v>
      </c>
      <c r="C195" s="4">
        <v>56730.0</v>
      </c>
      <c r="D195" s="4">
        <v>8729.0</v>
      </c>
      <c r="E195" s="4">
        <v>3657.0</v>
      </c>
      <c r="F195" s="4">
        <v>1359.0</v>
      </c>
      <c r="G195" s="6">
        <f t="shared" si="2"/>
        <v>6.446324696</v>
      </c>
    </row>
    <row r="196" ht="14.25" customHeight="1">
      <c r="A196" s="4">
        <f t="shared" si="1"/>
        <v>5</v>
      </c>
      <c r="B196" s="4">
        <v>50102.0</v>
      </c>
      <c r="C196" s="4">
        <v>3516.0</v>
      </c>
      <c r="D196" s="4">
        <v>2344.0</v>
      </c>
      <c r="E196" s="4">
        <v>1267.0</v>
      </c>
      <c r="F196" s="4">
        <v>517.0</v>
      </c>
      <c r="G196" s="6">
        <f t="shared" si="2"/>
        <v>36.03526735</v>
      </c>
    </row>
    <row r="197" ht="14.25" customHeight="1">
      <c r="A197" s="4">
        <f t="shared" si="1"/>
        <v>5</v>
      </c>
      <c r="B197" s="4">
        <v>50103.0</v>
      </c>
      <c r="C197" s="4">
        <v>1475.0</v>
      </c>
      <c r="D197" s="4">
        <v>905.0</v>
      </c>
      <c r="E197" s="4">
        <v>500.0</v>
      </c>
      <c r="F197" s="4">
        <v>213.0</v>
      </c>
      <c r="G197" s="6">
        <f t="shared" si="2"/>
        <v>33.89830508</v>
      </c>
    </row>
    <row r="198" ht="14.25" customHeight="1">
      <c r="A198" s="4">
        <f t="shared" si="1"/>
        <v>5</v>
      </c>
      <c r="B198" s="4">
        <v>50104.0</v>
      </c>
      <c r="C198" s="4">
        <v>326.0</v>
      </c>
      <c r="D198" s="4">
        <v>238.0</v>
      </c>
      <c r="E198" s="4">
        <v>128.0</v>
      </c>
      <c r="F198" s="4">
        <v>40.0</v>
      </c>
      <c r="G198" s="6">
        <f t="shared" si="2"/>
        <v>39.26380368</v>
      </c>
    </row>
    <row r="199" ht="14.25" customHeight="1">
      <c r="A199" s="4">
        <f t="shared" si="1"/>
        <v>5</v>
      </c>
      <c r="B199" s="4">
        <v>50201.0</v>
      </c>
      <c r="C199" s="4">
        <v>5288.0</v>
      </c>
      <c r="D199" s="4">
        <v>495.0</v>
      </c>
      <c r="E199" s="4">
        <v>0.0</v>
      </c>
      <c r="F199" s="4">
        <v>0.0</v>
      </c>
      <c r="G199" s="6">
        <f t="shared" si="2"/>
        <v>0</v>
      </c>
    </row>
    <row r="200" ht="14.25" customHeight="1">
      <c r="A200" s="4">
        <f t="shared" si="1"/>
        <v>5</v>
      </c>
      <c r="B200" s="4">
        <v>50202.0</v>
      </c>
      <c r="C200" s="4">
        <v>1558.0</v>
      </c>
      <c r="D200" s="4">
        <v>1376.0</v>
      </c>
      <c r="E200" s="4">
        <v>439.0</v>
      </c>
      <c r="F200" s="4">
        <v>0.0</v>
      </c>
      <c r="G200" s="6">
        <f t="shared" si="2"/>
        <v>28.17715019</v>
      </c>
    </row>
    <row r="201" ht="14.25" customHeight="1">
      <c r="A201" s="4">
        <f t="shared" si="1"/>
        <v>5</v>
      </c>
      <c r="B201" s="4">
        <v>50203.0</v>
      </c>
      <c r="C201" s="4">
        <v>10943.0</v>
      </c>
      <c r="D201" s="4">
        <v>2514.0</v>
      </c>
      <c r="E201" s="4">
        <v>505.0</v>
      </c>
      <c r="F201" s="4">
        <v>64.0</v>
      </c>
      <c r="G201" s="6">
        <f t="shared" si="2"/>
        <v>4.614822261</v>
      </c>
    </row>
    <row r="202" ht="14.25" customHeight="1">
      <c r="A202" s="4">
        <f t="shared" si="1"/>
        <v>5</v>
      </c>
      <c r="B202" s="4">
        <v>50301.0</v>
      </c>
      <c r="C202" s="4">
        <v>7221.0</v>
      </c>
      <c r="D202" s="4">
        <v>3134.0</v>
      </c>
      <c r="E202" s="4">
        <v>1302.0</v>
      </c>
      <c r="F202" s="4">
        <v>425.0</v>
      </c>
      <c r="G202" s="6">
        <f t="shared" si="2"/>
        <v>18.03074366</v>
      </c>
    </row>
    <row r="203" ht="14.25" customHeight="1">
      <c r="A203" s="4">
        <f t="shared" si="1"/>
        <v>5</v>
      </c>
      <c r="B203" s="4">
        <v>50302.0</v>
      </c>
      <c r="C203" s="4">
        <v>2334.0</v>
      </c>
      <c r="D203" s="4">
        <v>1462.0</v>
      </c>
      <c r="E203" s="4">
        <v>643.0</v>
      </c>
      <c r="F203" s="4">
        <v>243.0</v>
      </c>
      <c r="G203" s="6">
        <f t="shared" si="2"/>
        <v>27.54927164</v>
      </c>
    </row>
    <row r="204" ht="14.25" customHeight="1">
      <c r="A204" s="4">
        <f t="shared" si="1"/>
        <v>5</v>
      </c>
      <c r="B204" s="4">
        <v>50303.0</v>
      </c>
      <c r="C204" s="4">
        <v>1687.0</v>
      </c>
      <c r="D204" s="4">
        <v>223.0</v>
      </c>
      <c r="E204" s="4">
        <v>54.0</v>
      </c>
      <c r="F204" s="4">
        <v>0.0</v>
      </c>
      <c r="G204" s="6">
        <f t="shared" si="2"/>
        <v>3.200948429</v>
      </c>
    </row>
    <row r="205" ht="14.25" customHeight="1">
      <c r="A205" s="4">
        <f t="shared" si="1"/>
        <v>5</v>
      </c>
      <c r="B205" s="4">
        <v>50401.0</v>
      </c>
      <c r="C205" s="4">
        <v>2552.0</v>
      </c>
      <c r="D205" s="4">
        <v>967.0</v>
      </c>
      <c r="E205" s="4">
        <v>503.0</v>
      </c>
      <c r="F205" s="4">
        <v>117.0</v>
      </c>
      <c r="G205" s="6">
        <f t="shared" si="2"/>
        <v>19.71003135</v>
      </c>
    </row>
    <row r="206" ht="14.25" customHeight="1">
      <c r="A206" s="4">
        <f t="shared" si="1"/>
        <v>5</v>
      </c>
      <c r="B206" s="4">
        <v>50402.0</v>
      </c>
      <c r="C206" s="4">
        <v>3279.0</v>
      </c>
      <c r="D206" s="4">
        <v>882.0</v>
      </c>
      <c r="E206" s="4">
        <v>296.0</v>
      </c>
      <c r="F206" s="4">
        <v>53.0</v>
      </c>
      <c r="G206" s="6">
        <f t="shared" si="2"/>
        <v>9.027142421</v>
      </c>
    </row>
    <row r="207" ht="14.25" customHeight="1">
      <c r="A207" s="4">
        <f t="shared" si="1"/>
        <v>5</v>
      </c>
      <c r="B207" s="4">
        <v>50403.0</v>
      </c>
      <c r="C207" s="4">
        <v>5066.0</v>
      </c>
      <c r="D207" s="4">
        <v>2457.0</v>
      </c>
      <c r="E207" s="4">
        <v>1064.0</v>
      </c>
      <c r="F207" s="4">
        <v>301.0</v>
      </c>
      <c r="G207" s="6">
        <f t="shared" si="2"/>
        <v>21.00276352</v>
      </c>
    </row>
    <row r="208" ht="14.25" customHeight="1">
      <c r="A208" s="4">
        <f t="shared" si="1"/>
        <v>5</v>
      </c>
      <c r="B208" s="4">
        <v>50404.0</v>
      </c>
      <c r="C208" s="4">
        <v>2390.0</v>
      </c>
      <c r="D208" s="4">
        <v>599.0</v>
      </c>
      <c r="E208" s="4">
        <v>210.0</v>
      </c>
      <c r="F208" s="4">
        <v>30.0</v>
      </c>
      <c r="G208" s="6">
        <f t="shared" si="2"/>
        <v>8.786610879</v>
      </c>
    </row>
    <row r="209" ht="14.25" customHeight="1">
      <c r="A209" s="4">
        <f t="shared" si="1"/>
        <v>5</v>
      </c>
      <c r="B209" s="4">
        <v>50405.0</v>
      </c>
      <c r="C209" s="4">
        <v>3210.0</v>
      </c>
      <c r="D209" s="4">
        <v>1736.0</v>
      </c>
      <c r="E209" s="4">
        <v>795.0</v>
      </c>
      <c r="F209" s="4">
        <v>205.0</v>
      </c>
      <c r="G209" s="6">
        <f t="shared" si="2"/>
        <v>24.76635514</v>
      </c>
    </row>
    <row r="210" ht="14.25" customHeight="1">
      <c r="A210" s="4">
        <f t="shared" si="1"/>
        <v>5</v>
      </c>
      <c r="B210" s="4">
        <v>50501.0</v>
      </c>
      <c r="C210" s="4">
        <v>4021.0</v>
      </c>
      <c r="D210" s="4">
        <v>2110.0</v>
      </c>
      <c r="E210" s="4">
        <v>411.0</v>
      </c>
      <c r="F210" s="4">
        <v>33.0</v>
      </c>
      <c r="G210" s="6">
        <f t="shared" si="2"/>
        <v>10.22133798</v>
      </c>
    </row>
    <row r="211" ht="14.25" customHeight="1">
      <c r="A211" s="4">
        <f t="shared" si="1"/>
        <v>5</v>
      </c>
      <c r="B211" s="4">
        <v>50502.0</v>
      </c>
      <c r="C211" s="4">
        <v>2254.0</v>
      </c>
      <c r="D211" s="4">
        <v>1156.0</v>
      </c>
      <c r="E211" s="4">
        <v>415.0</v>
      </c>
      <c r="F211" s="4">
        <v>90.0</v>
      </c>
      <c r="G211" s="6">
        <f t="shared" si="2"/>
        <v>18.41171251</v>
      </c>
    </row>
    <row r="212" ht="14.25" customHeight="1">
      <c r="A212" s="4">
        <f t="shared" si="1"/>
        <v>5</v>
      </c>
      <c r="B212" s="4">
        <v>50601.0</v>
      </c>
      <c r="C212" s="4">
        <v>5872.0</v>
      </c>
      <c r="D212" s="4">
        <v>2164.0</v>
      </c>
      <c r="E212" s="4">
        <v>833.0</v>
      </c>
      <c r="F212" s="4">
        <v>287.0</v>
      </c>
      <c r="G212" s="6">
        <f t="shared" si="2"/>
        <v>14.1859673</v>
      </c>
    </row>
    <row r="213" ht="14.25" customHeight="1">
      <c r="A213" s="4">
        <f t="shared" si="1"/>
        <v>5</v>
      </c>
      <c r="B213" s="4">
        <v>50602.0</v>
      </c>
      <c r="C213" s="4">
        <v>2407.0</v>
      </c>
      <c r="D213" s="4">
        <v>459.0</v>
      </c>
      <c r="E213" s="4">
        <v>78.0</v>
      </c>
      <c r="F213" s="4">
        <v>1.0</v>
      </c>
      <c r="G213" s="6">
        <f t="shared" si="2"/>
        <v>3.2405484</v>
      </c>
    </row>
    <row r="214" ht="14.25" customHeight="1">
      <c r="A214" s="4">
        <f t="shared" si="1"/>
        <v>5</v>
      </c>
      <c r="B214" s="4">
        <v>50701.0</v>
      </c>
      <c r="C214" s="4">
        <v>3490.0</v>
      </c>
      <c r="D214" s="4">
        <v>1808.0</v>
      </c>
      <c r="E214" s="4">
        <v>515.0</v>
      </c>
      <c r="F214" s="4">
        <v>103.0</v>
      </c>
      <c r="G214" s="6">
        <f t="shared" si="2"/>
        <v>14.75644699</v>
      </c>
    </row>
    <row r="215" ht="14.25" customHeight="1">
      <c r="A215" s="4">
        <f t="shared" si="1"/>
        <v>5</v>
      </c>
      <c r="B215" s="4">
        <v>50702.0</v>
      </c>
      <c r="C215" s="4">
        <v>1478.0</v>
      </c>
      <c r="D215" s="4">
        <v>930.0</v>
      </c>
      <c r="E215" s="4">
        <v>313.0</v>
      </c>
      <c r="F215" s="4">
        <v>3.0</v>
      </c>
      <c r="G215" s="6">
        <f t="shared" si="2"/>
        <v>21.17726658</v>
      </c>
    </row>
    <row r="216" ht="14.25" customHeight="1">
      <c r="A216" s="4">
        <f t="shared" si="1"/>
        <v>5</v>
      </c>
      <c r="B216" s="4">
        <v>50801.0</v>
      </c>
      <c r="C216" s="4">
        <v>14138.0</v>
      </c>
      <c r="D216" s="4">
        <v>2993.0</v>
      </c>
      <c r="E216" s="4">
        <v>1128.0</v>
      </c>
      <c r="F216" s="4">
        <v>371.0</v>
      </c>
      <c r="G216" s="6">
        <f t="shared" si="2"/>
        <v>7.978497666</v>
      </c>
    </row>
    <row r="217" ht="14.25" customHeight="1">
      <c r="A217" s="4">
        <f t="shared" si="1"/>
        <v>5</v>
      </c>
      <c r="B217" s="4">
        <v>50802.0</v>
      </c>
      <c r="C217" s="4">
        <v>2977.0</v>
      </c>
      <c r="D217" s="4">
        <v>696.0</v>
      </c>
      <c r="E217" s="4">
        <v>138.0</v>
      </c>
      <c r="F217" s="4">
        <v>20.0</v>
      </c>
      <c r="G217" s="6">
        <f t="shared" si="2"/>
        <v>4.635539133</v>
      </c>
    </row>
    <row r="218" ht="14.25" customHeight="1">
      <c r="A218" s="4">
        <f t="shared" si="1"/>
        <v>5</v>
      </c>
      <c r="B218" s="4">
        <v>50901.0</v>
      </c>
      <c r="C218" s="4">
        <v>3330.0</v>
      </c>
      <c r="D218" s="4">
        <v>1144.0</v>
      </c>
      <c r="E218" s="4">
        <v>501.0</v>
      </c>
      <c r="F218" s="4">
        <v>70.0</v>
      </c>
      <c r="G218" s="6">
        <f t="shared" si="2"/>
        <v>15.04504505</v>
      </c>
    </row>
    <row r="219" ht="14.25" customHeight="1">
      <c r="A219" s="4">
        <f t="shared" si="1"/>
        <v>5</v>
      </c>
      <c r="B219" s="4">
        <v>50902.0</v>
      </c>
      <c r="C219" s="4">
        <v>217.0</v>
      </c>
      <c r="D219" s="4">
        <v>98.0</v>
      </c>
      <c r="E219" s="4">
        <v>48.0</v>
      </c>
      <c r="F219" s="4">
        <v>7.0</v>
      </c>
      <c r="G219" s="6">
        <f t="shared" si="2"/>
        <v>22.11981567</v>
      </c>
    </row>
    <row r="220" ht="14.25" customHeight="1">
      <c r="A220" s="4">
        <f t="shared" si="1"/>
        <v>5</v>
      </c>
      <c r="B220" s="4">
        <v>51001.0</v>
      </c>
      <c r="C220" s="4">
        <v>329.0</v>
      </c>
      <c r="D220" s="4">
        <v>186.0</v>
      </c>
      <c r="E220" s="4">
        <v>84.0</v>
      </c>
      <c r="F220" s="4">
        <v>21.0</v>
      </c>
      <c r="G220" s="6">
        <f t="shared" si="2"/>
        <v>25.53191489</v>
      </c>
    </row>
    <row r="221" ht="14.25" customHeight="1">
      <c r="A221" s="4">
        <f t="shared" si="1"/>
        <v>5</v>
      </c>
      <c r="B221" s="4">
        <v>51002.0</v>
      </c>
      <c r="C221" s="4">
        <v>92.0</v>
      </c>
      <c r="D221" s="4">
        <v>42.0</v>
      </c>
      <c r="E221" s="4">
        <v>5.0</v>
      </c>
      <c r="F221" s="4">
        <v>2.0</v>
      </c>
      <c r="G221" s="6">
        <f t="shared" si="2"/>
        <v>5.434782609</v>
      </c>
    </row>
    <row r="222" ht="14.25" customHeight="1">
      <c r="A222" s="4">
        <f t="shared" si="1"/>
        <v>5</v>
      </c>
      <c r="B222" s="4">
        <v>51003.0</v>
      </c>
      <c r="C222" s="4">
        <v>339.0</v>
      </c>
      <c r="D222" s="4">
        <v>199.0</v>
      </c>
      <c r="E222" s="4">
        <v>53.0</v>
      </c>
      <c r="F222" s="4">
        <v>23.0</v>
      </c>
      <c r="G222" s="6">
        <f t="shared" si="2"/>
        <v>15.63421829</v>
      </c>
    </row>
    <row r="223" ht="14.25" customHeight="1">
      <c r="A223" s="4">
        <f t="shared" si="1"/>
        <v>5</v>
      </c>
      <c r="B223" s="4">
        <v>51101.0</v>
      </c>
      <c r="C223" s="4">
        <v>5565.0</v>
      </c>
      <c r="D223" s="4">
        <v>3115.0</v>
      </c>
      <c r="E223" s="4">
        <v>1313.0</v>
      </c>
      <c r="F223" s="4">
        <v>515.0</v>
      </c>
      <c r="G223" s="6">
        <f t="shared" si="2"/>
        <v>23.59389039</v>
      </c>
    </row>
    <row r="224" ht="14.25" customHeight="1">
      <c r="A224" s="4">
        <f t="shared" si="1"/>
        <v>5</v>
      </c>
      <c r="B224" s="4">
        <v>51102.0</v>
      </c>
      <c r="C224" s="4">
        <v>3185.0</v>
      </c>
      <c r="D224" s="4">
        <v>1510.0</v>
      </c>
      <c r="E224" s="4">
        <v>565.0</v>
      </c>
      <c r="F224" s="4">
        <v>185.0</v>
      </c>
      <c r="G224" s="6">
        <f t="shared" si="2"/>
        <v>17.73940345</v>
      </c>
    </row>
    <row r="225" ht="14.25" customHeight="1">
      <c r="A225" s="4">
        <f t="shared" si="1"/>
        <v>5</v>
      </c>
      <c r="B225" s="4">
        <v>51103.0</v>
      </c>
      <c r="C225" s="4">
        <v>1545.0</v>
      </c>
      <c r="D225" s="4">
        <v>816.0</v>
      </c>
      <c r="E225" s="4">
        <v>364.0</v>
      </c>
      <c r="F225" s="4">
        <v>68.0</v>
      </c>
      <c r="G225" s="6">
        <f t="shared" si="2"/>
        <v>23.55987055</v>
      </c>
    </row>
    <row r="226" ht="14.25" customHeight="1">
      <c r="A226" s="4">
        <f t="shared" si="1"/>
        <v>5</v>
      </c>
      <c r="B226" s="4">
        <v>51201.0</v>
      </c>
      <c r="C226" s="4">
        <v>10799.0</v>
      </c>
      <c r="D226" s="4">
        <v>3339.0</v>
      </c>
      <c r="E226" s="4">
        <v>1146.0</v>
      </c>
      <c r="F226" s="4">
        <v>166.0</v>
      </c>
      <c r="G226" s="6">
        <f t="shared" si="2"/>
        <v>10.61209371</v>
      </c>
    </row>
    <row r="227" ht="14.25" customHeight="1">
      <c r="A227" s="4">
        <f t="shared" si="1"/>
        <v>5</v>
      </c>
      <c r="B227" s="4">
        <v>51202.0</v>
      </c>
      <c r="C227" s="4">
        <v>2818.0</v>
      </c>
      <c r="D227" s="4">
        <v>1482.0</v>
      </c>
      <c r="E227" s="4">
        <v>629.0</v>
      </c>
      <c r="F227" s="4">
        <v>126.0</v>
      </c>
      <c r="G227" s="6">
        <f t="shared" si="2"/>
        <v>22.32079489</v>
      </c>
    </row>
    <row r="228" ht="14.25" customHeight="1">
      <c r="A228" s="4">
        <f t="shared" si="1"/>
        <v>5</v>
      </c>
      <c r="B228" s="4">
        <v>51203.0</v>
      </c>
      <c r="C228" s="4">
        <v>2344.0</v>
      </c>
      <c r="D228" s="4">
        <v>706.0</v>
      </c>
      <c r="E228" s="4">
        <v>405.0</v>
      </c>
      <c r="F228" s="4">
        <v>192.0</v>
      </c>
      <c r="G228" s="6">
        <f t="shared" si="2"/>
        <v>17.278157</v>
      </c>
    </row>
    <row r="229" ht="14.25" customHeight="1">
      <c r="A229" s="4">
        <f t="shared" si="1"/>
        <v>5</v>
      </c>
      <c r="B229" s="4">
        <v>51301.0</v>
      </c>
      <c r="C229" s="4">
        <v>725.0</v>
      </c>
      <c r="D229" s="4">
        <v>445.0</v>
      </c>
      <c r="E229" s="4">
        <v>72.0</v>
      </c>
      <c r="F229" s="4">
        <v>2.0</v>
      </c>
      <c r="G229" s="6">
        <f t="shared" si="2"/>
        <v>9.931034483</v>
      </c>
    </row>
    <row r="230" ht="14.25" customHeight="1">
      <c r="A230" s="4">
        <f t="shared" si="1"/>
        <v>5</v>
      </c>
      <c r="B230" s="4">
        <v>51302.0</v>
      </c>
      <c r="C230" s="4">
        <v>1121.0</v>
      </c>
      <c r="D230" s="4">
        <v>540.0</v>
      </c>
      <c r="E230" s="4">
        <v>203.0</v>
      </c>
      <c r="F230" s="4">
        <v>44.0</v>
      </c>
      <c r="G230" s="6">
        <f t="shared" si="2"/>
        <v>18.1088314</v>
      </c>
    </row>
    <row r="231" ht="14.25" customHeight="1">
      <c r="A231" s="4">
        <f t="shared" si="1"/>
        <v>5</v>
      </c>
      <c r="B231" s="4">
        <v>51401.0</v>
      </c>
      <c r="C231" s="4">
        <v>1590.0</v>
      </c>
      <c r="D231" s="4">
        <v>884.0</v>
      </c>
      <c r="E231" s="4">
        <v>451.0</v>
      </c>
      <c r="F231" s="4">
        <v>216.0</v>
      </c>
      <c r="G231" s="6">
        <f t="shared" si="2"/>
        <v>28.36477987</v>
      </c>
    </row>
    <row r="232" ht="14.25" customHeight="1">
      <c r="A232" s="4">
        <f t="shared" si="1"/>
        <v>5</v>
      </c>
      <c r="B232" s="4">
        <v>51402.0</v>
      </c>
      <c r="C232" s="4">
        <v>456.0</v>
      </c>
      <c r="D232" s="4">
        <v>293.0</v>
      </c>
      <c r="E232" s="4">
        <v>170.0</v>
      </c>
      <c r="F232" s="4">
        <v>67.0</v>
      </c>
      <c r="G232" s="6">
        <f t="shared" si="2"/>
        <v>37.28070175</v>
      </c>
    </row>
    <row r="233" ht="14.25" customHeight="1">
      <c r="A233" s="4">
        <f t="shared" si="1"/>
        <v>5</v>
      </c>
      <c r="B233" s="4">
        <v>51501.0</v>
      </c>
      <c r="C233" s="4">
        <v>12424.0</v>
      </c>
      <c r="D233" s="4">
        <v>2167.0</v>
      </c>
      <c r="E233" s="4">
        <v>745.0</v>
      </c>
      <c r="F233" s="4">
        <v>159.0</v>
      </c>
      <c r="G233" s="6">
        <f t="shared" si="2"/>
        <v>5.996458467</v>
      </c>
    </row>
    <row r="234" ht="14.25" customHeight="1">
      <c r="A234" s="4">
        <f t="shared" si="1"/>
        <v>5</v>
      </c>
      <c r="B234" s="4">
        <v>51601.0</v>
      </c>
      <c r="C234" s="4">
        <v>507.0</v>
      </c>
      <c r="D234" s="4">
        <v>208.0</v>
      </c>
      <c r="E234" s="4">
        <v>94.0</v>
      </c>
      <c r="F234" s="4">
        <v>30.0</v>
      </c>
      <c r="G234" s="6">
        <f t="shared" si="2"/>
        <v>18.54043393</v>
      </c>
    </row>
    <row r="235" ht="14.25" customHeight="1">
      <c r="A235" s="4">
        <f t="shared" si="1"/>
        <v>6</v>
      </c>
      <c r="B235" s="4">
        <v>60101.0</v>
      </c>
      <c r="C235" s="4">
        <v>66115.0</v>
      </c>
      <c r="D235" s="4">
        <v>9903.0</v>
      </c>
      <c r="E235" s="4">
        <v>3802.0</v>
      </c>
      <c r="F235" s="4">
        <v>1311.0</v>
      </c>
      <c r="G235" s="6">
        <f t="shared" si="2"/>
        <v>5.7505861</v>
      </c>
    </row>
    <row r="236" ht="14.25" customHeight="1">
      <c r="A236" s="4">
        <f t="shared" si="1"/>
        <v>6</v>
      </c>
      <c r="B236" s="4">
        <v>60201.0</v>
      </c>
      <c r="C236" s="4">
        <v>5218.0</v>
      </c>
      <c r="D236" s="4">
        <v>1790.0</v>
      </c>
      <c r="E236" s="4">
        <v>990.0</v>
      </c>
      <c r="F236" s="4">
        <v>449.0</v>
      </c>
      <c r="G236" s="6">
        <f t="shared" si="2"/>
        <v>18.97278651</v>
      </c>
    </row>
    <row r="237" ht="14.25" customHeight="1">
      <c r="A237" s="4">
        <f t="shared" si="1"/>
        <v>6</v>
      </c>
      <c r="B237" s="4">
        <v>60202.0</v>
      </c>
      <c r="C237" s="4">
        <v>9904.0</v>
      </c>
      <c r="D237" s="4">
        <v>1328.0</v>
      </c>
      <c r="E237" s="4">
        <v>424.0</v>
      </c>
      <c r="F237" s="4">
        <v>123.0</v>
      </c>
      <c r="G237" s="6">
        <f t="shared" si="2"/>
        <v>4.281098546</v>
      </c>
    </row>
    <row r="238" ht="14.25" customHeight="1">
      <c r="A238" s="4">
        <f t="shared" si="1"/>
        <v>6</v>
      </c>
      <c r="B238" s="4">
        <v>60301.0</v>
      </c>
      <c r="C238" s="4">
        <v>25327.0</v>
      </c>
      <c r="D238" s="4">
        <v>3250.0</v>
      </c>
      <c r="E238" s="4">
        <v>1144.0</v>
      </c>
      <c r="F238" s="4">
        <v>299.0</v>
      </c>
      <c r="G238" s="6">
        <f t="shared" si="2"/>
        <v>4.516918703</v>
      </c>
    </row>
    <row r="239" ht="14.25" customHeight="1">
      <c r="A239" s="4">
        <f t="shared" si="1"/>
        <v>6</v>
      </c>
      <c r="B239" s="4">
        <v>60302.0</v>
      </c>
      <c r="C239" s="4">
        <v>4392.0</v>
      </c>
      <c r="D239" s="4">
        <v>995.0</v>
      </c>
      <c r="E239" s="4">
        <v>418.0</v>
      </c>
      <c r="F239" s="4">
        <v>157.0</v>
      </c>
      <c r="G239" s="6">
        <f t="shared" si="2"/>
        <v>9.517304189</v>
      </c>
    </row>
    <row r="240" ht="14.25" customHeight="1">
      <c r="A240" s="4">
        <f t="shared" si="1"/>
        <v>6</v>
      </c>
      <c r="B240" s="4">
        <v>60303.0</v>
      </c>
      <c r="C240" s="4">
        <v>13201.0</v>
      </c>
      <c r="D240" s="4">
        <v>2551.0</v>
      </c>
      <c r="E240" s="4">
        <v>718.0</v>
      </c>
      <c r="F240" s="4">
        <v>190.0</v>
      </c>
      <c r="G240" s="6">
        <f t="shared" si="2"/>
        <v>5.438981895</v>
      </c>
    </row>
    <row r="241" ht="14.25" customHeight="1">
      <c r="A241" s="4">
        <f t="shared" si="1"/>
        <v>6</v>
      </c>
      <c r="B241" s="4">
        <v>60401.0</v>
      </c>
      <c r="C241" s="4">
        <v>4332.0</v>
      </c>
      <c r="D241" s="4">
        <v>1042.0</v>
      </c>
      <c r="E241" s="4">
        <v>517.0</v>
      </c>
      <c r="F241" s="4">
        <v>242.0</v>
      </c>
      <c r="G241" s="6">
        <f t="shared" si="2"/>
        <v>11.93444137</v>
      </c>
    </row>
    <row r="242" ht="14.25" customHeight="1">
      <c r="A242" s="4">
        <f t="shared" si="1"/>
        <v>6</v>
      </c>
      <c r="B242" s="4">
        <v>60402.0</v>
      </c>
      <c r="C242" s="4">
        <v>1356.0</v>
      </c>
      <c r="D242" s="4">
        <v>726.0</v>
      </c>
      <c r="E242" s="4">
        <v>396.0</v>
      </c>
      <c r="F242" s="4">
        <v>193.0</v>
      </c>
      <c r="G242" s="6">
        <f t="shared" si="2"/>
        <v>29.20353982</v>
      </c>
    </row>
    <row r="243" ht="14.25" customHeight="1">
      <c r="A243" s="4">
        <f t="shared" si="1"/>
        <v>6</v>
      </c>
      <c r="B243" s="4">
        <v>60501.0</v>
      </c>
      <c r="C243" s="4">
        <v>8536.0</v>
      </c>
      <c r="D243" s="4">
        <v>1971.0</v>
      </c>
      <c r="E243" s="4">
        <v>951.0</v>
      </c>
      <c r="F243" s="4">
        <v>367.0</v>
      </c>
      <c r="G243" s="6">
        <f t="shared" si="2"/>
        <v>11.14104967</v>
      </c>
    </row>
    <row r="244" ht="14.25" customHeight="1">
      <c r="A244" s="4">
        <f t="shared" si="1"/>
        <v>6</v>
      </c>
      <c r="B244" s="4">
        <v>60502.0</v>
      </c>
      <c r="C244" s="4">
        <v>2952.0</v>
      </c>
      <c r="D244" s="4">
        <v>1053.0</v>
      </c>
      <c r="E244" s="4">
        <v>555.0</v>
      </c>
      <c r="F244" s="4">
        <v>227.0</v>
      </c>
      <c r="G244" s="6">
        <f t="shared" si="2"/>
        <v>18.80081301</v>
      </c>
    </row>
    <row r="245" ht="14.25" customHeight="1">
      <c r="A245" s="4">
        <f t="shared" si="1"/>
        <v>6</v>
      </c>
      <c r="B245" s="4">
        <v>60601.0</v>
      </c>
      <c r="C245" s="4">
        <v>5997.0</v>
      </c>
      <c r="D245" s="4">
        <v>1753.0</v>
      </c>
      <c r="E245" s="4">
        <v>657.0</v>
      </c>
      <c r="F245" s="4">
        <v>180.0</v>
      </c>
      <c r="G245" s="6">
        <f t="shared" si="2"/>
        <v>10.95547774</v>
      </c>
    </row>
    <row r="246" ht="14.25" customHeight="1">
      <c r="A246" s="4">
        <f t="shared" si="1"/>
        <v>7</v>
      </c>
      <c r="B246" s="4">
        <v>70101.0</v>
      </c>
      <c r="C246" s="4">
        <v>421625.0</v>
      </c>
      <c r="D246" s="4">
        <v>51865.0</v>
      </c>
      <c r="E246" s="4">
        <v>24601.0</v>
      </c>
      <c r="F246" s="4">
        <v>13466.0</v>
      </c>
      <c r="G246" s="6">
        <f t="shared" si="2"/>
        <v>5.834805811</v>
      </c>
    </row>
    <row r="247" ht="14.25" customHeight="1">
      <c r="A247" s="4">
        <f t="shared" si="1"/>
        <v>7</v>
      </c>
      <c r="B247" s="4">
        <v>70102.0</v>
      </c>
      <c r="C247" s="4">
        <v>23887.0</v>
      </c>
      <c r="D247" s="4">
        <v>5448.0</v>
      </c>
      <c r="E247" s="4">
        <v>3009.0</v>
      </c>
      <c r="F247" s="4">
        <v>1807.0</v>
      </c>
      <c r="G247" s="6">
        <f t="shared" si="2"/>
        <v>12.59680998</v>
      </c>
    </row>
    <row r="248" ht="14.25" customHeight="1">
      <c r="A248" s="4">
        <f t="shared" si="1"/>
        <v>7</v>
      </c>
      <c r="B248" s="4">
        <v>70103.0</v>
      </c>
      <c r="C248" s="4">
        <v>8522.0</v>
      </c>
      <c r="D248" s="4">
        <v>1548.0</v>
      </c>
      <c r="E248" s="4">
        <v>768.0</v>
      </c>
      <c r="F248" s="4">
        <v>408.0</v>
      </c>
      <c r="G248" s="6">
        <f t="shared" si="2"/>
        <v>9.011969021</v>
      </c>
    </row>
    <row r="249" ht="14.25" customHeight="1">
      <c r="A249" s="4">
        <f t="shared" si="1"/>
        <v>7</v>
      </c>
      <c r="B249" s="4">
        <v>70104.0</v>
      </c>
      <c r="C249" s="4">
        <v>40714.0</v>
      </c>
      <c r="D249" s="4">
        <v>5523.0</v>
      </c>
      <c r="E249" s="4">
        <v>2584.0</v>
      </c>
      <c r="F249" s="4">
        <v>1305.0</v>
      </c>
      <c r="G249" s="6">
        <f t="shared" si="2"/>
        <v>6.346711205</v>
      </c>
    </row>
    <row r="250" ht="14.25" customHeight="1">
      <c r="A250" s="4">
        <f t="shared" si="1"/>
        <v>7</v>
      </c>
      <c r="B250" s="4">
        <v>70105.0</v>
      </c>
      <c r="C250" s="4">
        <v>15568.0</v>
      </c>
      <c r="D250" s="4">
        <v>2346.0</v>
      </c>
      <c r="E250" s="4">
        <v>1116.0</v>
      </c>
      <c r="F250" s="4">
        <v>572.0</v>
      </c>
      <c r="G250" s="6">
        <f t="shared" si="2"/>
        <v>7.168550874</v>
      </c>
    </row>
    <row r="251" ht="14.25" customHeight="1">
      <c r="A251" s="4">
        <f t="shared" si="1"/>
        <v>7</v>
      </c>
      <c r="B251" s="4">
        <v>70201.0</v>
      </c>
      <c r="C251" s="4">
        <v>47624.0</v>
      </c>
      <c r="D251" s="4">
        <v>8307.0</v>
      </c>
      <c r="E251" s="4">
        <v>4534.0</v>
      </c>
      <c r="F251" s="4">
        <v>2590.0</v>
      </c>
      <c r="G251" s="6">
        <f t="shared" si="2"/>
        <v>9.520409877</v>
      </c>
    </row>
    <row r="252" ht="14.25" customHeight="1">
      <c r="A252" s="4">
        <f t="shared" si="1"/>
        <v>7</v>
      </c>
      <c r="B252" s="4">
        <v>70202.0</v>
      </c>
      <c r="C252" s="4">
        <v>2190.0</v>
      </c>
      <c r="D252" s="4">
        <v>427.0</v>
      </c>
      <c r="E252" s="4">
        <v>250.0</v>
      </c>
      <c r="F252" s="4">
        <v>170.0</v>
      </c>
      <c r="G252" s="6">
        <f t="shared" si="2"/>
        <v>11.41552511</v>
      </c>
    </row>
    <row r="253" ht="14.25" customHeight="1">
      <c r="A253" s="4">
        <f t="shared" si="1"/>
        <v>7</v>
      </c>
      <c r="B253" s="4">
        <v>70301.0</v>
      </c>
      <c r="C253" s="4">
        <v>288.0</v>
      </c>
      <c r="D253" s="4">
        <v>28.0</v>
      </c>
      <c r="E253" s="4">
        <v>13.0</v>
      </c>
      <c r="F253" s="4">
        <v>11.0</v>
      </c>
      <c r="G253" s="6">
        <f t="shared" si="2"/>
        <v>4.513888889</v>
      </c>
    </row>
    <row r="254" ht="14.25" customHeight="1">
      <c r="A254" s="4">
        <f t="shared" si="1"/>
        <v>7</v>
      </c>
      <c r="B254" s="4">
        <v>70302.0</v>
      </c>
      <c r="C254" s="4">
        <v>72.0</v>
      </c>
      <c r="D254" s="4">
        <v>10.0</v>
      </c>
      <c r="E254" s="4">
        <v>3.0</v>
      </c>
      <c r="F254" s="4">
        <v>3.0</v>
      </c>
      <c r="G254" s="6">
        <f t="shared" si="2"/>
        <v>4.166666667</v>
      </c>
    </row>
    <row r="255" ht="14.25" customHeight="1">
      <c r="A255" s="4">
        <f t="shared" si="1"/>
        <v>7</v>
      </c>
      <c r="B255" s="4">
        <v>70303.0</v>
      </c>
      <c r="C255" s="4">
        <v>16.0</v>
      </c>
      <c r="D255" s="4">
        <v>4.0</v>
      </c>
      <c r="E255" s="4">
        <v>2.0</v>
      </c>
      <c r="F255" s="4">
        <v>2.0</v>
      </c>
      <c r="G255" s="6">
        <f t="shared" si="2"/>
        <v>12.5</v>
      </c>
    </row>
    <row r="256" ht="14.25" customHeight="1">
      <c r="A256" s="4">
        <f t="shared" si="1"/>
        <v>7</v>
      </c>
      <c r="B256" s="4">
        <v>70401.0</v>
      </c>
      <c r="C256" s="4">
        <v>3948.0</v>
      </c>
      <c r="D256" s="4">
        <v>784.0</v>
      </c>
      <c r="E256" s="4">
        <v>429.0</v>
      </c>
      <c r="F256" s="4">
        <v>231.0</v>
      </c>
      <c r="G256" s="6">
        <f t="shared" si="2"/>
        <v>10.8662614</v>
      </c>
    </row>
    <row r="257" ht="14.25" customHeight="1">
      <c r="A257" s="4">
        <f t="shared" si="1"/>
        <v>7</v>
      </c>
      <c r="B257" s="4">
        <v>70402.0</v>
      </c>
      <c r="C257" s="4">
        <v>4626.0</v>
      </c>
      <c r="D257" s="4">
        <v>785.0</v>
      </c>
      <c r="E257" s="4">
        <v>427.0</v>
      </c>
      <c r="F257" s="4">
        <v>279.0</v>
      </c>
      <c r="G257" s="6">
        <f t="shared" si="2"/>
        <v>9.230436662</v>
      </c>
    </row>
    <row r="258" ht="14.25" customHeight="1">
      <c r="A258" s="4">
        <f t="shared" si="1"/>
        <v>7</v>
      </c>
      <c r="B258" s="4">
        <v>70403.0</v>
      </c>
      <c r="C258" s="4">
        <v>13526.0</v>
      </c>
      <c r="D258" s="4">
        <v>2369.0</v>
      </c>
      <c r="E258" s="4">
        <v>1230.0</v>
      </c>
      <c r="F258" s="4">
        <v>710.0</v>
      </c>
      <c r="G258" s="6">
        <f t="shared" si="2"/>
        <v>9.093597516</v>
      </c>
    </row>
    <row r="259" ht="14.25" customHeight="1">
      <c r="A259" s="4">
        <f t="shared" si="1"/>
        <v>7</v>
      </c>
      <c r="B259" s="4">
        <v>70404.0</v>
      </c>
      <c r="C259" s="4">
        <v>1881.0</v>
      </c>
      <c r="D259" s="4">
        <v>323.0</v>
      </c>
      <c r="E259" s="4">
        <v>191.0</v>
      </c>
      <c r="F259" s="4">
        <v>116.0</v>
      </c>
      <c r="G259" s="6">
        <f t="shared" si="2"/>
        <v>10.15417331</v>
      </c>
    </row>
    <row r="260" ht="14.25" customHeight="1">
      <c r="A260" s="4">
        <f t="shared" si="1"/>
        <v>7</v>
      </c>
      <c r="B260" s="4">
        <v>70501.0</v>
      </c>
      <c r="C260" s="4">
        <v>269.0</v>
      </c>
      <c r="D260" s="4">
        <v>62.0</v>
      </c>
      <c r="E260" s="4">
        <v>36.0</v>
      </c>
      <c r="F260" s="4">
        <v>24.0</v>
      </c>
      <c r="G260" s="6">
        <f t="shared" si="2"/>
        <v>13.38289963</v>
      </c>
    </row>
    <row r="261" ht="14.25" customHeight="1">
      <c r="A261" s="4">
        <f t="shared" si="1"/>
        <v>7</v>
      </c>
      <c r="B261" s="4">
        <v>70502.0</v>
      </c>
      <c r="C261" s="4">
        <v>6504.0</v>
      </c>
      <c r="D261" s="4">
        <v>1186.0</v>
      </c>
      <c r="E261" s="4">
        <v>588.0</v>
      </c>
      <c r="F261" s="4">
        <v>368.0</v>
      </c>
      <c r="G261" s="6">
        <f t="shared" si="2"/>
        <v>9.040590406</v>
      </c>
    </row>
    <row r="262" ht="14.25" customHeight="1">
      <c r="A262" s="4">
        <f t="shared" si="1"/>
        <v>7</v>
      </c>
      <c r="B262" s="4">
        <v>70503.0</v>
      </c>
      <c r="C262" s="4">
        <v>313.0</v>
      </c>
      <c r="D262" s="4">
        <v>66.0</v>
      </c>
      <c r="E262" s="4">
        <v>37.0</v>
      </c>
      <c r="F262" s="4">
        <v>21.0</v>
      </c>
      <c r="G262" s="6">
        <f t="shared" si="2"/>
        <v>11.82108626</v>
      </c>
    </row>
    <row r="263" ht="14.25" customHeight="1">
      <c r="A263" s="4">
        <f t="shared" si="1"/>
        <v>7</v>
      </c>
      <c r="B263" s="4">
        <v>70601.0</v>
      </c>
      <c r="C263" s="4">
        <v>4855.0</v>
      </c>
      <c r="D263" s="4">
        <v>608.0</v>
      </c>
      <c r="E263" s="4">
        <v>297.0</v>
      </c>
      <c r="F263" s="4">
        <v>154.0</v>
      </c>
      <c r="G263" s="6">
        <f t="shared" si="2"/>
        <v>6.117404737</v>
      </c>
    </row>
    <row r="264" ht="14.25" customHeight="1">
      <c r="A264" s="4">
        <f t="shared" si="1"/>
        <v>7</v>
      </c>
      <c r="B264" s="4">
        <v>70602.0</v>
      </c>
      <c r="C264" s="4">
        <v>3794.0</v>
      </c>
      <c r="D264" s="4">
        <v>764.0</v>
      </c>
      <c r="E264" s="4">
        <v>419.0</v>
      </c>
      <c r="F264" s="4">
        <v>248.0</v>
      </c>
      <c r="G264" s="6">
        <f t="shared" si="2"/>
        <v>11.04375329</v>
      </c>
    </row>
    <row r="265" ht="14.25" customHeight="1">
      <c r="A265" s="4">
        <f t="shared" si="1"/>
        <v>7</v>
      </c>
      <c r="B265" s="4">
        <v>70603.0</v>
      </c>
      <c r="C265" s="4">
        <v>1217.0</v>
      </c>
      <c r="D265" s="4">
        <v>243.0</v>
      </c>
      <c r="E265" s="4">
        <v>145.0</v>
      </c>
      <c r="F265" s="4">
        <v>100.0</v>
      </c>
      <c r="G265" s="6">
        <f t="shared" si="2"/>
        <v>11.91454396</v>
      </c>
    </row>
    <row r="266" ht="14.25" customHeight="1">
      <c r="A266" s="4">
        <f t="shared" si="1"/>
        <v>7</v>
      </c>
      <c r="B266" s="4">
        <v>70701.0</v>
      </c>
      <c r="C266" s="4">
        <v>174.0</v>
      </c>
      <c r="D266" s="4">
        <v>39.0</v>
      </c>
      <c r="E266" s="4">
        <v>22.0</v>
      </c>
      <c r="F266" s="4">
        <v>18.0</v>
      </c>
      <c r="G266" s="6">
        <f t="shared" si="2"/>
        <v>12.64367816</v>
      </c>
    </row>
    <row r="267" ht="14.25" customHeight="1">
      <c r="A267" s="4">
        <f t="shared" si="1"/>
        <v>7</v>
      </c>
      <c r="B267" s="4">
        <v>70702.0</v>
      </c>
      <c r="C267" s="4">
        <v>1038.0</v>
      </c>
      <c r="D267" s="4">
        <v>263.0</v>
      </c>
      <c r="E267" s="4">
        <v>140.0</v>
      </c>
      <c r="F267" s="4">
        <v>16.0</v>
      </c>
      <c r="G267" s="6">
        <f t="shared" si="2"/>
        <v>13.48747592</v>
      </c>
    </row>
    <row r="268" ht="14.25" customHeight="1">
      <c r="A268" s="4">
        <f t="shared" si="1"/>
        <v>7</v>
      </c>
      <c r="B268" s="4">
        <v>70703.0</v>
      </c>
      <c r="C268" s="4">
        <v>4703.0</v>
      </c>
      <c r="D268" s="4">
        <v>1079.0</v>
      </c>
      <c r="E268" s="4">
        <v>596.0</v>
      </c>
      <c r="F268" s="4">
        <v>339.0</v>
      </c>
      <c r="G268" s="6">
        <f t="shared" si="2"/>
        <v>12.67276207</v>
      </c>
    </row>
    <row r="269" ht="14.25" customHeight="1">
      <c r="A269" s="4">
        <f t="shared" si="1"/>
        <v>7</v>
      </c>
      <c r="B269" s="4">
        <v>70704.0</v>
      </c>
      <c r="C269" s="4">
        <v>165.0</v>
      </c>
      <c r="D269" s="4">
        <v>40.0</v>
      </c>
      <c r="E269" s="4">
        <v>21.0</v>
      </c>
      <c r="F269" s="4">
        <v>13.0</v>
      </c>
      <c r="G269" s="6">
        <f t="shared" si="2"/>
        <v>12.72727273</v>
      </c>
    </row>
    <row r="270" ht="14.25" customHeight="1">
      <c r="A270" s="4">
        <f t="shared" si="1"/>
        <v>7</v>
      </c>
      <c r="B270" s="4">
        <v>70705.0</v>
      </c>
      <c r="C270" s="4">
        <v>260.0</v>
      </c>
      <c r="D270" s="4">
        <v>73.0</v>
      </c>
      <c r="E270" s="4">
        <v>39.0</v>
      </c>
      <c r="F270" s="4">
        <v>30.0</v>
      </c>
      <c r="G270" s="6">
        <f t="shared" si="2"/>
        <v>15</v>
      </c>
    </row>
    <row r="271" ht="14.25" customHeight="1">
      <c r="A271" s="4">
        <f t="shared" si="1"/>
        <v>7</v>
      </c>
      <c r="B271" s="4">
        <v>70706.0</v>
      </c>
      <c r="C271" s="4">
        <v>2030.0</v>
      </c>
      <c r="D271" s="4">
        <v>285.0</v>
      </c>
      <c r="E271" s="4">
        <v>115.0</v>
      </c>
      <c r="F271" s="4">
        <v>57.0</v>
      </c>
      <c r="G271" s="6">
        <f t="shared" si="2"/>
        <v>5.665024631</v>
      </c>
    </row>
    <row r="272" ht="14.25" customHeight="1">
      <c r="A272" s="4">
        <f t="shared" si="1"/>
        <v>7</v>
      </c>
      <c r="B272" s="4">
        <v>70707.0</v>
      </c>
      <c r="C272" s="4">
        <v>224.0</v>
      </c>
      <c r="D272" s="4">
        <v>52.0</v>
      </c>
      <c r="E272" s="4">
        <v>25.0</v>
      </c>
      <c r="F272" s="4">
        <v>9.0</v>
      </c>
      <c r="G272" s="6">
        <f t="shared" si="2"/>
        <v>11.16071429</v>
      </c>
    </row>
    <row r="273" ht="14.25" customHeight="1">
      <c r="A273" s="4">
        <f t="shared" si="1"/>
        <v>7</v>
      </c>
      <c r="B273" s="4">
        <v>70801.0</v>
      </c>
      <c r="C273" s="4">
        <v>442.0</v>
      </c>
      <c r="D273" s="4">
        <v>106.0</v>
      </c>
      <c r="E273" s="4">
        <v>39.0</v>
      </c>
      <c r="F273" s="4">
        <v>10.0</v>
      </c>
      <c r="G273" s="6">
        <f t="shared" si="2"/>
        <v>8.823529412</v>
      </c>
    </row>
    <row r="274" ht="14.25" customHeight="1">
      <c r="A274" s="4">
        <f t="shared" si="1"/>
        <v>7</v>
      </c>
      <c r="B274" s="4">
        <v>70802.0</v>
      </c>
      <c r="C274" s="4">
        <v>48.0</v>
      </c>
      <c r="D274" s="4">
        <v>20.0</v>
      </c>
      <c r="E274" s="4">
        <v>10.0</v>
      </c>
      <c r="F274" s="4">
        <v>3.0</v>
      </c>
      <c r="G274" s="6">
        <f t="shared" si="2"/>
        <v>20.83333333</v>
      </c>
    </row>
    <row r="275" ht="14.25" customHeight="1">
      <c r="A275" s="4">
        <f t="shared" si="1"/>
        <v>7</v>
      </c>
      <c r="B275" s="4">
        <v>70803.0</v>
      </c>
      <c r="C275" s="4">
        <v>33.0</v>
      </c>
      <c r="D275" s="4">
        <v>5.0</v>
      </c>
      <c r="E275" s="4">
        <v>3.0</v>
      </c>
      <c r="F275" s="4">
        <v>0.0</v>
      </c>
      <c r="G275" s="6">
        <f t="shared" si="2"/>
        <v>9.090909091</v>
      </c>
    </row>
    <row r="276" ht="14.25" customHeight="1">
      <c r="A276" s="4">
        <f t="shared" si="1"/>
        <v>7</v>
      </c>
      <c r="B276" s="4">
        <v>70804.0</v>
      </c>
      <c r="C276" s="4">
        <v>16.0</v>
      </c>
      <c r="D276" s="4">
        <v>9.0</v>
      </c>
      <c r="E276" s="4">
        <v>7.0</v>
      </c>
      <c r="F276" s="4">
        <v>1.0</v>
      </c>
      <c r="G276" s="6">
        <f t="shared" si="2"/>
        <v>43.75</v>
      </c>
    </row>
    <row r="277" ht="14.25" customHeight="1">
      <c r="A277" s="4">
        <f t="shared" si="1"/>
        <v>7</v>
      </c>
      <c r="B277" s="4">
        <v>70901.0</v>
      </c>
      <c r="C277" s="4">
        <v>493.0</v>
      </c>
      <c r="D277" s="4">
        <v>123.0</v>
      </c>
      <c r="E277" s="4">
        <v>61.0</v>
      </c>
      <c r="F277" s="4">
        <v>27.0</v>
      </c>
      <c r="G277" s="6">
        <f t="shared" si="2"/>
        <v>12.37322515</v>
      </c>
    </row>
    <row r="278" ht="14.25" customHeight="1">
      <c r="A278" s="4">
        <f t="shared" si="1"/>
        <v>7</v>
      </c>
      <c r="B278" s="4">
        <v>70902.0</v>
      </c>
      <c r="C278" s="4">
        <v>220.0</v>
      </c>
      <c r="D278" s="4">
        <v>41.0</v>
      </c>
      <c r="E278" s="4">
        <v>19.0</v>
      </c>
      <c r="F278" s="4">
        <v>9.0</v>
      </c>
      <c r="G278" s="6">
        <f t="shared" si="2"/>
        <v>8.636363636</v>
      </c>
    </row>
    <row r="279" ht="14.25" customHeight="1">
      <c r="A279" s="4">
        <f t="shared" si="1"/>
        <v>7</v>
      </c>
      <c r="B279" s="4">
        <v>70903.0</v>
      </c>
      <c r="C279" s="4">
        <v>260.0</v>
      </c>
      <c r="D279" s="4">
        <v>49.0</v>
      </c>
      <c r="E279" s="4">
        <v>28.0</v>
      </c>
      <c r="F279" s="4">
        <v>15.0</v>
      </c>
      <c r="G279" s="6">
        <f t="shared" si="2"/>
        <v>10.76923077</v>
      </c>
    </row>
    <row r="280" ht="14.25" customHeight="1">
      <c r="A280" s="4">
        <f t="shared" si="1"/>
        <v>7</v>
      </c>
      <c r="B280" s="4">
        <v>70904.0</v>
      </c>
      <c r="C280" s="4">
        <v>41.0</v>
      </c>
      <c r="D280" s="4">
        <v>10.0</v>
      </c>
      <c r="E280" s="4">
        <v>3.0</v>
      </c>
      <c r="F280" s="4">
        <v>0.0</v>
      </c>
      <c r="G280" s="6">
        <f t="shared" si="2"/>
        <v>7.317073171</v>
      </c>
    </row>
    <row r="281" ht="14.25" customHeight="1">
      <c r="A281" s="4">
        <f t="shared" si="1"/>
        <v>7</v>
      </c>
      <c r="B281" s="4">
        <v>71001.0</v>
      </c>
      <c r="C281" s="4">
        <v>32005.0</v>
      </c>
      <c r="D281" s="4">
        <v>4223.0</v>
      </c>
      <c r="E281" s="4">
        <v>1838.0</v>
      </c>
      <c r="F281" s="4">
        <v>908.0</v>
      </c>
      <c r="G281" s="6">
        <f t="shared" si="2"/>
        <v>5.742852679</v>
      </c>
    </row>
    <row r="282" ht="14.25" customHeight="1">
      <c r="A282" s="4">
        <f t="shared" si="1"/>
        <v>7</v>
      </c>
      <c r="B282" s="4">
        <v>71002.0</v>
      </c>
      <c r="C282" s="4">
        <v>3257.0</v>
      </c>
      <c r="D282" s="4">
        <v>610.0</v>
      </c>
      <c r="E282" s="4">
        <v>335.0</v>
      </c>
      <c r="F282" s="4">
        <v>197.0</v>
      </c>
      <c r="G282" s="6">
        <f t="shared" si="2"/>
        <v>10.28553884</v>
      </c>
    </row>
    <row r="283" ht="14.25" customHeight="1">
      <c r="A283" s="4">
        <f t="shared" si="1"/>
        <v>7</v>
      </c>
      <c r="B283" s="4">
        <v>71003.0</v>
      </c>
      <c r="C283" s="4">
        <v>5322.0</v>
      </c>
      <c r="D283" s="4">
        <v>811.0</v>
      </c>
      <c r="E283" s="4">
        <v>402.0</v>
      </c>
      <c r="F283" s="4">
        <v>246.0</v>
      </c>
      <c r="G283" s="6">
        <f t="shared" si="2"/>
        <v>7.553551297</v>
      </c>
    </row>
    <row r="284" ht="14.25" customHeight="1">
      <c r="A284" s="4">
        <f t="shared" si="1"/>
        <v>7</v>
      </c>
      <c r="B284" s="4">
        <v>71004.0</v>
      </c>
      <c r="C284" s="4">
        <v>3045.0</v>
      </c>
      <c r="D284" s="4">
        <v>486.0</v>
      </c>
      <c r="E284" s="4">
        <v>243.0</v>
      </c>
      <c r="F284" s="4">
        <v>143.0</v>
      </c>
      <c r="G284" s="6">
        <f t="shared" si="2"/>
        <v>7.980295567</v>
      </c>
    </row>
    <row r="285" ht="14.25" customHeight="1">
      <c r="A285" s="4">
        <f t="shared" si="1"/>
        <v>7</v>
      </c>
      <c r="B285" s="4">
        <v>71005.0</v>
      </c>
      <c r="C285" s="4">
        <v>3413.0</v>
      </c>
      <c r="D285" s="4">
        <v>593.0</v>
      </c>
      <c r="E285" s="4">
        <v>324.0</v>
      </c>
      <c r="F285" s="4">
        <v>194.0</v>
      </c>
      <c r="G285" s="6">
        <f t="shared" si="2"/>
        <v>9.493114562</v>
      </c>
    </row>
    <row r="286" ht="14.25" customHeight="1">
      <c r="A286" s="4">
        <f t="shared" si="1"/>
        <v>7</v>
      </c>
      <c r="B286" s="4">
        <v>71101.0</v>
      </c>
      <c r="C286" s="4">
        <v>599.0</v>
      </c>
      <c r="D286" s="4">
        <v>148.0</v>
      </c>
      <c r="E286" s="4">
        <v>67.0</v>
      </c>
      <c r="F286" s="4">
        <v>32.0</v>
      </c>
      <c r="G286" s="6">
        <f t="shared" si="2"/>
        <v>11.18530885</v>
      </c>
    </row>
    <row r="287" ht="14.25" customHeight="1">
      <c r="A287" s="4">
        <f t="shared" si="1"/>
        <v>7</v>
      </c>
      <c r="B287" s="4">
        <v>71102.0</v>
      </c>
      <c r="C287" s="4">
        <v>161.0</v>
      </c>
      <c r="D287" s="4">
        <v>40.0</v>
      </c>
      <c r="E287" s="4">
        <v>25.0</v>
      </c>
      <c r="F287" s="4">
        <v>15.0</v>
      </c>
      <c r="G287" s="6">
        <f t="shared" si="2"/>
        <v>15.52795031</v>
      </c>
    </row>
    <row r="288" ht="14.25" customHeight="1">
      <c r="A288" s="4">
        <f t="shared" si="1"/>
        <v>7</v>
      </c>
      <c r="B288" s="4">
        <v>71103.0</v>
      </c>
      <c r="C288" s="4">
        <v>162.0</v>
      </c>
      <c r="D288" s="4">
        <v>41.0</v>
      </c>
      <c r="E288" s="4">
        <v>19.0</v>
      </c>
      <c r="F288" s="4">
        <v>11.0</v>
      </c>
      <c r="G288" s="6">
        <f t="shared" si="2"/>
        <v>11.72839506</v>
      </c>
    </row>
    <row r="289" ht="14.25" customHeight="1">
      <c r="A289" s="4">
        <f t="shared" si="1"/>
        <v>7</v>
      </c>
      <c r="B289" s="4">
        <v>71104.0</v>
      </c>
      <c r="C289" s="4">
        <v>1517.0</v>
      </c>
      <c r="D289" s="4">
        <v>287.0</v>
      </c>
      <c r="E289" s="4">
        <v>134.0</v>
      </c>
      <c r="F289" s="4">
        <v>72.0</v>
      </c>
      <c r="G289" s="6">
        <f t="shared" si="2"/>
        <v>8.833223467</v>
      </c>
    </row>
    <row r="290" ht="14.25" customHeight="1">
      <c r="A290" s="4">
        <f t="shared" si="1"/>
        <v>7</v>
      </c>
      <c r="B290" s="4">
        <v>71105.0</v>
      </c>
      <c r="C290" s="4">
        <v>146.0</v>
      </c>
      <c r="D290" s="4">
        <v>32.0</v>
      </c>
      <c r="E290" s="4">
        <v>14.0</v>
      </c>
      <c r="F290" s="4">
        <v>12.0</v>
      </c>
      <c r="G290" s="6">
        <f t="shared" si="2"/>
        <v>9.589041096</v>
      </c>
    </row>
    <row r="291" ht="14.25" customHeight="1">
      <c r="A291" s="4">
        <f t="shared" si="1"/>
        <v>7</v>
      </c>
      <c r="B291" s="4">
        <v>71201.0</v>
      </c>
      <c r="C291" s="4">
        <v>16.0</v>
      </c>
      <c r="D291" s="4">
        <v>0.0</v>
      </c>
      <c r="E291" s="4">
        <v>0.0</v>
      </c>
      <c r="F291" s="4">
        <v>0.0</v>
      </c>
      <c r="G291" s="6">
        <f t="shared" si="2"/>
        <v>0</v>
      </c>
    </row>
    <row r="292" ht="14.25" customHeight="1">
      <c r="A292" s="4">
        <f t="shared" si="1"/>
        <v>7</v>
      </c>
      <c r="B292" s="4">
        <v>71301.0</v>
      </c>
      <c r="C292" s="4">
        <v>585.0</v>
      </c>
      <c r="D292" s="4">
        <v>136.0</v>
      </c>
      <c r="E292" s="4">
        <v>52.0</v>
      </c>
      <c r="F292" s="4">
        <v>18.0</v>
      </c>
      <c r="G292" s="6">
        <f t="shared" si="2"/>
        <v>8.888888889</v>
      </c>
    </row>
    <row r="293" ht="14.25" customHeight="1">
      <c r="A293" s="4">
        <f t="shared" si="1"/>
        <v>7</v>
      </c>
      <c r="B293" s="4">
        <v>71302.0</v>
      </c>
      <c r="C293" s="4">
        <v>105.0</v>
      </c>
      <c r="D293" s="4">
        <v>24.0</v>
      </c>
      <c r="E293" s="4">
        <v>11.0</v>
      </c>
      <c r="F293" s="4">
        <v>4.0</v>
      </c>
      <c r="G293" s="6">
        <f t="shared" si="2"/>
        <v>10.47619048</v>
      </c>
    </row>
    <row r="294" ht="14.25" customHeight="1">
      <c r="A294" s="4">
        <f t="shared" si="1"/>
        <v>7</v>
      </c>
      <c r="B294" s="4">
        <v>71401.0</v>
      </c>
      <c r="C294" s="4">
        <v>257.0</v>
      </c>
      <c r="D294" s="4">
        <v>51.0</v>
      </c>
      <c r="E294" s="4">
        <v>25.0</v>
      </c>
      <c r="F294" s="4">
        <v>16.0</v>
      </c>
      <c r="G294" s="6">
        <f t="shared" si="2"/>
        <v>9.727626459</v>
      </c>
    </row>
    <row r="295" ht="14.25" customHeight="1">
      <c r="A295" s="4">
        <f t="shared" si="1"/>
        <v>7</v>
      </c>
      <c r="B295" s="4">
        <v>71402.0</v>
      </c>
      <c r="C295" s="4">
        <v>354.0</v>
      </c>
      <c r="D295" s="4">
        <v>58.0</v>
      </c>
      <c r="E295" s="4">
        <v>27.0</v>
      </c>
      <c r="F295" s="4">
        <v>15.0</v>
      </c>
      <c r="G295" s="6">
        <f t="shared" si="2"/>
        <v>7.627118644</v>
      </c>
    </row>
    <row r="296" ht="14.25" customHeight="1">
      <c r="A296" s="4">
        <f t="shared" si="1"/>
        <v>7</v>
      </c>
      <c r="B296" s="4">
        <v>71403.0</v>
      </c>
      <c r="C296" s="4">
        <v>40.0</v>
      </c>
      <c r="D296" s="4">
        <v>8.0</v>
      </c>
      <c r="E296" s="4">
        <v>3.0</v>
      </c>
      <c r="F296" s="4">
        <v>1.0</v>
      </c>
      <c r="G296" s="6">
        <f t="shared" si="2"/>
        <v>7.5</v>
      </c>
    </row>
    <row r="297" ht="14.25" customHeight="1">
      <c r="A297" s="4">
        <f t="shared" si="1"/>
        <v>7</v>
      </c>
      <c r="B297" s="4">
        <v>71501.0</v>
      </c>
      <c r="C297" s="4">
        <v>632.0</v>
      </c>
      <c r="D297" s="4">
        <v>172.0</v>
      </c>
      <c r="E297" s="4">
        <v>81.0</v>
      </c>
      <c r="F297" s="4">
        <v>61.0</v>
      </c>
      <c r="G297" s="6">
        <f t="shared" si="2"/>
        <v>12.8164557</v>
      </c>
    </row>
    <row r="298" ht="14.25" customHeight="1">
      <c r="A298" s="4">
        <f t="shared" si="1"/>
        <v>7</v>
      </c>
      <c r="B298" s="4">
        <v>71502.0</v>
      </c>
      <c r="C298" s="4">
        <v>80.0</v>
      </c>
      <c r="D298" s="4">
        <v>24.0</v>
      </c>
      <c r="E298" s="4">
        <v>16.0</v>
      </c>
      <c r="F298" s="4">
        <v>13.0</v>
      </c>
      <c r="G298" s="6">
        <f t="shared" si="2"/>
        <v>20</v>
      </c>
    </row>
    <row r="299" ht="14.25" customHeight="1">
      <c r="A299" s="4">
        <f t="shared" si="1"/>
        <v>7</v>
      </c>
      <c r="B299" s="4">
        <v>71503.0</v>
      </c>
      <c r="C299" s="4">
        <v>157.0</v>
      </c>
      <c r="D299" s="4">
        <v>46.0</v>
      </c>
      <c r="E299" s="4">
        <v>23.0</v>
      </c>
      <c r="F299" s="4">
        <v>7.0</v>
      </c>
      <c r="G299" s="6">
        <f t="shared" si="2"/>
        <v>14.64968153</v>
      </c>
    </row>
    <row r="300" ht="14.25" customHeight="1">
      <c r="A300" s="4">
        <f t="shared" si="1"/>
        <v>8</v>
      </c>
      <c r="B300" s="4">
        <v>80101.0</v>
      </c>
      <c r="C300" s="4">
        <v>33095.0</v>
      </c>
      <c r="D300" s="4">
        <v>2845.0</v>
      </c>
      <c r="E300" s="4">
        <v>405.0</v>
      </c>
      <c r="F300" s="4">
        <v>79.0</v>
      </c>
      <c r="G300" s="6">
        <f t="shared" si="2"/>
        <v>1.223749811</v>
      </c>
    </row>
    <row r="301" ht="14.25" customHeight="1">
      <c r="A301" s="4">
        <f t="shared" si="1"/>
        <v>8</v>
      </c>
      <c r="B301" s="4">
        <v>80102.0</v>
      </c>
      <c r="C301" s="4">
        <v>402.0</v>
      </c>
      <c r="D301" s="4">
        <v>63.0</v>
      </c>
      <c r="E301" s="4">
        <v>18.0</v>
      </c>
      <c r="F301" s="4">
        <v>2.0</v>
      </c>
      <c r="G301" s="6">
        <f t="shared" si="2"/>
        <v>4.47761194</v>
      </c>
    </row>
    <row r="302" ht="14.25" customHeight="1">
      <c r="A302" s="4">
        <f t="shared" si="1"/>
        <v>8</v>
      </c>
      <c r="B302" s="4">
        <v>80201.0</v>
      </c>
      <c r="C302" s="4">
        <v>23337.0</v>
      </c>
      <c r="D302" s="4">
        <v>2251.0</v>
      </c>
      <c r="E302" s="4">
        <v>387.0</v>
      </c>
      <c r="F302" s="4">
        <v>67.0</v>
      </c>
      <c r="G302" s="6">
        <f t="shared" si="2"/>
        <v>1.658310837</v>
      </c>
    </row>
    <row r="303" ht="14.25" customHeight="1">
      <c r="A303" s="4">
        <f t="shared" si="1"/>
        <v>8</v>
      </c>
      <c r="B303" s="4">
        <v>80202.0</v>
      </c>
      <c r="C303" s="4">
        <v>9284.0</v>
      </c>
      <c r="D303" s="4">
        <v>608.0</v>
      </c>
      <c r="E303" s="4">
        <v>71.0</v>
      </c>
      <c r="F303" s="4">
        <v>14.0</v>
      </c>
      <c r="G303" s="6">
        <f t="shared" si="2"/>
        <v>0.7647565704</v>
      </c>
    </row>
    <row r="304" ht="14.25" customHeight="1">
      <c r="A304" s="4">
        <f t="shared" si="1"/>
        <v>8</v>
      </c>
      <c r="B304" s="4">
        <v>80301.0</v>
      </c>
      <c r="C304" s="4">
        <v>2213.0</v>
      </c>
      <c r="D304" s="4">
        <v>294.0</v>
      </c>
      <c r="E304" s="4">
        <v>68.0</v>
      </c>
      <c r="F304" s="4">
        <v>15.0</v>
      </c>
      <c r="G304" s="6">
        <f t="shared" si="2"/>
        <v>3.07275192</v>
      </c>
    </row>
    <row r="305" ht="14.25" customHeight="1">
      <c r="A305" s="4">
        <f t="shared" si="1"/>
        <v>8</v>
      </c>
      <c r="B305" s="4">
        <v>80302.0</v>
      </c>
      <c r="C305" s="4">
        <v>8467.0</v>
      </c>
      <c r="D305" s="4">
        <v>1435.0</v>
      </c>
      <c r="E305" s="4">
        <v>274.0</v>
      </c>
      <c r="F305" s="4">
        <v>41.0</v>
      </c>
      <c r="G305" s="6">
        <f t="shared" si="2"/>
        <v>3.236093067</v>
      </c>
    </row>
    <row r="306" ht="14.25" customHeight="1">
      <c r="A306" s="4">
        <f t="shared" si="1"/>
        <v>8</v>
      </c>
      <c r="B306" s="4">
        <v>80303.0</v>
      </c>
      <c r="C306" s="4">
        <v>1913.0</v>
      </c>
      <c r="D306" s="4">
        <v>353.0</v>
      </c>
      <c r="E306" s="4">
        <v>58.0</v>
      </c>
      <c r="F306" s="4">
        <v>0.0</v>
      </c>
      <c r="G306" s="6">
        <f t="shared" si="2"/>
        <v>3.031887088</v>
      </c>
    </row>
    <row r="307" ht="14.25" customHeight="1">
      <c r="A307" s="4">
        <f t="shared" si="1"/>
        <v>8</v>
      </c>
      <c r="B307" s="4">
        <v>80304.0</v>
      </c>
      <c r="C307" s="4">
        <v>5695.0</v>
      </c>
      <c r="D307" s="4">
        <v>1352.0</v>
      </c>
      <c r="E307" s="4">
        <v>316.0</v>
      </c>
      <c r="F307" s="4">
        <v>48.0</v>
      </c>
      <c r="G307" s="6">
        <f t="shared" si="2"/>
        <v>5.548726953</v>
      </c>
    </row>
    <row r="308" ht="14.25" customHeight="1">
      <c r="A308" s="4">
        <f t="shared" si="1"/>
        <v>8</v>
      </c>
      <c r="B308" s="4">
        <v>80401.0</v>
      </c>
      <c r="C308" s="4">
        <v>3233.0</v>
      </c>
      <c r="D308" s="4">
        <v>323.0</v>
      </c>
      <c r="E308" s="4">
        <v>72.0</v>
      </c>
      <c r="F308" s="4">
        <v>20.0</v>
      </c>
      <c r="G308" s="6">
        <f t="shared" si="2"/>
        <v>2.227033715</v>
      </c>
    </row>
    <row r="309" ht="14.25" customHeight="1">
      <c r="A309" s="4">
        <f t="shared" si="1"/>
        <v>8</v>
      </c>
      <c r="B309" s="4">
        <v>80402.0</v>
      </c>
      <c r="C309" s="4">
        <v>183.0</v>
      </c>
      <c r="D309" s="4">
        <v>18.0</v>
      </c>
      <c r="E309" s="4">
        <v>0.0</v>
      </c>
      <c r="F309" s="4">
        <v>0.0</v>
      </c>
      <c r="G309" s="6">
        <f t="shared" si="2"/>
        <v>0</v>
      </c>
    </row>
    <row r="310" ht="14.25" customHeight="1">
      <c r="A310" s="4">
        <f t="shared" si="1"/>
        <v>8</v>
      </c>
      <c r="B310" s="4">
        <v>80501.0</v>
      </c>
      <c r="C310" s="4">
        <v>3548.0</v>
      </c>
      <c r="D310" s="4">
        <v>624.0</v>
      </c>
      <c r="E310" s="4">
        <v>99.0</v>
      </c>
      <c r="F310" s="4">
        <v>17.0</v>
      </c>
      <c r="G310" s="6">
        <f t="shared" si="2"/>
        <v>2.790304397</v>
      </c>
    </row>
    <row r="311" ht="14.25" customHeight="1">
      <c r="A311" s="4">
        <f t="shared" si="1"/>
        <v>8</v>
      </c>
      <c r="B311" s="4">
        <v>80601.0</v>
      </c>
      <c r="C311" s="4">
        <v>350.0</v>
      </c>
      <c r="D311" s="4">
        <v>74.0</v>
      </c>
      <c r="E311" s="4">
        <v>13.0</v>
      </c>
      <c r="F311" s="4">
        <v>5.0</v>
      </c>
      <c r="G311" s="6">
        <f t="shared" si="2"/>
        <v>3.714285714</v>
      </c>
    </row>
    <row r="312" ht="14.25" customHeight="1">
      <c r="A312" s="4">
        <f t="shared" si="1"/>
        <v>8</v>
      </c>
      <c r="B312" s="4">
        <v>80602.0</v>
      </c>
      <c r="C312" s="4">
        <v>1332.0</v>
      </c>
      <c r="D312" s="4">
        <v>259.0</v>
      </c>
      <c r="E312" s="4">
        <v>75.0</v>
      </c>
      <c r="F312" s="4">
        <v>16.0</v>
      </c>
      <c r="G312" s="6">
        <f t="shared" si="2"/>
        <v>5.630630631</v>
      </c>
    </row>
    <row r="313" ht="14.25" customHeight="1">
      <c r="A313" s="4">
        <f t="shared" si="1"/>
        <v>8</v>
      </c>
      <c r="B313" s="4">
        <v>80701.0</v>
      </c>
      <c r="C313" s="4">
        <v>1192.0</v>
      </c>
      <c r="D313" s="4">
        <v>134.0</v>
      </c>
      <c r="E313" s="4">
        <v>15.0</v>
      </c>
      <c r="F313" s="4">
        <v>2.0</v>
      </c>
      <c r="G313" s="6">
        <f t="shared" si="2"/>
        <v>1.258389262</v>
      </c>
    </row>
    <row r="314" ht="14.25" customHeight="1">
      <c r="A314" s="4">
        <f t="shared" si="1"/>
        <v>8</v>
      </c>
      <c r="B314" s="4">
        <v>80702.0</v>
      </c>
      <c r="C314" s="4">
        <v>1065.0</v>
      </c>
      <c r="D314" s="4">
        <v>122.0</v>
      </c>
      <c r="E314" s="4">
        <v>23.0</v>
      </c>
      <c r="F314" s="4">
        <v>0.0</v>
      </c>
      <c r="G314" s="6">
        <f t="shared" si="2"/>
        <v>2.159624413</v>
      </c>
    </row>
    <row r="315" ht="14.25" customHeight="1">
      <c r="A315" s="4">
        <f t="shared" si="1"/>
        <v>8</v>
      </c>
      <c r="B315" s="4">
        <v>80801.0</v>
      </c>
      <c r="C315" s="4">
        <v>2366.0</v>
      </c>
      <c r="D315" s="4">
        <v>269.0</v>
      </c>
      <c r="E315" s="4">
        <v>39.0</v>
      </c>
      <c r="F315" s="4">
        <v>5.0</v>
      </c>
      <c r="G315" s="6">
        <f t="shared" si="2"/>
        <v>1.648351648</v>
      </c>
    </row>
    <row r="316" ht="14.25" customHeight="1">
      <c r="A316" s="4">
        <f t="shared" si="1"/>
        <v>8</v>
      </c>
      <c r="B316" s="4">
        <v>80802.0</v>
      </c>
      <c r="C316" s="4">
        <v>1149.0</v>
      </c>
      <c r="D316" s="4">
        <v>175.0</v>
      </c>
      <c r="E316" s="4">
        <v>16.0</v>
      </c>
      <c r="F316" s="4">
        <v>2.0</v>
      </c>
      <c r="G316" s="6">
        <f t="shared" si="2"/>
        <v>1.392515231</v>
      </c>
    </row>
    <row r="317" ht="14.25" customHeight="1">
      <c r="A317" s="4">
        <f t="shared" si="1"/>
        <v>8</v>
      </c>
      <c r="B317" s="4">
        <v>80803.0</v>
      </c>
      <c r="C317" s="4">
        <v>834.0</v>
      </c>
      <c r="D317" s="4">
        <v>97.0</v>
      </c>
      <c r="E317" s="4">
        <v>8.0</v>
      </c>
      <c r="F317" s="4">
        <v>0.0</v>
      </c>
      <c r="G317" s="6">
        <f t="shared" si="2"/>
        <v>0.9592326139</v>
      </c>
    </row>
    <row r="318" ht="14.25" customHeight="1">
      <c r="A318" s="4">
        <f t="shared" si="1"/>
        <v>9</v>
      </c>
      <c r="B318" s="4">
        <v>90101.0</v>
      </c>
      <c r="C318" s="4">
        <v>15132.0</v>
      </c>
      <c r="D318" s="4">
        <v>1570.0</v>
      </c>
      <c r="E318" s="4">
        <v>262.0</v>
      </c>
      <c r="F318" s="4">
        <v>58.0</v>
      </c>
      <c r="G318" s="6">
        <f t="shared" si="2"/>
        <v>1.731430082</v>
      </c>
    </row>
    <row r="319" ht="14.25" customHeight="1">
      <c r="A319" s="4">
        <f t="shared" si="1"/>
        <v>9</v>
      </c>
      <c r="B319" s="4">
        <v>90102.0</v>
      </c>
      <c r="C319" s="4">
        <v>1358.0</v>
      </c>
      <c r="D319" s="4">
        <v>237.0</v>
      </c>
      <c r="E319" s="4">
        <v>42.0</v>
      </c>
      <c r="F319" s="4">
        <v>3.0</v>
      </c>
      <c r="G319" s="6">
        <f t="shared" si="2"/>
        <v>3.092783505</v>
      </c>
    </row>
    <row r="320" ht="14.25" customHeight="1">
      <c r="A320" s="4">
        <f t="shared" si="1"/>
        <v>9</v>
      </c>
      <c r="B320" s="4">
        <v>90104.0</v>
      </c>
      <c r="C320" s="4">
        <v>437.0</v>
      </c>
      <c r="D320" s="4">
        <v>75.0</v>
      </c>
      <c r="E320" s="4">
        <v>16.0</v>
      </c>
      <c r="F320" s="4">
        <v>2.0</v>
      </c>
      <c r="G320" s="6">
        <f t="shared" si="2"/>
        <v>3.661327231</v>
      </c>
    </row>
    <row r="321" ht="14.25" customHeight="1">
      <c r="A321" s="4">
        <f t="shared" si="1"/>
        <v>9</v>
      </c>
      <c r="B321" s="4">
        <v>90201.0</v>
      </c>
      <c r="C321" s="4">
        <v>1247.0</v>
      </c>
      <c r="D321" s="4">
        <v>211.0</v>
      </c>
      <c r="E321" s="4">
        <v>38.0</v>
      </c>
      <c r="F321" s="4">
        <v>5.0</v>
      </c>
      <c r="G321" s="6">
        <f t="shared" si="2"/>
        <v>3.047313553</v>
      </c>
    </row>
    <row r="322" ht="14.25" customHeight="1">
      <c r="A322" s="4">
        <f t="shared" si="1"/>
        <v>9</v>
      </c>
      <c r="B322" s="4">
        <v>90202.0</v>
      </c>
      <c r="C322" s="4">
        <v>155.0</v>
      </c>
      <c r="D322" s="4">
        <v>18.0</v>
      </c>
      <c r="E322" s="4">
        <v>4.0</v>
      </c>
      <c r="F322" s="4">
        <v>1.0</v>
      </c>
      <c r="G322" s="6">
        <f t="shared" si="2"/>
        <v>2.580645161</v>
      </c>
    </row>
    <row r="323" ht="14.25" customHeight="1">
      <c r="A323" s="4">
        <f t="shared" si="1"/>
        <v>9</v>
      </c>
      <c r="B323" s="4">
        <v>90203.0</v>
      </c>
      <c r="C323" s="4">
        <v>1104.0</v>
      </c>
      <c r="D323" s="4">
        <v>194.0</v>
      </c>
      <c r="E323" s="4">
        <v>42.0</v>
      </c>
      <c r="F323" s="4">
        <v>7.0</v>
      </c>
      <c r="G323" s="6">
        <f t="shared" si="2"/>
        <v>3.804347826</v>
      </c>
    </row>
    <row r="324" ht="14.25" customHeight="1">
      <c r="A324" s="4">
        <f t="shared" si="1"/>
        <v>9</v>
      </c>
      <c r="B324" s="4">
        <v>90302.0</v>
      </c>
      <c r="C324" s="4">
        <v>833.0</v>
      </c>
      <c r="D324" s="4">
        <v>142.0</v>
      </c>
      <c r="E324" s="4">
        <v>11.0</v>
      </c>
      <c r="F324" s="4">
        <v>4.0</v>
      </c>
      <c r="G324" s="6">
        <f t="shared" si="2"/>
        <v>1.320528211</v>
      </c>
    </row>
    <row r="325" ht="14.25" customHeight="1">
      <c r="A325" s="4">
        <f t="shared" si="1"/>
        <v>9</v>
      </c>
      <c r="B325" s="4">
        <v>90303.0</v>
      </c>
      <c r="C325" s="4">
        <v>1101.0</v>
      </c>
      <c r="D325" s="4">
        <v>143.0</v>
      </c>
      <c r="E325" s="4">
        <v>22.0</v>
      </c>
      <c r="F325" s="4">
        <v>3.0</v>
      </c>
      <c r="G325" s="6">
        <f t="shared" si="2"/>
        <v>1.99818347</v>
      </c>
    </row>
    <row r="326" ht="14.25" customHeight="1">
      <c r="A326" s="4">
        <f t="shared" si="1"/>
        <v>9</v>
      </c>
      <c r="B326" s="4">
        <v>90401.0</v>
      </c>
      <c r="C326" s="4">
        <v>476.0</v>
      </c>
      <c r="D326" s="4">
        <v>100.0</v>
      </c>
      <c r="E326" s="4">
        <v>34.0</v>
      </c>
      <c r="F326" s="4">
        <v>11.0</v>
      </c>
      <c r="G326" s="6">
        <f t="shared" si="2"/>
        <v>7.142857143</v>
      </c>
    </row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4" width="57.14"/>
    <col customWidth="1" min="5" max="26" width="10.71"/>
  </cols>
  <sheetData>
    <row r="1" ht="14.25" customHeight="1">
      <c r="A1" s="8" t="s">
        <v>10</v>
      </c>
      <c r="B1" s="8" t="s">
        <v>11</v>
      </c>
      <c r="C1" s="9" t="s">
        <v>12</v>
      </c>
      <c r="D1" s="9" t="s">
        <v>13</v>
      </c>
    </row>
    <row r="2" ht="14.25" customHeight="1">
      <c r="A2" s="10">
        <v>10101.0</v>
      </c>
      <c r="B2" s="11" t="s">
        <v>14</v>
      </c>
      <c r="C2" s="12">
        <f>IFERROR(VLOOKUP(A2,datos_2016!$B$1:$G$330,6,FALSE),"")</f>
        <v>3.594591787</v>
      </c>
      <c r="D2" s="12">
        <f>IFERROR(VLOOKUP(A2,datos_2024!$B$1:$G$342,6,FALSE),"")</f>
        <v>5.275190695</v>
      </c>
    </row>
    <row r="3" ht="14.25" customHeight="1">
      <c r="A3" s="13">
        <v>10102.0</v>
      </c>
      <c r="B3" s="14" t="s">
        <v>15</v>
      </c>
      <c r="C3" s="12">
        <f>IFERROR(VLOOKUP(A3,datos_2016!$B$1:$G$330,6,FALSE),"")</f>
        <v>11.46938776</v>
      </c>
      <c r="D3" s="12">
        <f>IFERROR(VLOOKUP(A3,datos_2024!$B$1:$G$342,6,FALSE),"")</f>
        <v>14.72172352</v>
      </c>
    </row>
    <row r="4" ht="14.25" customHeight="1">
      <c r="A4" s="10">
        <v>10103.0</v>
      </c>
      <c r="B4" s="11" t="s">
        <v>16</v>
      </c>
      <c r="C4" s="12">
        <f>IFERROR(VLOOKUP(A4,datos_2016!$B$1:$G$330,6,FALSE),"")</f>
        <v>14.94623656</v>
      </c>
      <c r="D4" s="12">
        <f>IFERROR(VLOOKUP(A4,datos_2024!$B$1:$G$342,6,FALSE),"")</f>
        <v>13.78676471</v>
      </c>
    </row>
    <row r="5" ht="14.25" customHeight="1">
      <c r="A5" s="13">
        <v>10201.0</v>
      </c>
      <c r="B5" s="14" t="s">
        <v>17</v>
      </c>
      <c r="C5" s="12">
        <f>IFERROR(VLOOKUP(A5,datos_2016!$B$1:$G$330,6,FALSE),"")</f>
        <v>10.7712766</v>
      </c>
      <c r="D5" s="12">
        <f>IFERROR(VLOOKUP(A5,datos_2024!$B$1:$G$342,6,FALSE),"")</f>
        <v>16.49413389</v>
      </c>
    </row>
    <row r="6" ht="14.25" customHeight="1">
      <c r="A6" s="10">
        <v>10202.0</v>
      </c>
      <c r="B6" s="11" t="s">
        <v>18</v>
      </c>
      <c r="C6" s="12">
        <f>IFERROR(VLOOKUP(A6,datos_2016!$B$1:$G$330,6,FALSE),"")</f>
        <v>12.29813665</v>
      </c>
      <c r="D6" s="12">
        <f>IFERROR(VLOOKUP(A6,datos_2024!$B$1:$G$342,6,FALSE),"")</f>
        <v>14.45880452</v>
      </c>
    </row>
    <row r="7" ht="14.25" customHeight="1">
      <c r="A7" s="13">
        <v>10301.0</v>
      </c>
      <c r="B7" s="14" t="s">
        <v>19</v>
      </c>
      <c r="C7" s="12">
        <f>IFERROR(VLOOKUP(A7,datos_2016!$B$1:$G$330,6,FALSE),"")</f>
        <v>13.68227732</v>
      </c>
      <c r="D7" s="12">
        <f>IFERROR(VLOOKUP(A7,datos_2024!$B$1:$G$342,6,FALSE),"")</f>
        <v>13.72345935</v>
      </c>
    </row>
    <row r="8" ht="14.25" customHeight="1">
      <c r="A8" s="10">
        <v>10302.0</v>
      </c>
      <c r="B8" s="11" t="s">
        <v>20</v>
      </c>
      <c r="C8" s="12">
        <f>IFERROR(VLOOKUP(A8,datos_2016!$B$1:$G$330,6,FALSE),"")</f>
        <v>8.120868744</v>
      </c>
      <c r="D8" s="12">
        <f>IFERROR(VLOOKUP(A8,datos_2024!$B$1:$G$342,6,FALSE),"")</f>
        <v>7.880434783</v>
      </c>
    </row>
    <row r="9" ht="14.25" customHeight="1">
      <c r="A9" s="13">
        <v>10303.0</v>
      </c>
      <c r="B9" s="14" t="s">
        <v>21</v>
      </c>
      <c r="C9" s="12">
        <f>IFERROR(VLOOKUP(A9,datos_2016!$B$1:$G$330,6,FALSE),"")</f>
        <v>9.453125</v>
      </c>
      <c r="D9" s="12">
        <f>IFERROR(VLOOKUP(A9,datos_2024!$B$1:$G$342,6,FALSE),"")</f>
        <v>11.51746725</v>
      </c>
    </row>
    <row r="10" ht="14.25" customHeight="1">
      <c r="A10" s="10">
        <v>10304.0</v>
      </c>
      <c r="B10" s="11" t="s">
        <v>22</v>
      </c>
      <c r="C10" s="12">
        <f>IFERROR(VLOOKUP(A10,datos_2016!$B$1:$G$330,6,FALSE),"")</f>
        <v>10.60371517</v>
      </c>
      <c r="D10" s="12">
        <f>IFERROR(VLOOKUP(A10,datos_2024!$B$1:$G$342,6,FALSE),"")</f>
        <v>10.42780749</v>
      </c>
    </row>
    <row r="11" ht="14.25" customHeight="1">
      <c r="A11" s="13">
        <v>10401.0</v>
      </c>
      <c r="B11" s="14" t="s">
        <v>23</v>
      </c>
      <c r="C11" s="12">
        <f>IFERROR(VLOOKUP(A11,datos_2016!$B$1:$G$330,6,FALSE),"")</f>
        <v>8.901408451</v>
      </c>
      <c r="D11" s="12">
        <f>IFERROR(VLOOKUP(A11,datos_2024!$B$1:$G$342,6,FALSE),"")</f>
        <v>10.86169442</v>
      </c>
    </row>
    <row r="12" ht="14.25" customHeight="1">
      <c r="A12" s="10">
        <v>10402.0</v>
      </c>
      <c r="B12" s="11" t="s">
        <v>24</v>
      </c>
      <c r="C12" s="12">
        <f>IFERROR(VLOOKUP(A12,datos_2016!$B$1:$G$330,6,FALSE),"")</f>
        <v>8.591065292</v>
      </c>
      <c r="D12" s="12">
        <f>IFERROR(VLOOKUP(A12,datos_2024!$B$1:$G$342,6,FALSE),"")</f>
        <v>12.47563353</v>
      </c>
    </row>
    <row r="13" ht="14.25" customHeight="1">
      <c r="A13" s="13">
        <v>10403.0</v>
      </c>
      <c r="B13" s="14" t="s">
        <v>25</v>
      </c>
      <c r="C13" s="12">
        <f>IFERROR(VLOOKUP(A13,datos_2016!$B$1:$G$330,6,FALSE),"")</f>
        <v>5.012531328</v>
      </c>
      <c r="D13" s="12">
        <f>IFERROR(VLOOKUP(A13,datos_2024!$B$1:$G$342,6,FALSE),"")</f>
        <v>13.74045802</v>
      </c>
    </row>
    <row r="14" ht="14.25" customHeight="1">
      <c r="A14" s="10">
        <v>10404.0</v>
      </c>
      <c r="B14" s="11" t="s">
        <v>26</v>
      </c>
      <c r="C14" s="12">
        <f>IFERROR(VLOOKUP(A14,datos_2016!$B$1:$G$330,6,FALSE),"")</f>
        <v>10</v>
      </c>
      <c r="D14" s="12">
        <f>IFERROR(VLOOKUP(A14,datos_2024!$B$1:$G$342,6,FALSE),"")</f>
        <v>15.11312217</v>
      </c>
    </row>
    <row r="15" ht="14.25" customHeight="1">
      <c r="A15" s="13">
        <v>10405.0</v>
      </c>
      <c r="B15" s="14" t="s">
        <v>27</v>
      </c>
      <c r="C15" s="12">
        <f>IFERROR(VLOOKUP(A15,datos_2016!$B$1:$G$330,6,FALSE),"")</f>
        <v>20.34682081</v>
      </c>
      <c r="D15" s="12">
        <f>IFERROR(VLOOKUP(A15,datos_2024!$B$1:$G$342,6,FALSE),"")</f>
        <v>13.503305</v>
      </c>
    </row>
    <row r="16" ht="14.25" customHeight="1">
      <c r="A16" s="10">
        <v>10501.0</v>
      </c>
      <c r="B16" s="11" t="s">
        <v>28</v>
      </c>
      <c r="C16" s="12">
        <f>IFERROR(VLOOKUP(A16,datos_2016!$B$1:$G$330,6,FALSE),"")</f>
        <v>4.278700023</v>
      </c>
      <c r="D16" s="12">
        <f>IFERROR(VLOOKUP(A16,datos_2024!$B$1:$G$342,6,FALSE),"")</f>
        <v>6.286237412</v>
      </c>
    </row>
    <row r="17" ht="14.25" customHeight="1">
      <c r="A17" s="13">
        <v>10502.0</v>
      </c>
      <c r="B17" s="14" t="s">
        <v>29</v>
      </c>
      <c r="C17" s="12">
        <f>IFERROR(VLOOKUP(A17,datos_2016!$B$1:$G$330,6,FALSE),"")</f>
        <v>3.196803197</v>
      </c>
      <c r="D17" s="12">
        <f>IFERROR(VLOOKUP(A17,datos_2024!$B$1:$G$342,6,FALSE),"")</f>
        <v>7.327796776</v>
      </c>
    </row>
    <row r="18" ht="14.25" customHeight="1">
      <c r="A18" s="10">
        <v>10601.0</v>
      </c>
      <c r="B18" s="11" t="s">
        <v>30</v>
      </c>
      <c r="C18" s="12">
        <f>IFERROR(VLOOKUP(A18,datos_2016!$B$1:$G$330,6,FALSE),"")</f>
        <v>8.709942482</v>
      </c>
      <c r="D18" s="12">
        <f>IFERROR(VLOOKUP(A18,datos_2024!$B$1:$G$342,6,FALSE),"")</f>
        <v>15.74375679</v>
      </c>
    </row>
    <row r="19" ht="14.25" customHeight="1">
      <c r="A19" s="13">
        <v>10602.0</v>
      </c>
      <c r="B19" s="14" t="s">
        <v>31</v>
      </c>
      <c r="C19" s="12">
        <f>IFERROR(VLOOKUP(A19,datos_2016!$B$1:$G$330,6,FALSE),"")</f>
        <v>11.36624569</v>
      </c>
      <c r="D19" s="12">
        <f>IFERROR(VLOOKUP(A19,datos_2024!$B$1:$G$342,6,FALSE),"")</f>
        <v>17.92242532</v>
      </c>
    </row>
    <row r="20" ht="14.25" customHeight="1">
      <c r="A20" s="10">
        <v>10701.0</v>
      </c>
      <c r="B20" s="11" t="s">
        <v>32</v>
      </c>
      <c r="C20" s="12">
        <f>IFERROR(VLOOKUP(A20,datos_2016!$B$1:$G$330,6,FALSE),"")</f>
        <v>10.78129376</v>
      </c>
      <c r="D20" s="12">
        <f>IFERROR(VLOOKUP(A20,datos_2024!$B$1:$G$342,6,FALSE),"")</f>
        <v>15.91412129</v>
      </c>
    </row>
    <row r="21" ht="14.25" customHeight="1">
      <c r="A21" s="13">
        <v>10702.0</v>
      </c>
      <c r="B21" s="14" t="s">
        <v>33</v>
      </c>
      <c r="C21" s="12">
        <f>IFERROR(VLOOKUP(A21,datos_2016!$B$1:$G$330,6,FALSE),"")</f>
        <v>17.57146604</v>
      </c>
      <c r="D21" s="12">
        <f>IFERROR(VLOOKUP(A21,datos_2024!$B$1:$G$342,6,FALSE),"")</f>
        <v>23.20143885</v>
      </c>
    </row>
    <row r="22" ht="14.25" customHeight="1">
      <c r="A22" s="10">
        <v>10703.0</v>
      </c>
      <c r="B22" s="11" t="s">
        <v>34</v>
      </c>
      <c r="C22" s="12">
        <f>IFERROR(VLOOKUP(A22,datos_2016!$B$1:$G$330,6,FALSE),"")</f>
        <v>7.676130389</v>
      </c>
      <c r="D22" s="12">
        <f>IFERROR(VLOOKUP(A22,datos_2024!$B$1:$G$342,6,FALSE),"")</f>
        <v>10.73684211</v>
      </c>
    </row>
    <row r="23" ht="14.25" customHeight="1">
      <c r="A23" s="13">
        <v>10704.0</v>
      </c>
      <c r="B23" s="14" t="s">
        <v>35</v>
      </c>
      <c r="C23" s="12">
        <f>IFERROR(VLOOKUP(A23,datos_2016!$B$1:$G$330,6,FALSE),"")</f>
        <v>9.422657952</v>
      </c>
      <c r="D23" s="12">
        <f>IFERROR(VLOOKUP(A23,datos_2024!$B$1:$G$342,6,FALSE),"")</f>
        <v>13.47169811</v>
      </c>
    </row>
    <row r="24" ht="14.25" customHeight="1">
      <c r="A24" s="10">
        <v>10801.0</v>
      </c>
      <c r="B24" s="11" t="s">
        <v>36</v>
      </c>
      <c r="C24" s="12">
        <f>IFERROR(VLOOKUP(A24,datos_2016!$B$1:$G$330,6,FALSE),"")</f>
        <v>10.93189964</v>
      </c>
      <c r="D24" s="12">
        <f>IFERROR(VLOOKUP(A24,datos_2024!$B$1:$G$342,6,FALSE),"")</f>
        <v>15.68862275</v>
      </c>
    </row>
    <row r="25" ht="14.25" customHeight="1">
      <c r="A25" s="13">
        <v>10901.0</v>
      </c>
      <c r="B25" s="14" t="s">
        <v>37</v>
      </c>
      <c r="C25" s="12">
        <f>IFERROR(VLOOKUP(A25,datos_2016!$B$1:$G$330,6,FALSE),"")</f>
        <v>11.87878788</v>
      </c>
      <c r="D25" s="12">
        <f>IFERROR(VLOOKUP(A25,datos_2024!$B$1:$G$342,6,FALSE),"")</f>
        <v>17.68518519</v>
      </c>
    </row>
    <row r="26" ht="14.25" customHeight="1">
      <c r="A26" s="10">
        <v>10902.0</v>
      </c>
      <c r="B26" s="11" t="s">
        <v>38</v>
      </c>
      <c r="C26" s="12">
        <f>IFERROR(VLOOKUP(A26,datos_2016!$B$1:$G$330,6,FALSE),"")</f>
        <v>8.671507903</v>
      </c>
      <c r="D26" s="12">
        <f>IFERROR(VLOOKUP(A26,datos_2024!$B$1:$G$342,6,FALSE),"")</f>
        <v>10.21468144</v>
      </c>
    </row>
    <row r="27" ht="14.25" customHeight="1">
      <c r="A27" s="13">
        <v>10903.0</v>
      </c>
      <c r="B27" s="14" t="s">
        <v>39</v>
      </c>
      <c r="C27" s="12">
        <f>IFERROR(VLOOKUP(A27,datos_2016!$B$1:$G$330,6,FALSE),"")</f>
        <v>11.18090452</v>
      </c>
      <c r="D27" s="12">
        <f>IFERROR(VLOOKUP(A27,datos_2024!$B$1:$G$342,6,FALSE),"")</f>
        <v>19.05717151</v>
      </c>
    </row>
    <row r="28" ht="14.25" customHeight="1">
      <c r="A28" s="10">
        <v>11001.0</v>
      </c>
      <c r="B28" s="11" t="s">
        <v>40</v>
      </c>
      <c r="C28" s="12">
        <f>IFERROR(VLOOKUP(A28,datos_2016!$B$1:$G$330,6,FALSE),"")</f>
        <v>1.652173913</v>
      </c>
      <c r="D28" s="12">
        <f>IFERROR(VLOOKUP(A28,datos_2024!$B$1:$G$342,6,FALSE),"")</f>
        <v>5.356311132</v>
      </c>
    </row>
    <row r="29" ht="14.25" customHeight="1">
      <c r="A29" s="13">
        <v>11002.0</v>
      </c>
      <c r="B29" s="14" t="s">
        <v>41</v>
      </c>
      <c r="C29" s="12">
        <f>IFERROR(VLOOKUP(A29,datos_2016!$B$1:$G$330,6,FALSE),"")</f>
        <v>7.604562738</v>
      </c>
      <c r="D29" s="12">
        <f>IFERROR(VLOOKUP(A29,datos_2024!$B$1:$G$342,6,FALSE),"")</f>
        <v>11.42857143</v>
      </c>
    </row>
    <row r="30" ht="14.25" customHeight="1">
      <c r="A30" s="10">
        <v>11003.0</v>
      </c>
      <c r="B30" s="11" t="s">
        <v>42</v>
      </c>
      <c r="C30" s="12">
        <f>IFERROR(VLOOKUP(A30,datos_2016!$B$1:$G$330,6,FALSE),"")</f>
        <v>6.555423123</v>
      </c>
      <c r="D30" s="12">
        <f>IFERROR(VLOOKUP(A30,datos_2024!$B$1:$G$342,6,FALSE),"")</f>
        <v>7.34989648</v>
      </c>
    </row>
    <row r="31" ht="14.25" customHeight="1">
      <c r="A31" s="13">
        <v>20101.0</v>
      </c>
      <c r="B31" s="14" t="s">
        <v>43</v>
      </c>
      <c r="C31" s="12">
        <f>IFERROR(VLOOKUP(A31,datos_2016!$B$1:$G$330,6,FALSE),"")</f>
        <v>4.398383616</v>
      </c>
      <c r="D31" s="12">
        <f>IFERROR(VLOOKUP(A31,datos_2024!$B$1:$G$342,6,FALSE),"")</f>
        <v>5.989311679</v>
      </c>
    </row>
    <row r="32" ht="14.25" customHeight="1">
      <c r="A32" s="10">
        <v>20102.0</v>
      </c>
      <c r="B32" s="11" t="s">
        <v>44</v>
      </c>
      <c r="C32" s="12">
        <f>IFERROR(VLOOKUP(A32,datos_2016!$B$1:$G$330,6,FALSE),"")</f>
        <v>8.401802279</v>
      </c>
      <c r="D32" s="12">
        <f>IFERROR(VLOOKUP(A32,datos_2024!$B$1:$G$342,6,FALSE),"")</f>
        <v>9.383624655</v>
      </c>
    </row>
    <row r="33" ht="14.25" customHeight="1">
      <c r="A33" s="13">
        <v>20103.0</v>
      </c>
      <c r="B33" s="14" t="s">
        <v>45</v>
      </c>
      <c r="C33" s="12">
        <f>IFERROR(VLOOKUP(A33,datos_2016!$B$1:$G$330,6,FALSE),"")</f>
        <v>10.5524239</v>
      </c>
      <c r="D33" s="12">
        <f>IFERROR(VLOOKUP(A33,datos_2024!$B$1:$G$342,6,FALSE),"")</f>
        <v>11.82766563</v>
      </c>
    </row>
    <row r="34" ht="14.25" customHeight="1">
      <c r="A34" s="10">
        <v>20104.0</v>
      </c>
      <c r="B34" s="11" t="s">
        <v>46</v>
      </c>
      <c r="C34" s="12">
        <f>IFERROR(VLOOKUP(A34,datos_2016!$B$1:$G$330,6,FALSE),"")</f>
        <v>13.54872329</v>
      </c>
      <c r="D34" s="12">
        <f>IFERROR(VLOOKUP(A34,datos_2024!$B$1:$G$342,6,FALSE),"")</f>
        <v>16.93416312</v>
      </c>
    </row>
    <row r="35" ht="14.25" customHeight="1">
      <c r="A35" s="13">
        <v>20105.0</v>
      </c>
      <c r="B35" s="14" t="s">
        <v>47</v>
      </c>
      <c r="C35" s="12">
        <f>IFERROR(VLOOKUP(A35,datos_2016!$B$1:$G$330,6,FALSE),"")</f>
        <v>7.77128158</v>
      </c>
      <c r="D35" s="12">
        <f>IFERROR(VLOOKUP(A35,datos_2024!$B$1:$G$342,6,FALSE),"")</f>
        <v>7.554508994</v>
      </c>
    </row>
    <row r="36" ht="14.25" customHeight="1">
      <c r="A36" s="10">
        <v>20201.0</v>
      </c>
      <c r="B36" s="11" t="s">
        <v>48</v>
      </c>
      <c r="C36" s="12">
        <f>IFERROR(VLOOKUP(A36,datos_2016!$B$1:$G$330,6,FALSE),"")</f>
        <v>9.21372602</v>
      </c>
      <c r="D36" s="12">
        <f>IFERROR(VLOOKUP(A36,datos_2024!$B$1:$G$342,6,FALSE),"")</f>
        <v>12.58360897</v>
      </c>
    </row>
    <row r="37" ht="14.25" customHeight="1">
      <c r="A37" s="13">
        <v>20202.0</v>
      </c>
      <c r="B37" s="14" t="s">
        <v>49</v>
      </c>
      <c r="C37" s="12">
        <f>IFERROR(VLOOKUP(A37,datos_2016!$B$1:$G$330,6,FALSE),"")</f>
        <v>21.3490099</v>
      </c>
      <c r="D37" s="12">
        <f>IFERROR(VLOOKUP(A37,datos_2024!$B$1:$G$342,6,FALSE),"")</f>
        <v>16.35598316</v>
      </c>
    </row>
    <row r="38" ht="14.25" customHeight="1">
      <c r="A38" s="10">
        <v>20203.0</v>
      </c>
      <c r="B38" s="11" t="s">
        <v>50</v>
      </c>
      <c r="C38" s="12">
        <f>IFERROR(VLOOKUP(A38,datos_2016!$B$1:$G$330,6,FALSE),"")</f>
        <v>13.34080717</v>
      </c>
      <c r="D38" s="12">
        <f>IFERROR(VLOOKUP(A38,datos_2024!$B$1:$G$342,6,FALSE),"")</f>
        <v>16.28959276</v>
      </c>
    </row>
    <row r="39" ht="14.25" customHeight="1">
      <c r="A39" s="13">
        <v>20204.0</v>
      </c>
      <c r="B39" s="14" t="s">
        <v>51</v>
      </c>
      <c r="C39" s="12">
        <f>IFERROR(VLOOKUP(A39,datos_2016!$B$1:$G$330,6,FALSE),"")</f>
        <v>18.16083109</v>
      </c>
      <c r="D39" s="12">
        <f>IFERROR(VLOOKUP(A39,datos_2024!$B$1:$G$342,6,FALSE),"")</f>
        <v>16.15978212</v>
      </c>
    </row>
    <row r="40" ht="14.25" customHeight="1">
      <c r="A40" s="10">
        <v>20205.0</v>
      </c>
      <c r="B40" s="11" t="s">
        <v>52</v>
      </c>
      <c r="C40" s="12">
        <f>IFERROR(VLOOKUP(A40,datos_2016!$B$1:$G$330,6,FALSE),"")</f>
        <v>18.97417504</v>
      </c>
      <c r="D40" s="12">
        <f>IFERROR(VLOOKUP(A40,datos_2024!$B$1:$G$342,6,FALSE),"")</f>
        <v>22.08499818</v>
      </c>
    </row>
    <row r="41" ht="14.25" customHeight="1">
      <c r="A41" s="13">
        <v>20206.0</v>
      </c>
      <c r="B41" s="14" t="s">
        <v>53</v>
      </c>
      <c r="C41" s="12">
        <f>IFERROR(VLOOKUP(A41,datos_2016!$B$1:$G$330,6,FALSE),"")</f>
        <v>20.17067494</v>
      </c>
      <c r="D41" s="12">
        <f>IFERROR(VLOOKUP(A41,datos_2024!$B$1:$G$342,6,FALSE),"")</f>
        <v>21.86440678</v>
      </c>
    </row>
    <row r="42" ht="14.25" customHeight="1">
      <c r="A42" s="10">
        <v>20301.0</v>
      </c>
      <c r="B42" s="11" t="s">
        <v>54</v>
      </c>
      <c r="C42" s="12">
        <f>IFERROR(VLOOKUP(A42,datos_2016!$B$1:$G$330,6,FALSE),"")</f>
        <v>26.05874317</v>
      </c>
      <c r="D42" s="12">
        <f>IFERROR(VLOOKUP(A42,datos_2024!$B$1:$G$342,6,FALSE),"")</f>
        <v>26.71594509</v>
      </c>
    </row>
    <row r="43" ht="14.25" customHeight="1">
      <c r="A43" s="13">
        <v>20302.0</v>
      </c>
      <c r="B43" s="14" t="s">
        <v>55</v>
      </c>
      <c r="C43" s="12">
        <f>IFERROR(VLOOKUP(A43,datos_2016!$B$1:$G$330,6,FALSE),"")</f>
        <v>27.28358209</v>
      </c>
      <c r="D43" s="12">
        <f>IFERROR(VLOOKUP(A43,datos_2024!$B$1:$G$342,6,FALSE),"")</f>
        <v>30.0456621</v>
      </c>
    </row>
    <row r="44" ht="14.25" customHeight="1">
      <c r="A44" s="10">
        <v>20303.0</v>
      </c>
      <c r="B44" s="11" t="s">
        <v>56</v>
      </c>
      <c r="C44" s="12">
        <f>IFERROR(VLOOKUP(A44,datos_2016!$B$1:$G$330,6,FALSE),"")</f>
        <v>30.68081344</v>
      </c>
      <c r="D44" s="12">
        <f>IFERROR(VLOOKUP(A44,datos_2024!$B$1:$G$342,6,FALSE),"")</f>
        <v>33.67408298</v>
      </c>
    </row>
    <row r="45" ht="14.25" customHeight="1">
      <c r="A45" s="13">
        <v>20304.0</v>
      </c>
      <c r="B45" s="14" t="s">
        <v>57</v>
      </c>
      <c r="C45" s="12">
        <f>IFERROR(VLOOKUP(A45,datos_2016!$B$1:$G$330,6,FALSE),"")</f>
        <v>20.68230277</v>
      </c>
      <c r="D45" s="12">
        <f>IFERROR(VLOOKUP(A45,datos_2024!$B$1:$G$342,6,FALSE),"")</f>
        <v>26.19863014</v>
      </c>
    </row>
    <row r="46" ht="14.25" customHeight="1">
      <c r="A46" s="10">
        <v>20305.0</v>
      </c>
      <c r="B46" s="11" t="s">
        <v>58</v>
      </c>
      <c r="C46" s="12">
        <f>IFERROR(VLOOKUP(A46,datos_2016!$B$1:$G$330,6,FALSE),"")</f>
        <v>17.47851003</v>
      </c>
      <c r="D46" s="12">
        <f>IFERROR(VLOOKUP(A46,datos_2024!$B$1:$G$342,6,FALSE),"")</f>
        <v>16.33165829</v>
      </c>
    </row>
    <row r="47" ht="14.25" customHeight="1">
      <c r="A47" s="13">
        <v>20306.0</v>
      </c>
      <c r="B47" s="14" t="s">
        <v>59</v>
      </c>
      <c r="C47" s="12">
        <f>IFERROR(VLOOKUP(A47,datos_2016!$B$1:$G$330,6,FALSE),"")</f>
        <v>16.98113208</v>
      </c>
      <c r="D47" s="12" t="str">
        <f>IFERROR(VLOOKUP(A47,datos_2024!$B$1:$G$342,6,FALSE),"")</f>
        <v/>
      </c>
    </row>
    <row r="48" ht="14.25" customHeight="1">
      <c r="A48" s="10">
        <v>20307.0</v>
      </c>
      <c r="B48" s="11" t="s">
        <v>60</v>
      </c>
      <c r="C48" s="12">
        <f>IFERROR(VLOOKUP(A48,datos_2016!$B$1:$G$330,6,FALSE),"")</f>
        <v>16.83168317</v>
      </c>
      <c r="D48" s="12">
        <f>IFERROR(VLOOKUP(A48,datos_2024!$B$1:$G$342,6,FALSE),"")</f>
        <v>23.07692308</v>
      </c>
    </row>
    <row r="49" ht="14.25" customHeight="1">
      <c r="A49" s="13">
        <v>20308.0</v>
      </c>
      <c r="B49" s="14" t="s">
        <v>61</v>
      </c>
      <c r="C49" s="12">
        <f>IFERROR(VLOOKUP(A49,datos_2016!$B$1:$G$330,6,FALSE),"")</f>
        <v>49.63680387</v>
      </c>
      <c r="D49" s="12">
        <f>IFERROR(VLOOKUP(A49,datos_2024!$B$1:$G$342,6,FALSE),"")</f>
        <v>34.83443709</v>
      </c>
    </row>
    <row r="50" ht="14.25" customHeight="1">
      <c r="A50" s="10">
        <v>20401.0</v>
      </c>
      <c r="B50" s="11" t="s">
        <v>62</v>
      </c>
      <c r="C50" s="12">
        <f>IFERROR(VLOOKUP(A50,datos_2016!$B$1:$G$330,6,FALSE),"")</f>
        <v>10.85138731</v>
      </c>
      <c r="D50" s="12">
        <f>IFERROR(VLOOKUP(A50,datos_2024!$B$1:$G$342,6,FALSE),"")</f>
        <v>15.90733591</v>
      </c>
    </row>
    <row r="51" ht="14.25" customHeight="1">
      <c r="A51" s="13">
        <v>20402.0</v>
      </c>
      <c r="B51" s="14" t="s">
        <v>63</v>
      </c>
      <c r="C51" s="12">
        <f>IFERROR(VLOOKUP(A51,datos_2016!$B$1:$G$330,6,FALSE),"")</f>
        <v>13.03048416</v>
      </c>
      <c r="D51" s="12">
        <f>IFERROR(VLOOKUP(A51,datos_2024!$B$1:$G$342,6,FALSE),"")</f>
        <v>13.59322034</v>
      </c>
    </row>
    <row r="52" ht="14.25" customHeight="1">
      <c r="A52" s="10">
        <v>20403.0</v>
      </c>
      <c r="B52" s="11" t="s">
        <v>64</v>
      </c>
      <c r="C52" s="12">
        <f>IFERROR(VLOOKUP(A52,datos_2016!$B$1:$G$330,6,FALSE),"")</f>
        <v>15.62944018</v>
      </c>
      <c r="D52" s="12">
        <f>IFERROR(VLOOKUP(A52,datos_2024!$B$1:$G$342,6,FALSE),"")</f>
        <v>13.8576779</v>
      </c>
    </row>
    <row r="53" ht="14.25" customHeight="1">
      <c r="A53" s="13">
        <v>20404.0</v>
      </c>
      <c r="B53" s="14" t="s">
        <v>65</v>
      </c>
      <c r="C53" s="12">
        <f>IFERROR(VLOOKUP(A53,datos_2016!$B$1:$G$330,6,FALSE),"")</f>
        <v>12.14788732</v>
      </c>
      <c r="D53" s="12">
        <f>IFERROR(VLOOKUP(A53,datos_2024!$B$1:$G$342,6,FALSE),"")</f>
        <v>10.00877963</v>
      </c>
    </row>
    <row r="54" ht="14.25" customHeight="1">
      <c r="A54" s="10">
        <v>20405.0</v>
      </c>
      <c r="B54" s="11" t="s">
        <v>66</v>
      </c>
      <c r="C54" s="12">
        <f>IFERROR(VLOOKUP(A54,datos_2016!$B$1:$G$330,6,FALSE),"")</f>
        <v>15.47368421</v>
      </c>
      <c r="D54" s="12">
        <f>IFERROR(VLOOKUP(A54,datos_2024!$B$1:$G$342,6,FALSE),"")</f>
        <v>10.84394154</v>
      </c>
    </row>
    <row r="55" ht="14.25" customHeight="1">
      <c r="A55" s="13">
        <v>20501.0</v>
      </c>
      <c r="B55" s="14" t="s">
        <v>67</v>
      </c>
      <c r="C55" s="12">
        <f>IFERROR(VLOOKUP(A55,datos_2016!$B$1:$G$330,6,FALSE),"")</f>
        <v>18.42677097</v>
      </c>
      <c r="D55" s="12">
        <f>IFERROR(VLOOKUP(A55,datos_2024!$B$1:$G$342,6,FALSE),"")</f>
        <v>13.60164512</v>
      </c>
    </row>
    <row r="56" ht="14.25" customHeight="1">
      <c r="A56" s="10">
        <v>20502.0</v>
      </c>
      <c r="B56" s="11" t="s">
        <v>68</v>
      </c>
      <c r="C56" s="12">
        <f>IFERROR(VLOOKUP(A56,datos_2016!$B$1:$G$330,6,FALSE),"")</f>
        <v>10.76203209</v>
      </c>
      <c r="D56" s="12">
        <f>IFERROR(VLOOKUP(A56,datos_2024!$B$1:$G$342,6,FALSE),"")</f>
        <v>12.96905859</v>
      </c>
    </row>
    <row r="57" ht="14.25" customHeight="1">
      <c r="A57" s="13">
        <v>20503.0</v>
      </c>
      <c r="B57" s="14" t="s">
        <v>69</v>
      </c>
      <c r="C57" s="12">
        <f>IFERROR(VLOOKUP(A57,datos_2016!$B$1:$G$330,6,FALSE),"")</f>
        <v>16.72640382</v>
      </c>
      <c r="D57" s="12">
        <f>IFERROR(VLOOKUP(A57,datos_2024!$B$1:$G$342,6,FALSE),"")</f>
        <v>8.681672026</v>
      </c>
    </row>
    <row r="58" ht="14.25" customHeight="1">
      <c r="A58" s="10">
        <v>20601.0</v>
      </c>
      <c r="B58" s="11" t="s">
        <v>70</v>
      </c>
      <c r="C58" s="12">
        <f>IFERROR(VLOOKUP(A58,datos_2016!$B$1:$G$330,6,FALSE),"")</f>
        <v>18.8630491</v>
      </c>
      <c r="D58" s="12">
        <f>IFERROR(VLOOKUP(A58,datos_2024!$B$1:$G$342,6,FALSE),"")</f>
        <v>11.7985824</v>
      </c>
    </row>
    <row r="59" ht="14.25" customHeight="1">
      <c r="A59" s="13">
        <v>20602.0</v>
      </c>
      <c r="B59" s="14" t="s">
        <v>71</v>
      </c>
      <c r="C59" s="12">
        <f>IFERROR(VLOOKUP(A59,datos_2016!$B$1:$G$330,6,FALSE),"")</f>
        <v>7.18901454</v>
      </c>
      <c r="D59" s="12">
        <f>IFERROR(VLOOKUP(A59,datos_2024!$B$1:$G$342,6,FALSE),"")</f>
        <v>3.080872914</v>
      </c>
    </row>
    <row r="60" ht="14.25" customHeight="1">
      <c r="A60" s="10">
        <v>20603.0</v>
      </c>
      <c r="B60" s="11" t="s">
        <v>72</v>
      </c>
      <c r="C60" s="12">
        <f>IFERROR(VLOOKUP(A60,datos_2016!$B$1:$G$330,6,FALSE),"")</f>
        <v>14.20651421</v>
      </c>
      <c r="D60" s="12">
        <f>IFERROR(VLOOKUP(A60,datos_2024!$B$1:$G$342,6,FALSE),"")</f>
        <v>12.92225201</v>
      </c>
    </row>
    <row r="61" ht="14.25" customHeight="1">
      <c r="A61" s="13">
        <v>20604.0</v>
      </c>
      <c r="B61" s="14" t="s">
        <v>73</v>
      </c>
      <c r="C61" s="12">
        <f>IFERROR(VLOOKUP(A61,datos_2016!$B$1:$G$330,6,FALSE),"")</f>
        <v>15.41401274</v>
      </c>
      <c r="D61" s="12">
        <f>IFERROR(VLOOKUP(A61,datos_2024!$B$1:$G$342,6,FALSE),"")</f>
        <v>9.355246523</v>
      </c>
    </row>
    <row r="62" ht="14.25" customHeight="1">
      <c r="A62" s="10">
        <v>20605.0</v>
      </c>
      <c r="B62" s="11" t="s">
        <v>74</v>
      </c>
      <c r="C62" s="12">
        <f>IFERROR(VLOOKUP(A62,datos_2016!$B$1:$G$330,6,FALSE),"")</f>
        <v>23.04075235</v>
      </c>
      <c r="D62" s="12">
        <f>IFERROR(VLOOKUP(A62,datos_2024!$B$1:$G$342,6,FALSE),"")</f>
        <v>17.23549488</v>
      </c>
    </row>
    <row r="63" ht="14.25" customHeight="1">
      <c r="A63" s="13">
        <v>20606.0</v>
      </c>
      <c r="B63" s="14" t="s">
        <v>75</v>
      </c>
      <c r="C63" s="12">
        <f>IFERROR(VLOOKUP(A63,datos_2016!$B$1:$G$330,6,FALSE),"")</f>
        <v>8.84907709</v>
      </c>
      <c r="D63" s="12">
        <f>IFERROR(VLOOKUP(A63,datos_2024!$B$1:$G$342,6,FALSE),"")</f>
        <v>5.9030837</v>
      </c>
    </row>
    <row r="64" ht="14.25" customHeight="1">
      <c r="A64" s="10">
        <v>20607.0</v>
      </c>
      <c r="B64" s="11" t="s">
        <v>76</v>
      </c>
      <c r="C64" s="12">
        <f>IFERROR(VLOOKUP(A64,datos_2016!$B$1:$G$330,6,FALSE),"")</f>
        <v>4.786412764</v>
      </c>
      <c r="D64" s="12">
        <f>IFERROR(VLOOKUP(A64,datos_2024!$B$1:$G$342,6,FALSE),"")</f>
        <v>4.341736695</v>
      </c>
    </row>
    <row r="65" ht="14.25" customHeight="1">
      <c r="A65" s="13">
        <v>20608.0</v>
      </c>
      <c r="B65" s="14" t="s">
        <v>77</v>
      </c>
      <c r="C65" s="12">
        <f>IFERROR(VLOOKUP(A65,datos_2016!$B$1:$G$330,6,FALSE),"")</f>
        <v>7.210031348</v>
      </c>
      <c r="D65" s="12">
        <f>IFERROR(VLOOKUP(A65,datos_2024!$B$1:$G$342,6,FALSE),"")</f>
        <v>9.45395273</v>
      </c>
    </row>
    <row r="66" ht="14.25" customHeight="1">
      <c r="A66" s="10">
        <v>20701.0</v>
      </c>
      <c r="B66" s="11" t="s">
        <v>78</v>
      </c>
      <c r="C66" s="12">
        <f>IFERROR(VLOOKUP(A66,datos_2016!$B$1:$G$330,6,FALSE),"")</f>
        <v>8.883511925</v>
      </c>
      <c r="D66" s="12">
        <f>IFERROR(VLOOKUP(A66,datos_2024!$B$1:$G$342,6,FALSE),"")</f>
        <v>7.564841499</v>
      </c>
    </row>
    <row r="67" ht="14.25" customHeight="1">
      <c r="A67" s="13">
        <v>20702.0</v>
      </c>
      <c r="B67" s="14" t="s">
        <v>79</v>
      </c>
      <c r="C67" s="12">
        <f>IFERROR(VLOOKUP(A67,datos_2016!$B$1:$G$330,6,FALSE),"")</f>
        <v>14.70281543</v>
      </c>
      <c r="D67" s="12">
        <f>IFERROR(VLOOKUP(A67,datos_2024!$B$1:$G$342,6,FALSE),"")</f>
        <v>10.00602773</v>
      </c>
    </row>
    <row r="68" ht="14.25" customHeight="1">
      <c r="A68" s="10">
        <v>20801.0</v>
      </c>
      <c r="B68" s="11" t="s">
        <v>80</v>
      </c>
      <c r="C68" s="12">
        <f>IFERROR(VLOOKUP(A68,datos_2016!$B$1:$G$330,6,FALSE),"")</f>
        <v>15.0171251</v>
      </c>
      <c r="D68" s="12">
        <f>IFERROR(VLOOKUP(A68,datos_2024!$B$1:$G$342,6,FALSE),"")</f>
        <v>16.01634068</v>
      </c>
    </row>
    <row r="69" ht="14.25" customHeight="1">
      <c r="A69" s="13">
        <v>20802.0</v>
      </c>
      <c r="B69" s="14" t="s">
        <v>81</v>
      </c>
      <c r="C69" s="12">
        <f>IFERROR(VLOOKUP(A69,datos_2016!$B$1:$G$330,6,FALSE),"")</f>
        <v>28.98734177</v>
      </c>
      <c r="D69" s="12">
        <f>IFERROR(VLOOKUP(A69,datos_2024!$B$1:$G$342,6,FALSE),"")</f>
        <v>19.98477351</v>
      </c>
    </row>
    <row r="70" ht="14.25" customHeight="1">
      <c r="A70" s="10">
        <v>20803.0</v>
      </c>
      <c r="B70" s="11" t="s">
        <v>82</v>
      </c>
      <c r="C70" s="12">
        <f>IFERROR(VLOOKUP(A70,datos_2016!$B$1:$G$330,6,FALSE),"")</f>
        <v>17.90393013</v>
      </c>
      <c r="D70" s="12">
        <f>IFERROR(VLOOKUP(A70,datos_2024!$B$1:$G$342,6,FALSE),"")</f>
        <v>17.5562701</v>
      </c>
    </row>
    <row r="71" ht="14.25" customHeight="1">
      <c r="A71" s="13">
        <v>20804.0</v>
      </c>
      <c r="B71" s="14" t="s">
        <v>83</v>
      </c>
      <c r="C71" s="12">
        <f>IFERROR(VLOOKUP(A71,datos_2016!$B$1:$G$330,6,FALSE),"")</f>
        <v>21.52391546</v>
      </c>
      <c r="D71" s="12">
        <f>IFERROR(VLOOKUP(A71,datos_2024!$B$1:$G$342,6,FALSE),"")</f>
        <v>11.87298665</v>
      </c>
    </row>
    <row r="72" ht="14.25" customHeight="1">
      <c r="A72" s="10">
        <v>20805.0</v>
      </c>
      <c r="B72" s="11" t="s">
        <v>84</v>
      </c>
      <c r="C72" s="12">
        <f>IFERROR(VLOOKUP(A72,datos_2016!$B$1:$G$330,6,FALSE),"")</f>
        <v>22.80580511</v>
      </c>
      <c r="D72" s="12" t="str">
        <f>IFERROR(VLOOKUP(A72,datos_2024!$B$1:$G$342,6,FALSE),"")</f>
        <v/>
      </c>
    </row>
    <row r="73" ht="14.25" customHeight="1">
      <c r="A73" s="13">
        <v>20806.0</v>
      </c>
      <c r="B73" s="14" t="s">
        <v>85</v>
      </c>
      <c r="C73" s="12">
        <f>IFERROR(VLOOKUP(A73,datos_2016!$B$1:$G$330,6,FALSE),"")</f>
        <v>17.4526885</v>
      </c>
      <c r="D73" s="12" t="str">
        <f>IFERROR(VLOOKUP(A73,datos_2024!$B$1:$G$342,6,FALSE),"")</f>
        <v/>
      </c>
    </row>
    <row r="74" ht="14.25" customHeight="1">
      <c r="A74" s="10">
        <v>20807.0</v>
      </c>
      <c r="B74" s="11" t="s">
        <v>86</v>
      </c>
      <c r="C74" s="12">
        <f>IFERROR(VLOOKUP(A74,datos_2016!$B$1:$G$330,6,FALSE),"")</f>
        <v>21.55932203</v>
      </c>
      <c r="D74" s="12">
        <f>IFERROR(VLOOKUP(A74,datos_2024!$B$1:$G$342,6,FALSE),"")</f>
        <v>21.14384749</v>
      </c>
    </row>
    <row r="75" ht="14.25" customHeight="1">
      <c r="A75" s="13">
        <v>20901.0</v>
      </c>
      <c r="B75" s="14" t="s">
        <v>87</v>
      </c>
      <c r="C75" s="12">
        <f>IFERROR(VLOOKUP(A75,datos_2016!$B$1:$G$330,6,FALSE),"")</f>
        <v>13.60674588</v>
      </c>
      <c r="D75" s="12">
        <f>IFERROR(VLOOKUP(A75,datos_2024!$B$1:$G$342,6,FALSE),"")</f>
        <v>10.97647897</v>
      </c>
    </row>
    <row r="76" ht="14.25" customHeight="1">
      <c r="A76" s="10">
        <v>20902.0</v>
      </c>
      <c r="B76" s="11" t="s">
        <v>88</v>
      </c>
      <c r="C76" s="12">
        <f>IFERROR(VLOOKUP(A76,datos_2016!$B$1:$G$330,6,FALSE),"")</f>
        <v>15.49606299</v>
      </c>
      <c r="D76" s="12">
        <f>IFERROR(VLOOKUP(A76,datos_2024!$B$1:$G$342,6,FALSE),"")</f>
        <v>11.31324616</v>
      </c>
    </row>
    <row r="77" ht="14.25" customHeight="1">
      <c r="A77" s="13">
        <v>20903.0</v>
      </c>
      <c r="B77" s="14" t="s">
        <v>89</v>
      </c>
      <c r="C77" s="12">
        <f>IFERROR(VLOOKUP(A77,datos_2016!$B$1:$G$330,6,FALSE),"")</f>
        <v>22.35142119</v>
      </c>
      <c r="D77" s="12">
        <f>IFERROR(VLOOKUP(A77,datos_2024!$B$1:$G$342,6,FALSE),"")</f>
        <v>14.45556946</v>
      </c>
    </row>
    <row r="78" ht="14.25" customHeight="1">
      <c r="A78" s="10">
        <v>20904.0</v>
      </c>
      <c r="B78" s="11" t="s">
        <v>90</v>
      </c>
      <c r="C78" s="12">
        <f>IFERROR(VLOOKUP(A78,datos_2016!$B$1:$G$330,6,FALSE),"")</f>
        <v>26.37362637</v>
      </c>
      <c r="D78" s="12">
        <f>IFERROR(VLOOKUP(A78,datos_2024!$B$1:$G$342,6,FALSE),"")</f>
        <v>12.6984127</v>
      </c>
    </row>
    <row r="79" ht="14.25" customHeight="1">
      <c r="A79" s="13">
        <v>20905.0</v>
      </c>
      <c r="B79" s="14" t="s">
        <v>91</v>
      </c>
      <c r="C79" s="12">
        <f>IFERROR(VLOOKUP(A79,datos_2016!$B$1:$G$330,6,FALSE),"")</f>
        <v>21.34088763</v>
      </c>
      <c r="D79" s="12">
        <f>IFERROR(VLOOKUP(A79,datos_2024!$B$1:$G$342,6,FALSE),"")</f>
        <v>4.895104895</v>
      </c>
    </row>
    <row r="80" ht="14.25" customHeight="1">
      <c r="A80" s="10">
        <v>21001.0</v>
      </c>
      <c r="B80" s="11" t="s">
        <v>92</v>
      </c>
      <c r="C80" s="12">
        <f>IFERROR(VLOOKUP(A80,datos_2016!$B$1:$G$330,6,FALSE),"")</f>
        <v>12.20527046</v>
      </c>
      <c r="D80" s="12">
        <f>IFERROR(VLOOKUP(A80,datos_2024!$B$1:$G$342,6,FALSE),"")</f>
        <v>10.36053131</v>
      </c>
    </row>
    <row r="81" ht="14.25" customHeight="1">
      <c r="A81" s="13">
        <v>21002.0</v>
      </c>
      <c r="B81" s="14" t="s">
        <v>93</v>
      </c>
      <c r="C81" s="12">
        <f>IFERROR(VLOOKUP(A81,datos_2016!$B$1:$G$330,6,FALSE),"")</f>
        <v>8.849557522</v>
      </c>
      <c r="D81" s="12">
        <f>IFERROR(VLOOKUP(A81,datos_2024!$B$1:$G$342,6,FALSE),"")</f>
        <v>8.388625592</v>
      </c>
    </row>
    <row r="82" ht="14.25" customHeight="1">
      <c r="A82" s="10">
        <v>21003.0</v>
      </c>
      <c r="B82" s="11" t="s">
        <v>94</v>
      </c>
      <c r="C82" s="12">
        <f>IFERROR(VLOOKUP(A82,datos_2016!$B$1:$G$330,6,FALSE),"")</f>
        <v>8.425925926</v>
      </c>
      <c r="D82" s="12">
        <f>IFERROR(VLOOKUP(A82,datos_2024!$B$1:$G$342,6,FALSE),"")</f>
        <v>4.421246546</v>
      </c>
    </row>
    <row r="83" ht="14.25" customHeight="1">
      <c r="A83" s="13">
        <v>21004.0</v>
      </c>
      <c r="B83" s="14" t="s">
        <v>95</v>
      </c>
      <c r="C83" s="12">
        <f>IFERROR(VLOOKUP(A83,datos_2016!$B$1:$G$330,6,FALSE),"")</f>
        <v>27.13773682</v>
      </c>
      <c r="D83" s="12">
        <f>IFERROR(VLOOKUP(A83,datos_2024!$B$1:$G$342,6,FALSE),"")</f>
        <v>17.71956857</v>
      </c>
    </row>
    <row r="84" ht="14.25" customHeight="1">
      <c r="A84" s="10">
        <v>21005.0</v>
      </c>
      <c r="B84" s="11" t="s">
        <v>96</v>
      </c>
      <c r="C84" s="12">
        <f>IFERROR(VLOOKUP(A84,datos_2016!$B$1:$G$330,6,FALSE),"")</f>
        <v>34.27458617</v>
      </c>
      <c r="D84" s="12">
        <f>IFERROR(VLOOKUP(A84,datos_2024!$B$1:$G$342,6,FALSE),"")</f>
        <v>13.37047354</v>
      </c>
    </row>
    <row r="85" ht="14.25" customHeight="1">
      <c r="A85" s="13">
        <v>21006.0</v>
      </c>
      <c r="B85" s="14" t="s">
        <v>97</v>
      </c>
      <c r="C85" s="12">
        <f>IFERROR(VLOOKUP(A85,datos_2016!$B$1:$G$330,6,FALSE),"")</f>
        <v>10.8490566</v>
      </c>
      <c r="D85" s="12">
        <f>IFERROR(VLOOKUP(A85,datos_2024!$B$1:$G$342,6,FALSE),"")</f>
        <v>8.227848101</v>
      </c>
    </row>
    <row r="86" ht="14.25" customHeight="1">
      <c r="A86" s="10">
        <v>21101.0</v>
      </c>
      <c r="B86" s="11" t="s">
        <v>98</v>
      </c>
      <c r="C86" s="12">
        <f>IFERROR(VLOOKUP(A86,datos_2016!$B$1:$G$330,6,FALSE),"")</f>
        <v>5.84601809</v>
      </c>
      <c r="D86" s="12">
        <f>IFERROR(VLOOKUP(A86,datos_2024!$B$1:$G$342,6,FALSE),"")</f>
        <v>6.780556534</v>
      </c>
    </row>
    <row r="87" ht="14.25" customHeight="1">
      <c r="A87" s="13">
        <v>21102.0</v>
      </c>
      <c r="B87" s="14" t="s">
        <v>99</v>
      </c>
      <c r="C87" s="12">
        <f>IFERROR(VLOOKUP(A87,datos_2016!$B$1:$G$330,6,FALSE),"")</f>
        <v>7.590835455</v>
      </c>
      <c r="D87" s="12">
        <f>IFERROR(VLOOKUP(A87,datos_2024!$B$1:$G$342,6,FALSE),"")</f>
        <v>7.768256334</v>
      </c>
    </row>
    <row r="88" ht="14.25" customHeight="1">
      <c r="A88" s="10">
        <v>21103.0</v>
      </c>
      <c r="B88" s="11" t="s">
        <v>100</v>
      </c>
      <c r="C88" s="12">
        <f>IFERROR(VLOOKUP(A88,datos_2016!$B$1:$G$330,6,FALSE),"")</f>
        <v>5.426917511</v>
      </c>
      <c r="D88" s="12">
        <f>IFERROR(VLOOKUP(A88,datos_2024!$B$1:$G$342,6,FALSE),"")</f>
        <v>8.665269043</v>
      </c>
    </row>
    <row r="89" ht="14.25" customHeight="1">
      <c r="A89" s="13">
        <v>21104.0</v>
      </c>
      <c r="B89" s="14" t="s">
        <v>101</v>
      </c>
      <c r="C89" s="12">
        <f>IFERROR(VLOOKUP(A89,datos_2016!$B$1:$G$330,6,FALSE),"")</f>
        <v>13.13703284</v>
      </c>
      <c r="D89" s="12">
        <f>IFERROR(VLOOKUP(A89,datos_2024!$B$1:$G$342,6,FALSE),"")</f>
        <v>8.615906289</v>
      </c>
    </row>
    <row r="90" ht="14.25" customHeight="1">
      <c r="A90" s="10">
        <v>21105.0</v>
      </c>
      <c r="B90" s="11" t="s">
        <v>102</v>
      </c>
      <c r="C90" s="12">
        <f>IFERROR(VLOOKUP(A90,datos_2016!$B$1:$G$330,6,FALSE),"")</f>
        <v>5.055611729</v>
      </c>
      <c r="D90" s="12">
        <f>IFERROR(VLOOKUP(A90,datos_2024!$B$1:$G$342,6,FALSE),"")</f>
        <v>7.385836077</v>
      </c>
    </row>
    <row r="91" ht="14.25" customHeight="1">
      <c r="A91" s="13">
        <v>21201.0</v>
      </c>
      <c r="B91" s="14" t="s">
        <v>103</v>
      </c>
      <c r="C91" s="12">
        <f>IFERROR(VLOOKUP(A91,datos_2016!$B$1:$G$330,6,FALSE),"")</f>
        <v>17.03958692</v>
      </c>
      <c r="D91" s="12">
        <f>IFERROR(VLOOKUP(A91,datos_2024!$B$1:$G$342,6,FALSE),"")</f>
        <v>15.36874497</v>
      </c>
    </row>
    <row r="92" ht="14.25" customHeight="1">
      <c r="A92" s="10">
        <v>21202.0</v>
      </c>
      <c r="B92" s="11" t="s">
        <v>104</v>
      </c>
      <c r="C92" s="12">
        <f>IFERROR(VLOOKUP(A92,datos_2016!$B$1:$G$330,6,FALSE),"")</f>
        <v>13.07381052</v>
      </c>
      <c r="D92" s="12">
        <f>IFERROR(VLOOKUP(A92,datos_2024!$B$1:$G$342,6,FALSE),"")</f>
        <v>19.18981765</v>
      </c>
    </row>
    <row r="93" ht="14.25" customHeight="1">
      <c r="A93" s="13">
        <v>21203.0</v>
      </c>
      <c r="B93" s="14" t="s">
        <v>105</v>
      </c>
      <c r="C93" s="12">
        <f>IFERROR(VLOOKUP(A93,datos_2016!$B$1:$G$330,6,FALSE),"")</f>
        <v>14.58948612</v>
      </c>
      <c r="D93" s="12">
        <f>IFERROR(VLOOKUP(A93,datos_2024!$B$1:$G$342,6,FALSE),"")</f>
        <v>12.5748503</v>
      </c>
    </row>
    <row r="94" ht="14.25" customHeight="1">
      <c r="A94" s="10">
        <v>21204.0</v>
      </c>
      <c r="B94" s="11" t="s">
        <v>106</v>
      </c>
      <c r="C94" s="12">
        <f>IFERROR(VLOOKUP(A94,datos_2016!$B$1:$G$330,6,FALSE),"")</f>
        <v>13.69716426</v>
      </c>
      <c r="D94" s="12" t="str">
        <f>IFERROR(VLOOKUP(A94,datos_2024!$B$1:$G$342,6,FALSE),"")</f>
        <v/>
      </c>
    </row>
    <row r="95" ht="14.25" customHeight="1">
      <c r="A95" s="13">
        <v>21301.0</v>
      </c>
      <c r="B95" s="14" t="s">
        <v>107</v>
      </c>
      <c r="C95" s="12">
        <f>IFERROR(VLOOKUP(A95,datos_2016!$B$1:$G$330,6,FALSE),"")</f>
        <v>20.6482593</v>
      </c>
      <c r="D95" s="12">
        <f>IFERROR(VLOOKUP(A95,datos_2024!$B$1:$G$342,6,FALSE),"")</f>
        <v>13.41504937</v>
      </c>
    </row>
    <row r="96" ht="14.25" customHeight="1">
      <c r="A96" s="10">
        <v>21302.0</v>
      </c>
      <c r="B96" s="11" t="s">
        <v>108</v>
      </c>
      <c r="C96" s="12">
        <f>IFERROR(VLOOKUP(A96,datos_2016!$B$1:$G$330,6,FALSE),"")</f>
        <v>29.42271881</v>
      </c>
      <c r="D96" s="12">
        <f>IFERROR(VLOOKUP(A96,datos_2024!$B$1:$G$342,6,FALSE),"")</f>
        <v>28.11606048</v>
      </c>
    </row>
    <row r="97" ht="14.25" customHeight="1">
      <c r="A97" s="13">
        <v>21303.0</v>
      </c>
      <c r="B97" s="14" t="s">
        <v>109</v>
      </c>
      <c r="C97" s="12">
        <f>IFERROR(VLOOKUP(A97,datos_2016!$B$1:$G$330,6,FALSE),"")</f>
        <v>24.2619431</v>
      </c>
      <c r="D97" s="12">
        <f>IFERROR(VLOOKUP(A97,datos_2024!$B$1:$G$342,6,FALSE),"")</f>
        <v>19.24013639</v>
      </c>
    </row>
    <row r="98" ht="14.25" customHeight="1">
      <c r="A98" s="10">
        <v>21304.0</v>
      </c>
      <c r="B98" s="11" t="s">
        <v>110</v>
      </c>
      <c r="C98" s="12">
        <f>IFERROR(VLOOKUP(A98,datos_2016!$B$1:$G$330,6,FALSE),"")</f>
        <v>16.7019774</v>
      </c>
      <c r="D98" s="12">
        <f>IFERROR(VLOOKUP(A98,datos_2024!$B$1:$G$342,6,FALSE),"")</f>
        <v>18.04535292</v>
      </c>
    </row>
    <row r="99" ht="14.25" customHeight="1">
      <c r="A99" s="13">
        <v>21305.0</v>
      </c>
      <c r="B99" s="14" t="s">
        <v>111</v>
      </c>
      <c r="C99" s="12">
        <f>IFERROR(VLOOKUP(A99,datos_2016!$B$1:$G$330,6,FALSE),"")</f>
        <v>12.61182249</v>
      </c>
      <c r="D99" s="12">
        <f>IFERROR(VLOOKUP(A99,datos_2024!$B$1:$G$342,6,FALSE),"")</f>
        <v>10.49854187</v>
      </c>
    </row>
    <row r="100" ht="14.25" customHeight="1">
      <c r="A100" s="10">
        <v>21306.0</v>
      </c>
      <c r="B100" s="11" t="s">
        <v>112</v>
      </c>
      <c r="C100" s="12">
        <f>IFERROR(VLOOKUP(A100,datos_2016!$B$1:$G$330,6,FALSE),"")</f>
        <v>11.45251397</v>
      </c>
      <c r="D100" s="12">
        <f>IFERROR(VLOOKUP(A100,datos_2024!$B$1:$G$342,6,FALSE),"")</f>
        <v>14.09897292</v>
      </c>
    </row>
    <row r="101" ht="14.25" customHeight="1">
      <c r="A101" s="13">
        <v>21307.0</v>
      </c>
      <c r="B101" s="14" t="s">
        <v>113</v>
      </c>
      <c r="C101" s="12">
        <f>IFERROR(VLOOKUP(A101,datos_2016!$B$1:$G$330,6,FALSE),"")</f>
        <v>6.741573034</v>
      </c>
      <c r="D101" s="12">
        <f>IFERROR(VLOOKUP(A101,datos_2024!$B$1:$G$342,6,FALSE),"")</f>
        <v>13.7195122</v>
      </c>
    </row>
    <row r="102" ht="14.25" customHeight="1">
      <c r="A102" s="10">
        <v>21401.0</v>
      </c>
      <c r="B102" s="11" t="s">
        <v>114</v>
      </c>
      <c r="C102" s="12">
        <f>IFERROR(VLOOKUP(A102,datos_2016!$B$1:$G$330,6,FALSE),"")</f>
        <v>4.978575801</v>
      </c>
      <c r="D102" s="12">
        <f>IFERROR(VLOOKUP(A102,datos_2024!$B$1:$G$342,6,FALSE),"")</f>
        <v>8.018085908</v>
      </c>
    </row>
    <row r="103" ht="14.25" customHeight="1">
      <c r="A103" s="13">
        <v>21402.0</v>
      </c>
      <c r="B103" s="14" t="s">
        <v>115</v>
      </c>
      <c r="C103" s="12">
        <f>IFERROR(VLOOKUP(A103,datos_2016!$B$1:$G$330,6,FALSE),"")</f>
        <v>6.475623372</v>
      </c>
      <c r="D103" s="12">
        <f>IFERROR(VLOOKUP(A103,datos_2024!$B$1:$G$342,6,FALSE),"")</f>
        <v>6.838935302</v>
      </c>
    </row>
    <row r="104" ht="14.25" customHeight="1">
      <c r="A104" s="10">
        <v>21501.0</v>
      </c>
      <c r="B104" s="11" t="s">
        <v>116</v>
      </c>
      <c r="C104" s="12">
        <f>IFERROR(VLOOKUP(A104,datos_2016!$B$1:$G$330,6,FALSE),"")</f>
        <v>1.678657074</v>
      </c>
      <c r="D104" s="12">
        <f>IFERROR(VLOOKUP(A104,datos_2024!$B$1:$G$342,6,FALSE),"")</f>
        <v>3.657694962</v>
      </c>
    </row>
    <row r="105" ht="14.25" customHeight="1">
      <c r="A105" s="13">
        <v>21502.0</v>
      </c>
      <c r="B105" s="14" t="s">
        <v>117</v>
      </c>
      <c r="C105" s="12">
        <f>IFERROR(VLOOKUP(A105,datos_2016!$B$1:$G$330,6,FALSE),"")</f>
        <v>2.749140893</v>
      </c>
      <c r="D105" s="12">
        <f>IFERROR(VLOOKUP(A105,datos_2024!$B$1:$G$342,6,FALSE),"")</f>
        <v>2.332089552</v>
      </c>
    </row>
    <row r="106" ht="14.25" customHeight="1">
      <c r="A106" s="10">
        <v>21601.0</v>
      </c>
      <c r="B106" s="11" t="s">
        <v>118</v>
      </c>
      <c r="C106" s="12">
        <f>IFERROR(VLOOKUP(A106,datos_2016!$B$1:$G$330,6,FALSE),"")</f>
        <v>13.03205465</v>
      </c>
      <c r="D106" s="12">
        <f>IFERROR(VLOOKUP(A106,datos_2024!$B$1:$G$342,6,FALSE),"")</f>
        <v>12.04918033</v>
      </c>
    </row>
    <row r="107" ht="14.25" customHeight="1">
      <c r="A107" s="13">
        <v>21602.0</v>
      </c>
      <c r="B107" s="14" t="s">
        <v>119</v>
      </c>
      <c r="C107" s="12">
        <f>IFERROR(VLOOKUP(A107,datos_2016!$B$1:$G$330,6,FALSE),"")</f>
        <v>25</v>
      </c>
      <c r="D107" s="12">
        <f>IFERROR(VLOOKUP(A107,datos_2024!$B$1:$G$342,6,FALSE),"")</f>
        <v>12.68115942</v>
      </c>
    </row>
    <row r="108" ht="14.25" customHeight="1">
      <c r="A108" s="10">
        <v>21701.0</v>
      </c>
      <c r="B108" s="11" t="s">
        <v>120</v>
      </c>
      <c r="C108" s="12">
        <f>IFERROR(VLOOKUP(A108,datos_2016!$B$1:$G$330,6,FALSE),"")</f>
        <v>17.70464487</v>
      </c>
      <c r="D108" s="12">
        <f>IFERROR(VLOOKUP(A108,datos_2024!$B$1:$G$342,6,FALSE),"")</f>
        <v>12.61002679</v>
      </c>
    </row>
    <row r="109" ht="14.25" customHeight="1">
      <c r="A109" s="13">
        <v>21702.0</v>
      </c>
      <c r="B109" s="14" t="s">
        <v>121</v>
      </c>
      <c r="C109" s="12">
        <f>IFERROR(VLOOKUP(A109,datos_2016!$B$1:$G$330,6,FALSE),"")</f>
        <v>18.57549858</v>
      </c>
      <c r="D109" s="12">
        <f>IFERROR(VLOOKUP(A109,datos_2024!$B$1:$G$342,6,FALSE),"")</f>
        <v>18.17597945</v>
      </c>
    </row>
    <row r="110" ht="14.25" customHeight="1">
      <c r="A110" s="10">
        <v>21703.0</v>
      </c>
      <c r="B110" s="11" t="s">
        <v>122</v>
      </c>
      <c r="C110" s="12">
        <f>IFERROR(VLOOKUP(A110,datos_2016!$B$1:$G$330,6,FALSE),"")</f>
        <v>20.38626609</v>
      </c>
      <c r="D110" s="12">
        <f>IFERROR(VLOOKUP(A110,datos_2024!$B$1:$G$342,6,FALSE),"")</f>
        <v>17.3151751</v>
      </c>
    </row>
    <row r="111" ht="14.25" customHeight="1">
      <c r="A111" s="13">
        <v>21801.0</v>
      </c>
      <c r="B111" s="14" t="s">
        <v>123</v>
      </c>
      <c r="C111" s="12">
        <f>IFERROR(VLOOKUP(A111,datos_2016!$B$1:$G$330,6,FALSE),"")</f>
        <v>41.66666667</v>
      </c>
      <c r="D111" s="12">
        <f>IFERROR(VLOOKUP(A111,datos_2024!$B$1:$G$342,6,FALSE),"")</f>
        <v>21.58560959</v>
      </c>
    </row>
    <row r="112" ht="14.25" customHeight="1">
      <c r="A112" s="10">
        <v>21802.0</v>
      </c>
      <c r="B112" s="11" t="s">
        <v>124</v>
      </c>
      <c r="C112" s="12">
        <f>IFERROR(VLOOKUP(A112,datos_2016!$B$1:$G$330,6,FALSE),"")</f>
        <v>0</v>
      </c>
      <c r="D112" s="12">
        <f>IFERROR(VLOOKUP(A112,datos_2024!$B$1:$G$342,6,FALSE),"")</f>
        <v>21.59344751</v>
      </c>
    </row>
    <row r="113" ht="14.25" customHeight="1">
      <c r="A113" s="13">
        <v>21803.0</v>
      </c>
      <c r="B113" s="14" t="s">
        <v>125</v>
      </c>
      <c r="C113" s="12">
        <f>IFERROR(VLOOKUP(A113,datos_2016!$B$1:$G$330,6,FALSE),"")</f>
        <v>30.66666667</v>
      </c>
      <c r="D113" s="12">
        <f>IFERROR(VLOOKUP(A113,datos_2024!$B$1:$G$342,6,FALSE),"")</f>
        <v>22.93577982</v>
      </c>
    </row>
    <row r="114" ht="14.25" customHeight="1">
      <c r="A114" s="10">
        <v>21901.0</v>
      </c>
      <c r="B114" s="11" t="s">
        <v>126</v>
      </c>
      <c r="C114" s="12">
        <f>IFERROR(VLOOKUP(A114,datos_2016!$B$1:$G$330,6,FALSE),"")</f>
        <v>21.46226415</v>
      </c>
      <c r="D114" s="12">
        <f>IFERROR(VLOOKUP(A114,datos_2024!$B$1:$G$342,6,FALSE),"")</f>
        <v>22.77286136</v>
      </c>
    </row>
    <row r="115" ht="14.25" customHeight="1">
      <c r="A115" s="13">
        <v>21902.0</v>
      </c>
      <c r="B115" s="14" t="s">
        <v>127</v>
      </c>
      <c r="C115" s="12">
        <f>IFERROR(VLOOKUP(A115,datos_2016!$B$1:$G$330,6,FALSE),"")</f>
        <v>14.87179487</v>
      </c>
      <c r="D115" s="12">
        <f>IFERROR(VLOOKUP(A115,datos_2024!$B$1:$G$342,6,FALSE),"")</f>
        <v>15.49295775</v>
      </c>
    </row>
    <row r="116" ht="14.25" customHeight="1">
      <c r="A116" s="10">
        <v>22001.0</v>
      </c>
      <c r="B116" s="11" t="s">
        <v>128</v>
      </c>
      <c r="C116" s="12">
        <f>IFERROR(VLOOKUP(A116,datos_2016!$B$1:$G$330,6,FALSE),"")</f>
        <v>14.89894473</v>
      </c>
      <c r="D116" s="12">
        <f>IFERROR(VLOOKUP(A116,datos_2024!$B$1:$G$342,6,FALSE),"")</f>
        <v>13.91370594</v>
      </c>
    </row>
    <row r="117" ht="14.25" customHeight="1">
      <c r="A117" s="13">
        <v>22002.0</v>
      </c>
      <c r="B117" s="14" t="s">
        <v>129</v>
      </c>
      <c r="C117" s="12">
        <f>IFERROR(VLOOKUP(A117,datos_2016!$B$1:$G$330,6,FALSE),"")</f>
        <v>8.02919708</v>
      </c>
      <c r="D117" s="12">
        <f>IFERROR(VLOOKUP(A117,datos_2024!$B$1:$G$342,6,FALSE),"")</f>
        <v>10.48387097</v>
      </c>
    </row>
    <row r="118" ht="14.25" customHeight="1">
      <c r="A118" s="10">
        <v>30101.0</v>
      </c>
      <c r="B118" s="11" t="s">
        <v>130</v>
      </c>
      <c r="C118" s="12">
        <f>IFERROR(VLOOKUP(A118,datos_2016!$B$1:$G$330,6,FALSE),"")</f>
        <v>4.662989723</v>
      </c>
      <c r="D118" s="12">
        <f>IFERROR(VLOOKUP(A118,datos_2024!$B$1:$G$342,6,FALSE),"")</f>
        <v>5.631173442</v>
      </c>
    </row>
    <row r="119" ht="14.25" customHeight="1">
      <c r="A119" s="13">
        <v>30201.0</v>
      </c>
      <c r="B119" s="14" t="s">
        <v>131</v>
      </c>
      <c r="C119" s="12">
        <f>IFERROR(VLOOKUP(A119,datos_2016!$B$1:$G$330,6,FALSE),"")</f>
        <v>6.530028599</v>
      </c>
      <c r="D119" s="12">
        <f>IFERROR(VLOOKUP(A119,datos_2024!$B$1:$G$342,6,FALSE),"")</f>
        <v>7.101053453</v>
      </c>
    </row>
    <row r="120" ht="14.25" customHeight="1">
      <c r="A120" s="10">
        <v>30202.0</v>
      </c>
      <c r="B120" s="11" t="s">
        <v>132</v>
      </c>
      <c r="C120" s="12">
        <f>IFERROR(VLOOKUP(A120,datos_2016!$B$1:$G$330,6,FALSE),"")</f>
        <v>6.198347107</v>
      </c>
      <c r="D120" s="12">
        <f>IFERROR(VLOOKUP(A120,datos_2024!$B$1:$G$342,6,FALSE),"")</f>
        <v>11.32686084</v>
      </c>
    </row>
    <row r="121" ht="14.25" customHeight="1">
      <c r="A121" s="13">
        <v>30203.0</v>
      </c>
      <c r="B121" s="14" t="s">
        <v>133</v>
      </c>
      <c r="C121" s="12">
        <f>IFERROR(VLOOKUP(A121,datos_2016!$B$1:$G$330,6,FALSE),"")</f>
        <v>3.588413316</v>
      </c>
      <c r="D121" s="12">
        <f>IFERROR(VLOOKUP(A121,datos_2024!$B$1:$G$342,6,FALSE),"")</f>
        <v>8.517773307</v>
      </c>
    </row>
    <row r="122" ht="14.25" customHeight="1">
      <c r="A122" s="10">
        <v>30301.0</v>
      </c>
      <c r="B122" s="11" t="s">
        <v>134</v>
      </c>
      <c r="C122" s="12">
        <f>IFERROR(VLOOKUP(A122,datos_2016!$B$1:$G$330,6,FALSE),"")</f>
        <v>8.96529563</v>
      </c>
      <c r="D122" s="12">
        <f>IFERROR(VLOOKUP(A122,datos_2024!$B$1:$G$342,6,FALSE),"")</f>
        <v>16.96405482</v>
      </c>
    </row>
    <row r="123" ht="14.25" customHeight="1">
      <c r="A123" s="13">
        <v>30302.0</v>
      </c>
      <c r="B123" s="14" t="s">
        <v>135</v>
      </c>
      <c r="C123" s="12">
        <f>IFERROR(VLOOKUP(A123,datos_2016!$B$1:$G$330,6,FALSE),"")</f>
        <v>14.78648821</v>
      </c>
      <c r="D123" s="12">
        <f>IFERROR(VLOOKUP(A123,datos_2024!$B$1:$G$342,6,FALSE),"")</f>
        <v>16.29807692</v>
      </c>
    </row>
    <row r="124" ht="14.25" customHeight="1">
      <c r="A124" s="10">
        <v>30303.0</v>
      </c>
      <c r="B124" s="11" t="s">
        <v>136</v>
      </c>
      <c r="C124" s="12">
        <f>IFERROR(VLOOKUP(A124,datos_2016!$B$1:$G$330,6,FALSE),"")</f>
        <v>13.89891697</v>
      </c>
      <c r="D124" s="12">
        <f>IFERROR(VLOOKUP(A124,datos_2024!$B$1:$G$342,6,FALSE),"")</f>
        <v>10.56006841</v>
      </c>
    </row>
    <row r="125" ht="14.25" customHeight="1">
      <c r="A125" s="13">
        <v>30401.0</v>
      </c>
      <c r="B125" s="14" t="s">
        <v>137</v>
      </c>
      <c r="C125" s="12">
        <f>IFERROR(VLOOKUP(A125,datos_2016!$B$1:$G$330,6,FALSE),"")</f>
        <v>11.63607966</v>
      </c>
      <c r="D125" s="12">
        <f>IFERROR(VLOOKUP(A125,datos_2024!$B$1:$G$342,6,FALSE),"")</f>
        <v>11.42762504</v>
      </c>
    </row>
    <row r="126" ht="14.25" customHeight="1">
      <c r="A126" s="10">
        <v>30402.0</v>
      </c>
      <c r="B126" s="11" t="s">
        <v>138</v>
      </c>
      <c r="C126" s="12">
        <f>IFERROR(VLOOKUP(A126,datos_2016!$B$1:$G$330,6,FALSE),"")</f>
        <v>20</v>
      </c>
      <c r="D126" s="12">
        <f>IFERROR(VLOOKUP(A126,datos_2024!$B$1:$G$342,6,FALSE),"")</f>
        <v>20.80495356</v>
      </c>
    </row>
    <row r="127" ht="14.25" customHeight="1">
      <c r="A127" s="13">
        <v>30403.0</v>
      </c>
      <c r="B127" s="14" t="s">
        <v>139</v>
      </c>
      <c r="C127" s="12">
        <f>IFERROR(VLOOKUP(A127,datos_2016!$B$1:$G$330,6,FALSE),"")</f>
        <v>16.15044248</v>
      </c>
      <c r="D127" s="12">
        <f>IFERROR(VLOOKUP(A127,datos_2024!$B$1:$G$342,6,FALSE),"")</f>
        <v>16.00722377</v>
      </c>
    </row>
    <row r="128" ht="14.25" customHeight="1">
      <c r="A128" s="10">
        <v>30404.0</v>
      </c>
      <c r="B128" s="11" t="s">
        <v>140</v>
      </c>
      <c r="C128" s="12">
        <f>IFERROR(VLOOKUP(A128,datos_2016!$B$1:$G$330,6,FALSE),"")</f>
        <v>15.04273504</v>
      </c>
      <c r="D128" s="12">
        <f>IFERROR(VLOOKUP(A128,datos_2024!$B$1:$G$342,6,FALSE),"")</f>
        <v>18.92901619</v>
      </c>
    </row>
    <row r="129" ht="14.25" customHeight="1">
      <c r="A129" s="13">
        <v>30501.0</v>
      </c>
      <c r="B129" s="14" t="s">
        <v>141</v>
      </c>
      <c r="C129" s="12">
        <f>IFERROR(VLOOKUP(A129,datos_2016!$B$1:$G$330,6,FALSE),"")</f>
        <v>14.81015314</v>
      </c>
      <c r="D129" s="12">
        <f>IFERROR(VLOOKUP(A129,datos_2024!$B$1:$G$342,6,FALSE),"")</f>
        <v>12.70080321</v>
      </c>
    </row>
    <row r="130" ht="14.25" customHeight="1">
      <c r="A130" s="10">
        <v>30502.0</v>
      </c>
      <c r="B130" s="11" t="s">
        <v>142</v>
      </c>
      <c r="C130" s="12">
        <f>IFERROR(VLOOKUP(A130,datos_2016!$B$1:$G$330,6,FALSE),"")</f>
        <v>16.75315048</v>
      </c>
      <c r="D130" s="12">
        <f>IFERROR(VLOOKUP(A130,datos_2024!$B$1:$G$342,6,FALSE),"")</f>
        <v>19.30879038</v>
      </c>
    </row>
    <row r="131" ht="14.25" customHeight="1">
      <c r="A131" s="13">
        <v>30601.0</v>
      </c>
      <c r="B131" s="14" t="s">
        <v>143</v>
      </c>
      <c r="C131" s="12">
        <f>IFERROR(VLOOKUP(A131,datos_2016!$B$1:$G$330,6,FALSE),"")</f>
        <v>14.67889908</v>
      </c>
      <c r="D131" s="12">
        <f>IFERROR(VLOOKUP(A131,datos_2024!$B$1:$G$342,6,FALSE),"")</f>
        <v>12.50797703</v>
      </c>
    </row>
    <row r="132" ht="14.25" customHeight="1">
      <c r="A132" s="10">
        <v>30602.0</v>
      </c>
      <c r="B132" s="11" t="s">
        <v>144</v>
      </c>
      <c r="C132" s="12">
        <f>IFERROR(VLOOKUP(A132,datos_2016!$B$1:$G$330,6,FALSE),"")</f>
        <v>17.86355476</v>
      </c>
      <c r="D132" s="12">
        <f>IFERROR(VLOOKUP(A132,datos_2024!$B$1:$G$342,6,FALSE),"")</f>
        <v>19.79949875</v>
      </c>
    </row>
    <row r="133" ht="14.25" customHeight="1">
      <c r="A133" s="13">
        <v>30701.0</v>
      </c>
      <c r="B133" s="14" t="s">
        <v>145</v>
      </c>
      <c r="C133" s="12">
        <f>IFERROR(VLOOKUP(A133,datos_2016!$B$1:$G$330,6,FALSE),"")</f>
        <v>5.104847026</v>
      </c>
      <c r="D133" s="12">
        <f>IFERROR(VLOOKUP(A133,datos_2024!$B$1:$G$342,6,FALSE),"")</f>
        <v>8.320649417</v>
      </c>
    </row>
    <row r="134" ht="14.25" customHeight="1">
      <c r="A134" s="10">
        <v>30702.0</v>
      </c>
      <c r="B134" s="11" t="s">
        <v>146</v>
      </c>
      <c r="C134" s="12">
        <f>IFERROR(VLOOKUP(A134,datos_2016!$B$1:$G$330,6,FALSE),"")</f>
        <v>15.83809943</v>
      </c>
      <c r="D134" s="12">
        <f>IFERROR(VLOOKUP(A134,datos_2024!$B$1:$G$342,6,FALSE),"")</f>
        <v>15.0401837</v>
      </c>
    </row>
    <row r="135" ht="14.25" customHeight="1">
      <c r="A135" s="13">
        <v>30703.0</v>
      </c>
      <c r="B135" s="14" t="s">
        <v>147</v>
      </c>
      <c r="C135" s="12">
        <f>IFERROR(VLOOKUP(A135,datos_2016!$B$1:$G$330,6,FALSE),"")</f>
        <v>5.272407733</v>
      </c>
      <c r="D135" s="12">
        <f>IFERROR(VLOOKUP(A135,datos_2024!$B$1:$G$342,6,FALSE),"")</f>
        <v>9.16976456</v>
      </c>
    </row>
    <row r="136" ht="14.25" customHeight="1">
      <c r="A136" s="10">
        <v>30801.0</v>
      </c>
      <c r="B136" s="11" t="s">
        <v>148</v>
      </c>
      <c r="C136" s="12">
        <f>IFERROR(VLOOKUP(A136,datos_2016!$B$1:$G$330,6,FALSE),"")</f>
        <v>10.75768942</v>
      </c>
      <c r="D136" s="12">
        <f>IFERROR(VLOOKUP(A136,datos_2024!$B$1:$G$342,6,FALSE),"")</f>
        <v>11.15548456</v>
      </c>
    </row>
    <row r="137" ht="14.25" customHeight="1">
      <c r="A137" s="13">
        <v>30802.0</v>
      </c>
      <c r="B137" s="14" t="s">
        <v>149</v>
      </c>
      <c r="C137" s="12">
        <f>IFERROR(VLOOKUP(A137,datos_2016!$B$1:$G$330,6,FALSE),"")</f>
        <v>12.21064815</v>
      </c>
      <c r="D137" s="12">
        <f>IFERROR(VLOOKUP(A137,datos_2024!$B$1:$G$342,6,FALSE),"")</f>
        <v>12.61119833</v>
      </c>
    </row>
    <row r="138" ht="14.25" customHeight="1">
      <c r="A138" s="10">
        <v>30803.0</v>
      </c>
      <c r="B138" s="11" t="s">
        <v>150</v>
      </c>
      <c r="C138" s="12">
        <f>IFERROR(VLOOKUP(A138,datos_2016!$B$1:$G$330,6,FALSE),"")</f>
        <v>12.39669421</v>
      </c>
      <c r="D138" s="12">
        <f>IFERROR(VLOOKUP(A138,datos_2024!$B$1:$G$342,6,FALSE),"")</f>
        <v>13.60674588</v>
      </c>
    </row>
    <row r="139" ht="14.25" customHeight="1">
      <c r="A139" s="13">
        <v>30901.0</v>
      </c>
      <c r="B139" s="14" t="s">
        <v>151</v>
      </c>
      <c r="C139" s="12">
        <f>IFERROR(VLOOKUP(A139,datos_2016!$B$1:$G$330,6,FALSE),"")</f>
        <v>3.890324066</v>
      </c>
      <c r="D139" s="12">
        <f>IFERROR(VLOOKUP(A139,datos_2024!$B$1:$G$342,6,FALSE),"")</f>
        <v>5.041313086</v>
      </c>
    </row>
    <row r="140" ht="14.25" customHeight="1">
      <c r="A140" s="10">
        <v>30902.0</v>
      </c>
      <c r="B140" s="11" t="s">
        <v>152</v>
      </c>
      <c r="C140" s="12">
        <f>IFERROR(VLOOKUP(A140,datos_2016!$B$1:$G$330,6,FALSE),"")</f>
        <v>4.376657825</v>
      </c>
      <c r="D140" s="12">
        <f>IFERROR(VLOOKUP(A140,datos_2024!$B$1:$G$342,6,FALSE),"")</f>
        <v>6.809062288</v>
      </c>
    </row>
    <row r="141" ht="14.25" customHeight="1">
      <c r="A141" s="13">
        <v>30903.0</v>
      </c>
      <c r="B141" s="14" t="s">
        <v>153</v>
      </c>
      <c r="C141" s="12">
        <f>IFERROR(VLOOKUP(A141,datos_2016!$B$1:$G$330,6,FALSE),"")</f>
        <v>3.967894362</v>
      </c>
      <c r="D141" s="12">
        <f>IFERROR(VLOOKUP(A141,datos_2024!$B$1:$G$342,6,FALSE),"")</f>
        <v>4.747261195</v>
      </c>
    </row>
    <row r="142" ht="14.25" customHeight="1">
      <c r="A142" s="10">
        <v>30904.0</v>
      </c>
      <c r="B142" s="11" t="s">
        <v>154</v>
      </c>
      <c r="C142" s="12">
        <f>IFERROR(VLOOKUP(A142,datos_2016!$B$1:$G$330,6,FALSE),"")</f>
        <v>5.921595598</v>
      </c>
      <c r="D142" s="12">
        <f>IFERROR(VLOOKUP(A142,datos_2024!$B$1:$G$342,6,FALSE),"")</f>
        <v>6.379879588</v>
      </c>
    </row>
    <row r="143" ht="14.25" customHeight="1">
      <c r="A143" s="13">
        <v>30905.0</v>
      </c>
      <c r="B143" s="14" t="s">
        <v>155</v>
      </c>
      <c r="C143" s="12">
        <f>IFERROR(VLOOKUP(A143,datos_2016!$B$1:$G$330,6,FALSE),"")</f>
        <v>3.033854167</v>
      </c>
      <c r="D143" s="12">
        <f>IFERROR(VLOOKUP(A143,datos_2024!$B$1:$G$342,6,FALSE),"")</f>
        <v>4.706466315</v>
      </c>
    </row>
    <row r="144" ht="14.25" customHeight="1">
      <c r="A144" s="10">
        <v>31001.0</v>
      </c>
      <c r="B144" s="11" t="s">
        <v>156</v>
      </c>
      <c r="C144" s="12">
        <f>IFERROR(VLOOKUP(A144,datos_2016!$B$1:$G$330,6,FALSE),"")</f>
        <v>5.722217784</v>
      </c>
      <c r="D144" s="12">
        <f>IFERROR(VLOOKUP(A144,datos_2024!$B$1:$G$342,6,FALSE),"")</f>
        <v>7.10935497</v>
      </c>
    </row>
    <row r="145" ht="14.25" customHeight="1">
      <c r="A145" s="13">
        <v>31002.0</v>
      </c>
      <c r="B145" s="14" t="s">
        <v>157</v>
      </c>
      <c r="C145" s="12">
        <f>IFERROR(VLOOKUP(A145,datos_2016!$B$1:$G$330,6,FALSE),"")</f>
        <v>8.840523883</v>
      </c>
      <c r="D145" s="12">
        <f>IFERROR(VLOOKUP(A145,datos_2024!$B$1:$G$342,6,FALSE),"")</f>
        <v>8.91729798</v>
      </c>
    </row>
    <row r="146" ht="14.25" customHeight="1">
      <c r="A146" s="10">
        <v>31003.0</v>
      </c>
      <c r="B146" s="11" t="s">
        <v>158</v>
      </c>
      <c r="C146" s="12">
        <f>IFERROR(VLOOKUP(A146,datos_2016!$B$1:$G$330,6,FALSE),"")</f>
        <v>7.063175539</v>
      </c>
      <c r="D146" s="12">
        <f>IFERROR(VLOOKUP(A146,datos_2024!$B$1:$G$342,6,FALSE),"")</f>
        <v>5.476131933</v>
      </c>
    </row>
    <row r="147" ht="14.25" customHeight="1">
      <c r="A147" s="13">
        <v>31101.0</v>
      </c>
      <c r="B147" s="14" t="s">
        <v>159</v>
      </c>
      <c r="C147" s="12">
        <f>IFERROR(VLOOKUP(A147,datos_2016!$B$1:$G$330,6,FALSE),"")</f>
        <v>15.81532417</v>
      </c>
      <c r="D147" s="12">
        <f>IFERROR(VLOOKUP(A147,datos_2024!$B$1:$G$342,6,FALSE),"")</f>
        <v>18.58480176</v>
      </c>
    </row>
    <row r="148" ht="14.25" customHeight="1">
      <c r="A148" s="10">
        <v>31201.0</v>
      </c>
      <c r="B148" s="11" t="s">
        <v>160</v>
      </c>
      <c r="C148" s="12">
        <f>IFERROR(VLOOKUP(A148,datos_2016!$B$1:$G$330,6,FALSE),"")</f>
        <v>6.364712848</v>
      </c>
      <c r="D148" s="12">
        <f>IFERROR(VLOOKUP(A148,datos_2024!$B$1:$G$342,6,FALSE),"")</f>
        <v>6.089660534</v>
      </c>
    </row>
    <row r="149" ht="14.25" customHeight="1">
      <c r="A149" s="13">
        <v>31202.0</v>
      </c>
      <c r="B149" s="14" t="s">
        <v>161</v>
      </c>
      <c r="C149" s="12">
        <f>IFERROR(VLOOKUP(A149,datos_2016!$B$1:$G$330,6,FALSE),"")</f>
        <v>9.769792252</v>
      </c>
      <c r="D149" s="12">
        <f>IFERROR(VLOOKUP(A149,datos_2024!$B$1:$G$342,6,FALSE),"")</f>
        <v>8.591224018</v>
      </c>
    </row>
    <row r="150" ht="14.25" customHeight="1">
      <c r="A150" s="10">
        <v>31203.0</v>
      </c>
      <c r="B150" s="11" t="s">
        <v>162</v>
      </c>
      <c r="C150" s="12">
        <f>IFERROR(VLOOKUP(A150,datos_2016!$B$1:$G$330,6,FALSE),"")</f>
        <v>10.92136616</v>
      </c>
      <c r="D150" s="12">
        <f>IFERROR(VLOOKUP(A150,datos_2024!$B$1:$G$342,6,FALSE),"")</f>
        <v>9.107089884</v>
      </c>
    </row>
    <row r="151" ht="14.25" customHeight="1">
      <c r="A151" s="13">
        <v>31204.0</v>
      </c>
      <c r="B151" s="14" t="s">
        <v>163</v>
      </c>
      <c r="C151" s="12">
        <f>IFERROR(VLOOKUP(A151,datos_2016!$B$1:$G$330,6,FALSE),"")</f>
        <v>5.602646268</v>
      </c>
      <c r="D151" s="12">
        <f>IFERROR(VLOOKUP(A151,datos_2024!$B$1:$G$342,6,FALSE),"")</f>
        <v>4.303617877</v>
      </c>
    </row>
    <row r="152" ht="14.25" customHeight="1">
      <c r="A152" s="10">
        <v>31205.0</v>
      </c>
      <c r="B152" s="11" t="s">
        <v>164</v>
      </c>
      <c r="C152" s="12">
        <f>IFERROR(VLOOKUP(A152,datos_2016!$B$1:$G$330,6,FALSE),"")</f>
        <v>6.345359899</v>
      </c>
      <c r="D152" s="12">
        <f>IFERROR(VLOOKUP(A152,datos_2024!$B$1:$G$342,6,FALSE),"")</f>
        <v>5.728304201</v>
      </c>
    </row>
    <row r="153" ht="14.25" customHeight="1">
      <c r="A153" s="13">
        <v>31206.0</v>
      </c>
      <c r="B153" s="14" t="s">
        <v>165</v>
      </c>
      <c r="C153" s="12">
        <f>IFERROR(VLOOKUP(A153,datos_2016!$B$1:$G$330,6,FALSE),"")</f>
        <v>3.909405655</v>
      </c>
      <c r="D153" s="12">
        <f>IFERROR(VLOOKUP(A153,datos_2024!$B$1:$G$342,6,FALSE),"")</f>
        <v>5.706662076</v>
      </c>
    </row>
    <row r="154" ht="14.25" customHeight="1">
      <c r="A154" s="10">
        <v>31301.0</v>
      </c>
      <c r="B154" s="11" t="s">
        <v>166</v>
      </c>
      <c r="C154" s="12">
        <f>IFERROR(VLOOKUP(A154,datos_2016!$B$1:$G$330,6,FALSE),"")</f>
        <v>6.875847376</v>
      </c>
      <c r="D154" s="12">
        <f>IFERROR(VLOOKUP(A154,datos_2024!$B$1:$G$342,6,FALSE),"")</f>
        <v>7.232643589</v>
      </c>
    </row>
    <row r="155" ht="14.25" customHeight="1">
      <c r="A155" s="13">
        <v>31302.0</v>
      </c>
      <c r="B155" s="14" t="s">
        <v>167</v>
      </c>
      <c r="C155" s="12">
        <f>IFERROR(VLOOKUP(A155,datos_2016!$B$1:$G$330,6,FALSE),"")</f>
        <v>10.78224101</v>
      </c>
      <c r="D155" s="12">
        <f>IFERROR(VLOOKUP(A155,datos_2024!$B$1:$G$342,6,FALSE),"")</f>
        <v>16.5085389</v>
      </c>
    </row>
    <row r="156" ht="14.25" customHeight="1">
      <c r="A156" s="10">
        <v>31303.0</v>
      </c>
      <c r="B156" s="11" t="s">
        <v>168</v>
      </c>
      <c r="C156" s="12">
        <f>IFERROR(VLOOKUP(A156,datos_2016!$B$1:$G$330,6,FALSE),"")</f>
        <v>12.79461279</v>
      </c>
      <c r="D156" s="12">
        <f>IFERROR(VLOOKUP(A156,datos_2024!$B$1:$G$342,6,FALSE),"")</f>
        <v>21.53846154</v>
      </c>
    </row>
    <row r="157" ht="14.25" customHeight="1">
      <c r="A157" s="13">
        <v>31304.0</v>
      </c>
      <c r="B157" s="14" t="s">
        <v>169</v>
      </c>
      <c r="C157" s="12" t="str">
        <f>IFERROR(VLOOKUP(A157,datos_2016!$B$1:$G$330,6,FALSE),"")</f>
        <v/>
      </c>
      <c r="D157" s="12" t="str">
        <f>IFERROR(VLOOKUP(A157,datos_2024!$B$1:$G$342,6,FALSE),"")</f>
        <v/>
      </c>
    </row>
    <row r="158" ht="14.25" customHeight="1">
      <c r="A158" s="10">
        <v>31401.0</v>
      </c>
      <c r="B158" s="11" t="s">
        <v>170</v>
      </c>
      <c r="C158" s="12">
        <f>IFERROR(VLOOKUP(A158,datos_2016!$B$1:$G$330,6,FALSE),"")</f>
        <v>7.835820896</v>
      </c>
      <c r="D158" s="12">
        <f>IFERROR(VLOOKUP(A158,datos_2024!$B$1:$G$342,6,FALSE),"")</f>
        <v>8.045397226</v>
      </c>
    </row>
    <row r="159" ht="14.25" customHeight="1">
      <c r="A159" s="13">
        <v>31402.0</v>
      </c>
      <c r="B159" s="14" t="s">
        <v>171</v>
      </c>
      <c r="C159" s="12">
        <f>IFERROR(VLOOKUP(A159,datos_2016!$B$1:$G$330,6,FALSE),"")</f>
        <v>19.31413782</v>
      </c>
      <c r="D159" s="12">
        <f>IFERROR(VLOOKUP(A159,datos_2024!$B$1:$G$342,6,FALSE),"")</f>
        <v>16.0266582</v>
      </c>
    </row>
    <row r="160" ht="14.25" customHeight="1">
      <c r="A160" s="10">
        <v>31403.0</v>
      </c>
      <c r="B160" s="11" t="s">
        <v>172</v>
      </c>
      <c r="C160" s="12">
        <f>IFERROR(VLOOKUP(A160,datos_2016!$B$1:$G$330,6,FALSE),"")</f>
        <v>10.73224044</v>
      </c>
      <c r="D160" s="12">
        <f>IFERROR(VLOOKUP(A160,datos_2024!$B$1:$G$342,6,FALSE),"")</f>
        <v>11.59366263</v>
      </c>
    </row>
    <row r="161" ht="14.25" customHeight="1">
      <c r="A161" s="13">
        <v>31404.0</v>
      </c>
      <c r="B161" s="14" t="s">
        <v>173</v>
      </c>
      <c r="C161" s="12">
        <f>IFERROR(VLOOKUP(A161,datos_2016!$B$1:$G$330,6,FALSE),"")</f>
        <v>19.45392491</v>
      </c>
      <c r="D161" s="12">
        <f>IFERROR(VLOOKUP(A161,datos_2024!$B$1:$G$342,6,FALSE),"")</f>
        <v>16.66666667</v>
      </c>
    </row>
    <row r="162" ht="14.25" customHeight="1">
      <c r="A162" s="10">
        <v>31405.0</v>
      </c>
      <c r="B162" s="11" t="s">
        <v>174</v>
      </c>
      <c r="C162" s="12" t="str">
        <f>IFERROR(VLOOKUP(A162,datos_2016!$B$1:$G$330,6,FALSE),"")</f>
        <v/>
      </c>
      <c r="D162" s="12" t="str">
        <f>IFERROR(VLOOKUP(A162,datos_2024!$B$1:$G$342,6,FALSE),"")</f>
        <v/>
      </c>
    </row>
    <row r="163" ht="14.25" customHeight="1">
      <c r="A163" s="13">
        <v>31501.0</v>
      </c>
      <c r="B163" s="14" t="s">
        <v>175</v>
      </c>
      <c r="C163" s="12">
        <f>IFERROR(VLOOKUP(A163,datos_2016!$B$1:$G$330,6,FALSE),"")</f>
        <v>17.09497207</v>
      </c>
      <c r="D163" s="12">
        <f>IFERROR(VLOOKUP(A163,datos_2024!$B$1:$G$342,6,FALSE),"")</f>
        <v>19.2048012</v>
      </c>
    </row>
    <row r="164" ht="14.25" customHeight="1">
      <c r="A164" s="10">
        <v>31601.0</v>
      </c>
      <c r="B164" s="11" t="s">
        <v>176</v>
      </c>
      <c r="C164" s="12">
        <f>IFERROR(VLOOKUP(A164,datos_2016!$B$1:$G$330,6,FALSE),"")</f>
        <v>10.51862673</v>
      </c>
      <c r="D164" s="12">
        <f>IFERROR(VLOOKUP(A164,datos_2024!$B$1:$G$342,6,FALSE),"")</f>
        <v>12.16519786</v>
      </c>
    </row>
    <row r="165" ht="14.25" customHeight="1">
      <c r="A165" s="13">
        <v>31602.0</v>
      </c>
      <c r="B165" s="14" t="s">
        <v>177</v>
      </c>
      <c r="C165" s="12">
        <f>IFERROR(VLOOKUP(A165,datos_2016!$B$1:$G$330,6,FALSE),"")</f>
        <v>4.536082474</v>
      </c>
      <c r="D165" s="12">
        <f>IFERROR(VLOOKUP(A165,datos_2024!$B$1:$G$342,6,FALSE),"")</f>
        <v>3.735456216</v>
      </c>
    </row>
    <row r="166" ht="14.25" customHeight="1">
      <c r="A166" s="10">
        <v>40101.0</v>
      </c>
      <c r="B166" s="11" t="s">
        <v>178</v>
      </c>
      <c r="C166" s="12">
        <f>IFERROR(VLOOKUP(A166,datos_2016!$B$1:$G$330,6,FALSE),"")</f>
        <v>5.364363169</v>
      </c>
      <c r="D166" s="12">
        <f>IFERROR(VLOOKUP(A166,datos_2024!$B$1:$G$342,6,FALSE),"")</f>
        <v>7.484555896</v>
      </c>
    </row>
    <row r="167" ht="14.25" customHeight="1">
      <c r="A167" s="13">
        <v>40102.0</v>
      </c>
      <c r="B167" s="14" t="s">
        <v>179</v>
      </c>
      <c r="C167" s="12">
        <f>IFERROR(VLOOKUP(A167,datos_2016!$B$1:$G$330,6,FALSE),"")</f>
        <v>5.219298246</v>
      </c>
      <c r="D167" s="12">
        <f>IFERROR(VLOOKUP(A167,datos_2024!$B$1:$G$342,6,FALSE),"")</f>
        <v>13.76433785</v>
      </c>
    </row>
    <row r="168" ht="14.25" customHeight="1">
      <c r="A168" s="10">
        <v>40103.0</v>
      </c>
      <c r="B168" s="11" t="s">
        <v>180</v>
      </c>
      <c r="C168" s="12">
        <f>IFERROR(VLOOKUP(A168,datos_2016!$B$1:$G$330,6,FALSE),"")</f>
        <v>27.71084337</v>
      </c>
      <c r="D168" s="12">
        <f>IFERROR(VLOOKUP(A168,datos_2024!$B$1:$G$342,6,FALSE),"")</f>
        <v>18.97926635</v>
      </c>
    </row>
    <row r="169" ht="14.25" customHeight="1">
      <c r="A169" s="13">
        <v>40104.0</v>
      </c>
      <c r="B169" s="14" t="s">
        <v>181</v>
      </c>
      <c r="C169" s="12">
        <f>IFERROR(VLOOKUP(A169,datos_2016!$B$1:$G$330,6,FALSE),"")</f>
        <v>1.416091954</v>
      </c>
      <c r="D169" s="12">
        <f>IFERROR(VLOOKUP(A169,datos_2024!$B$1:$G$342,6,FALSE),"")</f>
        <v>15.56662516</v>
      </c>
    </row>
    <row r="170" ht="14.25" customHeight="1">
      <c r="A170" s="10">
        <v>40201.0</v>
      </c>
      <c r="B170" s="11" t="s">
        <v>182</v>
      </c>
      <c r="C170" s="12">
        <f>IFERROR(VLOOKUP(A170,datos_2016!$B$1:$G$330,6,FALSE),"")</f>
        <v>16.09100877</v>
      </c>
      <c r="D170" s="12">
        <f>IFERROR(VLOOKUP(A170,datos_2024!$B$1:$G$342,6,FALSE),"")</f>
        <v>11.14007821</v>
      </c>
    </row>
    <row r="171" ht="14.25" customHeight="1">
      <c r="A171" s="13">
        <v>40202.0</v>
      </c>
      <c r="B171" s="14" t="s">
        <v>183</v>
      </c>
      <c r="C171" s="12">
        <f>IFERROR(VLOOKUP(A171,datos_2016!$B$1:$G$330,6,FALSE),"")</f>
        <v>1.751824818</v>
      </c>
      <c r="D171" s="12">
        <f>IFERROR(VLOOKUP(A171,datos_2024!$B$1:$G$342,6,FALSE),"")</f>
        <v>15.38461538</v>
      </c>
    </row>
    <row r="172" ht="14.25" customHeight="1">
      <c r="A172" s="10">
        <v>40301.0</v>
      </c>
      <c r="B172" s="11" t="s">
        <v>184</v>
      </c>
      <c r="C172" s="12">
        <f>IFERROR(VLOOKUP(A172,datos_2016!$B$1:$G$330,6,FALSE),"")</f>
        <v>23.65356623</v>
      </c>
      <c r="D172" s="12">
        <f>IFERROR(VLOOKUP(A172,datos_2024!$B$1:$G$342,6,FALSE),"")</f>
        <v>31.35299219</v>
      </c>
    </row>
    <row r="173" ht="14.25" customHeight="1">
      <c r="A173" s="13">
        <v>40302.0</v>
      </c>
      <c r="B173" s="14" t="s">
        <v>185</v>
      </c>
      <c r="C173" s="12">
        <f>IFERROR(VLOOKUP(A173,datos_2016!$B$1:$G$330,6,FALSE),"")</f>
        <v>29.5154185</v>
      </c>
      <c r="D173" s="12">
        <f>IFERROR(VLOOKUP(A173,datos_2024!$B$1:$G$342,6,FALSE),"")</f>
        <v>24.84375</v>
      </c>
    </row>
    <row r="174" ht="14.25" customHeight="1">
      <c r="A174" s="10">
        <v>40401.0</v>
      </c>
      <c r="B174" s="11" t="s">
        <v>186</v>
      </c>
      <c r="C174" s="12">
        <f>IFERROR(VLOOKUP(A174,datos_2016!$B$1:$G$330,6,FALSE),"")</f>
        <v>8.705612829</v>
      </c>
      <c r="D174" s="12">
        <f>IFERROR(VLOOKUP(A174,datos_2024!$B$1:$G$342,6,FALSE),"")</f>
        <v>16.77282378</v>
      </c>
    </row>
    <row r="175" ht="14.25" customHeight="1">
      <c r="A175" s="13">
        <v>40402.0</v>
      </c>
      <c r="B175" s="14" t="s">
        <v>187</v>
      </c>
      <c r="C175" s="12">
        <f>IFERROR(VLOOKUP(A175,datos_2016!$B$1:$G$330,6,FALSE),"")</f>
        <v>29.18552036</v>
      </c>
      <c r="D175" s="12">
        <f>IFERROR(VLOOKUP(A175,datos_2024!$B$1:$G$342,6,FALSE),"")</f>
        <v>23.48623853</v>
      </c>
    </row>
    <row r="176" ht="14.25" customHeight="1">
      <c r="A176" s="10">
        <v>40501.0</v>
      </c>
      <c r="B176" s="11" t="s">
        <v>188</v>
      </c>
      <c r="C176" s="12">
        <f>IFERROR(VLOOKUP(A176,datos_2016!$B$1:$G$330,6,FALSE),"")</f>
        <v>22.10338681</v>
      </c>
      <c r="D176" s="12">
        <f>IFERROR(VLOOKUP(A176,datos_2024!$B$1:$G$342,6,FALSE),"")</f>
        <v>21.68674699</v>
      </c>
    </row>
    <row r="177" ht="14.25" customHeight="1">
      <c r="A177" s="13">
        <v>40502.0</v>
      </c>
      <c r="B177" s="14" t="s">
        <v>189</v>
      </c>
      <c r="C177" s="12">
        <f>IFERROR(VLOOKUP(A177,datos_2016!$B$1:$G$330,6,FALSE),"")</f>
        <v>50</v>
      </c>
      <c r="D177" s="12">
        <f>IFERROR(VLOOKUP(A177,datos_2024!$B$1:$G$342,6,FALSE),"")</f>
        <v>29.09836066</v>
      </c>
    </row>
    <row r="178" ht="14.25" customHeight="1">
      <c r="A178" s="10">
        <v>40503.0</v>
      </c>
      <c r="B178" s="11" t="s">
        <v>190</v>
      </c>
      <c r="C178" s="12">
        <f>IFERROR(VLOOKUP(A178,datos_2016!$B$1:$G$330,6,FALSE),"")</f>
        <v>25.3968254</v>
      </c>
      <c r="D178" s="12">
        <f>IFERROR(VLOOKUP(A178,datos_2024!$B$1:$G$342,6,FALSE),"")</f>
        <v>68.96551724</v>
      </c>
    </row>
    <row r="179" ht="14.25" customHeight="1">
      <c r="A179" s="13">
        <v>40504.0</v>
      </c>
      <c r="B179" s="14" t="s">
        <v>191</v>
      </c>
      <c r="C179" s="12">
        <f>IFERROR(VLOOKUP(A179,datos_2016!$B$1:$G$330,6,FALSE),"")</f>
        <v>1.724137931</v>
      </c>
      <c r="D179" s="12">
        <f>IFERROR(VLOOKUP(A179,datos_2024!$B$1:$G$342,6,FALSE),"")</f>
        <v>20.3125</v>
      </c>
    </row>
    <row r="180" ht="14.25" customHeight="1">
      <c r="A180" s="10">
        <v>40505.0</v>
      </c>
      <c r="B180" s="11" t="s">
        <v>192</v>
      </c>
      <c r="C180" s="12">
        <f>IFERROR(VLOOKUP(A180,datos_2016!$B$1:$G$330,6,FALSE),"")</f>
        <v>40.98360656</v>
      </c>
      <c r="D180" s="12">
        <f>IFERROR(VLOOKUP(A180,datos_2024!$B$1:$G$342,6,FALSE),"")</f>
        <v>24.36548223</v>
      </c>
    </row>
    <row r="181" ht="14.25" customHeight="1">
      <c r="A181" s="13">
        <v>40601.0</v>
      </c>
      <c r="B181" s="14" t="s">
        <v>193</v>
      </c>
      <c r="C181" s="12">
        <f>IFERROR(VLOOKUP(A181,datos_2016!$B$1:$G$330,6,FALSE),"")</f>
        <v>26.31578947</v>
      </c>
      <c r="D181" s="12">
        <f>IFERROR(VLOOKUP(A181,datos_2024!$B$1:$G$342,6,FALSE),"")</f>
        <v>30.83451202</v>
      </c>
    </row>
    <row r="182" ht="14.25" customHeight="1">
      <c r="A182" s="10">
        <v>40602.0</v>
      </c>
      <c r="B182" s="11" t="s">
        <v>194</v>
      </c>
      <c r="C182" s="12">
        <f>IFERROR(VLOOKUP(A182,datos_2016!$B$1:$G$330,6,FALSE),"")</f>
        <v>5.70212766</v>
      </c>
      <c r="D182" s="12">
        <f>IFERROR(VLOOKUP(A182,datos_2024!$B$1:$G$342,6,FALSE),"")</f>
        <v>0</v>
      </c>
    </row>
    <row r="183" ht="14.25" customHeight="1">
      <c r="A183" s="13">
        <v>40603.0</v>
      </c>
      <c r="B183" s="14" t="s">
        <v>195</v>
      </c>
      <c r="C183" s="12">
        <f>IFERROR(VLOOKUP(A183,datos_2016!$B$1:$G$330,6,FALSE),"")</f>
        <v>16.66666667</v>
      </c>
      <c r="D183" s="12">
        <f>IFERROR(VLOOKUP(A183,datos_2024!$B$1:$G$342,6,FALSE),"")</f>
        <v>31.07142857</v>
      </c>
    </row>
    <row r="184" ht="14.25" customHeight="1">
      <c r="A184" s="10">
        <v>40701.0</v>
      </c>
      <c r="B184" s="11" t="s">
        <v>196</v>
      </c>
      <c r="C184" s="12">
        <f>IFERROR(VLOOKUP(A184,datos_2016!$B$1:$G$330,6,FALSE),"")</f>
        <v>8.80676595</v>
      </c>
      <c r="D184" s="12">
        <f>IFERROR(VLOOKUP(A184,datos_2024!$B$1:$G$342,6,FALSE),"")</f>
        <v>7.940606843</v>
      </c>
    </row>
    <row r="185" ht="14.25" customHeight="1">
      <c r="A185" s="13">
        <v>40702.0</v>
      </c>
      <c r="B185" s="14" t="s">
        <v>197</v>
      </c>
      <c r="C185" s="12">
        <f>IFERROR(VLOOKUP(A185,datos_2016!$B$1:$G$330,6,FALSE),"")</f>
        <v>9.637305699</v>
      </c>
      <c r="D185" s="12">
        <f>IFERROR(VLOOKUP(A185,datos_2024!$B$1:$G$342,6,FALSE),"")</f>
        <v>12.06896552</v>
      </c>
    </row>
    <row r="186" ht="14.25" customHeight="1">
      <c r="A186" s="10">
        <v>40801.0</v>
      </c>
      <c r="B186" s="11" t="s">
        <v>198</v>
      </c>
      <c r="C186" s="12">
        <f>IFERROR(VLOOKUP(A186,datos_2016!$B$1:$G$330,6,FALSE),"")</f>
        <v>34.7029264</v>
      </c>
      <c r="D186" s="12">
        <f>IFERROR(VLOOKUP(A186,datos_2024!$B$1:$G$342,6,FALSE),"")</f>
        <v>17.43524953</v>
      </c>
    </row>
    <row r="187" ht="14.25" customHeight="1">
      <c r="A187" s="13">
        <v>40802.0</v>
      </c>
      <c r="B187" s="14" t="s">
        <v>199</v>
      </c>
      <c r="C187" s="12">
        <f>IFERROR(VLOOKUP(A187,datos_2016!$B$1:$G$330,6,FALSE),"")</f>
        <v>33.51955307</v>
      </c>
      <c r="D187" s="12">
        <f>IFERROR(VLOOKUP(A187,datos_2024!$B$1:$G$342,6,FALSE),"")</f>
        <v>20.68062827</v>
      </c>
    </row>
    <row r="188" ht="14.25" customHeight="1">
      <c r="A188" s="10">
        <v>40901.0</v>
      </c>
      <c r="B188" s="11" t="s">
        <v>200</v>
      </c>
      <c r="C188" s="12">
        <f>IFERROR(VLOOKUP(A188,datos_2016!$B$1:$G$330,6,FALSE),"")</f>
        <v>22.96587927</v>
      </c>
      <c r="D188" s="12">
        <f>IFERROR(VLOOKUP(A188,datos_2024!$B$1:$G$342,6,FALSE),"")</f>
        <v>16.65533651</v>
      </c>
    </row>
    <row r="189" ht="14.25" customHeight="1">
      <c r="A189" s="13">
        <v>40902.0</v>
      </c>
      <c r="B189" s="14" t="s">
        <v>201</v>
      </c>
      <c r="C189" s="12">
        <f>IFERROR(VLOOKUP(A189,datos_2016!$B$1:$G$330,6,FALSE),"")</f>
        <v>14.39393939</v>
      </c>
      <c r="D189" s="12">
        <f>IFERROR(VLOOKUP(A189,datos_2024!$B$1:$G$342,6,FALSE),"")</f>
        <v>19.49685535</v>
      </c>
    </row>
    <row r="190" ht="14.25" customHeight="1">
      <c r="A190" s="10">
        <v>40903.0</v>
      </c>
      <c r="B190" s="11" t="s">
        <v>202</v>
      </c>
      <c r="C190" s="12">
        <f>IFERROR(VLOOKUP(A190,datos_2016!$B$1:$G$330,6,FALSE),"")</f>
        <v>17.99410029</v>
      </c>
      <c r="D190" s="12">
        <f>IFERROR(VLOOKUP(A190,datos_2024!$B$1:$G$342,6,FALSE),"")</f>
        <v>19.42028986</v>
      </c>
    </row>
    <row r="191" ht="14.25" customHeight="1">
      <c r="A191" s="13">
        <v>41001.0</v>
      </c>
      <c r="B191" s="14" t="s">
        <v>203</v>
      </c>
      <c r="C191" s="12">
        <f>IFERROR(VLOOKUP(A191,datos_2016!$B$1:$G$330,6,FALSE),"")</f>
        <v>9.962168979</v>
      </c>
      <c r="D191" s="12">
        <f>IFERROR(VLOOKUP(A191,datos_2024!$B$1:$G$342,6,FALSE),"")</f>
        <v>28.08510638</v>
      </c>
    </row>
    <row r="192" ht="14.25" customHeight="1">
      <c r="A192" s="10">
        <v>41101.0</v>
      </c>
      <c r="B192" s="11" t="s">
        <v>204</v>
      </c>
      <c r="C192" s="12">
        <f>IFERROR(VLOOKUP(A192,datos_2016!$B$1:$G$330,6,FALSE),"")</f>
        <v>0</v>
      </c>
      <c r="D192" s="12">
        <f>IFERROR(VLOOKUP(A192,datos_2024!$B$1:$G$342,6,FALSE),"")</f>
        <v>9.381663113</v>
      </c>
    </row>
    <row r="193" ht="14.25" customHeight="1">
      <c r="A193" s="13">
        <v>41201.0</v>
      </c>
      <c r="B193" s="14" t="s">
        <v>205</v>
      </c>
      <c r="C193" s="12">
        <f>IFERROR(VLOOKUP(A193,datos_2016!$B$1:$G$330,6,FALSE),"")</f>
        <v>25.35587189</v>
      </c>
      <c r="D193" s="12">
        <f>IFERROR(VLOOKUP(A193,datos_2024!$B$1:$G$342,6,FALSE),"")</f>
        <v>31.59303882</v>
      </c>
    </row>
    <row r="194" ht="14.25" customHeight="1">
      <c r="A194" s="10">
        <v>41202.0</v>
      </c>
      <c r="B194" s="11" t="s">
        <v>206</v>
      </c>
      <c r="C194" s="12">
        <f>IFERROR(VLOOKUP(A194,datos_2016!$B$1:$G$330,6,FALSE),"")</f>
        <v>32.05479452</v>
      </c>
      <c r="D194" s="12">
        <f>IFERROR(VLOOKUP(A194,datos_2024!$B$1:$G$342,6,FALSE),"")</f>
        <v>0</v>
      </c>
    </row>
    <row r="195" ht="14.25" customHeight="1">
      <c r="A195" s="13">
        <v>41301.0</v>
      </c>
      <c r="B195" s="14" t="s">
        <v>207</v>
      </c>
      <c r="C195" s="12">
        <f>IFERROR(VLOOKUP(A195,datos_2016!$B$1:$G$330,6,FALSE),"")</f>
        <v>2.115384615</v>
      </c>
      <c r="D195" s="12">
        <f>IFERROR(VLOOKUP(A195,datos_2024!$B$1:$G$342,6,FALSE),"")</f>
        <v>16.4399093</v>
      </c>
    </row>
    <row r="196" ht="14.25" customHeight="1">
      <c r="A196" s="10">
        <v>41401.0</v>
      </c>
      <c r="B196" s="11" t="s">
        <v>208</v>
      </c>
      <c r="C196" s="12">
        <f>IFERROR(VLOOKUP(A196,datos_2016!$B$1:$G$330,6,FALSE),"")</f>
        <v>15.4853621</v>
      </c>
      <c r="D196" s="12">
        <f>IFERROR(VLOOKUP(A196,datos_2024!$B$1:$G$342,6,FALSE),"")</f>
        <v>13.84767557</v>
      </c>
    </row>
    <row r="197" ht="14.25" customHeight="1">
      <c r="A197" s="13">
        <v>41501.0</v>
      </c>
      <c r="B197" s="14" t="s">
        <v>209</v>
      </c>
      <c r="C197" s="12">
        <f>IFERROR(VLOOKUP(A197,datos_2016!$B$1:$G$330,6,FALSE),"")</f>
        <v>0</v>
      </c>
      <c r="D197" s="12">
        <f>IFERROR(VLOOKUP(A197,datos_2024!$B$1:$G$342,6,FALSE),"")</f>
        <v>19.46308725</v>
      </c>
    </row>
    <row r="198" ht="14.25" customHeight="1">
      <c r="A198" s="10">
        <v>41502.0</v>
      </c>
      <c r="B198" s="11" t="s">
        <v>210</v>
      </c>
      <c r="C198" s="12">
        <f>IFERROR(VLOOKUP(A198,datos_2016!$B$1:$G$330,6,FALSE),"")</f>
        <v>0</v>
      </c>
      <c r="D198" s="12">
        <f>IFERROR(VLOOKUP(A198,datos_2024!$B$1:$G$342,6,FALSE),"")</f>
        <v>24.44444444</v>
      </c>
    </row>
    <row r="199" ht="14.25" customHeight="1">
      <c r="A199" s="13">
        <v>41503.0</v>
      </c>
      <c r="B199" s="14" t="s">
        <v>211</v>
      </c>
      <c r="C199" s="12">
        <f>IFERROR(VLOOKUP(A199,datos_2016!$B$1:$G$330,6,FALSE),"")</f>
        <v>0</v>
      </c>
      <c r="D199" s="12">
        <f>IFERROR(VLOOKUP(A199,datos_2024!$B$1:$G$342,6,FALSE),"")</f>
        <v>19.45812808</v>
      </c>
    </row>
    <row r="200" ht="14.25" customHeight="1">
      <c r="A200" s="10">
        <v>41601.0</v>
      </c>
      <c r="B200" s="11" t="s">
        <v>212</v>
      </c>
      <c r="C200" s="12">
        <f>IFERROR(VLOOKUP(A200,datos_2016!$B$1:$G$330,6,FALSE),"")</f>
        <v>3.879728419</v>
      </c>
      <c r="D200" s="12">
        <f>IFERROR(VLOOKUP(A200,datos_2024!$B$1:$G$342,6,FALSE),"")</f>
        <v>23.56857523</v>
      </c>
    </row>
    <row r="201" ht="14.25" customHeight="1">
      <c r="A201" s="13">
        <v>50101.0</v>
      </c>
      <c r="B201" s="14" t="s">
        <v>213</v>
      </c>
      <c r="C201" s="12">
        <f>IFERROR(VLOOKUP(A201,datos_2016!$B$1:$G$330,6,FALSE),"")</f>
        <v>3.90737367</v>
      </c>
      <c r="D201" s="12">
        <f>IFERROR(VLOOKUP(A201,datos_2024!$B$1:$G$342,6,FALSE),"")</f>
        <v>6.446324696</v>
      </c>
    </row>
    <row r="202" ht="14.25" customHeight="1">
      <c r="A202" s="10">
        <v>50102.0</v>
      </c>
      <c r="B202" s="11" t="s">
        <v>214</v>
      </c>
      <c r="C202" s="12">
        <f>IFERROR(VLOOKUP(A202,datos_2016!$B$1:$G$330,6,FALSE),"")</f>
        <v>21.96992038</v>
      </c>
      <c r="D202" s="12">
        <f>IFERROR(VLOOKUP(A202,datos_2024!$B$1:$G$342,6,FALSE),"")</f>
        <v>36.03526735</v>
      </c>
    </row>
    <row r="203" ht="14.25" customHeight="1">
      <c r="A203" s="13">
        <v>50103.0</v>
      </c>
      <c r="B203" s="14" t="s">
        <v>215</v>
      </c>
      <c r="C203" s="12">
        <f>IFERROR(VLOOKUP(A203,datos_2016!$B$1:$G$330,6,FALSE),"")</f>
        <v>21.20189061</v>
      </c>
      <c r="D203" s="12">
        <f>IFERROR(VLOOKUP(A203,datos_2024!$B$1:$G$342,6,FALSE),"")</f>
        <v>33.89830508</v>
      </c>
    </row>
    <row r="204" ht="14.25" customHeight="1">
      <c r="A204" s="10">
        <v>50104.0</v>
      </c>
      <c r="B204" s="11" t="s">
        <v>216</v>
      </c>
      <c r="C204" s="12">
        <f>IFERROR(VLOOKUP(A204,datos_2016!$B$1:$G$330,6,FALSE),"")</f>
        <v>34.26573427</v>
      </c>
      <c r="D204" s="12">
        <f>IFERROR(VLOOKUP(A204,datos_2024!$B$1:$G$342,6,FALSE),"")</f>
        <v>39.26380368</v>
      </c>
    </row>
    <row r="205" ht="14.25" customHeight="1">
      <c r="A205" s="13">
        <v>50201.0</v>
      </c>
      <c r="B205" s="14" t="s">
        <v>217</v>
      </c>
      <c r="C205" s="12">
        <f>IFERROR(VLOOKUP(A205,datos_2016!$B$1:$G$330,6,FALSE),"")</f>
        <v>0</v>
      </c>
      <c r="D205" s="12">
        <f>IFERROR(VLOOKUP(A205,datos_2024!$B$1:$G$342,6,FALSE),"")</f>
        <v>0</v>
      </c>
    </row>
    <row r="206" ht="14.25" customHeight="1">
      <c r="A206" s="10">
        <v>50202.0</v>
      </c>
      <c r="B206" s="11" t="s">
        <v>218</v>
      </c>
      <c r="C206" s="12">
        <f>IFERROR(VLOOKUP(A206,datos_2016!$B$1:$G$330,6,FALSE),"")</f>
        <v>26.43769968</v>
      </c>
      <c r="D206" s="12">
        <f>IFERROR(VLOOKUP(A206,datos_2024!$B$1:$G$342,6,FALSE),"")</f>
        <v>28.17715019</v>
      </c>
    </row>
    <row r="207" ht="14.25" customHeight="1">
      <c r="A207" s="13">
        <v>50203.0</v>
      </c>
      <c r="B207" s="14" t="s">
        <v>219</v>
      </c>
      <c r="C207" s="12">
        <f>IFERROR(VLOOKUP(A207,datos_2016!$B$1:$G$330,6,FALSE),"")</f>
        <v>3.46331452</v>
      </c>
      <c r="D207" s="12">
        <f>IFERROR(VLOOKUP(A207,datos_2024!$B$1:$G$342,6,FALSE),"")</f>
        <v>4.614822261</v>
      </c>
    </row>
    <row r="208" ht="14.25" customHeight="1">
      <c r="A208" s="15">
        <v>50204.0</v>
      </c>
      <c r="B208" s="11" t="s">
        <v>220</v>
      </c>
      <c r="C208" s="12" t="str">
        <f>IFERROR(VLOOKUP(A208,datos_2016!$B$1:$G$330,6,FALSE),"")</f>
        <v/>
      </c>
      <c r="D208" s="12" t="str">
        <f>IFERROR(VLOOKUP(A208,datos_2024!$B$1:$G$342,6,FALSE),"")</f>
        <v/>
      </c>
    </row>
    <row r="209" ht="14.25" customHeight="1">
      <c r="A209" s="13">
        <v>50301.0</v>
      </c>
      <c r="B209" s="14" t="s">
        <v>221</v>
      </c>
      <c r="C209" s="12">
        <f>IFERROR(VLOOKUP(A209,datos_2016!$B$1:$G$330,6,FALSE),"")</f>
        <v>13.54033291</v>
      </c>
      <c r="D209" s="12">
        <f>IFERROR(VLOOKUP(A209,datos_2024!$B$1:$G$342,6,FALSE),"")</f>
        <v>18.03074366</v>
      </c>
    </row>
    <row r="210" ht="14.25" customHeight="1">
      <c r="A210" s="10">
        <v>50302.0</v>
      </c>
      <c r="B210" s="11" t="s">
        <v>222</v>
      </c>
      <c r="C210" s="12">
        <f>IFERROR(VLOOKUP(A210,datos_2016!$B$1:$G$330,6,FALSE),"")</f>
        <v>11.84210526</v>
      </c>
      <c r="D210" s="12">
        <f>IFERROR(VLOOKUP(A210,datos_2024!$B$1:$G$342,6,FALSE),"")</f>
        <v>27.54927164</v>
      </c>
    </row>
    <row r="211" ht="14.25" customHeight="1">
      <c r="A211" s="13">
        <v>50303.0</v>
      </c>
      <c r="B211" s="14" t="s">
        <v>223</v>
      </c>
      <c r="C211" s="12">
        <f>IFERROR(VLOOKUP(A211,datos_2016!$B$1:$G$330,6,FALSE),"")</f>
        <v>2.702702703</v>
      </c>
      <c r="D211" s="12">
        <f>IFERROR(VLOOKUP(A211,datos_2024!$B$1:$G$342,6,FALSE),"")</f>
        <v>3.200948429</v>
      </c>
    </row>
    <row r="212" ht="14.25" customHeight="1">
      <c r="A212" s="10">
        <v>50401.0</v>
      </c>
      <c r="B212" s="11" t="s">
        <v>224</v>
      </c>
      <c r="C212" s="12">
        <f>IFERROR(VLOOKUP(A212,datos_2016!$B$1:$G$330,6,FALSE),"")</f>
        <v>10.64631245</v>
      </c>
      <c r="D212" s="12">
        <f>IFERROR(VLOOKUP(A212,datos_2024!$B$1:$G$342,6,FALSE),"")</f>
        <v>19.71003135</v>
      </c>
    </row>
    <row r="213" ht="14.25" customHeight="1">
      <c r="A213" s="13">
        <v>50402.0</v>
      </c>
      <c r="B213" s="14" t="s">
        <v>225</v>
      </c>
      <c r="C213" s="12">
        <f>IFERROR(VLOOKUP(A213,datos_2016!$B$1:$G$330,6,FALSE),"")</f>
        <v>12.12428234</v>
      </c>
      <c r="D213" s="12">
        <f>IFERROR(VLOOKUP(A213,datos_2024!$B$1:$G$342,6,FALSE),"")</f>
        <v>9.027142421</v>
      </c>
    </row>
    <row r="214" ht="14.25" customHeight="1">
      <c r="A214" s="10">
        <v>50403.0</v>
      </c>
      <c r="B214" s="11" t="s">
        <v>226</v>
      </c>
      <c r="C214" s="12">
        <f>IFERROR(VLOOKUP(A214,datos_2016!$B$1:$G$330,6,FALSE),"")</f>
        <v>18.37736731</v>
      </c>
      <c r="D214" s="12">
        <f>IFERROR(VLOOKUP(A214,datos_2024!$B$1:$G$342,6,FALSE),"")</f>
        <v>21.00276352</v>
      </c>
    </row>
    <row r="215" ht="14.25" customHeight="1">
      <c r="A215" s="13">
        <v>50404.0</v>
      </c>
      <c r="B215" s="14" t="s">
        <v>227</v>
      </c>
      <c r="C215" s="12">
        <f>IFERROR(VLOOKUP(A215,datos_2016!$B$1:$G$330,6,FALSE),"")</f>
        <v>18.54636591</v>
      </c>
      <c r="D215" s="12">
        <f>IFERROR(VLOOKUP(A215,datos_2024!$B$1:$G$342,6,FALSE),"")</f>
        <v>8.786610879</v>
      </c>
    </row>
    <row r="216" ht="14.25" customHeight="1">
      <c r="A216" s="15">
        <v>50405.0</v>
      </c>
      <c r="B216" s="11" t="s">
        <v>228</v>
      </c>
      <c r="C216" s="12" t="str">
        <f>IFERROR(VLOOKUP(A216,datos_2016!$B$1:$G$330,6,FALSE),"")</f>
        <v/>
      </c>
      <c r="D216" s="12">
        <f>IFERROR(VLOOKUP(A216,datos_2024!$B$1:$G$342,6,FALSE),"")</f>
        <v>24.76635514</v>
      </c>
    </row>
    <row r="217" ht="14.25" customHeight="1">
      <c r="A217" s="13">
        <v>50501.0</v>
      </c>
      <c r="B217" s="14" t="s">
        <v>229</v>
      </c>
      <c r="C217" s="12">
        <f>IFERROR(VLOOKUP(A217,datos_2016!$B$1:$G$330,6,FALSE),"")</f>
        <v>19.44091487</v>
      </c>
      <c r="D217" s="12">
        <f>IFERROR(VLOOKUP(A217,datos_2024!$B$1:$G$342,6,FALSE),"")</f>
        <v>10.22133798</v>
      </c>
    </row>
    <row r="218" ht="14.25" customHeight="1">
      <c r="A218" s="10">
        <v>50502.0</v>
      </c>
      <c r="B218" s="11" t="s">
        <v>230</v>
      </c>
      <c r="C218" s="12">
        <f>IFERROR(VLOOKUP(A218,datos_2016!$B$1:$G$330,6,FALSE),"")</f>
        <v>30.51575931</v>
      </c>
      <c r="D218" s="12">
        <f>IFERROR(VLOOKUP(A218,datos_2024!$B$1:$G$342,6,FALSE),"")</f>
        <v>18.41171251</v>
      </c>
    </row>
    <row r="219" ht="14.25" customHeight="1">
      <c r="A219" s="13">
        <v>50601.0</v>
      </c>
      <c r="B219" s="14" t="s">
        <v>231</v>
      </c>
      <c r="C219" s="12">
        <f>IFERROR(VLOOKUP(A219,datos_2016!$B$1:$G$330,6,FALSE),"")</f>
        <v>18.91942771</v>
      </c>
      <c r="D219" s="12">
        <f>IFERROR(VLOOKUP(A219,datos_2024!$B$1:$G$342,6,FALSE),"")</f>
        <v>14.1859673</v>
      </c>
    </row>
    <row r="220" ht="14.25" customHeight="1">
      <c r="A220" s="10">
        <v>50602.0</v>
      </c>
      <c r="B220" s="11" t="s">
        <v>232</v>
      </c>
      <c r="C220" s="12">
        <f>IFERROR(VLOOKUP(A220,datos_2016!$B$1:$G$330,6,FALSE),"")</f>
        <v>20.1232937</v>
      </c>
      <c r="D220" s="12">
        <f>IFERROR(VLOOKUP(A220,datos_2024!$B$1:$G$342,6,FALSE),"")</f>
        <v>3.2405484</v>
      </c>
    </row>
    <row r="221" ht="14.25" customHeight="1">
      <c r="A221" s="13">
        <v>50701.0</v>
      </c>
      <c r="B221" s="14" t="s">
        <v>233</v>
      </c>
      <c r="C221" s="12">
        <f>IFERROR(VLOOKUP(A221,datos_2016!$B$1:$G$330,6,FALSE),"")</f>
        <v>15.97717546</v>
      </c>
      <c r="D221" s="12">
        <f>IFERROR(VLOOKUP(A221,datos_2024!$B$1:$G$342,6,FALSE),"")</f>
        <v>14.75644699</v>
      </c>
    </row>
    <row r="222" ht="14.25" customHeight="1">
      <c r="A222" s="10">
        <v>50702.0</v>
      </c>
      <c r="B222" s="11" t="s">
        <v>234</v>
      </c>
      <c r="C222" s="12">
        <f>IFERROR(VLOOKUP(A222,datos_2016!$B$1:$G$330,6,FALSE),"")</f>
        <v>10.32308905</v>
      </c>
      <c r="D222" s="12">
        <f>IFERROR(VLOOKUP(A222,datos_2024!$B$1:$G$342,6,FALSE),"")</f>
        <v>21.17726658</v>
      </c>
    </row>
    <row r="223" ht="14.25" customHeight="1">
      <c r="A223" s="13">
        <v>50801.0</v>
      </c>
      <c r="B223" s="14" t="s">
        <v>235</v>
      </c>
      <c r="C223" s="12">
        <f>IFERROR(VLOOKUP(A223,datos_2016!$B$1:$G$330,6,FALSE),"")</f>
        <v>11.80826823</v>
      </c>
      <c r="D223" s="12">
        <f>IFERROR(VLOOKUP(A223,datos_2024!$B$1:$G$342,6,FALSE),"")</f>
        <v>7.978497666</v>
      </c>
    </row>
    <row r="224" ht="14.25" customHeight="1">
      <c r="A224" s="10">
        <v>50802.0</v>
      </c>
      <c r="B224" s="11" t="s">
        <v>236</v>
      </c>
      <c r="C224" s="12">
        <f>IFERROR(VLOOKUP(A224,datos_2016!$B$1:$G$330,6,FALSE),"")</f>
        <v>4.988513292</v>
      </c>
      <c r="D224" s="12">
        <f>IFERROR(VLOOKUP(A224,datos_2024!$B$1:$G$342,6,FALSE),"")</f>
        <v>4.635539133</v>
      </c>
    </row>
    <row r="225" ht="14.25" customHeight="1">
      <c r="A225" s="13">
        <v>50901.0</v>
      </c>
      <c r="B225" s="14" t="s">
        <v>237</v>
      </c>
      <c r="C225" s="12">
        <f>IFERROR(VLOOKUP(A225,datos_2016!$B$1:$G$330,6,FALSE),"")</f>
        <v>21.90082645</v>
      </c>
      <c r="D225" s="12">
        <f>IFERROR(VLOOKUP(A225,datos_2024!$B$1:$G$342,6,FALSE),"")</f>
        <v>15.04504505</v>
      </c>
    </row>
    <row r="226" ht="14.25" customHeight="1">
      <c r="A226" s="10">
        <v>50902.0</v>
      </c>
      <c r="B226" s="11" t="s">
        <v>238</v>
      </c>
      <c r="C226" s="12">
        <f>IFERROR(VLOOKUP(A226,datos_2016!$B$1:$G$330,6,FALSE),"")</f>
        <v>22.32824427</v>
      </c>
      <c r="D226" s="12">
        <f>IFERROR(VLOOKUP(A226,datos_2024!$B$1:$G$342,6,FALSE),"")</f>
        <v>22.11981567</v>
      </c>
    </row>
    <row r="227" ht="14.25" customHeight="1">
      <c r="A227" s="13">
        <v>51001.0</v>
      </c>
      <c r="B227" s="14" t="s">
        <v>239</v>
      </c>
      <c r="C227" s="12">
        <f>IFERROR(VLOOKUP(A227,datos_2016!$B$1:$G$330,6,FALSE),"")</f>
        <v>16.30434783</v>
      </c>
      <c r="D227" s="12">
        <f>IFERROR(VLOOKUP(A227,datos_2024!$B$1:$G$342,6,FALSE),"")</f>
        <v>25.53191489</v>
      </c>
    </row>
    <row r="228" ht="14.25" customHeight="1">
      <c r="A228" s="15">
        <v>51002.0</v>
      </c>
      <c r="B228" s="11" t="s">
        <v>240</v>
      </c>
      <c r="C228" s="12" t="str">
        <f>IFERROR(VLOOKUP(A228,datos_2016!$B$1:$G$330,6,FALSE),"")</f>
        <v/>
      </c>
      <c r="D228" s="12">
        <f>IFERROR(VLOOKUP(A228,datos_2024!$B$1:$G$342,6,FALSE),"")</f>
        <v>5.434782609</v>
      </c>
    </row>
    <row r="229" ht="14.25" customHeight="1">
      <c r="A229" s="13">
        <v>51003.0</v>
      </c>
      <c r="B229" s="14" t="s">
        <v>241</v>
      </c>
      <c r="C229" s="12">
        <f>IFERROR(VLOOKUP(A229,datos_2016!$B$1:$G$330,6,FALSE),"")</f>
        <v>9.523809524</v>
      </c>
      <c r="D229" s="12">
        <f>IFERROR(VLOOKUP(A229,datos_2024!$B$1:$G$342,6,FALSE),"")</f>
        <v>15.63421829</v>
      </c>
    </row>
    <row r="230" ht="14.25" customHeight="1">
      <c r="A230" s="10">
        <v>51101.0</v>
      </c>
      <c r="B230" s="11" t="s">
        <v>242</v>
      </c>
      <c r="C230" s="12">
        <f>IFERROR(VLOOKUP(A230,datos_2016!$B$1:$G$330,6,FALSE),"")</f>
        <v>9.376174371</v>
      </c>
      <c r="D230" s="12">
        <f>IFERROR(VLOOKUP(A230,datos_2024!$B$1:$G$342,6,FALSE),"")</f>
        <v>23.59389039</v>
      </c>
    </row>
    <row r="231" ht="14.25" customHeight="1">
      <c r="A231" s="13">
        <v>51102.0</v>
      </c>
      <c r="B231" s="14" t="s">
        <v>243</v>
      </c>
      <c r="C231" s="12">
        <f>IFERROR(VLOOKUP(A231,datos_2016!$B$1:$G$330,6,FALSE),"")</f>
        <v>13.92177969</v>
      </c>
      <c r="D231" s="12">
        <f>IFERROR(VLOOKUP(A231,datos_2024!$B$1:$G$342,6,FALSE),"")</f>
        <v>17.73940345</v>
      </c>
    </row>
    <row r="232" ht="14.25" customHeight="1">
      <c r="A232" s="10">
        <v>51103.0</v>
      </c>
      <c r="B232" s="11" t="s">
        <v>244</v>
      </c>
      <c r="C232" s="12">
        <f>IFERROR(VLOOKUP(A232,datos_2016!$B$1:$G$330,6,FALSE),"")</f>
        <v>26.81451613</v>
      </c>
      <c r="D232" s="12">
        <f>IFERROR(VLOOKUP(A232,datos_2024!$B$1:$G$342,6,FALSE),"")</f>
        <v>23.55987055</v>
      </c>
    </row>
    <row r="233" ht="14.25" customHeight="1">
      <c r="A233" s="13">
        <v>51201.0</v>
      </c>
      <c r="B233" s="14" t="s">
        <v>245</v>
      </c>
      <c r="C233" s="12">
        <f>IFERROR(VLOOKUP(A233,datos_2016!$B$1:$G$330,6,FALSE),"")</f>
        <v>7.934402508</v>
      </c>
      <c r="D233" s="12">
        <f>IFERROR(VLOOKUP(A233,datos_2024!$B$1:$G$342,6,FALSE),"")</f>
        <v>10.61209371</v>
      </c>
    </row>
    <row r="234" ht="14.25" customHeight="1">
      <c r="A234" s="10">
        <v>51202.0</v>
      </c>
      <c r="B234" s="11" t="s">
        <v>246</v>
      </c>
      <c r="C234" s="12">
        <f>IFERROR(VLOOKUP(A234,datos_2016!$B$1:$G$330,6,FALSE),"")</f>
        <v>13.32707649</v>
      </c>
      <c r="D234" s="12">
        <f>IFERROR(VLOOKUP(A234,datos_2024!$B$1:$G$342,6,FALSE),"")</f>
        <v>22.32079489</v>
      </c>
    </row>
    <row r="235" ht="14.25" customHeight="1">
      <c r="A235" s="13">
        <v>51203.0</v>
      </c>
      <c r="B235" s="14" t="s">
        <v>247</v>
      </c>
      <c r="C235" s="12">
        <f>IFERROR(VLOOKUP(A235,datos_2016!$B$1:$G$330,6,FALSE),"")</f>
        <v>4.807692308</v>
      </c>
      <c r="D235" s="12">
        <f>IFERROR(VLOOKUP(A235,datos_2024!$B$1:$G$342,6,FALSE),"")</f>
        <v>17.278157</v>
      </c>
    </row>
    <row r="236" ht="14.25" customHeight="1">
      <c r="A236" s="10">
        <v>51204.0</v>
      </c>
      <c r="B236" s="11" t="s">
        <v>248</v>
      </c>
      <c r="C236" s="12" t="str">
        <f>IFERROR(VLOOKUP(A236,datos_2016!$B$1:$G$330,6,FALSE),"")</f>
        <v/>
      </c>
      <c r="D236" s="12" t="str">
        <f>IFERROR(VLOOKUP(A236,datos_2024!$B$1:$G$342,6,FALSE),"")</f>
        <v/>
      </c>
    </row>
    <row r="237" ht="14.25" customHeight="1">
      <c r="A237" s="13">
        <v>51301.0</v>
      </c>
      <c r="B237" s="14" t="s">
        <v>249</v>
      </c>
      <c r="C237" s="12">
        <f>IFERROR(VLOOKUP(A237,datos_2016!$B$1:$G$330,6,FALSE),"")</f>
        <v>21.17834395</v>
      </c>
      <c r="D237" s="12">
        <f>IFERROR(VLOOKUP(A237,datos_2024!$B$1:$G$342,6,FALSE),"")</f>
        <v>9.931034483</v>
      </c>
    </row>
    <row r="238" ht="14.25" customHeight="1">
      <c r="A238" s="10">
        <v>51302.0</v>
      </c>
      <c r="B238" s="11" t="s">
        <v>250</v>
      </c>
      <c r="C238" s="12">
        <f>IFERROR(VLOOKUP(A238,datos_2016!$B$1:$G$330,6,FALSE),"")</f>
        <v>19.17431193</v>
      </c>
      <c r="D238" s="12">
        <f>IFERROR(VLOOKUP(A238,datos_2024!$B$1:$G$342,6,FALSE),"")</f>
        <v>18.1088314</v>
      </c>
    </row>
    <row r="239" ht="14.25" customHeight="1">
      <c r="A239" s="13">
        <v>51401.0</v>
      </c>
      <c r="B239" s="14" t="s">
        <v>251</v>
      </c>
      <c r="C239" s="12">
        <f>IFERROR(VLOOKUP(A239,datos_2016!$B$1:$G$330,6,FALSE),"")</f>
        <v>25.52301255</v>
      </c>
      <c r="D239" s="12">
        <f>IFERROR(VLOOKUP(A239,datos_2024!$B$1:$G$342,6,FALSE),"")</f>
        <v>28.36477987</v>
      </c>
    </row>
    <row r="240" ht="14.25" customHeight="1">
      <c r="A240" s="10">
        <v>51402.0</v>
      </c>
      <c r="B240" s="11" t="s">
        <v>252</v>
      </c>
      <c r="C240" s="12">
        <f>IFERROR(VLOOKUP(A240,datos_2016!$B$1:$G$330,6,FALSE),"")</f>
        <v>40.70588235</v>
      </c>
      <c r="D240" s="12">
        <f>IFERROR(VLOOKUP(A240,datos_2024!$B$1:$G$342,6,FALSE),"")</f>
        <v>37.28070175</v>
      </c>
    </row>
    <row r="241" ht="14.25" customHeight="1">
      <c r="A241" s="13">
        <v>51501.0</v>
      </c>
      <c r="B241" s="14" t="s">
        <v>253</v>
      </c>
      <c r="C241" s="12">
        <f>IFERROR(VLOOKUP(A241,datos_2016!$B$1:$G$330,6,FALSE),"")</f>
        <v>4.433887569</v>
      </c>
      <c r="D241" s="12">
        <f>IFERROR(VLOOKUP(A241,datos_2024!$B$1:$G$342,6,FALSE),"")</f>
        <v>5.996458467</v>
      </c>
    </row>
    <row r="242" ht="14.25" customHeight="1">
      <c r="A242" s="10">
        <v>51601.0</v>
      </c>
      <c r="B242" s="11" t="s">
        <v>254</v>
      </c>
      <c r="C242" s="12">
        <f>IFERROR(VLOOKUP(A242,datos_2016!$B$1:$G$330,6,FALSE),"")</f>
        <v>12.44444444</v>
      </c>
      <c r="D242" s="12">
        <f>IFERROR(VLOOKUP(A242,datos_2024!$B$1:$G$342,6,FALSE),"")</f>
        <v>18.54043393</v>
      </c>
    </row>
    <row r="243" ht="14.25" customHeight="1">
      <c r="A243" s="13">
        <v>60101.0</v>
      </c>
      <c r="B243" s="14" t="s">
        <v>255</v>
      </c>
      <c r="C243" s="12">
        <f>IFERROR(VLOOKUP(A243,datos_2016!$B$1:$G$330,6,FALSE),"")</f>
        <v>4.327690519</v>
      </c>
      <c r="D243" s="12">
        <f>IFERROR(VLOOKUP(A243,datos_2024!$B$1:$G$342,6,FALSE),"")</f>
        <v>5.7505861</v>
      </c>
    </row>
    <row r="244" ht="14.25" customHeight="1">
      <c r="A244" s="10">
        <v>60201.0</v>
      </c>
      <c r="B244" s="11" t="s">
        <v>256</v>
      </c>
      <c r="C244" s="12">
        <f>IFERROR(VLOOKUP(A244,datos_2016!$B$1:$G$330,6,FALSE),"")</f>
        <v>11.99230954</v>
      </c>
      <c r="D244" s="12">
        <f>IFERROR(VLOOKUP(A244,datos_2024!$B$1:$G$342,6,FALSE),"")</f>
        <v>18.97278651</v>
      </c>
    </row>
    <row r="245" ht="14.25" customHeight="1">
      <c r="A245" s="13">
        <v>60202.0</v>
      </c>
      <c r="B245" s="14" t="s">
        <v>257</v>
      </c>
      <c r="C245" s="12">
        <f>IFERROR(VLOOKUP(A245,datos_2016!$B$1:$G$330,6,FALSE),"")</f>
        <v>3.16757116</v>
      </c>
      <c r="D245" s="12">
        <f>IFERROR(VLOOKUP(A245,datos_2024!$B$1:$G$342,6,FALSE),"")</f>
        <v>4.281098546</v>
      </c>
    </row>
    <row r="246" ht="14.25" customHeight="1">
      <c r="A246" s="10">
        <v>60301.0</v>
      </c>
      <c r="B246" s="11" t="s">
        <v>258</v>
      </c>
      <c r="C246" s="12">
        <f>IFERROR(VLOOKUP(A246,datos_2016!$B$1:$G$330,6,FALSE),"")</f>
        <v>2.91773199</v>
      </c>
      <c r="D246" s="12">
        <f>IFERROR(VLOOKUP(A246,datos_2024!$B$1:$G$342,6,FALSE),"")</f>
        <v>4.516918703</v>
      </c>
    </row>
    <row r="247" ht="14.25" customHeight="1">
      <c r="A247" s="13">
        <v>60302.0</v>
      </c>
      <c r="B247" s="14" t="s">
        <v>259</v>
      </c>
      <c r="C247" s="12">
        <f>IFERROR(VLOOKUP(A247,datos_2016!$B$1:$G$330,6,FALSE),"")</f>
        <v>6.086221471</v>
      </c>
      <c r="D247" s="12">
        <f>IFERROR(VLOOKUP(A247,datos_2024!$B$1:$G$342,6,FALSE),"")</f>
        <v>9.517304189</v>
      </c>
    </row>
    <row r="248" ht="14.25" customHeight="1">
      <c r="A248" s="10">
        <v>60303.0</v>
      </c>
      <c r="B248" s="11" t="s">
        <v>260</v>
      </c>
      <c r="C248" s="12">
        <f>IFERROR(VLOOKUP(A248,datos_2016!$B$1:$G$330,6,FALSE),"")</f>
        <v>3.766630708</v>
      </c>
      <c r="D248" s="12">
        <f>IFERROR(VLOOKUP(A248,datos_2024!$B$1:$G$342,6,FALSE),"")</f>
        <v>5.438981895</v>
      </c>
    </row>
    <row r="249" ht="14.25" customHeight="1">
      <c r="A249" s="13">
        <v>60401.0</v>
      </c>
      <c r="B249" s="14" t="s">
        <v>261</v>
      </c>
      <c r="C249" s="12">
        <f>IFERROR(VLOOKUP(A249,datos_2016!$B$1:$G$330,6,FALSE),"")</f>
        <v>8.658392435</v>
      </c>
      <c r="D249" s="12">
        <f>IFERROR(VLOOKUP(A249,datos_2024!$B$1:$G$342,6,FALSE),"")</f>
        <v>11.93444137</v>
      </c>
    </row>
    <row r="250" ht="14.25" customHeight="1">
      <c r="A250" s="10">
        <v>60402.0</v>
      </c>
      <c r="B250" s="11" t="s">
        <v>262</v>
      </c>
      <c r="C250" s="12">
        <f>IFERROR(VLOOKUP(A250,datos_2016!$B$1:$G$330,6,FALSE),"")</f>
        <v>4.71349353</v>
      </c>
      <c r="D250" s="12">
        <f>IFERROR(VLOOKUP(A250,datos_2024!$B$1:$G$342,6,FALSE),"")</f>
        <v>29.20353982</v>
      </c>
    </row>
    <row r="251" ht="14.25" customHeight="1">
      <c r="A251" s="13">
        <v>60501.0</v>
      </c>
      <c r="B251" s="14" t="s">
        <v>263</v>
      </c>
      <c r="C251" s="12">
        <f>IFERROR(VLOOKUP(A251,datos_2016!$B$1:$G$330,6,FALSE),"")</f>
        <v>12.23579921</v>
      </c>
      <c r="D251" s="12">
        <f>IFERROR(VLOOKUP(A251,datos_2024!$B$1:$G$342,6,FALSE),"")</f>
        <v>11.14104967</v>
      </c>
    </row>
    <row r="252" ht="14.25" customHeight="1">
      <c r="A252" s="10">
        <v>60502.0</v>
      </c>
      <c r="B252" s="11" t="s">
        <v>264</v>
      </c>
      <c r="C252" s="12">
        <f>IFERROR(VLOOKUP(A252,datos_2016!$B$1:$G$330,6,FALSE),"")</f>
        <v>8.336520076</v>
      </c>
      <c r="D252" s="12">
        <f>IFERROR(VLOOKUP(A252,datos_2024!$B$1:$G$342,6,FALSE),"")</f>
        <v>18.80081301</v>
      </c>
    </row>
    <row r="253" ht="14.25" customHeight="1">
      <c r="A253" s="13">
        <v>60601.0</v>
      </c>
      <c r="B253" s="14" t="s">
        <v>165</v>
      </c>
      <c r="C253" s="12">
        <f>IFERROR(VLOOKUP(A253,datos_2016!$B$1:$G$330,6,FALSE),"")</f>
        <v>8.122362869</v>
      </c>
      <c r="D253" s="12">
        <f>IFERROR(VLOOKUP(A253,datos_2024!$B$1:$G$342,6,FALSE),"")</f>
        <v>10.95547774</v>
      </c>
    </row>
    <row r="254" ht="14.25" customHeight="1">
      <c r="A254" s="10">
        <v>70101.0</v>
      </c>
      <c r="B254" s="11" t="s">
        <v>265</v>
      </c>
      <c r="C254" s="12">
        <f>IFERROR(VLOOKUP(A254,datos_2016!$B$1:$G$330,6,FALSE),"")</f>
        <v>3.599126549</v>
      </c>
      <c r="D254" s="12">
        <f>IFERROR(VLOOKUP(A254,datos_2024!$B$1:$G$342,6,FALSE),"")</f>
        <v>5.834805811</v>
      </c>
    </row>
    <row r="255" ht="14.25" customHeight="1">
      <c r="A255" s="13">
        <v>70102.0</v>
      </c>
      <c r="B255" s="14" t="s">
        <v>266</v>
      </c>
      <c r="C255" s="12">
        <f>IFERROR(VLOOKUP(A255,datos_2016!$B$1:$G$330,6,FALSE),"")</f>
        <v>7.691011709</v>
      </c>
      <c r="D255" s="12">
        <f>IFERROR(VLOOKUP(A255,datos_2024!$B$1:$G$342,6,FALSE),"")</f>
        <v>12.59680998</v>
      </c>
    </row>
    <row r="256" ht="14.25" customHeight="1">
      <c r="A256" s="10">
        <v>70103.0</v>
      </c>
      <c r="B256" s="11" t="s">
        <v>267</v>
      </c>
      <c r="C256" s="12">
        <f>IFERROR(VLOOKUP(A256,datos_2016!$B$1:$G$330,6,FALSE),"")</f>
        <v>7.180918549</v>
      </c>
      <c r="D256" s="12">
        <f>IFERROR(VLOOKUP(A256,datos_2024!$B$1:$G$342,6,FALSE),"")</f>
        <v>9.011969021</v>
      </c>
    </row>
    <row r="257" ht="14.25" customHeight="1">
      <c r="A257" s="13">
        <v>70104.0</v>
      </c>
      <c r="B257" s="14" t="s">
        <v>268</v>
      </c>
      <c r="C257" s="12">
        <f>IFERROR(VLOOKUP(A257,datos_2016!$B$1:$G$330,6,FALSE),"")</f>
        <v>4.080719313</v>
      </c>
      <c r="D257" s="12">
        <f>IFERROR(VLOOKUP(A257,datos_2024!$B$1:$G$342,6,FALSE),"")</f>
        <v>6.346711205</v>
      </c>
    </row>
    <row r="258" ht="14.25" customHeight="1">
      <c r="A258" s="10">
        <v>70105.0</v>
      </c>
      <c r="B258" s="11" t="s">
        <v>269</v>
      </c>
      <c r="C258" s="12">
        <f>IFERROR(VLOOKUP(A258,datos_2016!$B$1:$G$330,6,FALSE),"")</f>
        <v>4.008497275</v>
      </c>
      <c r="D258" s="12">
        <f>IFERROR(VLOOKUP(A258,datos_2024!$B$1:$G$342,6,FALSE),"")</f>
        <v>7.168550874</v>
      </c>
    </row>
    <row r="259" ht="14.25" customHeight="1">
      <c r="A259" s="13">
        <v>70201.0</v>
      </c>
      <c r="B259" s="14" t="s">
        <v>270</v>
      </c>
      <c r="C259" s="12">
        <f>IFERROR(VLOOKUP(A259,datos_2016!$B$1:$G$330,6,FALSE),"")</f>
        <v>5.315483454</v>
      </c>
      <c r="D259" s="12">
        <f>IFERROR(VLOOKUP(A259,datos_2024!$B$1:$G$342,6,FALSE),"")</f>
        <v>9.520409877</v>
      </c>
    </row>
    <row r="260" ht="14.25" customHeight="1">
      <c r="A260" s="10">
        <v>70202.0</v>
      </c>
      <c r="B260" s="11" t="s">
        <v>271</v>
      </c>
      <c r="C260" s="12">
        <f>IFERROR(VLOOKUP(A260,datos_2016!$B$1:$G$330,6,FALSE),"")</f>
        <v>4.670912951</v>
      </c>
      <c r="D260" s="12">
        <f>IFERROR(VLOOKUP(A260,datos_2024!$B$1:$G$342,6,FALSE),"")</f>
        <v>11.41552511</v>
      </c>
    </row>
    <row r="261" ht="14.25" customHeight="1">
      <c r="A261" s="13">
        <v>70301.0</v>
      </c>
      <c r="B261" s="14" t="s">
        <v>272</v>
      </c>
      <c r="C261" s="12">
        <f>IFERROR(VLOOKUP(A261,datos_2016!$B$1:$G$330,6,FALSE),"")</f>
        <v>3.255554003</v>
      </c>
      <c r="D261" s="12">
        <f>IFERROR(VLOOKUP(A261,datos_2024!$B$1:$G$342,6,FALSE),"")</f>
        <v>4.513888889</v>
      </c>
    </row>
    <row r="262" ht="14.25" customHeight="1">
      <c r="A262" s="10">
        <v>70302.0</v>
      </c>
      <c r="B262" s="11" t="s">
        <v>273</v>
      </c>
      <c r="C262" s="12">
        <f>IFERROR(VLOOKUP(A262,datos_2016!$B$1:$G$330,6,FALSE),"")</f>
        <v>4.44191344</v>
      </c>
      <c r="D262" s="12">
        <f>IFERROR(VLOOKUP(A262,datos_2024!$B$1:$G$342,6,FALSE),"")</f>
        <v>4.166666667</v>
      </c>
    </row>
    <row r="263" ht="14.25" customHeight="1">
      <c r="A263" s="13">
        <v>70303.0</v>
      </c>
      <c r="B263" s="14" t="s">
        <v>274</v>
      </c>
      <c r="C263" s="12">
        <f>IFERROR(VLOOKUP(A263,datos_2016!$B$1:$G$330,6,FALSE),"")</f>
        <v>5.902192243</v>
      </c>
      <c r="D263" s="12">
        <f>IFERROR(VLOOKUP(A263,datos_2024!$B$1:$G$342,6,FALSE),"")</f>
        <v>12.5</v>
      </c>
    </row>
    <row r="264" ht="14.25" customHeight="1">
      <c r="A264" s="10">
        <v>70401.0</v>
      </c>
      <c r="B264" s="11" t="s">
        <v>275</v>
      </c>
      <c r="C264" s="12">
        <f>IFERROR(VLOOKUP(A264,datos_2016!$B$1:$G$330,6,FALSE),"")</f>
        <v>6.385916465</v>
      </c>
      <c r="D264" s="12">
        <f>IFERROR(VLOOKUP(A264,datos_2024!$B$1:$G$342,6,FALSE),"")</f>
        <v>10.8662614</v>
      </c>
    </row>
    <row r="265" ht="14.25" customHeight="1">
      <c r="A265" s="13">
        <v>70402.0</v>
      </c>
      <c r="B265" s="14" t="s">
        <v>276</v>
      </c>
      <c r="C265" s="12">
        <f>IFERROR(VLOOKUP(A265,datos_2016!$B$1:$G$330,6,FALSE),"")</f>
        <v>5.087527352</v>
      </c>
      <c r="D265" s="12">
        <f>IFERROR(VLOOKUP(A265,datos_2024!$B$1:$G$342,6,FALSE),"")</f>
        <v>9.230436662</v>
      </c>
    </row>
    <row r="266" ht="14.25" customHeight="1">
      <c r="A266" s="10">
        <v>70403.0</v>
      </c>
      <c r="B266" s="11" t="s">
        <v>277</v>
      </c>
      <c r="C266" s="12">
        <f>IFERROR(VLOOKUP(A266,datos_2016!$B$1:$G$330,6,FALSE),"")</f>
        <v>4.490500864</v>
      </c>
      <c r="D266" s="12">
        <f>IFERROR(VLOOKUP(A266,datos_2024!$B$1:$G$342,6,FALSE),"")</f>
        <v>9.093597516</v>
      </c>
    </row>
    <row r="267" ht="14.25" customHeight="1">
      <c r="A267" s="13">
        <v>70404.0</v>
      </c>
      <c r="B267" s="14" t="s">
        <v>278</v>
      </c>
      <c r="C267" s="12">
        <f>IFERROR(VLOOKUP(A267,datos_2016!$B$1:$G$330,6,FALSE),"")</f>
        <v>4.773082942</v>
      </c>
      <c r="D267" s="12">
        <f>IFERROR(VLOOKUP(A267,datos_2024!$B$1:$G$342,6,FALSE),"")</f>
        <v>10.15417331</v>
      </c>
    </row>
    <row r="268" ht="14.25" customHeight="1">
      <c r="A268" s="10">
        <v>70501.0</v>
      </c>
      <c r="B268" s="11" t="s">
        <v>279</v>
      </c>
      <c r="C268" s="12">
        <f>IFERROR(VLOOKUP(A268,datos_2016!$B$1:$G$330,6,FALSE),"")</f>
        <v>3.855799373</v>
      </c>
      <c r="D268" s="12">
        <f>IFERROR(VLOOKUP(A268,datos_2024!$B$1:$G$342,6,FALSE),"")</f>
        <v>13.38289963</v>
      </c>
    </row>
    <row r="269" ht="14.25" customHeight="1">
      <c r="A269" s="13">
        <v>70502.0</v>
      </c>
      <c r="B269" s="14" t="s">
        <v>280</v>
      </c>
      <c r="C269" s="12">
        <f>IFERROR(VLOOKUP(A269,datos_2016!$B$1:$G$330,6,FALSE),"")</f>
        <v>6.344628695</v>
      </c>
      <c r="D269" s="12">
        <f>IFERROR(VLOOKUP(A269,datos_2024!$B$1:$G$342,6,FALSE),"")</f>
        <v>9.040590406</v>
      </c>
    </row>
    <row r="270" ht="14.25" customHeight="1">
      <c r="A270" s="10">
        <v>70503.0</v>
      </c>
      <c r="B270" s="11" t="s">
        <v>281</v>
      </c>
      <c r="C270" s="12">
        <f>IFERROR(VLOOKUP(A270,datos_2016!$B$1:$G$330,6,FALSE),"")</f>
        <v>4.521276596</v>
      </c>
      <c r="D270" s="12">
        <f>IFERROR(VLOOKUP(A270,datos_2024!$B$1:$G$342,6,FALSE),"")</f>
        <v>11.82108626</v>
      </c>
    </row>
    <row r="271" ht="14.25" customHeight="1">
      <c r="A271" s="13">
        <v>70601.0</v>
      </c>
      <c r="B271" s="14" t="s">
        <v>282</v>
      </c>
      <c r="C271" s="12">
        <f>IFERROR(VLOOKUP(A271,datos_2016!$B$1:$G$330,6,FALSE),"")</f>
        <v>2.638522427</v>
      </c>
      <c r="D271" s="12">
        <f>IFERROR(VLOOKUP(A271,datos_2024!$B$1:$G$342,6,FALSE),"")</f>
        <v>6.117404737</v>
      </c>
    </row>
    <row r="272" ht="14.25" customHeight="1">
      <c r="A272" s="10">
        <v>70602.0</v>
      </c>
      <c r="B272" s="11" t="s">
        <v>283</v>
      </c>
      <c r="C272" s="12">
        <f>IFERROR(VLOOKUP(A272,datos_2016!$B$1:$G$330,6,FALSE),"")</f>
        <v>6.730428622</v>
      </c>
      <c r="D272" s="12">
        <f>IFERROR(VLOOKUP(A272,datos_2024!$B$1:$G$342,6,FALSE),"")</f>
        <v>11.04375329</v>
      </c>
    </row>
    <row r="273" ht="14.25" customHeight="1">
      <c r="A273" s="13">
        <v>70603.0</v>
      </c>
      <c r="B273" s="14" t="s">
        <v>284</v>
      </c>
      <c r="C273" s="12">
        <f>IFERROR(VLOOKUP(A273,datos_2016!$B$1:$G$330,6,FALSE),"")</f>
        <v>4.791666667</v>
      </c>
      <c r="D273" s="12">
        <f>IFERROR(VLOOKUP(A273,datos_2024!$B$1:$G$342,6,FALSE),"")</f>
        <v>11.91454396</v>
      </c>
    </row>
    <row r="274" ht="14.25" customHeight="1">
      <c r="A274" s="10">
        <v>70701.0</v>
      </c>
      <c r="B274" s="11" t="s">
        <v>285</v>
      </c>
      <c r="C274" s="12">
        <f>IFERROR(VLOOKUP(A274,datos_2016!$B$1:$G$330,6,FALSE),"")</f>
        <v>3.250975293</v>
      </c>
      <c r="D274" s="12">
        <f>IFERROR(VLOOKUP(A274,datos_2024!$B$1:$G$342,6,FALSE),"")</f>
        <v>12.64367816</v>
      </c>
    </row>
    <row r="275" ht="14.25" customHeight="1">
      <c r="A275" s="13">
        <v>70702.0</v>
      </c>
      <c r="B275" s="14" t="s">
        <v>286</v>
      </c>
      <c r="C275" s="12">
        <f>IFERROR(VLOOKUP(A275,datos_2016!$B$1:$G$330,6,FALSE),"")</f>
        <v>5.279366476</v>
      </c>
      <c r="D275" s="12">
        <f>IFERROR(VLOOKUP(A275,datos_2024!$B$1:$G$342,6,FALSE),"")</f>
        <v>13.48747592</v>
      </c>
    </row>
    <row r="276" ht="14.25" customHeight="1">
      <c r="A276" s="10">
        <v>70703.0</v>
      </c>
      <c r="B276" s="11" t="s">
        <v>287</v>
      </c>
      <c r="C276" s="12">
        <f>IFERROR(VLOOKUP(A276,datos_2016!$B$1:$G$330,6,FALSE),"")</f>
        <v>7.076528979</v>
      </c>
      <c r="D276" s="12">
        <f>IFERROR(VLOOKUP(A276,datos_2024!$B$1:$G$342,6,FALSE),"")</f>
        <v>12.67276207</v>
      </c>
    </row>
    <row r="277" ht="14.25" customHeight="1">
      <c r="A277" s="13">
        <v>70704.0</v>
      </c>
      <c r="B277" s="14" t="s">
        <v>288</v>
      </c>
      <c r="C277" s="12">
        <f>IFERROR(VLOOKUP(A277,datos_2016!$B$1:$G$330,6,FALSE),"")</f>
        <v>5.190839695</v>
      </c>
      <c r="D277" s="12">
        <f>IFERROR(VLOOKUP(A277,datos_2024!$B$1:$G$342,6,FALSE),"")</f>
        <v>12.72727273</v>
      </c>
    </row>
    <row r="278" ht="14.25" customHeight="1">
      <c r="A278" s="10">
        <v>70705.0</v>
      </c>
      <c r="B278" s="11" t="s">
        <v>289</v>
      </c>
      <c r="C278" s="12">
        <f>IFERROR(VLOOKUP(A278,datos_2016!$B$1:$G$330,6,FALSE),"")</f>
        <v>3.465346535</v>
      </c>
      <c r="D278" s="12">
        <f>IFERROR(VLOOKUP(A278,datos_2024!$B$1:$G$342,6,FALSE),"")</f>
        <v>15</v>
      </c>
    </row>
    <row r="279" ht="14.25" customHeight="1">
      <c r="A279" s="13">
        <v>70706.0</v>
      </c>
      <c r="B279" s="14" t="s">
        <v>290</v>
      </c>
      <c r="C279" s="12">
        <f>IFERROR(VLOOKUP(A279,datos_2016!$B$1:$G$330,6,FALSE),"")</f>
        <v>2.8701108</v>
      </c>
      <c r="D279" s="12">
        <f>IFERROR(VLOOKUP(A279,datos_2024!$B$1:$G$342,6,FALSE),"")</f>
        <v>5.665024631</v>
      </c>
    </row>
    <row r="280" ht="14.25" customHeight="1">
      <c r="A280" s="10">
        <v>70707.0</v>
      </c>
      <c r="B280" s="11" t="s">
        <v>291</v>
      </c>
      <c r="C280" s="12">
        <f>IFERROR(VLOOKUP(A280,datos_2016!$B$1:$G$330,6,FALSE),"")</f>
        <v>3.722084367</v>
      </c>
      <c r="D280" s="12">
        <f>IFERROR(VLOOKUP(A280,datos_2024!$B$1:$G$342,6,FALSE),"")</f>
        <v>11.16071429</v>
      </c>
    </row>
    <row r="281" ht="14.25" customHeight="1">
      <c r="A281" s="13">
        <v>70801.0</v>
      </c>
      <c r="B281" s="14" t="s">
        <v>292</v>
      </c>
      <c r="C281" s="12">
        <f>IFERROR(VLOOKUP(A281,datos_2016!$B$1:$G$330,6,FALSE),"")</f>
        <v>6.795679568</v>
      </c>
      <c r="D281" s="12">
        <f>IFERROR(VLOOKUP(A281,datos_2024!$B$1:$G$342,6,FALSE),"")</f>
        <v>8.823529412</v>
      </c>
    </row>
    <row r="282" ht="14.25" customHeight="1">
      <c r="A282" s="10">
        <v>70802.0</v>
      </c>
      <c r="B282" s="11" t="s">
        <v>293</v>
      </c>
      <c r="C282" s="12">
        <f>IFERROR(VLOOKUP(A282,datos_2016!$B$1:$G$330,6,FALSE),"")</f>
        <v>5.961538462</v>
      </c>
      <c r="D282" s="12">
        <f>IFERROR(VLOOKUP(A282,datos_2024!$B$1:$G$342,6,FALSE),"")</f>
        <v>20.83333333</v>
      </c>
    </row>
    <row r="283" ht="14.25" customHeight="1">
      <c r="A283" s="13">
        <v>70803.0</v>
      </c>
      <c r="B283" s="14" t="s">
        <v>294</v>
      </c>
      <c r="C283" s="12">
        <f>IFERROR(VLOOKUP(A283,datos_2016!$B$1:$G$330,6,FALSE),"")</f>
        <v>5.882352941</v>
      </c>
      <c r="D283" s="12">
        <f>IFERROR(VLOOKUP(A283,datos_2024!$B$1:$G$342,6,FALSE),"")</f>
        <v>9.090909091</v>
      </c>
    </row>
    <row r="284" ht="14.25" customHeight="1">
      <c r="A284" s="10">
        <v>70804.0</v>
      </c>
      <c r="B284" s="11" t="s">
        <v>295</v>
      </c>
      <c r="C284" s="12">
        <f>IFERROR(VLOOKUP(A284,datos_2016!$B$1:$G$330,6,FALSE),"")</f>
        <v>11.79775281</v>
      </c>
      <c r="D284" s="12">
        <f>IFERROR(VLOOKUP(A284,datos_2024!$B$1:$G$342,6,FALSE),"")</f>
        <v>43.75</v>
      </c>
    </row>
    <row r="285" ht="14.25" customHeight="1">
      <c r="A285" s="13">
        <v>70805.0</v>
      </c>
      <c r="B285" s="14" t="s">
        <v>296</v>
      </c>
      <c r="C285" s="12" t="str">
        <f>IFERROR(VLOOKUP(A285,datos_2016!$B$1:$G$330,6,FALSE),"")</f>
        <v/>
      </c>
      <c r="D285" s="12" t="str">
        <f>IFERROR(VLOOKUP(A285,datos_2024!$B$1:$G$342,6,FALSE),"")</f>
        <v/>
      </c>
    </row>
    <row r="286" ht="14.25" customHeight="1">
      <c r="A286" s="10">
        <v>70901.0</v>
      </c>
      <c r="B286" s="11" t="s">
        <v>297</v>
      </c>
      <c r="C286" s="12">
        <f>IFERROR(VLOOKUP(A286,datos_2016!$B$1:$G$330,6,FALSE),"")</f>
        <v>7.112068966</v>
      </c>
      <c r="D286" s="12">
        <f>IFERROR(VLOOKUP(A286,datos_2024!$B$1:$G$342,6,FALSE),"")</f>
        <v>12.37322515</v>
      </c>
    </row>
    <row r="287" ht="14.25" customHeight="1">
      <c r="A287" s="13">
        <v>70902.0</v>
      </c>
      <c r="B287" s="14" t="s">
        <v>298</v>
      </c>
      <c r="C287" s="12">
        <f>IFERROR(VLOOKUP(A287,datos_2016!$B$1:$G$330,6,FALSE),"")</f>
        <v>6.823120382</v>
      </c>
      <c r="D287" s="12">
        <f>IFERROR(VLOOKUP(A287,datos_2024!$B$1:$G$342,6,FALSE),"")</f>
        <v>8.636363636</v>
      </c>
    </row>
    <row r="288" ht="14.25" customHeight="1">
      <c r="A288" s="10">
        <v>70903.0</v>
      </c>
      <c r="B288" s="11" t="s">
        <v>299</v>
      </c>
      <c r="C288" s="12">
        <f>IFERROR(VLOOKUP(A288,datos_2016!$B$1:$G$330,6,FALSE),"")</f>
        <v>5.220101286</v>
      </c>
      <c r="D288" s="12">
        <f>IFERROR(VLOOKUP(A288,datos_2024!$B$1:$G$342,6,FALSE),"")</f>
        <v>10.76923077</v>
      </c>
    </row>
    <row r="289" ht="14.25" customHeight="1">
      <c r="A289" s="13">
        <v>70904.0</v>
      </c>
      <c r="B289" s="14" t="s">
        <v>300</v>
      </c>
      <c r="C289" s="12">
        <f>IFERROR(VLOOKUP(A289,datos_2016!$B$1:$G$330,6,FALSE),"")</f>
        <v>10.591133</v>
      </c>
      <c r="D289" s="12">
        <f>IFERROR(VLOOKUP(A289,datos_2024!$B$1:$G$342,6,FALSE),"")</f>
        <v>7.317073171</v>
      </c>
    </row>
    <row r="290" ht="14.25" customHeight="1">
      <c r="A290" s="10">
        <v>71001.0</v>
      </c>
      <c r="B290" s="11" t="s">
        <v>301</v>
      </c>
      <c r="C290" s="12">
        <f>IFERROR(VLOOKUP(A290,datos_2016!$B$1:$G$330,6,FALSE),"")</f>
        <v>3.130694053</v>
      </c>
      <c r="D290" s="12">
        <f>IFERROR(VLOOKUP(A290,datos_2024!$B$1:$G$342,6,FALSE),"")</f>
        <v>5.742852679</v>
      </c>
    </row>
    <row r="291" ht="14.25" customHeight="1">
      <c r="A291" s="13">
        <v>71002.0</v>
      </c>
      <c r="B291" s="14" t="s">
        <v>302</v>
      </c>
      <c r="C291" s="12">
        <f>IFERROR(VLOOKUP(A291,datos_2016!$B$1:$G$330,6,FALSE),"")</f>
        <v>5.817490494</v>
      </c>
      <c r="D291" s="12">
        <f>IFERROR(VLOOKUP(A291,datos_2024!$B$1:$G$342,6,FALSE),"")</f>
        <v>10.28553884</v>
      </c>
    </row>
    <row r="292" ht="14.25" customHeight="1">
      <c r="A292" s="10">
        <v>71003.0</v>
      </c>
      <c r="B292" s="11" t="s">
        <v>303</v>
      </c>
      <c r="C292" s="12">
        <f>IFERROR(VLOOKUP(A292,datos_2016!$B$1:$G$330,6,FALSE),"")</f>
        <v>3.757431629</v>
      </c>
      <c r="D292" s="12">
        <f>IFERROR(VLOOKUP(A292,datos_2024!$B$1:$G$342,6,FALSE),"")</f>
        <v>7.553551297</v>
      </c>
    </row>
    <row r="293" ht="14.25" customHeight="1">
      <c r="A293" s="13">
        <v>71004.0</v>
      </c>
      <c r="B293" s="14" t="s">
        <v>304</v>
      </c>
      <c r="C293" s="12">
        <f>IFERROR(VLOOKUP(A293,datos_2016!$B$1:$G$330,6,FALSE),"")</f>
        <v>5.070074196</v>
      </c>
      <c r="D293" s="12">
        <f>IFERROR(VLOOKUP(A293,datos_2024!$B$1:$G$342,6,FALSE),"")</f>
        <v>7.980295567</v>
      </c>
    </row>
    <row r="294" ht="14.25" customHeight="1">
      <c r="A294" s="10">
        <v>71005.0</v>
      </c>
      <c r="B294" s="11" t="s">
        <v>305</v>
      </c>
      <c r="C294" s="12">
        <f>IFERROR(VLOOKUP(A294,datos_2016!$B$1:$G$330,6,FALSE),"")</f>
        <v>5.141843972</v>
      </c>
      <c r="D294" s="12">
        <f>IFERROR(VLOOKUP(A294,datos_2024!$B$1:$G$342,6,FALSE),"")</f>
        <v>9.493114562</v>
      </c>
    </row>
    <row r="295" ht="14.25" customHeight="1">
      <c r="A295" s="13">
        <v>71101.0</v>
      </c>
      <c r="B295" s="14" t="s">
        <v>306</v>
      </c>
      <c r="C295" s="12">
        <f>IFERROR(VLOOKUP(A295,datos_2016!$B$1:$G$330,6,FALSE),"")</f>
        <v>5.297367566</v>
      </c>
      <c r="D295" s="12">
        <f>IFERROR(VLOOKUP(A295,datos_2024!$B$1:$G$342,6,FALSE),"")</f>
        <v>11.18530885</v>
      </c>
    </row>
    <row r="296" ht="14.25" customHeight="1">
      <c r="A296" s="10">
        <v>71102.0</v>
      </c>
      <c r="B296" s="11" t="s">
        <v>307</v>
      </c>
      <c r="C296" s="12">
        <f>IFERROR(VLOOKUP(A296,datos_2016!$B$1:$G$330,6,FALSE),"")</f>
        <v>3.843605036</v>
      </c>
      <c r="D296" s="12">
        <f>IFERROR(VLOOKUP(A296,datos_2024!$B$1:$G$342,6,FALSE),"")</f>
        <v>15.52795031</v>
      </c>
    </row>
    <row r="297" ht="14.25" customHeight="1">
      <c r="A297" s="13">
        <v>71103.0</v>
      </c>
      <c r="B297" s="14" t="s">
        <v>308</v>
      </c>
      <c r="C297" s="12">
        <f>IFERROR(VLOOKUP(A297,datos_2016!$B$1:$G$330,6,FALSE),"")</f>
        <v>3.782894737</v>
      </c>
      <c r="D297" s="12">
        <f>IFERROR(VLOOKUP(A297,datos_2024!$B$1:$G$342,6,FALSE),"")</f>
        <v>11.72839506</v>
      </c>
    </row>
    <row r="298" ht="14.25" customHeight="1">
      <c r="A298" s="10">
        <v>71104.0</v>
      </c>
      <c r="B298" s="11" t="s">
        <v>309</v>
      </c>
      <c r="C298" s="12">
        <f>IFERROR(VLOOKUP(A298,datos_2016!$B$1:$G$330,6,FALSE),"")</f>
        <v>4.966407588</v>
      </c>
      <c r="D298" s="12">
        <f>IFERROR(VLOOKUP(A298,datos_2024!$B$1:$G$342,6,FALSE),"")</f>
        <v>8.833223467</v>
      </c>
    </row>
    <row r="299" ht="14.25" customHeight="1">
      <c r="A299" s="13">
        <v>71105.0</v>
      </c>
      <c r="B299" s="14" t="s">
        <v>310</v>
      </c>
      <c r="C299" s="12">
        <f>IFERROR(VLOOKUP(A299,datos_2016!$B$1:$G$330,6,FALSE),"")</f>
        <v>2.890792291</v>
      </c>
      <c r="D299" s="12">
        <f>IFERROR(VLOOKUP(A299,datos_2024!$B$1:$G$342,6,FALSE),"")</f>
        <v>9.589041096</v>
      </c>
    </row>
    <row r="300" ht="14.25" customHeight="1">
      <c r="A300" s="10">
        <v>71106.0</v>
      </c>
      <c r="B300" s="11" t="s">
        <v>311</v>
      </c>
      <c r="C300" s="12">
        <f>IFERROR(VLOOKUP(A300,datos_2016!$B$1:$G$330,6,FALSE),"")</f>
        <v>5.276907001</v>
      </c>
      <c r="D300" s="12" t="str">
        <f>IFERROR(VLOOKUP(A300,datos_2024!$B$1:$G$342,6,FALSE),"")</f>
        <v/>
      </c>
    </row>
    <row r="301" ht="14.25" customHeight="1">
      <c r="A301" s="13">
        <v>71201.0</v>
      </c>
      <c r="B301" s="14" t="s">
        <v>312</v>
      </c>
      <c r="C301" s="12">
        <f>IFERROR(VLOOKUP(A301,datos_2016!$B$1:$G$330,6,FALSE),"")</f>
        <v>0</v>
      </c>
      <c r="D301" s="12">
        <f>IFERROR(VLOOKUP(A301,datos_2024!$B$1:$G$342,6,FALSE),"")</f>
        <v>0</v>
      </c>
    </row>
    <row r="302" ht="14.25" customHeight="1">
      <c r="A302" s="10">
        <v>71301.0</v>
      </c>
      <c r="B302" s="11" t="s">
        <v>313</v>
      </c>
      <c r="C302" s="12">
        <f>IFERROR(VLOOKUP(A302,datos_2016!$B$1:$G$330,6,FALSE),"")</f>
        <v>5.311973019</v>
      </c>
      <c r="D302" s="12">
        <f>IFERROR(VLOOKUP(A302,datos_2024!$B$1:$G$342,6,FALSE),"")</f>
        <v>8.888888889</v>
      </c>
    </row>
    <row r="303" ht="14.25" customHeight="1">
      <c r="A303" s="13">
        <v>71302.0</v>
      </c>
      <c r="B303" s="14" t="s">
        <v>314</v>
      </c>
      <c r="C303" s="12">
        <f>IFERROR(VLOOKUP(A303,datos_2016!$B$1:$G$330,6,FALSE),"")</f>
        <v>8.887171561</v>
      </c>
      <c r="D303" s="12">
        <f>IFERROR(VLOOKUP(A303,datos_2024!$B$1:$G$342,6,FALSE),"")</f>
        <v>10.47619048</v>
      </c>
    </row>
    <row r="304" ht="14.25" customHeight="1">
      <c r="A304" s="10">
        <v>71401.0</v>
      </c>
      <c r="B304" s="11" t="s">
        <v>315</v>
      </c>
      <c r="C304" s="12">
        <f>IFERROR(VLOOKUP(A304,datos_2016!$B$1:$G$330,6,FALSE),"")</f>
        <v>7.377251419</v>
      </c>
      <c r="D304" s="12">
        <f>IFERROR(VLOOKUP(A304,datos_2024!$B$1:$G$342,6,FALSE),"")</f>
        <v>9.727626459</v>
      </c>
    </row>
    <row r="305" ht="14.25" customHeight="1">
      <c r="A305" s="13">
        <v>71402.0</v>
      </c>
      <c r="B305" s="14" t="s">
        <v>316</v>
      </c>
      <c r="C305" s="12">
        <f>IFERROR(VLOOKUP(A305,datos_2016!$B$1:$G$330,6,FALSE),"")</f>
        <v>5.794746818</v>
      </c>
      <c r="D305" s="12">
        <f>IFERROR(VLOOKUP(A305,datos_2024!$B$1:$G$342,6,FALSE),"")</f>
        <v>7.627118644</v>
      </c>
    </row>
    <row r="306" ht="14.25" customHeight="1">
      <c r="A306" s="10">
        <v>71403.0</v>
      </c>
      <c r="B306" s="11" t="s">
        <v>317</v>
      </c>
      <c r="C306" s="12">
        <f>IFERROR(VLOOKUP(A306,datos_2016!$B$1:$G$330,6,FALSE),"")</f>
        <v>3.995157385</v>
      </c>
      <c r="D306" s="12">
        <f>IFERROR(VLOOKUP(A306,datos_2024!$B$1:$G$342,6,FALSE),"")</f>
        <v>7.5</v>
      </c>
    </row>
    <row r="307" ht="14.25" customHeight="1">
      <c r="A307" s="13">
        <v>71501.0</v>
      </c>
      <c r="B307" s="14" t="s">
        <v>318</v>
      </c>
      <c r="C307" s="12">
        <f>IFERROR(VLOOKUP(A307,datos_2016!$B$1:$G$330,6,FALSE),"")</f>
        <v>4.192582354</v>
      </c>
      <c r="D307" s="12">
        <f>IFERROR(VLOOKUP(A307,datos_2024!$B$1:$G$342,6,FALSE),"")</f>
        <v>12.8164557</v>
      </c>
    </row>
    <row r="308" ht="14.25" customHeight="1">
      <c r="A308" s="10">
        <v>71502.0</v>
      </c>
      <c r="B308" s="11" t="s">
        <v>319</v>
      </c>
      <c r="C308" s="12">
        <f>IFERROR(VLOOKUP(A308,datos_2016!$B$1:$G$330,6,FALSE),"")</f>
        <v>5.162738496</v>
      </c>
      <c r="D308" s="12">
        <f>IFERROR(VLOOKUP(A308,datos_2024!$B$1:$G$342,6,FALSE),"")</f>
        <v>20</v>
      </c>
    </row>
    <row r="309" ht="14.25" customHeight="1">
      <c r="A309" s="13">
        <v>71503.0</v>
      </c>
      <c r="B309" s="14" t="s">
        <v>264</v>
      </c>
      <c r="C309" s="12">
        <f>IFERROR(VLOOKUP(A309,datos_2016!$B$1:$G$330,6,FALSE),"")</f>
        <v>6.279620853</v>
      </c>
      <c r="D309" s="12">
        <f>IFERROR(VLOOKUP(A309,datos_2024!$B$1:$G$342,6,FALSE),"")</f>
        <v>14.64968153</v>
      </c>
    </row>
    <row r="310" ht="14.25" customHeight="1">
      <c r="A310" s="10">
        <v>80101.0</v>
      </c>
      <c r="B310" s="11" t="s">
        <v>320</v>
      </c>
      <c r="C310" s="12">
        <f>IFERROR(VLOOKUP(A310,datos_2016!$B$1:$G$330,6,FALSE),"")</f>
        <v>1.278436846</v>
      </c>
      <c r="D310" s="12">
        <f>IFERROR(VLOOKUP(A310,datos_2024!$B$1:$G$342,6,FALSE),"")</f>
        <v>1.223749811</v>
      </c>
    </row>
    <row r="311" ht="14.25" customHeight="1">
      <c r="A311" s="13">
        <v>80102.0</v>
      </c>
      <c r="B311" s="14" t="s">
        <v>307</v>
      </c>
      <c r="C311" s="12">
        <f>IFERROR(VLOOKUP(A311,datos_2016!$B$1:$G$330,6,FALSE),"")</f>
        <v>4.379562044</v>
      </c>
      <c r="D311" s="12">
        <f>IFERROR(VLOOKUP(A311,datos_2024!$B$1:$G$342,6,FALSE),"")</f>
        <v>4.47761194</v>
      </c>
    </row>
    <row r="312" ht="14.25" customHeight="1">
      <c r="A312" s="10">
        <v>80201.0</v>
      </c>
      <c r="B312" s="11" t="s">
        <v>321</v>
      </c>
      <c r="C312" s="12">
        <f>IFERROR(VLOOKUP(A312,datos_2016!$B$1:$G$330,6,FALSE),"")</f>
        <v>0</v>
      </c>
      <c r="D312" s="12">
        <f>IFERROR(VLOOKUP(A312,datos_2024!$B$1:$G$342,6,FALSE),"")</f>
        <v>1.658310837</v>
      </c>
    </row>
    <row r="313" ht="14.25" customHeight="1">
      <c r="A313" s="13">
        <v>80202.0</v>
      </c>
      <c r="B313" s="14" t="s">
        <v>322</v>
      </c>
      <c r="C313" s="12">
        <f>IFERROR(VLOOKUP(A313,datos_2016!$B$1:$G$330,6,FALSE),"")</f>
        <v>0</v>
      </c>
      <c r="D313" s="12">
        <f>IFERROR(VLOOKUP(A313,datos_2024!$B$1:$G$342,6,FALSE),"")</f>
        <v>0.7647565704</v>
      </c>
    </row>
    <row r="314" ht="14.25" customHeight="1">
      <c r="A314" s="10">
        <v>80301.0</v>
      </c>
      <c r="B314" s="11" t="s">
        <v>323</v>
      </c>
      <c r="C314" s="12">
        <f>IFERROR(VLOOKUP(A314,datos_2016!$B$1:$G$330,6,FALSE),"")</f>
        <v>0.7233796296</v>
      </c>
      <c r="D314" s="12">
        <f>IFERROR(VLOOKUP(A314,datos_2024!$B$1:$G$342,6,FALSE),"")</f>
        <v>3.07275192</v>
      </c>
    </row>
    <row r="315" ht="14.25" customHeight="1">
      <c r="A315" s="13">
        <v>80302.0</v>
      </c>
      <c r="B315" s="14" t="s">
        <v>324</v>
      </c>
      <c r="C315" s="12">
        <f>IFERROR(VLOOKUP(A315,datos_2016!$B$1:$G$330,6,FALSE),"")</f>
        <v>1.498627495</v>
      </c>
      <c r="D315" s="12">
        <f>IFERROR(VLOOKUP(A315,datos_2024!$B$1:$G$342,6,FALSE),"")</f>
        <v>3.236093067</v>
      </c>
    </row>
    <row r="316" ht="14.25" customHeight="1">
      <c r="A316" s="10">
        <v>80303.0</v>
      </c>
      <c r="B316" s="11" t="s">
        <v>325</v>
      </c>
      <c r="C316" s="12">
        <f>IFERROR(VLOOKUP(A316,datos_2016!$B$1:$G$330,6,FALSE),"")</f>
        <v>0.1430615165</v>
      </c>
      <c r="D316" s="12">
        <f>IFERROR(VLOOKUP(A316,datos_2024!$B$1:$G$342,6,FALSE),"")</f>
        <v>3.031887088</v>
      </c>
    </row>
    <row r="317" ht="14.25" customHeight="1">
      <c r="A317" s="13">
        <v>80304.0</v>
      </c>
      <c r="B317" s="14" t="s">
        <v>326</v>
      </c>
      <c r="C317" s="12">
        <f>IFERROR(VLOOKUP(A317,datos_2016!$B$1:$G$330,6,FALSE),"")</f>
        <v>1.113916531</v>
      </c>
      <c r="D317" s="12">
        <f>IFERROR(VLOOKUP(A317,datos_2024!$B$1:$G$342,6,FALSE),"")</f>
        <v>5.548726953</v>
      </c>
    </row>
    <row r="318" ht="14.25" customHeight="1">
      <c r="A318" s="10">
        <v>80401.0</v>
      </c>
      <c r="B318" s="11" t="s">
        <v>327</v>
      </c>
      <c r="C318" s="12">
        <f>IFERROR(VLOOKUP(A318,datos_2016!$B$1:$G$330,6,FALSE),"")</f>
        <v>0.0656081879</v>
      </c>
      <c r="D318" s="12">
        <f>IFERROR(VLOOKUP(A318,datos_2024!$B$1:$G$342,6,FALSE),"")</f>
        <v>2.227033715</v>
      </c>
    </row>
    <row r="319" ht="14.25" customHeight="1">
      <c r="A319" s="15">
        <v>80402.0</v>
      </c>
      <c r="B319" s="14" t="s">
        <v>328</v>
      </c>
      <c r="C319" s="12" t="str">
        <f>IFERROR(VLOOKUP(A319,datos_2016!$B$1:$G$330,6,FALSE),"")</f>
        <v/>
      </c>
      <c r="D319" s="12">
        <f>IFERROR(VLOOKUP(A319,datos_2024!$B$1:$G$342,6,FALSE),"")</f>
        <v>0</v>
      </c>
    </row>
    <row r="320" ht="14.25" customHeight="1">
      <c r="A320" s="10">
        <v>80501.0</v>
      </c>
      <c r="B320" s="11" t="s">
        <v>329</v>
      </c>
      <c r="C320" s="12">
        <f>IFERROR(VLOOKUP(A320,datos_2016!$B$1:$G$330,6,FALSE),"")</f>
        <v>0.5429486287</v>
      </c>
      <c r="D320" s="12">
        <f>IFERROR(VLOOKUP(A320,datos_2024!$B$1:$G$342,6,FALSE),"")</f>
        <v>2.790304397</v>
      </c>
    </row>
    <row r="321" ht="14.25" customHeight="1">
      <c r="A321" s="13">
        <v>80601.0</v>
      </c>
      <c r="B321" s="14" t="s">
        <v>330</v>
      </c>
      <c r="C321" s="12">
        <f>IFERROR(VLOOKUP(A321,datos_2016!$B$1:$G$330,6,FALSE),"")</f>
        <v>2.339181287</v>
      </c>
      <c r="D321" s="12">
        <f>IFERROR(VLOOKUP(A321,datos_2024!$B$1:$G$342,6,FALSE),"")</f>
        <v>3.714285714</v>
      </c>
    </row>
    <row r="322" ht="14.25" customHeight="1">
      <c r="A322" s="10">
        <v>80602.0</v>
      </c>
      <c r="B322" s="11" t="s">
        <v>331</v>
      </c>
      <c r="C322" s="12">
        <f>IFERROR(VLOOKUP(A322,datos_2016!$B$1:$G$330,6,FALSE),"")</f>
        <v>3.243243243</v>
      </c>
      <c r="D322" s="12">
        <f>IFERROR(VLOOKUP(A322,datos_2024!$B$1:$G$342,6,FALSE),"")</f>
        <v>5.630630631</v>
      </c>
    </row>
    <row r="323" ht="14.25" customHeight="1">
      <c r="A323" s="13">
        <v>80701.0</v>
      </c>
      <c r="B323" s="14" t="s">
        <v>332</v>
      </c>
      <c r="C323" s="12">
        <f>IFERROR(VLOOKUP(A323,datos_2016!$B$1:$G$330,6,FALSE),"")</f>
        <v>0.8605851979</v>
      </c>
      <c r="D323" s="12">
        <f>IFERROR(VLOOKUP(A323,datos_2024!$B$1:$G$342,6,FALSE),"")</f>
        <v>1.258389262</v>
      </c>
    </row>
    <row r="324" ht="14.25" customHeight="1">
      <c r="A324" s="10">
        <v>80702.0</v>
      </c>
      <c r="B324" s="11" t="s">
        <v>308</v>
      </c>
      <c r="C324" s="12">
        <f>IFERROR(VLOOKUP(A324,datos_2016!$B$1:$G$330,6,FALSE),"")</f>
        <v>2.252906977</v>
      </c>
      <c r="D324" s="12">
        <f>IFERROR(VLOOKUP(A324,datos_2024!$B$1:$G$342,6,FALSE),"")</f>
        <v>2.159624413</v>
      </c>
    </row>
    <row r="325" ht="14.25" customHeight="1">
      <c r="A325" s="13">
        <v>80703.0</v>
      </c>
      <c r="B325" s="14" t="s">
        <v>333</v>
      </c>
      <c r="C325" s="12" t="str">
        <f>IFERROR(VLOOKUP(A325,datos_2016!$B$1:$G$330,6,FALSE),"")</f>
        <v/>
      </c>
      <c r="D325" s="12" t="str">
        <f>IFERROR(VLOOKUP(A325,datos_2024!$B$1:$G$342,6,FALSE),"")</f>
        <v/>
      </c>
    </row>
    <row r="326" ht="14.25" customHeight="1">
      <c r="A326" s="10">
        <v>80801.0</v>
      </c>
      <c r="B326" s="11" t="s">
        <v>334</v>
      </c>
      <c r="C326" s="12">
        <f>IFERROR(VLOOKUP(A326,datos_2016!$B$1:$G$330,6,FALSE),"")</f>
        <v>0.3253090436</v>
      </c>
      <c r="D326" s="12">
        <f>IFERROR(VLOOKUP(A326,datos_2024!$B$1:$G$342,6,FALSE),"")</f>
        <v>1.648351648</v>
      </c>
    </row>
    <row r="327" ht="14.25" customHeight="1">
      <c r="A327" s="13">
        <v>80802.0</v>
      </c>
      <c r="B327" s="14" t="s">
        <v>335</v>
      </c>
      <c r="C327" s="12">
        <f>IFERROR(VLOOKUP(A327,datos_2016!$B$1:$G$330,6,FALSE),"")</f>
        <v>0</v>
      </c>
      <c r="D327" s="12">
        <f>IFERROR(VLOOKUP(A327,datos_2024!$B$1:$G$342,6,FALSE),"")</f>
        <v>1.392515231</v>
      </c>
    </row>
    <row r="328" ht="14.25" customHeight="1">
      <c r="A328" s="10">
        <v>80803.0</v>
      </c>
      <c r="B328" s="11" t="s">
        <v>336</v>
      </c>
      <c r="C328" s="12">
        <f>IFERROR(VLOOKUP(A328,datos_2016!$B$1:$G$330,6,FALSE),"")</f>
        <v>0</v>
      </c>
      <c r="D328" s="12">
        <f>IFERROR(VLOOKUP(A328,datos_2024!$B$1:$G$342,6,FALSE),"")</f>
        <v>0.9592326139</v>
      </c>
    </row>
    <row r="329" ht="14.25" customHeight="1">
      <c r="A329" s="13">
        <v>80901.0</v>
      </c>
      <c r="B329" s="14" t="s">
        <v>337</v>
      </c>
      <c r="C329" s="12" t="str">
        <f>IFERROR(VLOOKUP(A329,datos_2016!$B$1:$G$330,6,FALSE),"")</f>
        <v/>
      </c>
      <c r="D329" s="12" t="str">
        <f>IFERROR(VLOOKUP(A329,datos_2024!$B$1:$G$342,6,FALSE),"")</f>
        <v/>
      </c>
    </row>
    <row r="330" ht="14.25" customHeight="1">
      <c r="A330" s="10">
        <v>90101.0</v>
      </c>
      <c r="B330" s="11" t="s">
        <v>338</v>
      </c>
      <c r="C330" s="12">
        <f>IFERROR(VLOOKUP(A330,datos_2016!$B$1:$G$330,6,FALSE),"")</f>
        <v>2.02639421</v>
      </c>
      <c r="D330" s="12">
        <f>IFERROR(VLOOKUP(A330,datos_2024!$B$1:$G$342,6,FALSE),"")</f>
        <v>1.731430082</v>
      </c>
    </row>
    <row r="331" ht="14.25" customHeight="1">
      <c r="A331" s="13">
        <v>90102.0</v>
      </c>
      <c r="B331" s="14" t="s">
        <v>339</v>
      </c>
      <c r="C331" s="12">
        <f>IFERROR(VLOOKUP(A331,datos_2016!$B$1:$G$330,6,FALSE),"")</f>
        <v>3.512623491</v>
      </c>
      <c r="D331" s="12">
        <f>IFERROR(VLOOKUP(A331,datos_2024!$B$1:$G$342,6,FALSE),"")</f>
        <v>3.092783505</v>
      </c>
    </row>
    <row r="332" ht="14.25" customHeight="1">
      <c r="A332" s="10">
        <v>90103.0</v>
      </c>
      <c r="B332" s="11" t="s">
        <v>340</v>
      </c>
      <c r="C332" s="12" t="str">
        <f>IFERROR(VLOOKUP(A332,datos_2016!$B$1:$G$330,6,FALSE),"")</f>
        <v/>
      </c>
      <c r="D332" s="12" t="str">
        <f>IFERROR(VLOOKUP(A332,datos_2024!$B$1:$G$342,6,FALSE),"")</f>
        <v/>
      </c>
    </row>
    <row r="333" ht="14.25" customHeight="1">
      <c r="A333" s="13">
        <v>90104.0</v>
      </c>
      <c r="B333" s="14" t="s">
        <v>341</v>
      </c>
      <c r="C333" s="12">
        <f>IFERROR(VLOOKUP(A333,datos_2016!$B$1:$G$330,6,FALSE),"")</f>
        <v>0.495049505</v>
      </c>
      <c r="D333" s="12">
        <f>IFERROR(VLOOKUP(A333,datos_2024!$B$1:$G$342,6,FALSE),"")</f>
        <v>3.661327231</v>
      </c>
    </row>
    <row r="334" ht="14.25" customHeight="1">
      <c r="A334" s="10">
        <v>90201.0</v>
      </c>
      <c r="B334" s="11" t="s">
        <v>342</v>
      </c>
      <c r="C334" s="12">
        <f>IFERROR(VLOOKUP(A334,datos_2016!$B$1:$G$330,6,FALSE),"")</f>
        <v>4.188481675</v>
      </c>
      <c r="D334" s="12">
        <f>IFERROR(VLOOKUP(A334,datos_2024!$B$1:$G$342,6,FALSE),"")</f>
        <v>3.047313553</v>
      </c>
    </row>
    <row r="335" ht="14.25" customHeight="1">
      <c r="A335" s="13">
        <v>90202.0</v>
      </c>
      <c r="B335" s="14" t="s">
        <v>305</v>
      </c>
      <c r="C335" s="12">
        <f>IFERROR(VLOOKUP(A335,datos_2016!$B$1:$G$330,6,FALSE),"")</f>
        <v>2.941176471</v>
      </c>
      <c r="D335" s="12">
        <f>IFERROR(VLOOKUP(A335,datos_2024!$B$1:$G$342,6,FALSE),"")</f>
        <v>2.580645161</v>
      </c>
    </row>
    <row r="336" ht="14.25" customHeight="1">
      <c r="A336" s="10">
        <v>90203.0</v>
      </c>
      <c r="B336" s="11" t="s">
        <v>343</v>
      </c>
      <c r="C336" s="12">
        <f>IFERROR(VLOOKUP(A336,datos_2016!$B$1:$G$330,6,FALSE),"")</f>
        <v>3.96039604</v>
      </c>
      <c r="D336" s="12">
        <f>IFERROR(VLOOKUP(A336,datos_2024!$B$1:$G$342,6,FALSE),"")</f>
        <v>3.804347826</v>
      </c>
    </row>
    <row r="337" ht="14.25" customHeight="1">
      <c r="A337" s="13">
        <v>90301.0</v>
      </c>
      <c r="B337" s="14" t="s">
        <v>344</v>
      </c>
      <c r="C337" s="12">
        <f>IFERROR(VLOOKUP(A337,datos_2016!$B$1:$G$330,6,FALSE),"")</f>
        <v>0</v>
      </c>
      <c r="D337" s="12" t="str">
        <f>IFERROR(VLOOKUP(A337,datos_2024!$B$1:$G$342,6,FALSE),"")</f>
        <v/>
      </c>
    </row>
    <row r="338" ht="14.25" customHeight="1">
      <c r="A338" s="10">
        <v>90302.0</v>
      </c>
      <c r="B338" s="11" t="s">
        <v>345</v>
      </c>
      <c r="C338" s="12">
        <f>IFERROR(VLOOKUP(A338,datos_2016!$B$1:$G$330,6,FALSE),"")</f>
        <v>0.5376344086</v>
      </c>
      <c r="D338" s="12">
        <f>IFERROR(VLOOKUP(A338,datos_2024!$B$1:$G$342,6,FALSE),"")</f>
        <v>1.320528211</v>
      </c>
    </row>
    <row r="339" ht="14.25" customHeight="1">
      <c r="A339" s="13">
        <v>90303.0</v>
      </c>
      <c r="B339" s="14" t="s">
        <v>346</v>
      </c>
      <c r="C339" s="12">
        <f>IFERROR(VLOOKUP(A339,datos_2016!$B$1:$G$330,6,FALSE),"")</f>
        <v>0.3992015968</v>
      </c>
      <c r="D339" s="12">
        <f>IFERROR(VLOOKUP(A339,datos_2024!$B$1:$G$342,6,FALSE),"")</f>
        <v>1.99818347</v>
      </c>
    </row>
    <row r="340" ht="14.25" customHeight="1">
      <c r="A340" s="15">
        <v>90401.0</v>
      </c>
      <c r="B340" s="11" t="s">
        <v>347</v>
      </c>
      <c r="C340" s="12" t="str">
        <f>IFERROR(VLOOKUP(A340,datos_2016!$B$1:$G$330,6,FALSE),"")</f>
        <v/>
      </c>
      <c r="D340" s="12">
        <f>IFERROR(VLOOKUP(A340,datos_2024!$B$1:$G$342,6,FALSE),"")</f>
        <v>7.142857143</v>
      </c>
    </row>
    <row r="341" ht="14.25" customHeight="1">
      <c r="A341" s="13">
        <v>90402.0</v>
      </c>
      <c r="B341" s="14" t="s">
        <v>348</v>
      </c>
      <c r="C341" s="12" t="str">
        <f>IFERROR(VLOOKUP(A341,datos_2016!$B$1:$G$330,6,FALSE),"")</f>
        <v/>
      </c>
      <c r="D341" s="12" t="str">
        <f>IFERROR(VLOOKUP(A341,datos_2024!$B$1:$G$342,6,FALSE),"")</f>
        <v/>
      </c>
    </row>
    <row r="342" ht="14.25" customHeight="1">
      <c r="A342" s="10">
        <v>90501.0</v>
      </c>
      <c r="B342" s="11" t="s">
        <v>349</v>
      </c>
      <c r="C342" s="12">
        <f>IFERROR(VLOOKUP(A342,datos_2016!$B$1:$G$330,6,FALSE),"")</f>
        <v>0</v>
      </c>
      <c r="D342" s="12" t="str">
        <f>IFERROR(VLOOKUP(A342,datos_2024!$B$1:$G$342,6,FALSE),"")</f>
        <v/>
      </c>
    </row>
    <row r="343" ht="14.25" customHeight="1">
      <c r="A343" s="13">
        <v>90502.0</v>
      </c>
      <c r="B343" s="14" t="s">
        <v>350</v>
      </c>
      <c r="C343" s="12">
        <f>IFERROR(VLOOKUP(A343,datos_2016!$B$1:$G$330,6,FALSE),"")</f>
        <v>0</v>
      </c>
      <c r="D343" s="12" t="str">
        <f>IFERROR(VLOOKUP(A343,datos_2024!$B$1:$G$342,6,FALSE),"")</f>
        <v/>
      </c>
    </row>
    <row r="344" ht="14.25" customHeight="1">
      <c r="A344" s="16">
        <v>90503.0</v>
      </c>
      <c r="B344" s="17" t="s">
        <v>351</v>
      </c>
      <c r="C344" s="12" t="str">
        <f>IFERROR(VLOOKUP(A344,datos_2016!$B$1:$G$330,6,FALSE),"")</f>
        <v/>
      </c>
      <c r="D344" s="12" t="str">
        <f>IFERROR(VLOOKUP(A344,datos_2024!$B$1:$G$342,6,FALSE),"")</f>
        <v/>
      </c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>
      <c r="A1" s="18" t="s">
        <v>10</v>
      </c>
      <c r="B1" s="18" t="s">
        <v>11</v>
      </c>
      <c r="C1" s="5" t="s">
        <v>352</v>
      </c>
      <c r="D1" s="5" t="s">
        <v>353</v>
      </c>
    </row>
    <row r="2" ht="14.25" customHeight="1">
      <c r="A2" s="19">
        <v>10101.0</v>
      </c>
      <c r="B2" s="20" t="s">
        <v>14</v>
      </c>
      <c r="C2" s="21">
        <f>IFERROR(VLOOKUP(A2,datos_2016!$B$1:$G$330,4,FALSE),"")</f>
        <v>2422</v>
      </c>
      <c r="D2" s="21">
        <f>IFERROR(VLOOKUP(A2,datos_2024!$B$1:$G$326,4,FALSE),"")</f>
        <v>5007</v>
      </c>
    </row>
    <row r="3" ht="14.25" customHeight="1">
      <c r="A3" s="22">
        <v>10102.0</v>
      </c>
      <c r="B3" s="23" t="s">
        <v>15</v>
      </c>
      <c r="C3" s="21">
        <f>IFERROR(VLOOKUP(A3,datos_2016!$B$1:$G$330,4,FALSE),"")</f>
        <v>281</v>
      </c>
      <c r="D3" s="21">
        <f>IFERROR(VLOOKUP(A3,datos_2024!$B$1:$G$326,4,FALSE),"")</f>
        <v>492</v>
      </c>
    </row>
    <row r="4" ht="14.25" customHeight="1">
      <c r="A4" s="19">
        <v>10103.0</v>
      </c>
      <c r="B4" s="20" t="s">
        <v>16</v>
      </c>
      <c r="C4" s="21">
        <f>IFERROR(VLOOKUP(A4,datos_2016!$B$1:$G$330,4,FALSE),"")</f>
        <v>139</v>
      </c>
      <c r="D4" s="21">
        <f>IFERROR(VLOOKUP(A4,datos_2024!$B$1:$G$326,4,FALSE),"")</f>
        <v>300</v>
      </c>
    </row>
    <row r="5" ht="14.25" customHeight="1">
      <c r="A5" s="22">
        <v>10201.0</v>
      </c>
      <c r="B5" s="23" t="s">
        <v>17</v>
      </c>
      <c r="C5" s="21">
        <f>IFERROR(VLOOKUP(A5,datos_2016!$B$1:$G$330,4,FALSE),"")</f>
        <v>81</v>
      </c>
      <c r="D5" s="21">
        <f>IFERROR(VLOOKUP(A5,datos_2024!$B$1:$G$326,4,FALSE),"")</f>
        <v>239</v>
      </c>
    </row>
    <row r="6" ht="14.25" customHeight="1">
      <c r="A6" s="19">
        <v>10202.0</v>
      </c>
      <c r="B6" s="20" t="s">
        <v>18</v>
      </c>
      <c r="C6" s="21">
        <f>IFERROR(VLOOKUP(A6,datos_2016!$B$1:$G$330,4,FALSE),"")</f>
        <v>198</v>
      </c>
      <c r="D6" s="21">
        <f>IFERROR(VLOOKUP(A6,datos_2024!$B$1:$G$326,4,FALSE),"")</f>
        <v>358</v>
      </c>
    </row>
    <row r="7" ht="14.25" customHeight="1">
      <c r="A7" s="22">
        <v>10301.0</v>
      </c>
      <c r="B7" s="23" t="s">
        <v>19</v>
      </c>
      <c r="C7" s="21">
        <f>IFERROR(VLOOKUP(A7,datos_2016!$B$1:$G$330,4,FALSE),"")</f>
        <v>149</v>
      </c>
      <c r="D7" s="21">
        <f>IFERROR(VLOOKUP(A7,datos_2024!$B$1:$G$326,4,FALSE),"")</f>
        <v>265</v>
      </c>
    </row>
    <row r="8" ht="14.25" customHeight="1">
      <c r="A8" s="19">
        <v>10302.0</v>
      </c>
      <c r="B8" s="20" t="s">
        <v>20</v>
      </c>
      <c r="C8" s="21">
        <f>IFERROR(VLOOKUP(A8,datos_2016!$B$1:$G$330,4,FALSE),"")</f>
        <v>86</v>
      </c>
      <c r="D8" s="21">
        <f>IFERROR(VLOOKUP(A8,datos_2024!$B$1:$G$326,4,FALSE),"")</f>
        <v>116</v>
      </c>
    </row>
    <row r="9" ht="14.25" customHeight="1">
      <c r="A9" s="22">
        <v>10303.0</v>
      </c>
      <c r="B9" s="23" t="s">
        <v>21</v>
      </c>
      <c r="C9" s="21">
        <f>IFERROR(VLOOKUP(A9,datos_2016!$B$1:$G$330,4,FALSE),"")</f>
        <v>121</v>
      </c>
      <c r="D9" s="21">
        <f>IFERROR(VLOOKUP(A9,datos_2024!$B$1:$G$326,4,FALSE),"")</f>
        <v>211</v>
      </c>
    </row>
    <row r="10" ht="14.25" customHeight="1">
      <c r="A10" s="19">
        <v>10304.0</v>
      </c>
      <c r="B10" s="20" t="s">
        <v>22</v>
      </c>
      <c r="C10" s="21">
        <f>IFERROR(VLOOKUP(A10,datos_2016!$B$1:$G$330,4,FALSE),"")</f>
        <v>137</v>
      </c>
      <c r="D10" s="21">
        <f>IFERROR(VLOOKUP(A10,datos_2024!$B$1:$G$326,4,FALSE),"")</f>
        <v>156</v>
      </c>
    </row>
    <row r="11" ht="14.25" customHeight="1">
      <c r="A11" s="22">
        <v>10401.0</v>
      </c>
      <c r="B11" s="23" t="s">
        <v>23</v>
      </c>
      <c r="C11" s="21">
        <f>IFERROR(VLOOKUP(A11,datos_2016!$B$1:$G$330,4,FALSE),"")</f>
        <v>158</v>
      </c>
      <c r="D11" s="21">
        <f>IFERROR(VLOOKUP(A11,datos_2024!$B$1:$G$326,4,FALSE),"")</f>
        <v>300</v>
      </c>
    </row>
    <row r="12" ht="14.25" customHeight="1">
      <c r="A12" s="19">
        <v>10402.0</v>
      </c>
      <c r="B12" s="20" t="s">
        <v>24</v>
      </c>
      <c r="C12" s="21">
        <f>IFERROR(VLOOKUP(A12,datos_2016!$B$1:$G$330,4,FALSE),"")</f>
        <v>125</v>
      </c>
      <c r="D12" s="21">
        <f>IFERROR(VLOOKUP(A12,datos_2024!$B$1:$G$326,4,FALSE),"")</f>
        <v>256</v>
      </c>
    </row>
    <row r="13" ht="14.25" customHeight="1">
      <c r="A13" s="22">
        <v>10403.0</v>
      </c>
      <c r="B13" s="23" t="s">
        <v>25</v>
      </c>
      <c r="C13" s="21">
        <f>IFERROR(VLOOKUP(A13,datos_2016!$B$1:$G$330,4,FALSE),"")</f>
        <v>40</v>
      </c>
      <c r="D13" s="21">
        <f>IFERROR(VLOOKUP(A13,datos_2024!$B$1:$G$326,4,FALSE),"")</f>
        <v>216</v>
      </c>
    </row>
    <row r="14" ht="14.25" customHeight="1">
      <c r="A14" s="19">
        <v>10404.0</v>
      </c>
      <c r="B14" s="20" t="s">
        <v>26</v>
      </c>
      <c r="C14" s="21">
        <f>IFERROR(VLOOKUP(A14,datos_2016!$B$1:$G$330,4,FALSE),"")</f>
        <v>85</v>
      </c>
      <c r="D14" s="21">
        <f>IFERROR(VLOOKUP(A14,datos_2024!$B$1:$G$326,4,FALSE),"")</f>
        <v>167</v>
      </c>
    </row>
    <row r="15" ht="14.25" customHeight="1">
      <c r="A15" s="22">
        <v>10405.0</v>
      </c>
      <c r="B15" s="23" t="s">
        <v>27</v>
      </c>
      <c r="C15" s="21">
        <f>IFERROR(VLOOKUP(A15,datos_2016!$B$1:$G$330,4,FALSE),"")</f>
        <v>176</v>
      </c>
      <c r="D15" s="21">
        <f>IFERROR(VLOOKUP(A15,datos_2024!$B$1:$G$326,4,FALSE),"")</f>
        <v>143</v>
      </c>
    </row>
    <row r="16" ht="14.25" customHeight="1">
      <c r="A16" s="19">
        <v>10501.0</v>
      </c>
      <c r="B16" s="20" t="s">
        <v>28</v>
      </c>
      <c r="C16" s="21">
        <f>IFERROR(VLOOKUP(A16,datos_2016!$B$1:$G$330,4,FALSE),"")</f>
        <v>183</v>
      </c>
      <c r="D16" s="21">
        <f>IFERROR(VLOOKUP(A16,datos_2024!$B$1:$G$326,4,FALSE),"")</f>
        <v>412</v>
      </c>
    </row>
    <row r="17" ht="14.25" customHeight="1">
      <c r="A17" s="22">
        <v>10502.0</v>
      </c>
      <c r="B17" s="23" t="s">
        <v>29</v>
      </c>
      <c r="C17" s="21">
        <f>IFERROR(VLOOKUP(A17,datos_2016!$B$1:$G$330,4,FALSE),"")</f>
        <v>32</v>
      </c>
      <c r="D17" s="21">
        <f>IFERROR(VLOOKUP(A17,datos_2024!$B$1:$G$326,4,FALSE),"")</f>
        <v>150</v>
      </c>
    </row>
    <row r="18" ht="14.25" customHeight="1">
      <c r="A18" s="19">
        <v>10601.0</v>
      </c>
      <c r="B18" s="20" t="s">
        <v>30</v>
      </c>
      <c r="C18" s="21">
        <f>IFERROR(VLOOKUP(A18,datos_2016!$B$1:$G$330,4,FALSE),"")</f>
        <v>212</v>
      </c>
      <c r="D18" s="21">
        <f>IFERROR(VLOOKUP(A18,datos_2024!$B$1:$G$326,4,FALSE),"")</f>
        <v>580</v>
      </c>
    </row>
    <row r="19" ht="14.25" customHeight="1">
      <c r="A19" s="22">
        <v>10602.0</v>
      </c>
      <c r="B19" s="23" t="s">
        <v>31</v>
      </c>
      <c r="C19" s="21">
        <f>IFERROR(VLOOKUP(A19,datos_2016!$B$1:$G$330,4,FALSE),"")</f>
        <v>198</v>
      </c>
      <c r="D19" s="21">
        <f>IFERROR(VLOOKUP(A19,datos_2024!$B$1:$G$326,4,FALSE),"")</f>
        <v>402</v>
      </c>
    </row>
    <row r="20" ht="14.25" customHeight="1">
      <c r="A20" s="19">
        <v>10701.0</v>
      </c>
      <c r="B20" s="20" t="s">
        <v>32</v>
      </c>
      <c r="C20" s="21">
        <f>IFERROR(VLOOKUP(A20,datos_2016!$B$1:$G$330,4,FALSE),"")</f>
        <v>385</v>
      </c>
      <c r="D20" s="21">
        <f>IFERROR(VLOOKUP(A20,datos_2024!$B$1:$G$326,4,FALSE),"")</f>
        <v>719</v>
      </c>
    </row>
    <row r="21" ht="14.25" customHeight="1">
      <c r="A21" s="22">
        <v>10702.0</v>
      </c>
      <c r="B21" s="23" t="s">
        <v>33</v>
      </c>
      <c r="C21" s="21">
        <f>IFERROR(VLOOKUP(A21,datos_2016!$B$1:$G$330,4,FALSE),"")</f>
        <v>670</v>
      </c>
      <c r="D21" s="21">
        <f>IFERROR(VLOOKUP(A21,datos_2024!$B$1:$G$326,4,FALSE),"")</f>
        <v>1677</v>
      </c>
    </row>
    <row r="22" ht="14.25" customHeight="1">
      <c r="A22" s="19">
        <v>10703.0</v>
      </c>
      <c r="B22" s="20" t="s">
        <v>34</v>
      </c>
      <c r="C22" s="21">
        <f>IFERROR(VLOOKUP(A22,datos_2016!$B$1:$G$330,4,FALSE),"")</f>
        <v>73</v>
      </c>
      <c r="D22" s="21">
        <f>IFERROR(VLOOKUP(A22,datos_2024!$B$1:$G$326,4,FALSE),"")</f>
        <v>153</v>
      </c>
    </row>
    <row r="23" ht="14.25" customHeight="1">
      <c r="A23" s="22">
        <v>10704.0</v>
      </c>
      <c r="B23" s="23" t="s">
        <v>35</v>
      </c>
      <c r="C23" s="21">
        <f>IFERROR(VLOOKUP(A23,datos_2016!$B$1:$G$330,4,FALSE),"")</f>
        <v>173</v>
      </c>
      <c r="D23" s="21">
        <f>IFERROR(VLOOKUP(A23,datos_2024!$B$1:$G$326,4,FALSE),"")</f>
        <v>357</v>
      </c>
    </row>
    <row r="24" ht="14.25" customHeight="1">
      <c r="A24" s="19">
        <v>10801.0</v>
      </c>
      <c r="B24" s="20" t="s">
        <v>36</v>
      </c>
      <c r="C24" s="21">
        <f>IFERROR(VLOOKUP(A24,datos_2016!$B$1:$G$330,4,FALSE),"")</f>
        <v>244</v>
      </c>
      <c r="D24" s="21">
        <f>IFERROR(VLOOKUP(A24,datos_2024!$B$1:$G$326,4,FALSE),"")</f>
        <v>524</v>
      </c>
    </row>
    <row r="25" ht="14.25" customHeight="1">
      <c r="A25" s="22">
        <v>10901.0</v>
      </c>
      <c r="B25" s="23" t="s">
        <v>37</v>
      </c>
      <c r="C25" s="21">
        <f>IFERROR(VLOOKUP(A25,datos_2016!$B$1:$G$330,4,FALSE),"")</f>
        <v>98</v>
      </c>
      <c r="D25" s="21">
        <f>IFERROR(VLOOKUP(A25,datos_2024!$B$1:$G$326,4,FALSE),"")</f>
        <v>191</v>
      </c>
    </row>
    <row r="26" ht="14.25" customHeight="1">
      <c r="A26" s="19">
        <v>10902.0</v>
      </c>
      <c r="B26" s="20" t="s">
        <v>38</v>
      </c>
      <c r="C26" s="21">
        <f>IFERROR(VLOOKUP(A26,datos_2016!$B$1:$G$330,4,FALSE),"")</f>
        <v>203</v>
      </c>
      <c r="D26" s="21">
        <f>IFERROR(VLOOKUP(A26,datos_2024!$B$1:$G$326,4,FALSE),"")</f>
        <v>295</v>
      </c>
    </row>
    <row r="27" ht="14.25" customHeight="1">
      <c r="A27" s="22">
        <v>10903.0</v>
      </c>
      <c r="B27" s="23" t="s">
        <v>39</v>
      </c>
      <c r="C27" s="21">
        <f>IFERROR(VLOOKUP(A27,datos_2016!$B$1:$G$330,4,FALSE),"")</f>
        <v>89</v>
      </c>
      <c r="D27" s="21">
        <f>IFERROR(VLOOKUP(A27,datos_2024!$B$1:$G$326,4,FALSE),"")</f>
        <v>190</v>
      </c>
    </row>
    <row r="28" ht="14.25" customHeight="1">
      <c r="A28" s="19">
        <v>11001.0</v>
      </c>
      <c r="B28" s="20" t="s">
        <v>40</v>
      </c>
      <c r="C28" s="21">
        <f>IFERROR(VLOOKUP(A28,datos_2016!$B$1:$G$330,4,FALSE),"")</f>
        <v>19</v>
      </c>
      <c r="D28" s="21">
        <f>IFERROR(VLOOKUP(A28,datos_2024!$B$1:$G$326,4,FALSE),"")</f>
        <v>115</v>
      </c>
    </row>
    <row r="29" ht="14.25" customHeight="1">
      <c r="A29" s="22">
        <v>11002.0</v>
      </c>
      <c r="B29" s="23" t="s">
        <v>41</v>
      </c>
      <c r="C29" s="21">
        <f>IFERROR(VLOOKUP(A29,datos_2016!$B$1:$G$330,4,FALSE),"")</f>
        <v>20</v>
      </c>
      <c r="D29" s="21">
        <f>IFERROR(VLOOKUP(A29,datos_2024!$B$1:$G$326,4,FALSE),"")</f>
        <v>8</v>
      </c>
    </row>
    <row r="30" ht="14.25" customHeight="1">
      <c r="A30" s="19">
        <v>11003.0</v>
      </c>
      <c r="B30" s="20" t="s">
        <v>42</v>
      </c>
      <c r="C30" s="21">
        <f>IFERROR(VLOOKUP(A30,datos_2016!$B$1:$G$330,4,FALSE),"")</f>
        <v>55</v>
      </c>
      <c r="D30" s="21">
        <f>IFERROR(VLOOKUP(A30,datos_2024!$B$1:$G$326,4,FALSE),"")</f>
        <v>71</v>
      </c>
    </row>
    <row r="31" ht="14.25" customHeight="1">
      <c r="A31" s="22">
        <v>20101.0</v>
      </c>
      <c r="B31" s="23" t="s">
        <v>43</v>
      </c>
      <c r="C31" s="21">
        <f>IFERROR(VLOOKUP(A31,datos_2016!$B$1:$G$330,4,FALSE),"")</f>
        <v>11026</v>
      </c>
      <c r="D31" s="21">
        <f>IFERROR(VLOOKUP(A31,datos_2024!$B$1:$G$326,4,FALSE),"")</f>
        <v>18660</v>
      </c>
    </row>
    <row r="32" ht="14.25" customHeight="1">
      <c r="A32" s="19">
        <v>20102.0</v>
      </c>
      <c r="B32" s="20" t="s">
        <v>44</v>
      </c>
      <c r="C32" s="21">
        <f>IFERROR(VLOOKUP(A32,datos_2016!$B$1:$G$330,4,FALSE),"")</f>
        <v>317</v>
      </c>
      <c r="D32" s="21">
        <f>IFERROR(VLOOKUP(A32,datos_2024!$B$1:$G$326,4,FALSE),"")</f>
        <v>408</v>
      </c>
    </row>
    <row r="33" ht="14.25" customHeight="1">
      <c r="A33" s="22">
        <v>20103.0</v>
      </c>
      <c r="B33" s="23" t="s">
        <v>45</v>
      </c>
      <c r="C33" s="21">
        <f>IFERROR(VLOOKUP(A33,datos_2016!$B$1:$G$330,4,FALSE),"")</f>
        <v>468</v>
      </c>
      <c r="D33" s="21">
        <f>IFERROR(VLOOKUP(A33,datos_2024!$B$1:$G$326,4,FALSE),"")</f>
        <v>873</v>
      </c>
    </row>
    <row r="34" ht="14.25" customHeight="1">
      <c r="A34" s="19">
        <v>20104.0</v>
      </c>
      <c r="B34" s="20" t="s">
        <v>46</v>
      </c>
      <c r="C34" s="21">
        <f>IFERROR(VLOOKUP(A34,datos_2016!$B$1:$G$330,4,FALSE),"")</f>
        <v>780</v>
      </c>
      <c r="D34" s="21">
        <f>IFERROR(VLOOKUP(A34,datos_2024!$B$1:$G$326,4,FALSE),"")</f>
        <v>2068</v>
      </c>
    </row>
    <row r="35" ht="14.25" customHeight="1">
      <c r="A35" s="22">
        <v>20105.0</v>
      </c>
      <c r="B35" s="23" t="s">
        <v>47</v>
      </c>
      <c r="C35" s="21">
        <f>IFERROR(VLOOKUP(A35,datos_2016!$B$1:$G$330,4,FALSE),"")</f>
        <v>20483</v>
      </c>
      <c r="D35" s="21">
        <f>IFERROR(VLOOKUP(A35,datos_2024!$B$1:$G$326,4,FALSE),"")</f>
        <v>23131</v>
      </c>
    </row>
    <row r="36" ht="14.25" customHeight="1">
      <c r="A36" s="19">
        <v>20201.0</v>
      </c>
      <c r="B36" s="20" t="s">
        <v>48</v>
      </c>
      <c r="C36" s="21">
        <f>IFERROR(VLOOKUP(A36,datos_2016!$B$1:$G$330,4,FALSE),"")</f>
        <v>1705</v>
      </c>
      <c r="D36" s="21">
        <f>IFERROR(VLOOKUP(A36,datos_2024!$B$1:$G$326,4,FALSE),"")</f>
        <v>1712</v>
      </c>
    </row>
    <row r="37" ht="14.25" customHeight="1">
      <c r="A37" s="22">
        <v>20202.0</v>
      </c>
      <c r="B37" s="23" t="s">
        <v>49</v>
      </c>
      <c r="C37" s="21">
        <f>IFERROR(VLOOKUP(A37,datos_2016!$B$1:$G$330,4,FALSE),"")</f>
        <v>690</v>
      </c>
      <c r="D37" s="21">
        <f>IFERROR(VLOOKUP(A37,datos_2024!$B$1:$G$326,4,FALSE),"")</f>
        <v>544</v>
      </c>
    </row>
    <row r="38" ht="14.25" customHeight="1">
      <c r="A38" s="19">
        <v>20203.0</v>
      </c>
      <c r="B38" s="20" t="s">
        <v>50</v>
      </c>
      <c r="C38" s="21">
        <f>IFERROR(VLOOKUP(A38,datos_2016!$B$1:$G$330,4,FALSE),"")</f>
        <v>238</v>
      </c>
      <c r="D38" s="21">
        <f>IFERROR(VLOOKUP(A38,datos_2024!$B$1:$G$326,4,FALSE),"")</f>
        <v>216</v>
      </c>
    </row>
    <row r="39" ht="14.25" customHeight="1">
      <c r="A39" s="22">
        <v>20204.0</v>
      </c>
      <c r="B39" s="23" t="s">
        <v>51</v>
      </c>
      <c r="C39" s="21">
        <f>IFERROR(VLOOKUP(A39,datos_2016!$B$1:$G$330,4,FALSE),"")</f>
        <v>472</v>
      </c>
      <c r="D39" s="21">
        <f>IFERROR(VLOOKUP(A39,datos_2024!$B$1:$G$326,4,FALSE),"")</f>
        <v>356</v>
      </c>
    </row>
    <row r="40" ht="14.25" customHeight="1">
      <c r="A40" s="19">
        <v>20205.0</v>
      </c>
      <c r="B40" s="20" t="s">
        <v>52</v>
      </c>
      <c r="C40" s="21">
        <f>IFERROR(VLOOKUP(A40,datos_2016!$B$1:$G$330,4,FALSE),"")</f>
        <v>529</v>
      </c>
      <c r="D40" s="21">
        <f>IFERROR(VLOOKUP(A40,datos_2024!$B$1:$G$326,4,FALSE),"")</f>
        <v>608</v>
      </c>
    </row>
    <row r="41" ht="14.25" customHeight="1">
      <c r="A41" s="22">
        <v>20206.0</v>
      </c>
      <c r="B41" s="23" t="s">
        <v>53</v>
      </c>
      <c r="C41" s="21">
        <f>IFERROR(VLOOKUP(A41,datos_2016!$B$1:$G$330,4,FALSE),"")</f>
        <v>260</v>
      </c>
      <c r="D41" s="21">
        <f>IFERROR(VLOOKUP(A41,datos_2024!$B$1:$G$326,4,FALSE),"")</f>
        <v>258</v>
      </c>
    </row>
    <row r="42" ht="14.25" customHeight="1">
      <c r="A42" s="19">
        <v>20301.0</v>
      </c>
      <c r="B42" s="20" t="s">
        <v>54</v>
      </c>
      <c r="C42" s="21">
        <f>IFERROR(VLOOKUP(A42,datos_2016!$B$1:$G$330,4,FALSE),"")</f>
        <v>763</v>
      </c>
      <c r="D42" s="21">
        <f>IFERROR(VLOOKUP(A42,datos_2024!$B$1:$G$326,4,FALSE),"")</f>
        <v>759</v>
      </c>
    </row>
    <row r="43" ht="14.25" customHeight="1">
      <c r="A43" s="22">
        <v>20302.0</v>
      </c>
      <c r="B43" s="23" t="s">
        <v>55</v>
      </c>
      <c r="C43" s="21">
        <f>IFERROR(VLOOKUP(A43,datos_2016!$B$1:$G$330,4,FALSE),"")</f>
        <v>914</v>
      </c>
      <c r="D43" s="21">
        <f>IFERROR(VLOOKUP(A43,datos_2024!$B$1:$G$326,4,FALSE),"")</f>
        <v>987</v>
      </c>
    </row>
    <row r="44" ht="14.25" customHeight="1">
      <c r="A44" s="19">
        <v>20303.0</v>
      </c>
      <c r="B44" s="20" t="s">
        <v>56</v>
      </c>
      <c r="C44" s="21">
        <f>IFERROR(VLOOKUP(A44,datos_2016!$B$1:$G$330,4,FALSE),"")</f>
        <v>347</v>
      </c>
      <c r="D44" s="21">
        <f>IFERROR(VLOOKUP(A44,datos_2024!$B$1:$G$326,4,FALSE),"")</f>
        <v>560</v>
      </c>
    </row>
    <row r="45" ht="14.25" customHeight="1">
      <c r="A45" s="22">
        <v>20304.0</v>
      </c>
      <c r="B45" s="23" t="s">
        <v>57</v>
      </c>
      <c r="C45" s="21">
        <f>IFERROR(VLOOKUP(A45,datos_2016!$B$1:$G$330,4,FALSE),"")</f>
        <v>194</v>
      </c>
      <c r="D45" s="21">
        <f>IFERROR(VLOOKUP(A45,datos_2024!$B$1:$G$326,4,FALSE),"")</f>
        <v>306</v>
      </c>
    </row>
    <row r="46" ht="14.25" customHeight="1">
      <c r="A46" s="19">
        <v>20305.0</v>
      </c>
      <c r="B46" s="20" t="s">
        <v>58</v>
      </c>
      <c r="C46" s="21">
        <f>IFERROR(VLOOKUP(A46,datos_2016!$B$1:$G$330,4,FALSE),"")</f>
        <v>61</v>
      </c>
      <c r="D46" s="21">
        <f>IFERROR(VLOOKUP(A46,datos_2024!$B$1:$G$326,4,FALSE),"")</f>
        <v>65</v>
      </c>
    </row>
    <row r="47" ht="14.25" customHeight="1">
      <c r="A47" s="22">
        <v>20306.0</v>
      </c>
      <c r="B47" s="23" t="s">
        <v>59</v>
      </c>
      <c r="C47" s="21">
        <f>IFERROR(VLOOKUP(A47,datos_2016!$B$1:$G$330,4,FALSE),"")</f>
        <v>63</v>
      </c>
      <c r="D47" s="21" t="str">
        <f>IFERROR(VLOOKUP(A47,datos_2024!$B$1:$G$326,4,FALSE),"")</f>
        <v/>
      </c>
    </row>
    <row r="48" ht="14.25" customHeight="1">
      <c r="A48" s="19">
        <v>20307.0</v>
      </c>
      <c r="B48" s="20" t="s">
        <v>60</v>
      </c>
      <c r="C48" s="21">
        <f>IFERROR(VLOOKUP(A48,datos_2016!$B$1:$G$330,4,FALSE),"")</f>
        <v>17</v>
      </c>
      <c r="D48" s="21">
        <f>IFERROR(VLOOKUP(A48,datos_2024!$B$1:$G$326,4,FALSE),"")</f>
        <v>24</v>
      </c>
    </row>
    <row r="49" ht="14.25" customHeight="1">
      <c r="A49" s="22">
        <v>20308.0</v>
      </c>
      <c r="B49" s="23" t="s">
        <v>61</v>
      </c>
      <c r="C49" s="21">
        <f>IFERROR(VLOOKUP(A49,datos_2016!$B$1:$G$330,4,FALSE),"")</f>
        <v>205</v>
      </c>
      <c r="D49" s="21">
        <f>IFERROR(VLOOKUP(A49,datos_2024!$B$1:$G$326,4,FALSE),"")</f>
        <v>526</v>
      </c>
    </row>
    <row r="50" ht="14.25" customHeight="1">
      <c r="A50" s="19">
        <v>20401.0</v>
      </c>
      <c r="B50" s="20" t="s">
        <v>62</v>
      </c>
      <c r="C50" s="21">
        <f>IFERROR(VLOOKUP(A50,datos_2016!$B$1:$G$330,4,FALSE),"")</f>
        <v>571</v>
      </c>
      <c r="D50" s="21">
        <f>IFERROR(VLOOKUP(A50,datos_2024!$B$1:$G$326,4,FALSE),"")</f>
        <v>618</v>
      </c>
    </row>
    <row r="51" ht="14.25" customHeight="1">
      <c r="A51" s="22">
        <v>20402.0</v>
      </c>
      <c r="B51" s="23" t="s">
        <v>63</v>
      </c>
      <c r="C51" s="21">
        <f>IFERROR(VLOOKUP(A51,datos_2016!$B$1:$G$330,4,FALSE),"")</f>
        <v>436</v>
      </c>
      <c r="D51" s="21">
        <f>IFERROR(VLOOKUP(A51,datos_2024!$B$1:$G$326,4,FALSE),"")</f>
        <v>401</v>
      </c>
    </row>
    <row r="52" ht="14.25" customHeight="1">
      <c r="A52" s="19">
        <v>20403.0</v>
      </c>
      <c r="B52" s="20" t="s">
        <v>64</v>
      </c>
      <c r="C52" s="21">
        <f>IFERROR(VLOOKUP(A52,datos_2016!$B$1:$G$330,4,FALSE),"")</f>
        <v>550</v>
      </c>
      <c r="D52" s="21">
        <f>IFERROR(VLOOKUP(A52,datos_2024!$B$1:$G$326,4,FALSE),"")</f>
        <v>481</v>
      </c>
    </row>
    <row r="53" ht="14.25" customHeight="1">
      <c r="A53" s="22">
        <v>20404.0</v>
      </c>
      <c r="B53" s="23" t="s">
        <v>65</v>
      </c>
      <c r="C53" s="21">
        <f>IFERROR(VLOOKUP(A53,datos_2016!$B$1:$G$330,4,FALSE),"")</f>
        <v>138</v>
      </c>
      <c r="D53" s="21">
        <f>IFERROR(VLOOKUP(A53,datos_2024!$B$1:$G$326,4,FALSE),"")</f>
        <v>114</v>
      </c>
    </row>
    <row r="54" ht="14.25" customHeight="1">
      <c r="A54" s="19">
        <v>20405.0</v>
      </c>
      <c r="B54" s="20" t="s">
        <v>66</v>
      </c>
      <c r="C54" s="21">
        <f>IFERROR(VLOOKUP(A54,datos_2016!$B$1:$G$330,4,FALSE),"")</f>
        <v>294</v>
      </c>
      <c r="D54" s="21">
        <f>IFERROR(VLOOKUP(A54,datos_2024!$B$1:$G$326,4,FALSE),"")</f>
        <v>230</v>
      </c>
    </row>
    <row r="55" ht="14.25" customHeight="1">
      <c r="A55" s="22">
        <v>20501.0</v>
      </c>
      <c r="B55" s="23" t="s">
        <v>67</v>
      </c>
      <c r="C55" s="21">
        <f>IFERROR(VLOOKUP(A55,datos_2016!$B$1:$G$330,4,FALSE),"")</f>
        <v>424</v>
      </c>
      <c r="D55" s="21">
        <f>IFERROR(VLOOKUP(A55,datos_2024!$B$1:$G$326,4,FALSE),"")</f>
        <v>463</v>
      </c>
    </row>
    <row r="56" ht="14.25" customHeight="1">
      <c r="A56" s="19">
        <v>20502.0</v>
      </c>
      <c r="B56" s="20" t="s">
        <v>68</v>
      </c>
      <c r="C56" s="21">
        <f>IFERROR(VLOOKUP(A56,datos_2016!$B$1:$G$330,4,FALSE),"")</f>
        <v>161</v>
      </c>
      <c r="D56" s="21">
        <f>IFERROR(VLOOKUP(A56,datos_2024!$B$1:$G$326,4,FALSE),"")</f>
        <v>197</v>
      </c>
    </row>
    <row r="57" ht="14.25" customHeight="1">
      <c r="A57" s="22">
        <v>20503.0</v>
      </c>
      <c r="B57" s="23" t="s">
        <v>69</v>
      </c>
      <c r="C57" s="21">
        <f>IFERROR(VLOOKUP(A57,datos_2016!$B$1:$G$330,4,FALSE),"")</f>
        <v>140</v>
      </c>
      <c r="D57" s="21">
        <f>IFERROR(VLOOKUP(A57,datos_2024!$B$1:$G$326,4,FALSE),"")</f>
        <v>108</v>
      </c>
    </row>
    <row r="58" ht="14.25" customHeight="1">
      <c r="A58" s="19">
        <v>20601.0</v>
      </c>
      <c r="B58" s="20" t="s">
        <v>70</v>
      </c>
      <c r="C58" s="21">
        <f>IFERROR(VLOOKUP(A58,datos_2016!$B$1:$G$330,4,FALSE),"")</f>
        <v>1022</v>
      </c>
      <c r="D58" s="21">
        <f>IFERROR(VLOOKUP(A58,datos_2024!$B$1:$G$326,4,FALSE),"")</f>
        <v>799</v>
      </c>
    </row>
    <row r="59" ht="14.25" customHeight="1">
      <c r="A59" s="22">
        <v>20602.0</v>
      </c>
      <c r="B59" s="23" t="s">
        <v>71</v>
      </c>
      <c r="C59" s="21">
        <f>IFERROR(VLOOKUP(A59,datos_2016!$B$1:$G$330,4,FALSE),"")</f>
        <v>178</v>
      </c>
      <c r="D59" s="21">
        <f>IFERROR(VLOOKUP(A59,datos_2024!$B$1:$G$326,4,FALSE),"")</f>
        <v>96</v>
      </c>
    </row>
    <row r="60" ht="14.25" customHeight="1">
      <c r="A60" s="19">
        <v>20603.0</v>
      </c>
      <c r="B60" s="20" t="s">
        <v>72</v>
      </c>
      <c r="C60" s="21">
        <f>IFERROR(VLOOKUP(A60,datos_2016!$B$1:$G$330,4,FALSE),"")</f>
        <v>205</v>
      </c>
      <c r="D60" s="21">
        <f>IFERROR(VLOOKUP(A60,datos_2024!$B$1:$G$326,4,FALSE),"")</f>
        <v>241</v>
      </c>
    </row>
    <row r="61" ht="14.25" customHeight="1">
      <c r="A61" s="22">
        <v>20604.0</v>
      </c>
      <c r="B61" s="23" t="s">
        <v>73</v>
      </c>
      <c r="C61" s="21">
        <f>IFERROR(VLOOKUP(A61,datos_2016!$B$1:$G$330,4,FALSE),"")</f>
        <v>121</v>
      </c>
      <c r="D61" s="21">
        <f>IFERROR(VLOOKUP(A61,datos_2024!$B$1:$G$326,4,FALSE),"")</f>
        <v>74</v>
      </c>
    </row>
    <row r="62" ht="14.25" customHeight="1">
      <c r="A62" s="19">
        <v>20605.0</v>
      </c>
      <c r="B62" s="20" t="s">
        <v>74</v>
      </c>
      <c r="C62" s="21">
        <f>IFERROR(VLOOKUP(A62,datos_2016!$B$1:$G$330,4,FALSE),"")</f>
        <v>147</v>
      </c>
      <c r="D62" s="21">
        <f>IFERROR(VLOOKUP(A62,datos_2024!$B$1:$G$326,4,FALSE),"")</f>
        <v>101</v>
      </c>
    </row>
    <row r="63" ht="14.25" customHeight="1">
      <c r="A63" s="22">
        <v>20606.0</v>
      </c>
      <c r="B63" s="23" t="s">
        <v>75</v>
      </c>
      <c r="C63" s="21">
        <f>IFERROR(VLOOKUP(A63,datos_2016!$B$1:$G$330,4,FALSE),"")</f>
        <v>163</v>
      </c>
      <c r="D63" s="21">
        <f>IFERROR(VLOOKUP(A63,datos_2024!$B$1:$G$326,4,FALSE),"")</f>
        <v>134</v>
      </c>
    </row>
    <row r="64" ht="14.25" customHeight="1">
      <c r="A64" s="19">
        <v>20607.0</v>
      </c>
      <c r="B64" s="20" t="s">
        <v>76</v>
      </c>
      <c r="C64" s="21">
        <f>IFERROR(VLOOKUP(A64,datos_2016!$B$1:$G$330,4,FALSE),"")</f>
        <v>93</v>
      </c>
      <c r="D64" s="21">
        <f>IFERROR(VLOOKUP(A64,datos_2024!$B$1:$G$326,4,FALSE),"")</f>
        <v>155</v>
      </c>
    </row>
    <row r="65" ht="14.25" customHeight="1">
      <c r="A65" s="22">
        <v>20608.0</v>
      </c>
      <c r="B65" s="23" t="s">
        <v>77</v>
      </c>
      <c r="C65" s="21">
        <f>IFERROR(VLOOKUP(A65,datos_2016!$B$1:$G$330,4,FALSE),"")</f>
        <v>115</v>
      </c>
      <c r="D65" s="21">
        <f>IFERROR(VLOOKUP(A65,datos_2024!$B$1:$G$326,4,FALSE),"")</f>
        <v>232</v>
      </c>
    </row>
    <row r="66" ht="14.25" customHeight="1">
      <c r="A66" s="19">
        <v>20701.0</v>
      </c>
      <c r="B66" s="20" t="s">
        <v>78</v>
      </c>
      <c r="C66" s="21">
        <f>IFERROR(VLOOKUP(A66,datos_2016!$B$1:$G$330,4,FALSE),"")</f>
        <v>257</v>
      </c>
      <c r="D66" s="21">
        <f>IFERROR(VLOOKUP(A66,datos_2024!$B$1:$G$326,4,FALSE),"")</f>
        <v>315</v>
      </c>
    </row>
    <row r="67" ht="14.25" customHeight="1">
      <c r="A67" s="22">
        <v>20702.0</v>
      </c>
      <c r="B67" s="23" t="s">
        <v>79</v>
      </c>
      <c r="C67" s="21">
        <f>IFERROR(VLOOKUP(A67,datos_2016!$B$1:$G$330,4,FALSE),"")</f>
        <v>141</v>
      </c>
      <c r="D67" s="21">
        <f>IFERROR(VLOOKUP(A67,datos_2024!$B$1:$G$326,4,FALSE),"")</f>
        <v>166</v>
      </c>
    </row>
    <row r="68" ht="14.25" customHeight="1">
      <c r="A68" s="19">
        <v>20801.0</v>
      </c>
      <c r="B68" s="20" t="s">
        <v>80</v>
      </c>
      <c r="C68" s="21">
        <f>IFERROR(VLOOKUP(A68,datos_2016!$B$1:$G$330,4,FALSE),"")</f>
        <v>4253</v>
      </c>
      <c r="D68" s="21">
        <f>IFERROR(VLOOKUP(A68,datos_2024!$B$1:$G$326,4,FALSE),"")</f>
        <v>6469</v>
      </c>
    </row>
    <row r="69" ht="14.25" customHeight="1">
      <c r="A69" s="22">
        <v>20802.0</v>
      </c>
      <c r="B69" s="23" t="s">
        <v>81</v>
      </c>
      <c r="C69" s="21">
        <f>IFERROR(VLOOKUP(A69,datos_2016!$B$1:$G$330,4,FALSE),"")</f>
        <v>687</v>
      </c>
      <c r="D69" s="21">
        <f>IFERROR(VLOOKUP(A69,datos_2024!$B$1:$G$326,4,FALSE),"")</f>
        <v>525</v>
      </c>
    </row>
    <row r="70" ht="14.25" customHeight="1">
      <c r="A70" s="19">
        <v>20803.0</v>
      </c>
      <c r="B70" s="20" t="s">
        <v>82</v>
      </c>
      <c r="C70" s="21">
        <f>IFERROR(VLOOKUP(A70,datos_2016!$B$1:$G$330,4,FALSE),"")</f>
        <v>492</v>
      </c>
      <c r="D70" s="21">
        <f>IFERROR(VLOOKUP(A70,datos_2024!$B$1:$G$326,4,FALSE),"")</f>
        <v>546</v>
      </c>
    </row>
    <row r="71" ht="14.25" customHeight="1">
      <c r="A71" s="22">
        <v>20804.0</v>
      </c>
      <c r="B71" s="23" t="s">
        <v>83</v>
      </c>
      <c r="C71" s="21">
        <f>IFERROR(VLOOKUP(A71,datos_2016!$B$1:$G$330,4,FALSE),"")</f>
        <v>387</v>
      </c>
      <c r="D71" s="21">
        <f>IFERROR(VLOOKUP(A71,datos_2024!$B$1:$G$326,4,FALSE),"")</f>
        <v>258</v>
      </c>
    </row>
    <row r="72" ht="14.25" customHeight="1">
      <c r="A72" s="19">
        <v>20805.0</v>
      </c>
      <c r="B72" s="20" t="s">
        <v>84</v>
      </c>
      <c r="C72" s="21">
        <f>IFERROR(VLOOKUP(A72,datos_2016!$B$1:$G$330,4,FALSE),"")</f>
        <v>330</v>
      </c>
      <c r="D72" s="21" t="str">
        <f>IFERROR(VLOOKUP(A72,datos_2024!$B$1:$G$326,4,FALSE),"")</f>
        <v/>
      </c>
    </row>
    <row r="73" ht="14.25" customHeight="1">
      <c r="A73" s="22">
        <v>20806.0</v>
      </c>
      <c r="B73" s="23" t="s">
        <v>85</v>
      </c>
      <c r="C73" s="21">
        <f>IFERROR(VLOOKUP(A73,datos_2016!$B$1:$G$330,4,FALSE),"")</f>
        <v>581</v>
      </c>
      <c r="D73" s="21" t="str">
        <f>IFERROR(VLOOKUP(A73,datos_2024!$B$1:$G$326,4,FALSE),"")</f>
        <v/>
      </c>
    </row>
    <row r="74" ht="14.25" customHeight="1">
      <c r="A74" s="19">
        <v>20807.0</v>
      </c>
      <c r="B74" s="20" t="s">
        <v>86</v>
      </c>
      <c r="C74" s="21">
        <f>IFERROR(VLOOKUP(A74,datos_2016!$B$1:$G$330,4,FALSE),"")</f>
        <v>318</v>
      </c>
      <c r="D74" s="21">
        <f>IFERROR(VLOOKUP(A74,datos_2024!$B$1:$G$326,4,FALSE),"")</f>
        <v>366</v>
      </c>
    </row>
    <row r="75" ht="14.25" customHeight="1">
      <c r="A75" s="22">
        <v>20901.0</v>
      </c>
      <c r="B75" s="23" t="s">
        <v>87</v>
      </c>
      <c r="C75" s="21">
        <f>IFERROR(VLOOKUP(A75,datos_2016!$B$1:$G$330,4,FALSE),"")</f>
        <v>355</v>
      </c>
      <c r="D75" s="21">
        <f>IFERROR(VLOOKUP(A75,datos_2024!$B$1:$G$326,4,FALSE),"")</f>
        <v>308</v>
      </c>
    </row>
    <row r="76" ht="14.25" customHeight="1">
      <c r="A76" s="19">
        <v>20902.0</v>
      </c>
      <c r="B76" s="20" t="s">
        <v>88</v>
      </c>
      <c r="C76" s="21">
        <f>IFERROR(VLOOKUP(A76,datos_2016!$B$1:$G$330,4,FALSE),"")</f>
        <v>492</v>
      </c>
      <c r="D76" s="21">
        <f>IFERROR(VLOOKUP(A76,datos_2024!$B$1:$G$326,4,FALSE),"")</f>
        <v>398</v>
      </c>
    </row>
    <row r="77" ht="14.25" customHeight="1">
      <c r="A77" s="22">
        <v>20903.0</v>
      </c>
      <c r="B77" s="23" t="s">
        <v>89</v>
      </c>
      <c r="C77" s="21">
        <f>IFERROR(VLOOKUP(A77,datos_2016!$B$1:$G$330,4,FALSE),"")</f>
        <v>346</v>
      </c>
      <c r="D77" s="21">
        <f>IFERROR(VLOOKUP(A77,datos_2024!$B$1:$G$326,4,FALSE),"")</f>
        <v>231</v>
      </c>
    </row>
    <row r="78" ht="14.25" customHeight="1">
      <c r="A78" s="19">
        <v>20904.0</v>
      </c>
      <c r="B78" s="20" t="s">
        <v>90</v>
      </c>
      <c r="C78" s="21">
        <f>IFERROR(VLOOKUP(A78,datos_2016!$B$1:$G$330,4,FALSE),"")</f>
        <v>72</v>
      </c>
      <c r="D78" s="21">
        <f>IFERROR(VLOOKUP(A78,datos_2024!$B$1:$G$326,4,FALSE),"")</f>
        <v>32</v>
      </c>
    </row>
    <row r="79" ht="14.25" customHeight="1">
      <c r="A79" s="22">
        <v>20905.0</v>
      </c>
      <c r="B79" s="23" t="s">
        <v>91</v>
      </c>
      <c r="C79" s="21">
        <f>IFERROR(VLOOKUP(A79,datos_2016!$B$1:$G$330,4,FALSE),"")</f>
        <v>452</v>
      </c>
      <c r="D79" s="21">
        <f>IFERROR(VLOOKUP(A79,datos_2024!$B$1:$G$326,4,FALSE),"")</f>
        <v>98</v>
      </c>
    </row>
    <row r="80" ht="14.25" customHeight="1">
      <c r="A80" s="19">
        <v>21001.0</v>
      </c>
      <c r="B80" s="20" t="s">
        <v>92</v>
      </c>
      <c r="C80" s="21">
        <f>IFERROR(VLOOKUP(A80,datos_2016!$B$1:$G$330,4,FALSE),"")</f>
        <v>264</v>
      </c>
      <c r="D80" s="21">
        <f>IFERROR(VLOOKUP(A80,datos_2024!$B$1:$G$326,4,FALSE),"")</f>
        <v>273</v>
      </c>
    </row>
    <row r="81" ht="14.25" customHeight="1">
      <c r="A81" s="22">
        <v>21002.0</v>
      </c>
      <c r="B81" s="23" t="s">
        <v>93</v>
      </c>
      <c r="C81" s="21">
        <f>IFERROR(VLOOKUP(A81,datos_2016!$B$1:$G$330,4,FALSE),"")</f>
        <v>120</v>
      </c>
      <c r="D81" s="21">
        <f>IFERROR(VLOOKUP(A81,datos_2024!$B$1:$G$326,4,FALSE),"")</f>
        <v>177</v>
      </c>
    </row>
    <row r="82" ht="14.25" customHeight="1">
      <c r="A82" s="19">
        <v>21003.0</v>
      </c>
      <c r="B82" s="20" t="s">
        <v>94</v>
      </c>
      <c r="C82" s="21">
        <f>IFERROR(VLOOKUP(A82,datos_2016!$B$1:$G$330,4,FALSE),"")</f>
        <v>273</v>
      </c>
      <c r="D82" s="21">
        <f>IFERROR(VLOOKUP(A82,datos_2024!$B$1:$G$326,4,FALSE),"")</f>
        <v>144</v>
      </c>
    </row>
    <row r="83" ht="14.25" customHeight="1">
      <c r="A83" s="22">
        <v>21004.0</v>
      </c>
      <c r="B83" s="23" t="s">
        <v>95</v>
      </c>
      <c r="C83" s="21">
        <f>IFERROR(VLOOKUP(A83,datos_2016!$B$1:$G$330,4,FALSE),"")</f>
        <v>530</v>
      </c>
      <c r="D83" s="21">
        <f>IFERROR(VLOOKUP(A83,datos_2024!$B$1:$G$326,4,FALSE),"")</f>
        <v>345</v>
      </c>
    </row>
    <row r="84" ht="14.25" customHeight="1">
      <c r="A84" s="19">
        <v>21005.0</v>
      </c>
      <c r="B84" s="20" t="s">
        <v>96</v>
      </c>
      <c r="C84" s="21">
        <f>IFERROR(VLOOKUP(A84,datos_2016!$B$1:$G$330,4,FALSE),"")</f>
        <v>352</v>
      </c>
      <c r="D84" s="21">
        <f>IFERROR(VLOOKUP(A84,datos_2024!$B$1:$G$326,4,FALSE),"")</f>
        <v>144</v>
      </c>
    </row>
    <row r="85" ht="14.25" customHeight="1">
      <c r="A85" s="22">
        <v>21006.0</v>
      </c>
      <c r="B85" s="23" t="s">
        <v>97</v>
      </c>
      <c r="C85" s="21">
        <f>IFERROR(VLOOKUP(A85,datos_2016!$B$1:$G$330,4,FALSE),"")</f>
        <v>69</v>
      </c>
      <c r="D85" s="21">
        <f>IFERROR(VLOOKUP(A85,datos_2024!$B$1:$G$326,4,FALSE),"")</f>
        <v>65</v>
      </c>
    </row>
    <row r="86" ht="14.25" customHeight="1">
      <c r="A86" s="19">
        <v>21101.0</v>
      </c>
      <c r="B86" s="20" t="s">
        <v>98</v>
      </c>
      <c r="C86" s="21">
        <f>IFERROR(VLOOKUP(A86,datos_2016!$B$1:$G$330,4,FALSE),"")</f>
        <v>265</v>
      </c>
      <c r="D86" s="21">
        <f>IFERROR(VLOOKUP(A86,datos_2024!$B$1:$G$326,4,FALSE),"")</f>
        <v>385</v>
      </c>
    </row>
    <row r="87" ht="14.25" customHeight="1">
      <c r="A87" s="22">
        <v>21102.0</v>
      </c>
      <c r="B87" s="23" t="s">
        <v>99</v>
      </c>
      <c r="C87" s="21">
        <f>IFERROR(VLOOKUP(A87,datos_2016!$B$1:$G$330,4,FALSE),"")</f>
        <v>328</v>
      </c>
      <c r="D87" s="21">
        <f>IFERROR(VLOOKUP(A87,datos_2024!$B$1:$G$326,4,FALSE),"")</f>
        <v>417</v>
      </c>
    </row>
    <row r="88" ht="14.25" customHeight="1">
      <c r="A88" s="19">
        <v>21103.0</v>
      </c>
      <c r="B88" s="20" t="s">
        <v>100</v>
      </c>
      <c r="C88" s="21">
        <f>IFERROR(VLOOKUP(A88,datos_2016!$B$1:$G$330,4,FALSE),"")</f>
        <v>75</v>
      </c>
      <c r="D88" s="21">
        <f>IFERROR(VLOOKUP(A88,datos_2024!$B$1:$G$326,4,FALSE),"")</f>
        <v>124</v>
      </c>
    </row>
    <row r="89" ht="14.25" customHeight="1">
      <c r="A89" s="22">
        <v>21104.0</v>
      </c>
      <c r="B89" s="23" t="s">
        <v>101</v>
      </c>
      <c r="C89" s="21">
        <f>IFERROR(VLOOKUP(A89,datos_2016!$B$1:$G$330,4,FALSE),"")</f>
        <v>696</v>
      </c>
      <c r="D89" s="21">
        <f>IFERROR(VLOOKUP(A89,datos_2024!$B$1:$G$326,4,FALSE),"")</f>
        <v>559</v>
      </c>
    </row>
    <row r="90" ht="14.25" customHeight="1">
      <c r="A90" s="19">
        <v>21105.0</v>
      </c>
      <c r="B90" s="20" t="s">
        <v>102</v>
      </c>
      <c r="C90" s="21">
        <f>IFERROR(VLOOKUP(A90,datos_2016!$B$1:$G$330,4,FALSE),"")</f>
        <v>350</v>
      </c>
      <c r="D90" s="21">
        <f>IFERROR(VLOOKUP(A90,datos_2024!$B$1:$G$326,4,FALSE),"")</f>
        <v>875</v>
      </c>
    </row>
    <row r="91" ht="14.25" customHeight="1">
      <c r="A91" s="22">
        <v>21201.0</v>
      </c>
      <c r="B91" s="23" t="s">
        <v>103</v>
      </c>
      <c r="C91" s="21">
        <f>IFERROR(VLOOKUP(A91,datos_2016!$B$1:$G$330,4,FALSE),"")</f>
        <v>1188</v>
      </c>
      <c r="D91" s="21">
        <f>IFERROR(VLOOKUP(A91,datos_2024!$B$1:$G$326,4,FALSE),"")</f>
        <v>4395</v>
      </c>
    </row>
    <row r="92" ht="14.25" customHeight="1">
      <c r="A92" s="19">
        <v>21202.0</v>
      </c>
      <c r="B92" s="20" t="s">
        <v>104</v>
      </c>
      <c r="C92" s="21">
        <f>IFERROR(VLOOKUP(A92,datos_2016!$B$1:$G$330,4,FALSE),"")</f>
        <v>937</v>
      </c>
      <c r="D92" s="21">
        <f>IFERROR(VLOOKUP(A92,datos_2024!$B$1:$G$326,4,FALSE),"")</f>
        <v>1568</v>
      </c>
    </row>
    <row r="93" ht="14.25" customHeight="1">
      <c r="A93" s="22">
        <v>21203.0</v>
      </c>
      <c r="B93" s="23" t="s">
        <v>105</v>
      </c>
      <c r="C93" s="21">
        <f>IFERROR(VLOOKUP(A93,datos_2016!$B$1:$G$330,4,FALSE),"")</f>
        <v>741</v>
      </c>
      <c r="D93" s="21">
        <f>IFERROR(VLOOKUP(A93,datos_2024!$B$1:$G$326,4,FALSE),"")</f>
        <v>630</v>
      </c>
    </row>
    <row r="94" ht="14.25" customHeight="1">
      <c r="A94" s="19">
        <v>21204.0</v>
      </c>
      <c r="B94" s="20" t="s">
        <v>106</v>
      </c>
      <c r="C94" s="21">
        <f>IFERROR(VLOOKUP(A94,datos_2016!$B$1:$G$330,4,FALSE),"")</f>
        <v>256</v>
      </c>
      <c r="D94" s="21" t="str">
        <f>IFERROR(VLOOKUP(A94,datos_2024!$B$1:$G$326,4,FALSE),"")</f>
        <v/>
      </c>
    </row>
    <row r="95" ht="14.25" customHeight="1">
      <c r="A95" s="22">
        <v>21301.0</v>
      </c>
      <c r="B95" s="23" t="s">
        <v>107</v>
      </c>
      <c r="C95" s="21">
        <f>IFERROR(VLOOKUP(A95,datos_2016!$B$1:$G$330,4,FALSE),"")</f>
        <v>1032</v>
      </c>
      <c r="D95" s="21">
        <f>IFERROR(VLOOKUP(A95,datos_2024!$B$1:$G$326,4,FALSE),"")</f>
        <v>788</v>
      </c>
    </row>
    <row r="96" ht="14.25" customHeight="1">
      <c r="A96" s="19">
        <v>21302.0</v>
      </c>
      <c r="B96" s="20" t="s">
        <v>108</v>
      </c>
      <c r="C96" s="21">
        <f>IFERROR(VLOOKUP(A96,datos_2016!$B$1:$G$330,4,FALSE),"")</f>
        <v>632</v>
      </c>
      <c r="D96" s="21">
        <f>IFERROR(VLOOKUP(A96,datos_2024!$B$1:$G$326,4,FALSE),"")</f>
        <v>688</v>
      </c>
    </row>
    <row r="97" ht="14.25" customHeight="1">
      <c r="A97" s="22">
        <v>21303.0</v>
      </c>
      <c r="B97" s="23" t="s">
        <v>109</v>
      </c>
      <c r="C97" s="21">
        <f>IFERROR(VLOOKUP(A97,datos_2016!$B$1:$G$330,4,FALSE),"")</f>
        <v>452</v>
      </c>
      <c r="D97" s="21">
        <f>IFERROR(VLOOKUP(A97,datos_2024!$B$1:$G$326,4,FALSE),"")</f>
        <v>395</v>
      </c>
    </row>
    <row r="98" ht="14.25" customHeight="1">
      <c r="A98" s="19">
        <v>21304.0</v>
      </c>
      <c r="B98" s="20" t="s">
        <v>110</v>
      </c>
      <c r="C98" s="21">
        <f>IFERROR(VLOOKUP(A98,datos_2016!$B$1:$G$330,4,FALSE),"")</f>
        <v>473</v>
      </c>
      <c r="D98" s="21">
        <f>IFERROR(VLOOKUP(A98,datos_2024!$B$1:$G$326,4,FALSE),"")</f>
        <v>565</v>
      </c>
    </row>
    <row r="99" ht="14.25" customHeight="1">
      <c r="A99" s="22">
        <v>21305.0</v>
      </c>
      <c r="B99" s="23" t="s">
        <v>111</v>
      </c>
      <c r="C99" s="21">
        <f>IFERROR(VLOOKUP(A99,datos_2016!$B$1:$G$330,4,FALSE),"")</f>
        <v>719</v>
      </c>
      <c r="D99" s="21">
        <f>IFERROR(VLOOKUP(A99,datos_2024!$B$1:$G$326,4,FALSE),"")</f>
        <v>756</v>
      </c>
    </row>
    <row r="100" ht="14.25" customHeight="1">
      <c r="A100" s="19">
        <v>21306.0</v>
      </c>
      <c r="B100" s="20" t="s">
        <v>112</v>
      </c>
      <c r="C100" s="21">
        <f>IFERROR(VLOOKUP(A100,datos_2016!$B$1:$G$330,4,FALSE),"")</f>
        <v>205</v>
      </c>
      <c r="D100" s="21">
        <f>IFERROR(VLOOKUP(A100,datos_2024!$B$1:$G$326,4,FALSE),"")</f>
        <v>302</v>
      </c>
    </row>
    <row r="101" ht="14.25" customHeight="1">
      <c r="A101" s="22">
        <v>21307.0</v>
      </c>
      <c r="B101" s="23" t="s">
        <v>113</v>
      </c>
      <c r="C101" s="21">
        <f>IFERROR(VLOOKUP(A101,datos_2016!$B$1:$G$330,4,FALSE),"")</f>
        <v>42</v>
      </c>
      <c r="D101" s="21">
        <f>IFERROR(VLOOKUP(A101,datos_2024!$B$1:$G$326,4,FALSE),"")</f>
        <v>90</v>
      </c>
    </row>
    <row r="102" ht="14.25" customHeight="1">
      <c r="A102" s="19">
        <v>21401.0</v>
      </c>
      <c r="B102" s="20" t="s">
        <v>114</v>
      </c>
      <c r="C102" s="21">
        <f>IFERROR(VLOOKUP(A102,datos_2016!$B$1:$G$330,4,FALSE),"")</f>
        <v>244</v>
      </c>
      <c r="D102" s="21">
        <f>IFERROR(VLOOKUP(A102,datos_2024!$B$1:$G$326,4,FALSE),"")</f>
        <v>532</v>
      </c>
    </row>
    <row r="103" ht="14.25" customHeight="1">
      <c r="A103" s="22">
        <v>21402.0</v>
      </c>
      <c r="B103" s="23" t="s">
        <v>115</v>
      </c>
      <c r="C103" s="21">
        <f>IFERROR(VLOOKUP(A103,datos_2016!$B$1:$G$330,4,FALSE),"")</f>
        <v>348</v>
      </c>
      <c r="D103" s="21">
        <f>IFERROR(VLOOKUP(A103,datos_2024!$B$1:$G$326,4,FALSE),"")</f>
        <v>352</v>
      </c>
    </row>
    <row r="104" ht="14.25" customHeight="1">
      <c r="A104" s="19">
        <v>21501.0</v>
      </c>
      <c r="B104" s="20" t="s">
        <v>116</v>
      </c>
      <c r="C104" s="21">
        <f>IFERROR(VLOOKUP(A104,datos_2016!$B$1:$G$330,4,FALSE),"")</f>
        <v>14</v>
      </c>
      <c r="D104" s="21">
        <f>IFERROR(VLOOKUP(A104,datos_2024!$B$1:$G$326,4,FALSE),"")</f>
        <v>53</v>
      </c>
    </row>
    <row r="105" ht="14.25" customHeight="1">
      <c r="A105" s="22">
        <v>21502.0</v>
      </c>
      <c r="B105" s="23" t="s">
        <v>117</v>
      </c>
      <c r="C105" s="21">
        <f>IFERROR(VLOOKUP(A105,datos_2016!$B$1:$G$330,4,FALSE),"")</f>
        <v>40</v>
      </c>
      <c r="D105" s="21">
        <f>IFERROR(VLOOKUP(A105,datos_2024!$B$1:$G$326,4,FALSE),"")</f>
        <v>50</v>
      </c>
    </row>
    <row r="106" ht="14.25" customHeight="1">
      <c r="A106" s="19">
        <v>21601.0</v>
      </c>
      <c r="B106" s="20" t="s">
        <v>118</v>
      </c>
      <c r="C106" s="21">
        <f>IFERROR(VLOOKUP(A106,datos_2016!$B$1:$G$330,4,FALSE),"")</f>
        <v>248</v>
      </c>
      <c r="D106" s="21">
        <f>IFERROR(VLOOKUP(A106,datos_2024!$B$1:$G$326,4,FALSE),"")</f>
        <v>294</v>
      </c>
    </row>
    <row r="107" ht="14.25" customHeight="1">
      <c r="A107" s="22">
        <v>21602.0</v>
      </c>
      <c r="B107" s="23" t="s">
        <v>119</v>
      </c>
      <c r="C107" s="21">
        <f>IFERROR(VLOOKUP(A107,datos_2016!$B$1:$G$330,4,FALSE),"")</f>
        <v>79</v>
      </c>
      <c r="D107" s="21">
        <f>IFERROR(VLOOKUP(A107,datos_2024!$B$1:$G$326,4,FALSE),"")</f>
        <v>70</v>
      </c>
    </row>
    <row r="108" ht="14.25" customHeight="1">
      <c r="A108" s="19">
        <v>21701.0</v>
      </c>
      <c r="B108" s="20" t="s">
        <v>120</v>
      </c>
      <c r="C108" s="21">
        <f>IFERROR(VLOOKUP(A108,datos_2016!$B$1:$G$330,4,FALSE),"")</f>
        <v>850</v>
      </c>
      <c r="D108" s="21">
        <f>IFERROR(VLOOKUP(A108,datos_2024!$B$1:$G$326,4,FALSE),"")</f>
        <v>659</v>
      </c>
    </row>
    <row r="109" ht="14.25" customHeight="1">
      <c r="A109" s="22">
        <v>21702.0</v>
      </c>
      <c r="B109" s="23" t="s">
        <v>121</v>
      </c>
      <c r="C109" s="21">
        <f>IFERROR(VLOOKUP(A109,datos_2016!$B$1:$G$330,4,FALSE),"")</f>
        <v>326</v>
      </c>
      <c r="D109" s="21">
        <f>IFERROR(VLOOKUP(A109,datos_2024!$B$1:$G$326,4,FALSE),"")</f>
        <v>283</v>
      </c>
    </row>
    <row r="110" ht="14.25" customHeight="1">
      <c r="A110" s="19">
        <v>21703.0</v>
      </c>
      <c r="B110" s="20" t="s">
        <v>122</v>
      </c>
      <c r="C110" s="21">
        <f>IFERROR(VLOOKUP(A110,datos_2016!$B$1:$G$330,4,FALSE),"")</f>
        <v>95</v>
      </c>
      <c r="D110" s="21">
        <f>IFERROR(VLOOKUP(A110,datos_2024!$B$1:$G$326,4,FALSE),"")</f>
        <v>89</v>
      </c>
    </row>
    <row r="111" ht="14.25" customHeight="1">
      <c r="A111" s="22">
        <v>21801.0</v>
      </c>
      <c r="B111" s="23" t="s">
        <v>123</v>
      </c>
      <c r="C111" s="21">
        <f>IFERROR(VLOOKUP(A111,datos_2016!$B$1:$G$330,4,FALSE),"")</f>
        <v>65</v>
      </c>
      <c r="D111" s="21">
        <f>IFERROR(VLOOKUP(A111,datos_2024!$B$1:$G$326,4,FALSE),"")</f>
        <v>324</v>
      </c>
    </row>
    <row r="112" ht="14.25" customHeight="1">
      <c r="A112" s="19">
        <v>21802.0</v>
      </c>
      <c r="B112" s="20" t="s">
        <v>124</v>
      </c>
      <c r="C112" s="21">
        <f>IFERROR(VLOOKUP(A112,datos_2016!$B$1:$G$330,4,FALSE),"")</f>
        <v>0</v>
      </c>
      <c r="D112" s="21">
        <f>IFERROR(VLOOKUP(A112,datos_2024!$B$1:$G$326,4,FALSE),"")</f>
        <v>290</v>
      </c>
    </row>
    <row r="113" ht="14.25" customHeight="1">
      <c r="A113" s="22">
        <v>21803.0</v>
      </c>
      <c r="B113" s="23" t="s">
        <v>125</v>
      </c>
      <c r="C113" s="21">
        <f>IFERROR(VLOOKUP(A113,datos_2016!$B$1:$G$330,4,FALSE),"")</f>
        <v>92</v>
      </c>
      <c r="D113" s="21">
        <f>IFERROR(VLOOKUP(A113,datos_2024!$B$1:$G$326,4,FALSE),"")</f>
        <v>75</v>
      </c>
    </row>
    <row r="114" ht="14.25" customHeight="1">
      <c r="A114" s="19">
        <v>21901.0</v>
      </c>
      <c r="B114" s="20" t="s">
        <v>126</v>
      </c>
      <c r="C114" s="21">
        <f>IFERROR(VLOOKUP(A114,datos_2016!$B$1:$G$330,4,FALSE),"")</f>
        <v>273</v>
      </c>
      <c r="D114" s="21">
        <f>IFERROR(VLOOKUP(A114,datos_2024!$B$1:$G$326,4,FALSE),"")</f>
        <v>386</v>
      </c>
    </row>
    <row r="115" ht="14.25" customHeight="1">
      <c r="A115" s="22">
        <v>21902.0</v>
      </c>
      <c r="B115" s="23" t="s">
        <v>127</v>
      </c>
      <c r="C115" s="21">
        <f>IFERROR(VLOOKUP(A115,datos_2016!$B$1:$G$330,4,FALSE),"")</f>
        <v>29</v>
      </c>
      <c r="D115" s="21">
        <f>IFERROR(VLOOKUP(A115,datos_2024!$B$1:$G$326,4,FALSE),"")</f>
        <v>44</v>
      </c>
    </row>
    <row r="116" ht="14.25" customHeight="1">
      <c r="A116" s="19">
        <v>22001.0</v>
      </c>
      <c r="B116" s="20" t="s">
        <v>128</v>
      </c>
      <c r="C116" s="21">
        <f>IFERROR(VLOOKUP(A116,datos_2016!$B$1:$G$330,4,FALSE),"")</f>
        <v>1666</v>
      </c>
      <c r="D116" s="21">
        <f>IFERROR(VLOOKUP(A116,datos_2024!$B$1:$G$326,4,FALSE),"")</f>
        <v>2009</v>
      </c>
    </row>
    <row r="117" ht="14.25" customHeight="1">
      <c r="A117" s="22">
        <v>22002.0</v>
      </c>
      <c r="B117" s="23" t="s">
        <v>129</v>
      </c>
      <c r="C117" s="21">
        <f>IFERROR(VLOOKUP(A117,datos_2016!$B$1:$G$330,4,FALSE),"")</f>
        <v>154</v>
      </c>
      <c r="D117" s="21">
        <f>IFERROR(VLOOKUP(A117,datos_2024!$B$1:$G$326,4,FALSE),"")</f>
        <v>234</v>
      </c>
    </row>
    <row r="118" ht="14.25" customHeight="1">
      <c r="A118" s="19">
        <v>30101.0</v>
      </c>
      <c r="B118" s="20" t="s">
        <v>130</v>
      </c>
      <c r="C118" s="21">
        <f>IFERROR(VLOOKUP(A118,datos_2016!$B$1:$G$330,4,FALSE),"")</f>
        <v>9655</v>
      </c>
      <c r="D118" s="21">
        <f>IFERROR(VLOOKUP(A118,datos_2024!$B$1:$G$326,4,FALSE),"")</f>
        <v>14720</v>
      </c>
    </row>
    <row r="119" ht="14.25" customHeight="1">
      <c r="A119" s="22">
        <v>30201.0</v>
      </c>
      <c r="B119" s="23" t="s">
        <v>131</v>
      </c>
      <c r="C119" s="21">
        <f>IFERROR(VLOOKUP(A119,datos_2016!$B$1:$G$330,4,FALSE),"")</f>
        <v>274</v>
      </c>
      <c r="D119" s="21">
        <f>IFERROR(VLOOKUP(A119,datos_2024!$B$1:$G$326,4,FALSE),"")</f>
        <v>364</v>
      </c>
    </row>
    <row r="120" ht="14.25" customHeight="1">
      <c r="A120" s="19">
        <v>30202.0</v>
      </c>
      <c r="B120" s="20" t="s">
        <v>132</v>
      </c>
      <c r="C120" s="21">
        <f>IFERROR(VLOOKUP(A120,datos_2016!$B$1:$G$330,4,FALSE),"")</f>
        <v>45</v>
      </c>
      <c r="D120" s="21">
        <f>IFERROR(VLOOKUP(A120,datos_2024!$B$1:$G$326,4,FALSE),"")</f>
        <v>70</v>
      </c>
    </row>
    <row r="121" ht="14.25" customHeight="1">
      <c r="A121" s="22">
        <v>30203.0</v>
      </c>
      <c r="B121" s="23" t="s">
        <v>133</v>
      </c>
      <c r="C121" s="21">
        <f>IFERROR(VLOOKUP(A121,datos_2016!$B$1:$G$330,4,FALSE),"")</f>
        <v>83</v>
      </c>
      <c r="D121" s="21">
        <f>IFERROR(VLOOKUP(A121,datos_2024!$B$1:$G$326,4,FALSE),"")</f>
        <v>127</v>
      </c>
    </row>
    <row r="122" ht="14.25" customHeight="1">
      <c r="A122" s="19">
        <v>30301.0</v>
      </c>
      <c r="B122" s="20" t="s">
        <v>134</v>
      </c>
      <c r="C122" s="21">
        <f>IFERROR(VLOOKUP(A122,datos_2016!$B$1:$G$330,4,FALSE),"")</f>
        <v>279</v>
      </c>
      <c r="D122" s="21">
        <f>IFERROR(VLOOKUP(A122,datos_2024!$B$1:$G$326,4,FALSE),"")</f>
        <v>656</v>
      </c>
    </row>
    <row r="123" ht="14.25" customHeight="1">
      <c r="A123" s="22">
        <v>30302.0</v>
      </c>
      <c r="B123" s="23" t="s">
        <v>135</v>
      </c>
      <c r="C123" s="21">
        <f>IFERROR(VLOOKUP(A123,datos_2016!$B$1:$G$330,4,FALSE),"")</f>
        <v>232</v>
      </c>
      <c r="D123" s="21">
        <f>IFERROR(VLOOKUP(A123,datos_2024!$B$1:$G$326,4,FALSE),"")</f>
        <v>339</v>
      </c>
    </row>
    <row r="124" ht="14.25" customHeight="1">
      <c r="A124" s="19">
        <v>30303.0</v>
      </c>
      <c r="B124" s="20" t="s">
        <v>136</v>
      </c>
      <c r="C124" s="21">
        <f>IFERROR(VLOOKUP(A124,datos_2016!$B$1:$G$330,4,FALSE),"")</f>
        <v>154</v>
      </c>
      <c r="D124" s="21">
        <f>IFERROR(VLOOKUP(A124,datos_2024!$B$1:$G$326,4,FALSE),"")</f>
        <v>247</v>
      </c>
    </row>
    <row r="125" ht="14.25" customHeight="1">
      <c r="A125" s="22">
        <v>30401.0</v>
      </c>
      <c r="B125" s="23" t="s">
        <v>137</v>
      </c>
      <c r="C125" s="21">
        <f>IFERROR(VLOOKUP(A125,datos_2016!$B$1:$G$330,4,FALSE),"")</f>
        <v>298</v>
      </c>
      <c r="D125" s="21">
        <f>IFERROR(VLOOKUP(A125,datos_2024!$B$1:$G$326,4,FALSE),"")</f>
        <v>345</v>
      </c>
    </row>
    <row r="126" ht="14.25" customHeight="1">
      <c r="A126" s="19">
        <v>30402.0</v>
      </c>
      <c r="B126" s="20" t="s">
        <v>138</v>
      </c>
      <c r="C126" s="21">
        <f>IFERROR(VLOOKUP(A126,datos_2016!$B$1:$G$330,4,FALSE),"")</f>
        <v>185</v>
      </c>
      <c r="D126" s="21">
        <f>IFERROR(VLOOKUP(A126,datos_2024!$B$1:$G$326,4,FALSE),"")</f>
        <v>336</v>
      </c>
    </row>
    <row r="127" ht="14.25" customHeight="1">
      <c r="A127" s="22">
        <v>30403.0</v>
      </c>
      <c r="B127" s="23" t="s">
        <v>139</v>
      </c>
      <c r="C127" s="21">
        <f>IFERROR(VLOOKUP(A127,datos_2016!$B$1:$G$330,4,FALSE),"")</f>
        <v>803</v>
      </c>
      <c r="D127" s="21">
        <f>IFERROR(VLOOKUP(A127,datos_2024!$B$1:$G$326,4,FALSE),"")</f>
        <v>975</v>
      </c>
    </row>
    <row r="128" ht="14.25" customHeight="1">
      <c r="A128" s="19">
        <v>30404.0</v>
      </c>
      <c r="B128" s="20" t="s">
        <v>140</v>
      </c>
      <c r="C128" s="21">
        <f>IFERROR(VLOOKUP(A128,datos_2016!$B$1:$G$330,4,FALSE),"")</f>
        <v>176</v>
      </c>
      <c r="D128" s="21">
        <f>IFERROR(VLOOKUP(A128,datos_2024!$B$1:$G$326,4,FALSE),"")</f>
        <v>152</v>
      </c>
    </row>
    <row r="129" ht="14.25" customHeight="1">
      <c r="A129" s="22">
        <v>30501.0</v>
      </c>
      <c r="B129" s="23" t="s">
        <v>141</v>
      </c>
      <c r="C129" s="21">
        <f>IFERROR(VLOOKUP(A129,datos_2016!$B$1:$G$330,4,FALSE),"")</f>
        <v>706</v>
      </c>
      <c r="D129" s="21">
        <f>IFERROR(VLOOKUP(A129,datos_2024!$B$1:$G$326,4,FALSE),"")</f>
        <v>506</v>
      </c>
    </row>
    <row r="130" ht="14.25" customHeight="1">
      <c r="A130" s="19">
        <v>30502.0</v>
      </c>
      <c r="B130" s="20" t="s">
        <v>142</v>
      </c>
      <c r="C130" s="21">
        <f>IFERROR(VLOOKUP(A130,datos_2016!$B$1:$G$330,4,FALSE),"")</f>
        <v>226</v>
      </c>
      <c r="D130" s="21">
        <f>IFERROR(VLOOKUP(A130,datos_2024!$B$1:$G$326,4,FALSE),"")</f>
        <v>514</v>
      </c>
    </row>
    <row r="131" ht="14.25" customHeight="1">
      <c r="A131" s="22">
        <v>30601.0</v>
      </c>
      <c r="B131" s="23" t="s">
        <v>143</v>
      </c>
      <c r="C131" s="21">
        <f>IFERROR(VLOOKUP(A131,datos_2016!$B$1:$G$330,4,FALSE),"")</f>
        <v>144</v>
      </c>
      <c r="D131" s="21">
        <f>IFERROR(VLOOKUP(A131,datos_2024!$B$1:$G$326,4,FALSE),"")</f>
        <v>196</v>
      </c>
    </row>
    <row r="132" ht="14.25" customHeight="1">
      <c r="A132" s="19">
        <v>30602.0</v>
      </c>
      <c r="B132" s="20" t="s">
        <v>144</v>
      </c>
      <c r="C132" s="21">
        <f>IFERROR(VLOOKUP(A132,datos_2016!$B$1:$G$330,4,FALSE),"")</f>
        <v>199</v>
      </c>
      <c r="D132" s="21">
        <f>IFERROR(VLOOKUP(A132,datos_2024!$B$1:$G$326,4,FALSE),"")</f>
        <v>395</v>
      </c>
    </row>
    <row r="133" ht="14.25" customHeight="1">
      <c r="A133" s="22">
        <v>30701.0</v>
      </c>
      <c r="B133" s="23" t="s">
        <v>145</v>
      </c>
      <c r="C133" s="21">
        <f>IFERROR(VLOOKUP(A133,datos_2016!$B$1:$G$330,4,FALSE),"")</f>
        <v>297</v>
      </c>
      <c r="D133" s="21">
        <f>IFERROR(VLOOKUP(A133,datos_2024!$B$1:$G$326,4,FALSE),"")</f>
        <v>492</v>
      </c>
    </row>
    <row r="134" ht="14.25" customHeight="1">
      <c r="A134" s="19">
        <v>30702.0</v>
      </c>
      <c r="B134" s="20" t="s">
        <v>146</v>
      </c>
      <c r="C134" s="21">
        <f>IFERROR(VLOOKUP(A134,datos_2016!$B$1:$G$330,4,FALSE),"")</f>
        <v>360</v>
      </c>
      <c r="D134" s="21">
        <f>IFERROR(VLOOKUP(A134,datos_2024!$B$1:$G$326,4,FALSE),"")</f>
        <v>393</v>
      </c>
    </row>
    <row r="135" ht="14.25" customHeight="1">
      <c r="A135" s="22">
        <v>30703.0</v>
      </c>
      <c r="B135" s="23" t="s">
        <v>147</v>
      </c>
      <c r="C135" s="21">
        <f>IFERROR(VLOOKUP(A135,datos_2016!$B$1:$G$330,4,FALSE),"")</f>
        <v>60</v>
      </c>
      <c r="D135" s="21">
        <f>IFERROR(VLOOKUP(A135,datos_2024!$B$1:$G$326,4,FALSE),"")</f>
        <v>74</v>
      </c>
    </row>
    <row r="136" ht="14.25" customHeight="1">
      <c r="A136" s="19">
        <v>30801.0</v>
      </c>
      <c r="B136" s="20" t="s">
        <v>148</v>
      </c>
      <c r="C136" s="21">
        <f>IFERROR(VLOOKUP(A136,datos_2016!$B$1:$G$330,4,FALSE),"")</f>
        <v>717</v>
      </c>
      <c r="D136" s="21">
        <f>IFERROR(VLOOKUP(A136,datos_2024!$B$1:$G$326,4,FALSE),"")</f>
        <v>838</v>
      </c>
    </row>
    <row r="137" ht="14.25" customHeight="1">
      <c r="A137" s="22">
        <v>30802.0</v>
      </c>
      <c r="B137" s="23" t="s">
        <v>149</v>
      </c>
      <c r="C137" s="21">
        <f>IFERROR(VLOOKUP(A137,datos_2016!$B$1:$G$330,4,FALSE),"")</f>
        <v>211</v>
      </c>
      <c r="D137" s="21">
        <f>IFERROR(VLOOKUP(A137,datos_2024!$B$1:$G$326,4,FALSE),"")</f>
        <v>241</v>
      </c>
    </row>
    <row r="138" ht="14.25" customHeight="1">
      <c r="A138" s="19">
        <v>30803.0</v>
      </c>
      <c r="B138" s="20" t="s">
        <v>150</v>
      </c>
      <c r="C138" s="21">
        <f>IFERROR(VLOOKUP(A138,datos_2016!$B$1:$G$330,4,FALSE),"")</f>
        <v>240</v>
      </c>
      <c r="D138" s="21">
        <f>IFERROR(VLOOKUP(A138,datos_2024!$B$1:$G$326,4,FALSE),"")</f>
        <v>355</v>
      </c>
    </row>
    <row r="139" ht="14.25" customHeight="1">
      <c r="A139" s="22">
        <v>30901.0</v>
      </c>
      <c r="B139" s="23" t="s">
        <v>151</v>
      </c>
      <c r="C139" s="21">
        <f>IFERROR(VLOOKUP(A139,datos_2016!$B$1:$G$330,4,FALSE),"")</f>
        <v>1521</v>
      </c>
      <c r="D139" s="21">
        <f>IFERROR(VLOOKUP(A139,datos_2024!$B$1:$G$326,4,FALSE),"")</f>
        <v>2709</v>
      </c>
    </row>
    <row r="140" ht="14.25" customHeight="1">
      <c r="A140" s="19">
        <v>30902.0</v>
      </c>
      <c r="B140" s="20" t="s">
        <v>152</v>
      </c>
      <c r="C140" s="21">
        <f>IFERROR(VLOOKUP(A140,datos_2016!$B$1:$G$330,4,FALSE),"")</f>
        <v>627</v>
      </c>
      <c r="D140" s="21">
        <f>IFERROR(VLOOKUP(A140,datos_2024!$B$1:$G$326,4,FALSE),"")</f>
        <v>1103</v>
      </c>
    </row>
    <row r="141" ht="14.25" customHeight="1">
      <c r="A141" s="22">
        <v>30903.0</v>
      </c>
      <c r="B141" s="23" t="s">
        <v>153</v>
      </c>
      <c r="C141" s="21">
        <f>IFERROR(VLOOKUP(A141,datos_2016!$B$1:$G$330,4,FALSE),"")</f>
        <v>613</v>
      </c>
      <c r="D141" s="21">
        <f>IFERROR(VLOOKUP(A141,datos_2024!$B$1:$G$326,4,FALSE),"")</f>
        <v>988</v>
      </c>
    </row>
    <row r="142" ht="14.25" customHeight="1">
      <c r="A142" s="19">
        <v>30904.0</v>
      </c>
      <c r="B142" s="20" t="s">
        <v>154</v>
      </c>
      <c r="C142" s="21">
        <f>IFERROR(VLOOKUP(A142,datos_2016!$B$1:$G$330,4,FALSE),"")</f>
        <v>861</v>
      </c>
      <c r="D142" s="21">
        <f>IFERROR(VLOOKUP(A142,datos_2024!$B$1:$G$326,4,FALSE),"")</f>
        <v>1314</v>
      </c>
    </row>
    <row r="143" ht="14.25" customHeight="1">
      <c r="A143" s="22">
        <v>30905.0</v>
      </c>
      <c r="B143" s="23" t="s">
        <v>155</v>
      </c>
      <c r="C143" s="21">
        <f>IFERROR(VLOOKUP(A143,datos_2016!$B$1:$G$330,4,FALSE),"")</f>
        <v>466</v>
      </c>
      <c r="D143" s="21">
        <f>IFERROR(VLOOKUP(A143,datos_2024!$B$1:$G$326,4,FALSE),"")</f>
        <v>1043</v>
      </c>
    </row>
    <row r="144" ht="14.25" customHeight="1">
      <c r="A144" s="19">
        <v>31001.0</v>
      </c>
      <c r="B144" s="20" t="s">
        <v>156</v>
      </c>
      <c r="C144" s="21">
        <f>IFERROR(VLOOKUP(A144,datos_2016!$B$1:$G$330,4,FALSE),"")</f>
        <v>2865</v>
      </c>
      <c r="D144" s="21">
        <f>IFERROR(VLOOKUP(A144,datos_2024!$B$1:$G$326,4,FALSE),"")</f>
        <v>4714</v>
      </c>
    </row>
    <row r="145" ht="14.25" customHeight="1">
      <c r="A145" s="22">
        <v>31002.0</v>
      </c>
      <c r="B145" s="23" t="s">
        <v>157</v>
      </c>
      <c r="C145" s="21">
        <f>IFERROR(VLOOKUP(A145,datos_2016!$B$1:$G$330,4,FALSE),"")</f>
        <v>459</v>
      </c>
      <c r="D145" s="21">
        <f>IFERROR(VLOOKUP(A145,datos_2024!$B$1:$G$326,4,FALSE),"")</f>
        <v>565</v>
      </c>
    </row>
    <row r="146" ht="14.25" customHeight="1">
      <c r="A146" s="19">
        <v>31003.0</v>
      </c>
      <c r="B146" s="20" t="s">
        <v>158</v>
      </c>
      <c r="C146" s="21">
        <f>IFERROR(VLOOKUP(A146,datos_2016!$B$1:$G$330,4,FALSE),"")</f>
        <v>1222</v>
      </c>
      <c r="D146" s="21">
        <f>IFERROR(VLOOKUP(A146,datos_2024!$B$1:$G$326,4,FALSE),"")</f>
        <v>1559</v>
      </c>
    </row>
    <row r="147" ht="14.25" customHeight="1">
      <c r="A147" s="22">
        <v>31101.0</v>
      </c>
      <c r="B147" s="23" t="s">
        <v>159</v>
      </c>
      <c r="C147" s="21">
        <f>IFERROR(VLOOKUP(A147,datos_2016!$B$1:$G$330,4,FALSE),"")</f>
        <v>322</v>
      </c>
      <c r="D147" s="21">
        <f>IFERROR(VLOOKUP(A147,datos_2024!$B$1:$G$326,4,FALSE),"")</f>
        <v>675</v>
      </c>
    </row>
    <row r="148" ht="14.25" customHeight="1">
      <c r="A148" s="19">
        <v>31201.0</v>
      </c>
      <c r="B148" s="20" t="s">
        <v>160</v>
      </c>
      <c r="C148" s="21">
        <f>IFERROR(VLOOKUP(A148,datos_2016!$B$1:$G$330,4,FALSE),"")</f>
        <v>215</v>
      </c>
      <c r="D148" s="21">
        <f>IFERROR(VLOOKUP(A148,datos_2024!$B$1:$G$326,4,FALSE),"")</f>
        <v>235</v>
      </c>
    </row>
    <row r="149" ht="14.25" customHeight="1">
      <c r="A149" s="22">
        <v>31202.0</v>
      </c>
      <c r="B149" s="23" t="s">
        <v>161</v>
      </c>
      <c r="C149" s="21">
        <f>IFERROR(VLOOKUP(A149,datos_2016!$B$1:$G$330,4,FALSE),"")</f>
        <v>174</v>
      </c>
      <c r="D149" s="21">
        <f>IFERROR(VLOOKUP(A149,datos_2024!$B$1:$G$326,4,FALSE),"")</f>
        <v>186</v>
      </c>
    </row>
    <row r="150" ht="14.25" customHeight="1">
      <c r="A150" s="19">
        <v>31203.0</v>
      </c>
      <c r="B150" s="20" t="s">
        <v>162</v>
      </c>
      <c r="C150" s="21">
        <f>IFERROR(VLOOKUP(A150,datos_2016!$B$1:$G$330,4,FALSE),"")</f>
        <v>275</v>
      </c>
      <c r="D150" s="21">
        <f>IFERROR(VLOOKUP(A150,datos_2024!$B$1:$G$326,4,FALSE),"")</f>
        <v>307</v>
      </c>
    </row>
    <row r="151" ht="14.25" customHeight="1">
      <c r="A151" s="22">
        <v>31204.0</v>
      </c>
      <c r="B151" s="23" t="s">
        <v>163</v>
      </c>
      <c r="C151" s="21">
        <f>IFERROR(VLOOKUP(A151,datos_2016!$B$1:$G$330,4,FALSE),"")</f>
        <v>271</v>
      </c>
      <c r="D151" s="21">
        <f>IFERROR(VLOOKUP(A151,datos_2024!$B$1:$G$326,4,FALSE),"")</f>
        <v>364</v>
      </c>
    </row>
    <row r="152" ht="14.25" customHeight="1">
      <c r="A152" s="19">
        <v>31205.0</v>
      </c>
      <c r="B152" s="20" t="s">
        <v>164</v>
      </c>
      <c r="C152" s="21">
        <f>IFERROR(VLOOKUP(A152,datos_2016!$B$1:$G$330,4,FALSE),"")</f>
        <v>707</v>
      </c>
      <c r="D152" s="21">
        <f>IFERROR(VLOOKUP(A152,datos_2024!$B$1:$G$326,4,FALSE),"")</f>
        <v>934</v>
      </c>
    </row>
    <row r="153" ht="14.25" customHeight="1">
      <c r="A153" s="22">
        <v>31206.0</v>
      </c>
      <c r="B153" s="23" t="s">
        <v>165</v>
      </c>
      <c r="C153" s="21">
        <f>IFERROR(VLOOKUP(A153,datos_2016!$B$1:$G$330,4,FALSE),"")</f>
        <v>271</v>
      </c>
      <c r="D153" s="21">
        <f>IFERROR(VLOOKUP(A153,datos_2024!$B$1:$G$326,4,FALSE),"")</f>
        <v>663</v>
      </c>
    </row>
    <row r="154" ht="14.25" customHeight="1">
      <c r="A154" s="19">
        <v>31301.0</v>
      </c>
      <c r="B154" s="20" t="s">
        <v>166</v>
      </c>
      <c r="C154" s="21">
        <f>IFERROR(VLOOKUP(A154,datos_2016!$B$1:$G$330,4,FALSE),"")</f>
        <v>355</v>
      </c>
      <c r="D154" s="21">
        <f>IFERROR(VLOOKUP(A154,datos_2024!$B$1:$G$326,4,FALSE),"")</f>
        <v>374</v>
      </c>
    </row>
    <row r="155" ht="14.25" customHeight="1">
      <c r="A155" s="22">
        <v>31302.0</v>
      </c>
      <c r="B155" s="23" t="s">
        <v>167</v>
      </c>
      <c r="C155" s="21">
        <f>IFERROR(VLOOKUP(A155,datos_2016!$B$1:$G$330,4,FALSE),"")</f>
        <v>51</v>
      </c>
      <c r="D155" s="21">
        <f>IFERROR(VLOOKUP(A155,datos_2024!$B$1:$G$326,4,FALSE),"")</f>
        <v>87</v>
      </c>
    </row>
    <row r="156" ht="14.25" customHeight="1">
      <c r="A156" s="19">
        <v>31303.0</v>
      </c>
      <c r="B156" s="20" t="s">
        <v>168</v>
      </c>
      <c r="C156" s="21">
        <f>IFERROR(VLOOKUP(A156,datos_2016!$B$1:$G$330,4,FALSE),"")</f>
        <v>38</v>
      </c>
      <c r="D156" s="21">
        <f>IFERROR(VLOOKUP(A156,datos_2024!$B$1:$G$326,4,FALSE),"")</f>
        <v>70</v>
      </c>
    </row>
    <row r="157" ht="14.25" customHeight="1">
      <c r="A157" s="22">
        <v>31304.0</v>
      </c>
      <c r="B157" s="23" t="s">
        <v>169</v>
      </c>
      <c r="C157" s="21" t="str">
        <f>IFERROR(VLOOKUP(A157,datos_2016!$B$1:$G$330,4,FALSE),"")</f>
        <v/>
      </c>
      <c r="D157" s="21" t="str">
        <f>IFERROR(VLOOKUP(A157,datos_2024!$B$1:$G$326,4,FALSE),"")</f>
        <v/>
      </c>
    </row>
    <row r="158" ht="14.25" customHeight="1">
      <c r="A158" s="19">
        <v>31401.0</v>
      </c>
      <c r="B158" s="20" t="s">
        <v>170</v>
      </c>
      <c r="C158" s="21">
        <f>IFERROR(VLOOKUP(A158,datos_2016!$B$1:$G$330,4,FALSE),"")</f>
        <v>777</v>
      </c>
      <c r="D158" s="21">
        <f>IFERROR(VLOOKUP(A158,datos_2024!$B$1:$G$326,4,FALSE),"")</f>
        <v>957</v>
      </c>
    </row>
    <row r="159" ht="14.25" customHeight="1">
      <c r="A159" s="22">
        <v>31402.0</v>
      </c>
      <c r="B159" s="23" t="s">
        <v>171</v>
      </c>
      <c r="C159" s="21">
        <f>IFERROR(VLOOKUP(A159,datos_2016!$B$1:$G$330,4,FALSE),"")</f>
        <v>597</v>
      </c>
      <c r="D159" s="21">
        <f>IFERROR(VLOOKUP(A159,datos_2024!$B$1:$G$326,4,FALSE),"")</f>
        <v>505</v>
      </c>
    </row>
    <row r="160" ht="14.25" customHeight="1">
      <c r="A160" s="19">
        <v>31403.0</v>
      </c>
      <c r="B160" s="20" t="s">
        <v>172</v>
      </c>
      <c r="C160" s="21">
        <f>IFERROR(VLOOKUP(A160,datos_2016!$B$1:$G$330,4,FALSE),"")</f>
        <v>491</v>
      </c>
      <c r="D160" s="21">
        <f>IFERROR(VLOOKUP(A160,datos_2024!$B$1:$G$326,4,FALSE),"")</f>
        <v>622</v>
      </c>
    </row>
    <row r="161" ht="14.25" customHeight="1">
      <c r="A161" s="22">
        <v>31404.0</v>
      </c>
      <c r="B161" s="23" t="s">
        <v>173</v>
      </c>
      <c r="C161" s="21">
        <f>IFERROR(VLOOKUP(A161,datos_2016!$B$1:$G$330,4,FALSE),"")</f>
        <v>57</v>
      </c>
      <c r="D161" s="21">
        <f>IFERROR(VLOOKUP(A161,datos_2024!$B$1:$G$326,4,FALSE),"")</f>
        <v>63</v>
      </c>
    </row>
    <row r="162" ht="14.25" customHeight="1">
      <c r="A162" s="19">
        <v>31405.0</v>
      </c>
      <c r="B162" s="20" t="s">
        <v>174</v>
      </c>
      <c r="C162" s="21" t="str">
        <f>IFERROR(VLOOKUP(A162,datos_2016!$B$1:$G$330,4,FALSE),"")</f>
        <v/>
      </c>
      <c r="D162" s="21" t="str">
        <f>IFERROR(VLOOKUP(A162,datos_2024!$B$1:$G$326,4,FALSE),"")</f>
        <v/>
      </c>
    </row>
    <row r="163" ht="14.25" customHeight="1">
      <c r="A163" s="22">
        <v>31501.0</v>
      </c>
      <c r="B163" s="23" t="s">
        <v>175</v>
      </c>
      <c r="C163" s="21">
        <f>IFERROR(VLOOKUP(A163,datos_2016!$B$1:$G$330,4,FALSE),"")</f>
        <v>153</v>
      </c>
      <c r="D163" s="21">
        <f>IFERROR(VLOOKUP(A163,datos_2024!$B$1:$G$326,4,FALSE),"")</f>
        <v>256</v>
      </c>
    </row>
    <row r="164" ht="14.25" customHeight="1">
      <c r="A164" s="19">
        <v>31601.0</v>
      </c>
      <c r="B164" s="20" t="s">
        <v>176</v>
      </c>
      <c r="C164" s="21">
        <f>IFERROR(VLOOKUP(A164,datos_2016!$B$1:$G$330,4,FALSE),"")</f>
        <v>576</v>
      </c>
      <c r="D164" s="21">
        <f>IFERROR(VLOOKUP(A164,datos_2024!$B$1:$G$326,4,FALSE),"")</f>
        <v>704</v>
      </c>
    </row>
    <row r="165" ht="14.25" customHeight="1">
      <c r="A165" s="22">
        <v>31602.0</v>
      </c>
      <c r="B165" s="23" t="s">
        <v>177</v>
      </c>
      <c r="C165" s="21">
        <f>IFERROR(VLOOKUP(A165,datos_2016!$B$1:$G$330,4,FALSE),"")</f>
        <v>220</v>
      </c>
      <c r="D165" s="21">
        <f>IFERROR(VLOOKUP(A165,datos_2024!$B$1:$G$326,4,FALSE),"")</f>
        <v>244</v>
      </c>
    </row>
    <row r="166" ht="14.25" customHeight="1">
      <c r="A166" s="19">
        <v>40101.0</v>
      </c>
      <c r="B166" s="20" t="s">
        <v>178</v>
      </c>
      <c r="C166" s="21">
        <f>IFERROR(VLOOKUP(A166,datos_2016!$B$1:$G$330,4,FALSE),"")</f>
        <v>4670</v>
      </c>
      <c r="D166" s="21">
        <f>IFERROR(VLOOKUP(A166,datos_2024!$B$1:$G$326,4,FALSE),"")</f>
        <v>8178</v>
      </c>
    </row>
    <row r="167" ht="14.25" customHeight="1">
      <c r="A167" s="22">
        <v>40102.0</v>
      </c>
      <c r="B167" s="23" t="s">
        <v>179</v>
      </c>
      <c r="C167" s="21">
        <f>IFERROR(VLOOKUP(A167,datos_2016!$B$1:$G$330,4,FALSE),"")</f>
        <v>238</v>
      </c>
      <c r="D167" s="21">
        <f>IFERROR(VLOOKUP(A167,datos_2024!$B$1:$G$326,4,FALSE),"")</f>
        <v>792</v>
      </c>
    </row>
    <row r="168" ht="14.25" customHeight="1">
      <c r="A168" s="19">
        <v>40103.0</v>
      </c>
      <c r="B168" s="20" t="s">
        <v>180</v>
      </c>
      <c r="C168" s="21">
        <f>IFERROR(VLOOKUP(A168,datos_2016!$B$1:$G$330,4,FALSE),"")</f>
        <v>23</v>
      </c>
      <c r="D168" s="21">
        <f>IFERROR(VLOOKUP(A168,datos_2024!$B$1:$G$326,4,FALSE),"")</f>
        <v>119</v>
      </c>
    </row>
    <row r="169" ht="14.25" customHeight="1">
      <c r="A169" s="22">
        <v>40104.0</v>
      </c>
      <c r="B169" s="23" t="s">
        <v>181</v>
      </c>
      <c r="C169" s="21">
        <f>IFERROR(VLOOKUP(A169,datos_2016!$B$1:$G$330,4,FALSE),"")</f>
        <v>154</v>
      </c>
      <c r="D169" s="21">
        <f>IFERROR(VLOOKUP(A169,datos_2024!$B$1:$G$326,4,FALSE),"")</f>
        <v>125</v>
      </c>
    </row>
    <row r="170" ht="14.25" customHeight="1">
      <c r="A170" s="19">
        <v>40201.0</v>
      </c>
      <c r="B170" s="20" t="s">
        <v>182</v>
      </c>
      <c r="C170" s="21">
        <f>IFERROR(VLOOKUP(A170,datos_2016!$B$1:$G$330,4,FALSE),"")</f>
        <v>1174</v>
      </c>
      <c r="D170" s="21">
        <f>IFERROR(VLOOKUP(A170,datos_2024!$B$1:$G$326,4,FALSE),"")</f>
        <v>1111</v>
      </c>
    </row>
    <row r="171" ht="14.25" customHeight="1">
      <c r="A171" s="22">
        <v>40202.0</v>
      </c>
      <c r="B171" s="23" t="s">
        <v>183</v>
      </c>
      <c r="C171" s="21">
        <f>IFERROR(VLOOKUP(A171,datos_2016!$B$1:$G$330,4,FALSE),"")</f>
        <v>12</v>
      </c>
      <c r="D171" s="21">
        <f>IFERROR(VLOOKUP(A171,datos_2024!$B$1:$G$326,4,FALSE),"")</f>
        <v>68</v>
      </c>
    </row>
    <row r="172" ht="14.25" customHeight="1">
      <c r="A172" s="19">
        <v>40301.0</v>
      </c>
      <c r="B172" s="20" t="s">
        <v>184</v>
      </c>
      <c r="C172" s="21">
        <f>IFERROR(VLOOKUP(A172,datos_2016!$B$1:$G$330,4,FALSE),"")</f>
        <v>325</v>
      </c>
      <c r="D172" s="21">
        <f>IFERROR(VLOOKUP(A172,datos_2024!$B$1:$G$326,4,FALSE),"")</f>
        <v>723</v>
      </c>
    </row>
    <row r="173" ht="14.25" customHeight="1">
      <c r="A173" s="22">
        <v>40302.0</v>
      </c>
      <c r="B173" s="23" t="s">
        <v>185</v>
      </c>
      <c r="C173" s="21">
        <f>IFERROR(VLOOKUP(A173,datos_2016!$B$1:$G$330,4,FALSE),"")</f>
        <v>67</v>
      </c>
      <c r="D173" s="21">
        <f>IFERROR(VLOOKUP(A173,datos_2024!$B$1:$G$326,4,FALSE),"")</f>
        <v>159</v>
      </c>
    </row>
    <row r="174" ht="14.25" customHeight="1">
      <c r="A174" s="19">
        <v>40401.0</v>
      </c>
      <c r="B174" s="20" t="s">
        <v>186</v>
      </c>
      <c r="C174" s="21">
        <f>IFERROR(VLOOKUP(A174,datos_2016!$B$1:$G$330,4,FALSE),"")</f>
        <v>76</v>
      </c>
      <c r="D174" s="21">
        <f>IFERROR(VLOOKUP(A174,datos_2024!$B$1:$G$326,4,FALSE),"")</f>
        <v>158</v>
      </c>
    </row>
    <row r="175" ht="14.25" customHeight="1">
      <c r="A175" s="22">
        <v>40402.0</v>
      </c>
      <c r="B175" s="23" t="s">
        <v>187</v>
      </c>
      <c r="C175" s="21">
        <f>IFERROR(VLOOKUP(A175,datos_2016!$B$1:$G$330,4,FALSE),"")</f>
        <v>129</v>
      </c>
      <c r="D175" s="21">
        <f>IFERROR(VLOOKUP(A175,datos_2024!$B$1:$G$326,4,FALSE),"")</f>
        <v>128</v>
      </c>
    </row>
    <row r="176" ht="14.25" customHeight="1">
      <c r="A176" s="19">
        <v>40501.0</v>
      </c>
      <c r="B176" s="20" t="s">
        <v>188</v>
      </c>
      <c r="C176" s="21">
        <f>IFERROR(VLOOKUP(A176,datos_2016!$B$1:$G$330,4,FALSE),"")</f>
        <v>124</v>
      </c>
      <c r="D176" s="21">
        <f>IFERROR(VLOOKUP(A176,datos_2024!$B$1:$G$326,4,FALSE),"")</f>
        <v>144</v>
      </c>
    </row>
    <row r="177" ht="14.25" customHeight="1">
      <c r="A177" s="22">
        <v>40502.0</v>
      </c>
      <c r="B177" s="23" t="s">
        <v>189</v>
      </c>
      <c r="C177" s="21">
        <f>IFERROR(VLOOKUP(A177,datos_2016!$B$1:$G$330,4,FALSE),"")</f>
        <v>14</v>
      </c>
      <c r="D177" s="21">
        <f>IFERROR(VLOOKUP(A177,datos_2024!$B$1:$G$326,4,FALSE),"")</f>
        <v>71</v>
      </c>
    </row>
    <row r="178" ht="14.25" customHeight="1">
      <c r="A178" s="19">
        <v>40503.0</v>
      </c>
      <c r="B178" s="20" t="s">
        <v>190</v>
      </c>
      <c r="C178" s="21">
        <f>IFERROR(VLOOKUP(A178,datos_2016!$B$1:$G$330,4,FALSE),"")</f>
        <v>16</v>
      </c>
      <c r="D178" s="21">
        <f>IFERROR(VLOOKUP(A178,datos_2024!$B$1:$G$326,4,FALSE),"")</f>
        <v>40</v>
      </c>
    </row>
    <row r="179" ht="14.25" customHeight="1">
      <c r="A179" s="22">
        <v>40504.0</v>
      </c>
      <c r="B179" s="23" t="s">
        <v>191</v>
      </c>
      <c r="C179" s="21">
        <f>IFERROR(VLOOKUP(A179,datos_2016!$B$1:$G$330,4,FALSE),"")</f>
        <v>1</v>
      </c>
      <c r="D179" s="21">
        <f>IFERROR(VLOOKUP(A179,datos_2024!$B$1:$G$326,4,FALSE),"")</f>
        <v>13</v>
      </c>
    </row>
    <row r="180" ht="14.25" customHeight="1">
      <c r="A180" s="19">
        <v>40505.0</v>
      </c>
      <c r="B180" s="20" t="s">
        <v>192</v>
      </c>
      <c r="C180" s="21">
        <f>IFERROR(VLOOKUP(A180,datos_2016!$B$1:$G$330,4,FALSE),"")</f>
        <v>25</v>
      </c>
      <c r="D180" s="21">
        <f>IFERROR(VLOOKUP(A180,datos_2024!$B$1:$G$326,4,FALSE),"")</f>
        <v>48</v>
      </c>
    </row>
    <row r="181" ht="14.25" customHeight="1">
      <c r="A181" s="22">
        <v>40601.0</v>
      </c>
      <c r="B181" s="23" t="s">
        <v>193</v>
      </c>
      <c r="C181" s="21">
        <f>IFERROR(VLOOKUP(A181,datos_2016!$B$1:$G$330,4,FALSE),"")</f>
        <v>45</v>
      </c>
      <c r="D181" s="21">
        <f>IFERROR(VLOOKUP(A181,datos_2024!$B$1:$G$326,4,FALSE),"")</f>
        <v>218</v>
      </c>
    </row>
    <row r="182" ht="14.25" customHeight="1">
      <c r="A182" s="19">
        <v>40602.0</v>
      </c>
      <c r="B182" s="20" t="s">
        <v>194</v>
      </c>
      <c r="C182" s="21">
        <f>IFERROR(VLOOKUP(A182,datos_2016!$B$1:$G$330,4,FALSE),"")</f>
        <v>67</v>
      </c>
      <c r="D182" s="21">
        <f>IFERROR(VLOOKUP(A182,datos_2024!$B$1:$G$326,4,FALSE),"")</f>
        <v>0</v>
      </c>
    </row>
    <row r="183" ht="14.25" customHeight="1">
      <c r="A183" s="22">
        <v>40603.0</v>
      </c>
      <c r="B183" s="23" t="s">
        <v>195</v>
      </c>
      <c r="C183" s="21">
        <f>IFERROR(VLOOKUP(A183,datos_2016!$B$1:$G$330,4,FALSE),"")</f>
        <v>1</v>
      </c>
      <c r="D183" s="21">
        <f>IFERROR(VLOOKUP(A183,datos_2024!$B$1:$G$326,4,FALSE),"")</f>
        <v>87</v>
      </c>
    </row>
    <row r="184" ht="14.25" customHeight="1">
      <c r="A184" s="19">
        <v>40701.0</v>
      </c>
      <c r="B184" s="20" t="s">
        <v>196</v>
      </c>
      <c r="C184" s="21">
        <f>IFERROR(VLOOKUP(A184,datos_2016!$B$1:$G$330,4,FALSE),"")</f>
        <v>479</v>
      </c>
      <c r="D184" s="21">
        <f>IFERROR(VLOOKUP(A184,datos_2024!$B$1:$G$326,4,FALSE),"")</f>
        <v>492</v>
      </c>
    </row>
    <row r="185" ht="14.25" customHeight="1">
      <c r="A185" s="22">
        <v>40702.0</v>
      </c>
      <c r="B185" s="23" t="s">
        <v>197</v>
      </c>
      <c r="C185" s="21">
        <f>IFERROR(VLOOKUP(A185,datos_2016!$B$1:$G$330,4,FALSE),"")</f>
        <v>93</v>
      </c>
      <c r="D185" s="21">
        <f>IFERROR(VLOOKUP(A185,datos_2024!$B$1:$G$326,4,FALSE),"")</f>
        <v>161</v>
      </c>
    </row>
    <row r="186" ht="14.25" customHeight="1">
      <c r="A186" s="19">
        <v>40801.0</v>
      </c>
      <c r="B186" s="20" t="s">
        <v>198</v>
      </c>
      <c r="C186" s="21">
        <f>IFERROR(VLOOKUP(A186,datos_2016!$B$1:$G$330,4,FALSE),"")</f>
        <v>1174</v>
      </c>
      <c r="D186" s="21">
        <f>IFERROR(VLOOKUP(A186,datos_2024!$B$1:$G$326,4,FALSE),"")</f>
        <v>552</v>
      </c>
    </row>
    <row r="187" ht="14.25" customHeight="1">
      <c r="A187" s="22">
        <v>40802.0</v>
      </c>
      <c r="B187" s="23" t="s">
        <v>199</v>
      </c>
      <c r="C187" s="21">
        <f>IFERROR(VLOOKUP(A187,datos_2016!$B$1:$G$330,4,FALSE),"")</f>
        <v>60</v>
      </c>
      <c r="D187" s="21">
        <f>IFERROR(VLOOKUP(A187,datos_2024!$B$1:$G$326,4,FALSE),"")</f>
        <v>79</v>
      </c>
    </row>
    <row r="188" ht="14.25" customHeight="1">
      <c r="A188" s="19">
        <v>40901.0</v>
      </c>
      <c r="B188" s="20" t="s">
        <v>200</v>
      </c>
      <c r="C188" s="21">
        <f>IFERROR(VLOOKUP(A188,datos_2016!$B$1:$G$330,4,FALSE),"")</f>
        <v>175</v>
      </c>
      <c r="D188" s="21">
        <f>IFERROR(VLOOKUP(A188,datos_2024!$B$1:$G$326,4,FALSE),"")</f>
        <v>245</v>
      </c>
    </row>
    <row r="189" ht="14.25" customHeight="1">
      <c r="A189" s="22">
        <v>40902.0</v>
      </c>
      <c r="B189" s="23" t="s">
        <v>201</v>
      </c>
      <c r="C189" s="21">
        <f>IFERROR(VLOOKUP(A189,datos_2016!$B$1:$G$330,4,FALSE),"")</f>
        <v>19</v>
      </c>
      <c r="D189" s="21">
        <f>IFERROR(VLOOKUP(A189,datos_2024!$B$1:$G$326,4,FALSE),"")</f>
        <v>31</v>
      </c>
    </row>
    <row r="190" ht="14.25" customHeight="1">
      <c r="A190" s="19">
        <v>40903.0</v>
      </c>
      <c r="B190" s="20" t="s">
        <v>202</v>
      </c>
      <c r="C190" s="21">
        <f>IFERROR(VLOOKUP(A190,datos_2016!$B$1:$G$330,4,FALSE),"")</f>
        <v>61</v>
      </c>
      <c r="D190" s="21">
        <f>IFERROR(VLOOKUP(A190,datos_2024!$B$1:$G$326,4,FALSE),"")</f>
        <v>67</v>
      </c>
    </row>
    <row r="191" ht="14.25" customHeight="1">
      <c r="A191" s="22">
        <v>41001.0</v>
      </c>
      <c r="B191" s="23" t="s">
        <v>203</v>
      </c>
      <c r="C191" s="21">
        <f>IFERROR(VLOOKUP(A191,datos_2016!$B$1:$G$330,4,FALSE),"")</f>
        <v>79</v>
      </c>
      <c r="D191" s="21">
        <f>IFERROR(VLOOKUP(A191,datos_2024!$B$1:$G$326,4,FALSE),"")</f>
        <v>462</v>
      </c>
    </row>
    <row r="192" ht="14.25" customHeight="1">
      <c r="A192" s="19">
        <v>41101.0</v>
      </c>
      <c r="B192" s="20" t="s">
        <v>204</v>
      </c>
      <c r="C192" s="21">
        <f>IFERROR(VLOOKUP(A192,datos_2016!$B$1:$G$330,4,FALSE),"")</f>
        <v>0</v>
      </c>
      <c r="D192" s="21">
        <f>IFERROR(VLOOKUP(A192,datos_2024!$B$1:$G$326,4,FALSE),"")</f>
        <v>132</v>
      </c>
    </row>
    <row r="193" ht="14.25" customHeight="1">
      <c r="A193" s="22">
        <v>41201.0</v>
      </c>
      <c r="B193" s="23" t="s">
        <v>205</v>
      </c>
      <c r="C193" s="21">
        <f>IFERROR(VLOOKUP(A193,datos_2016!$B$1:$G$330,4,FALSE),"")</f>
        <v>285</v>
      </c>
      <c r="D193" s="21">
        <f>IFERROR(VLOOKUP(A193,datos_2024!$B$1:$G$326,4,FALSE),"")</f>
        <v>472</v>
      </c>
    </row>
    <row r="194" ht="14.25" customHeight="1">
      <c r="A194" s="19">
        <v>41202.0</v>
      </c>
      <c r="B194" s="20" t="s">
        <v>206</v>
      </c>
      <c r="C194" s="21">
        <f>IFERROR(VLOOKUP(A194,datos_2016!$B$1:$G$330,4,FALSE),"")</f>
        <v>117</v>
      </c>
      <c r="D194" s="21">
        <f>IFERROR(VLOOKUP(A194,datos_2024!$B$1:$G$326,4,FALSE),"")</f>
        <v>0</v>
      </c>
    </row>
    <row r="195" ht="14.25" customHeight="1">
      <c r="A195" s="22">
        <v>41301.0</v>
      </c>
      <c r="B195" s="23" t="s">
        <v>207</v>
      </c>
      <c r="C195" s="21">
        <f>IFERROR(VLOOKUP(A195,datos_2016!$B$1:$G$330,4,FALSE),"")</f>
        <v>11</v>
      </c>
      <c r="D195" s="21">
        <f>IFERROR(VLOOKUP(A195,datos_2024!$B$1:$G$326,4,FALSE),"")</f>
        <v>145</v>
      </c>
    </row>
    <row r="196" ht="14.25" customHeight="1">
      <c r="A196" s="19">
        <v>41401.0</v>
      </c>
      <c r="B196" s="20" t="s">
        <v>208</v>
      </c>
      <c r="C196" s="21">
        <f>IFERROR(VLOOKUP(A196,datos_2016!$B$1:$G$330,4,FALSE),"")</f>
        <v>201</v>
      </c>
      <c r="D196" s="21">
        <f>IFERROR(VLOOKUP(A196,datos_2024!$B$1:$G$326,4,FALSE),"")</f>
        <v>280</v>
      </c>
    </row>
    <row r="197" ht="14.25" customHeight="1">
      <c r="A197" s="22">
        <v>41501.0</v>
      </c>
      <c r="B197" s="23" t="s">
        <v>209</v>
      </c>
      <c r="C197" s="21">
        <f>IFERROR(VLOOKUP(A197,datos_2016!$B$1:$G$330,4,FALSE),"")</f>
        <v>0</v>
      </c>
      <c r="D197" s="21">
        <f>IFERROR(VLOOKUP(A197,datos_2024!$B$1:$G$326,4,FALSE),"")</f>
        <v>29</v>
      </c>
    </row>
    <row r="198" ht="14.25" customHeight="1">
      <c r="A198" s="19">
        <v>41502.0</v>
      </c>
      <c r="B198" s="20" t="s">
        <v>210</v>
      </c>
      <c r="C198" s="21">
        <f>IFERROR(VLOOKUP(A198,datos_2016!$B$1:$G$330,4,FALSE),"")</f>
        <v>0</v>
      </c>
      <c r="D198" s="21">
        <f>IFERROR(VLOOKUP(A198,datos_2024!$B$1:$G$326,4,FALSE),"")</f>
        <v>33</v>
      </c>
    </row>
    <row r="199" ht="14.25" customHeight="1">
      <c r="A199" s="22">
        <v>41503.0</v>
      </c>
      <c r="B199" s="23" t="s">
        <v>211</v>
      </c>
      <c r="C199" s="21">
        <f>IFERROR(VLOOKUP(A199,datos_2016!$B$1:$G$330,4,FALSE),"")</f>
        <v>0</v>
      </c>
      <c r="D199" s="21">
        <f>IFERROR(VLOOKUP(A199,datos_2024!$B$1:$G$326,4,FALSE),"")</f>
        <v>158</v>
      </c>
    </row>
    <row r="200" ht="14.25" customHeight="1">
      <c r="A200" s="19">
        <v>41601.0</v>
      </c>
      <c r="B200" s="20" t="s">
        <v>212</v>
      </c>
      <c r="C200" s="21">
        <f>IFERROR(VLOOKUP(A200,datos_2016!$B$1:$G$330,4,FALSE),"")</f>
        <v>40</v>
      </c>
      <c r="D200" s="21">
        <f>IFERROR(VLOOKUP(A200,datos_2024!$B$1:$G$326,4,FALSE),"")</f>
        <v>354</v>
      </c>
    </row>
    <row r="201" ht="14.25" customHeight="1">
      <c r="A201" s="22">
        <v>50101.0</v>
      </c>
      <c r="B201" s="23" t="s">
        <v>213</v>
      </c>
      <c r="C201" s="21">
        <f>IFERROR(VLOOKUP(A201,datos_2016!$B$1:$G$330,4,FALSE),"")</f>
        <v>1630</v>
      </c>
      <c r="D201" s="21">
        <f>IFERROR(VLOOKUP(A201,datos_2024!$B$1:$G$326,4,FALSE),"")</f>
        <v>3657</v>
      </c>
    </row>
    <row r="202" ht="14.25" customHeight="1">
      <c r="A202" s="19">
        <v>50102.0</v>
      </c>
      <c r="B202" s="20" t="s">
        <v>214</v>
      </c>
      <c r="C202" s="21">
        <f>IFERROR(VLOOKUP(A202,datos_2016!$B$1:$G$330,4,FALSE),"")</f>
        <v>745</v>
      </c>
      <c r="D202" s="21">
        <f>IFERROR(VLOOKUP(A202,datos_2024!$B$1:$G$326,4,FALSE),"")</f>
        <v>1267</v>
      </c>
    </row>
    <row r="203" ht="14.25" customHeight="1">
      <c r="A203" s="22">
        <v>50103.0</v>
      </c>
      <c r="B203" s="23" t="s">
        <v>215</v>
      </c>
      <c r="C203" s="21">
        <f>IFERROR(VLOOKUP(A203,datos_2016!$B$1:$G$330,4,FALSE),"")</f>
        <v>314</v>
      </c>
      <c r="D203" s="21">
        <f>IFERROR(VLOOKUP(A203,datos_2024!$B$1:$G$326,4,FALSE),"")</f>
        <v>500</v>
      </c>
    </row>
    <row r="204" ht="14.25" customHeight="1">
      <c r="A204" s="19">
        <v>50104.0</v>
      </c>
      <c r="B204" s="20" t="s">
        <v>216</v>
      </c>
      <c r="C204" s="21">
        <f>IFERROR(VLOOKUP(A204,datos_2016!$B$1:$G$330,4,FALSE),"")</f>
        <v>98</v>
      </c>
      <c r="D204" s="21">
        <f>IFERROR(VLOOKUP(A204,datos_2024!$B$1:$G$326,4,FALSE),"")</f>
        <v>128</v>
      </c>
    </row>
    <row r="205" ht="14.25" customHeight="1">
      <c r="A205" s="22">
        <v>50201.0</v>
      </c>
      <c r="B205" s="23" t="s">
        <v>217</v>
      </c>
      <c r="C205" s="21">
        <f>IFERROR(VLOOKUP(A205,datos_2016!$B$1:$G$330,4,FALSE),"")</f>
        <v>0</v>
      </c>
      <c r="D205" s="21">
        <f>IFERROR(VLOOKUP(A205,datos_2024!$B$1:$G$326,4,FALSE),"")</f>
        <v>0</v>
      </c>
    </row>
    <row r="206" ht="14.25" customHeight="1">
      <c r="A206" s="19">
        <v>50202.0</v>
      </c>
      <c r="B206" s="20" t="s">
        <v>218</v>
      </c>
      <c r="C206" s="21">
        <f>IFERROR(VLOOKUP(A206,datos_2016!$B$1:$G$330,4,FALSE),"")</f>
        <v>331</v>
      </c>
      <c r="D206" s="21">
        <f>IFERROR(VLOOKUP(A206,datos_2024!$B$1:$G$326,4,FALSE),"")</f>
        <v>439</v>
      </c>
    </row>
    <row r="207" ht="14.25" customHeight="1">
      <c r="A207" s="22">
        <v>50203.0</v>
      </c>
      <c r="B207" s="23" t="s">
        <v>219</v>
      </c>
      <c r="C207" s="21">
        <f>IFERROR(VLOOKUP(A207,datos_2016!$B$1:$G$330,4,FALSE),"")</f>
        <v>270</v>
      </c>
      <c r="D207" s="21">
        <f>IFERROR(VLOOKUP(A207,datos_2024!$B$1:$G$326,4,FALSE),"")</f>
        <v>505</v>
      </c>
    </row>
    <row r="208" ht="14.25" customHeight="1">
      <c r="A208" s="19">
        <v>50204.0</v>
      </c>
      <c r="B208" s="20" t="s">
        <v>220</v>
      </c>
      <c r="C208" s="21" t="str">
        <f>IFERROR(VLOOKUP(A208,datos_2016!$B$1:$G$330,4,FALSE),"")</f>
        <v/>
      </c>
      <c r="D208" s="21" t="str">
        <f>IFERROR(VLOOKUP(A208,datos_2024!$B$1:$G$326,4,FALSE),"")</f>
        <v/>
      </c>
    </row>
    <row r="209" ht="14.25" customHeight="1">
      <c r="A209" s="22">
        <v>50301.0</v>
      </c>
      <c r="B209" s="23" t="s">
        <v>221</v>
      </c>
      <c r="C209" s="21">
        <f>IFERROR(VLOOKUP(A209,datos_2016!$B$1:$G$330,4,FALSE),"")</f>
        <v>846</v>
      </c>
      <c r="D209" s="21">
        <f>IFERROR(VLOOKUP(A209,datos_2024!$B$1:$G$326,4,FALSE),"")</f>
        <v>1302</v>
      </c>
    </row>
    <row r="210" ht="14.25" customHeight="1">
      <c r="A210" s="19">
        <v>50302.0</v>
      </c>
      <c r="B210" s="20" t="s">
        <v>222</v>
      </c>
      <c r="C210" s="21">
        <f>IFERROR(VLOOKUP(A210,datos_2016!$B$1:$G$330,4,FALSE),"")</f>
        <v>270</v>
      </c>
      <c r="D210" s="21">
        <f>IFERROR(VLOOKUP(A210,datos_2024!$B$1:$G$326,4,FALSE),"")</f>
        <v>643</v>
      </c>
    </row>
    <row r="211" ht="14.25" customHeight="1">
      <c r="A211" s="22">
        <v>50303.0</v>
      </c>
      <c r="B211" s="23" t="s">
        <v>223</v>
      </c>
      <c r="C211" s="21">
        <f>IFERROR(VLOOKUP(A211,datos_2016!$B$1:$G$330,4,FALSE),"")</f>
        <v>20</v>
      </c>
      <c r="D211" s="21">
        <f>IFERROR(VLOOKUP(A211,datos_2024!$B$1:$G$326,4,FALSE),"")</f>
        <v>54</v>
      </c>
    </row>
    <row r="212" ht="14.25" customHeight="1">
      <c r="A212" s="19">
        <v>50401.0</v>
      </c>
      <c r="B212" s="20" t="s">
        <v>224</v>
      </c>
      <c r="C212" s="21">
        <f>IFERROR(VLOOKUP(A212,datos_2016!$B$1:$G$330,4,FALSE),"")</f>
        <v>537</v>
      </c>
      <c r="D212" s="21">
        <f>IFERROR(VLOOKUP(A212,datos_2024!$B$1:$G$326,4,FALSE),"")</f>
        <v>503</v>
      </c>
    </row>
    <row r="213" ht="14.25" customHeight="1">
      <c r="A213" s="22">
        <v>50402.0</v>
      </c>
      <c r="B213" s="23" t="s">
        <v>225</v>
      </c>
      <c r="C213" s="21">
        <f>IFERROR(VLOOKUP(A213,datos_2016!$B$1:$G$330,4,FALSE),"")</f>
        <v>359</v>
      </c>
      <c r="D213" s="21">
        <f>IFERROR(VLOOKUP(A213,datos_2024!$B$1:$G$326,4,FALSE),"")</f>
        <v>296</v>
      </c>
    </row>
    <row r="214" ht="14.25" customHeight="1">
      <c r="A214" s="19">
        <v>50403.0</v>
      </c>
      <c r="B214" s="20" t="s">
        <v>226</v>
      </c>
      <c r="C214" s="21">
        <f>IFERROR(VLOOKUP(A214,datos_2016!$B$1:$G$330,4,FALSE),"")</f>
        <v>786</v>
      </c>
      <c r="D214" s="21">
        <f>IFERROR(VLOOKUP(A214,datos_2024!$B$1:$G$326,4,FALSE),"")</f>
        <v>1064</v>
      </c>
    </row>
    <row r="215" ht="14.25" customHeight="1">
      <c r="A215" s="22">
        <v>50404.0</v>
      </c>
      <c r="B215" s="23" t="s">
        <v>227</v>
      </c>
      <c r="C215" s="21">
        <f>IFERROR(VLOOKUP(A215,datos_2016!$B$1:$G$330,4,FALSE),"")</f>
        <v>296</v>
      </c>
      <c r="D215" s="21">
        <f>IFERROR(VLOOKUP(A215,datos_2024!$B$1:$G$326,4,FALSE),"")</f>
        <v>210</v>
      </c>
    </row>
    <row r="216" ht="14.25" customHeight="1">
      <c r="A216" s="19">
        <v>50405.0</v>
      </c>
      <c r="B216" s="20" t="s">
        <v>228</v>
      </c>
      <c r="C216" s="21" t="str">
        <f>IFERROR(VLOOKUP(A216,datos_2016!$B$1:$G$330,4,FALSE),"")</f>
        <v/>
      </c>
      <c r="D216" s="21">
        <f>IFERROR(VLOOKUP(A216,datos_2024!$B$1:$G$326,4,FALSE),"")</f>
        <v>795</v>
      </c>
    </row>
    <row r="217" ht="14.25" customHeight="1">
      <c r="A217" s="22">
        <v>50501.0</v>
      </c>
      <c r="B217" s="23" t="s">
        <v>229</v>
      </c>
      <c r="C217" s="21">
        <f>IFERROR(VLOOKUP(A217,datos_2016!$B$1:$G$330,4,FALSE),"")</f>
        <v>306</v>
      </c>
      <c r="D217" s="21">
        <f>IFERROR(VLOOKUP(A217,datos_2024!$B$1:$G$326,4,FALSE),"")</f>
        <v>411</v>
      </c>
    </row>
    <row r="218" ht="14.25" customHeight="1">
      <c r="A218" s="19">
        <v>50502.0</v>
      </c>
      <c r="B218" s="20" t="s">
        <v>230</v>
      </c>
      <c r="C218" s="21">
        <f>IFERROR(VLOOKUP(A218,datos_2016!$B$1:$G$330,4,FALSE),"")</f>
        <v>426</v>
      </c>
      <c r="D218" s="21">
        <f>IFERROR(VLOOKUP(A218,datos_2024!$B$1:$G$326,4,FALSE),"")</f>
        <v>415</v>
      </c>
    </row>
    <row r="219" ht="14.25" customHeight="1">
      <c r="A219" s="22">
        <v>50601.0</v>
      </c>
      <c r="B219" s="23" t="s">
        <v>231</v>
      </c>
      <c r="C219" s="21">
        <f>IFERROR(VLOOKUP(A219,datos_2016!$B$1:$G$330,4,FALSE),"")</f>
        <v>1005</v>
      </c>
      <c r="D219" s="21">
        <f>IFERROR(VLOOKUP(A219,datos_2024!$B$1:$G$326,4,FALSE),"")</f>
        <v>833</v>
      </c>
    </row>
    <row r="220" ht="14.25" customHeight="1">
      <c r="A220" s="19">
        <v>50602.0</v>
      </c>
      <c r="B220" s="20" t="s">
        <v>232</v>
      </c>
      <c r="C220" s="21">
        <f>IFERROR(VLOOKUP(A220,datos_2016!$B$1:$G$330,4,FALSE),"")</f>
        <v>457</v>
      </c>
      <c r="D220" s="21">
        <f>IFERROR(VLOOKUP(A220,datos_2024!$B$1:$G$326,4,FALSE),"")</f>
        <v>78</v>
      </c>
    </row>
    <row r="221" ht="14.25" customHeight="1">
      <c r="A221" s="22">
        <v>50701.0</v>
      </c>
      <c r="B221" s="23" t="s">
        <v>233</v>
      </c>
      <c r="C221" s="21">
        <f>IFERROR(VLOOKUP(A221,datos_2016!$B$1:$G$330,4,FALSE),"")</f>
        <v>448</v>
      </c>
      <c r="D221" s="21">
        <f>IFERROR(VLOOKUP(A221,datos_2024!$B$1:$G$326,4,FALSE),"")</f>
        <v>515</v>
      </c>
    </row>
    <row r="222" ht="14.25" customHeight="1">
      <c r="A222" s="19">
        <v>50702.0</v>
      </c>
      <c r="B222" s="20" t="s">
        <v>234</v>
      </c>
      <c r="C222" s="21">
        <f>IFERROR(VLOOKUP(A222,datos_2016!$B$1:$G$330,4,FALSE),"")</f>
        <v>131</v>
      </c>
      <c r="D222" s="21">
        <f>IFERROR(VLOOKUP(A222,datos_2024!$B$1:$G$326,4,FALSE),"")</f>
        <v>313</v>
      </c>
    </row>
    <row r="223" ht="14.25" customHeight="1">
      <c r="A223" s="22">
        <v>50801.0</v>
      </c>
      <c r="B223" s="23" t="s">
        <v>235</v>
      </c>
      <c r="C223" s="21">
        <f>IFERROR(VLOOKUP(A223,datos_2016!$B$1:$G$330,4,FALSE),"")</f>
        <v>1451</v>
      </c>
      <c r="D223" s="21">
        <f>IFERROR(VLOOKUP(A223,datos_2024!$B$1:$G$326,4,FALSE),"")</f>
        <v>1128</v>
      </c>
    </row>
    <row r="224" ht="14.25" customHeight="1">
      <c r="A224" s="19">
        <v>50802.0</v>
      </c>
      <c r="B224" s="20" t="s">
        <v>236</v>
      </c>
      <c r="C224" s="21">
        <f>IFERROR(VLOOKUP(A224,datos_2016!$B$1:$G$330,4,FALSE),"")</f>
        <v>152</v>
      </c>
      <c r="D224" s="21">
        <f>IFERROR(VLOOKUP(A224,datos_2024!$B$1:$G$326,4,FALSE),"")</f>
        <v>138</v>
      </c>
    </row>
    <row r="225" ht="14.25" customHeight="1">
      <c r="A225" s="22">
        <v>50901.0</v>
      </c>
      <c r="B225" s="23" t="s">
        <v>237</v>
      </c>
      <c r="C225" s="21">
        <f>IFERROR(VLOOKUP(A225,datos_2016!$B$1:$G$330,4,FALSE),"")</f>
        <v>265</v>
      </c>
      <c r="D225" s="21">
        <f>IFERROR(VLOOKUP(A225,datos_2024!$B$1:$G$326,4,FALSE),"")</f>
        <v>501</v>
      </c>
    </row>
    <row r="226" ht="14.25" customHeight="1">
      <c r="A226" s="19">
        <v>50902.0</v>
      </c>
      <c r="B226" s="20" t="s">
        <v>238</v>
      </c>
      <c r="C226" s="21">
        <f>IFERROR(VLOOKUP(A226,datos_2016!$B$1:$G$330,4,FALSE),"")</f>
        <v>117</v>
      </c>
      <c r="D226" s="21">
        <f>IFERROR(VLOOKUP(A226,datos_2024!$B$1:$G$326,4,FALSE),"")</f>
        <v>48</v>
      </c>
    </row>
    <row r="227" ht="14.25" customHeight="1">
      <c r="A227" s="22">
        <v>51001.0</v>
      </c>
      <c r="B227" s="23" t="s">
        <v>239</v>
      </c>
      <c r="C227" s="21">
        <f>IFERROR(VLOOKUP(A227,datos_2016!$B$1:$G$330,4,FALSE),"")</f>
        <v>90</v>
      </c>
      <c r="D227" s="21">
        <f>IFERROR(VLOOKUP(A227,datos_2024!$B$1:$G$326,4,FALSE),"")</f>
        <v>84</v>
      </c>
    </row>
    <row r="228" ht="14.25" customHeight="1">
      <c r="A228" s="19">
        <v>51002.0</v>
      </c>
      <c r="B228" s="20" t="s">
        <v>240</v>
      </c>
      <c r="C228" s="21" t="str">
        <f>IFERROR(VLOOKUP(A228,datos_2016!$B$1:$G$330,4,FALSE),"")</f>
        <v/>
      </c>
      <c r="D228" s="21">
        <f>IFERROR(VLOOKUP(A228,datos_2024!$B$1:$G$326,4,FALSE),"")</f>
        <v>5</v>
      </c>
    </row>
    <row r="229" ht="14.25" customHeight="1">
      <c r="A229" s="22">
        <v>51003.0</v>
      </c>
      <c r="B229" s="23" t="s">
        <v>241</v>
      </c>
      <c r="C229" s="21">
        <f>IFERROR(VLOOKUP(A229,datos_2016!$B$1:$G$330,4,FALSE),"")</f>
        <v>14</v>
      </c>
      <c r="D229" s="21">
        <f>IFERROR(VLOOKUP(A229,datos_2024!$B$1:$G$326,4,FALSE),"")</f>
        <v>53</v>
      </c>
    </row>
    <row r="230" ht="14.25" customHeight="1">
      <c r="A230" s="19">
        <v>51101.0</v>
      </c>
      <c r="B230" s="20" t="s">
        <v>242</v>
      </c>
      <c r="C230" s="21">
        <f>IFERROR(VLOOKUP(A230,datos_2016!$B$1:$G$330,4,FALSE),"")</f>
        <v>499</v>
      </c>
      <c r="D230" s="21">
        <f>IFERROR(VLOOKUP(A230,datos_2024!$B$1:$G$326,4,FALSE),"")</f>
        <v>1313</v>
      </c>
    </row>
    <row r="231" ht="14.25" customHeight="1">
      <c r="A231" s="22">
        <v>51102.0</v>
      </c>
      <c r="B231" s="23" t="s">
        <v>243</v>
      </c>
      <c r="C231" s="21">
        <f>IFERROR(VLOOKUP(A231,datos_2016!$B$1:$G$330,4,FALSE),"")</f>
        <v>388</v>
      </c>
      <c r="D231" s="21">
        <f>IFERROR(VLOOKUP(A231,datos_2024!$B$1:$G$326,4,FALSE),"")</f>
        <v>565</v>
      </c>
    </row>
    <row r="232" ht="14.25" customHeight="1">
      <c r="A232" s="19">
        <v>51103.0</v>
      </c>
      <c r="B232" s="20" t="s">
        <v>244</v>
      </c>
      <c r="C232" s="21">
        <f>IFERROR(VLOOKUP(A232,datos_2016!$B$1:$G$330,4,FALSE),"")</f>
        <v>266</v>
      </c>
      <c r="D232" s="21">
        <f>IFERROR(VLOOKUP(A232,datos_2024!$B$1:$G$326,4,FALSE),"")</f>
        <v>364</v>
      </c>
    </row>
    <row r="233" ht="14.25" customHeight="1">
      <c r="A233" s="22">
        <v>51201.0</v>
      </c>
      <c r="B233" s="23" t="s">
        <v>245</v>
      </c>
      <c r="C233" s="21">
        <f>IFERROR(VLOOKUP(A233,datos_2016!$B$1:$G$330,4,FALSE),"")</f>
        <v>658</v>
      </c>
      <c r="D233" s="21">
        <f>IFERROR(VLOOKUP(A233,datos_2024!$B$1:$G$326,4,FALSE),"")</f>
        <v>1146</v>
      </c>
    </row>
    <row r="234" ht="14.25" customHeight="1">
      <c r="A234" s="19">
        <v>51202.0</v>
      </c>
      <c r="B234" s="20" t="s">
        <v>246</v>
      </c>
      <c r="C234" s="21">
        <f>IFERROR(VLOOKUP(A234,datos_2016!$B$1:$G$330,4,FALSE),"")</f>
        <v>284</v>
      </c>
      <c r="D234" s="21">
        <f>IFERROR(VLOOKUP(A234,datos_2024!$B$1:$G$326,4,FALSE),"")</f>
        <v>629</v>
      </c>
    </row>
    <row r="235" ht="14.25" customHeight="1">
      <c r="A235" s="22">
        <v>51203.0</v>
      </c>
      <c r="B235" s="23" t="s">
        <v>247</v>
      </c>
      <c r="C235" s="21">
        <f>IFERROR(VLOOKUP(A235,datos_2016!$B$1:$G$330,4,FALSE),"")</f>
        <v>90</v>
      </c>
      <c r="D235" s="21">
        <f>IFERROR(VLOOKUP(A235,datos_2024!$B$1:$G$326,4,FALSE),"")</f>
        <v>405</v>
      </c>
    </row>
    <row r="236" ht="14.25" customHeight="1">
      <c r="A236" s="19">
        <v>51204.0</v>
      </c>
      <c r="B236" s="20" t="s">
        <v>248</v>
      </c>
      <c r="C236" s="21" t="str">
        <f>IFERROR(VLOOKUP(A236,datos_2016!$B$1:$G$330,4,FALSE),"")</f>
        <v/>
      </c>
      <c r="D236" s="21" t="str">
        <f>IFERROR(VLOOKUP(A236,datos_2024!$B$1:$G$326,4,FALSE),"")</f>
        <v/>
      </c>
    </row>
    <row r="237" ht="14.25" customHeight="1">
      <c r="A237" s="22">
        <v>51301.0</v>
      </c>
      <c r="B237" s="23" t="s">
        <v>249</v>
      </c>
      <c r="C237" s="21">
        <f>IFERROR(VLOOKUP(A237,datos_2016!$B$1:$G$330,4,FALSE),"")</f>
        <v>133</v>
      </c>
      <c r="D237" s="21">
        <f>IFERROR(VLOOKUP(A237,datos_2024!$B$1:$G$326,4,FALSE),"")</f>
        <v>72</v>
      </c>
    </row>
    <row r="238" ht="14.25" customHeight="1">
      <c r="A238" s="19">
        <v>51302.0</v>
      </c>
      <c r="B238" s="20" t="s">
        <v>250</v>
      </c>
      <c r="C238" s="21">
        <f>IFERROR(VLOOKUP(A238,datos_2016!$B$1:$G$330,4,FALSE),"")</f>
        <v>209</v>
      </c>
      <c r="D238" s="21">
        <f>IFERROR(VLOOKUP(A238,datos_2024!$B$1:$G$326,4,FALSE),"")</f>
        <v>203</v>
      </c>
    </row>
    <row r="239" ht="14.25" customHeight="1">
      <c r="A239" s="22">
        <v>51401.0</v>
      </c>
      <c r="B239" s="23" t="s">
        <v>251</v>
      </c>
      <c r="C239" s="21">
        <f>IFERROR(VLOOKUP(A239,datos_2016!$B$1:$G$330,4,FALSE),"")</f>
        <v>305</v>
      </c>
      <c r="D239" s="21">
        <f>IFERROR(VLOOKUP(A239,datos_2024!$B$1:$G$326,4,FALSE),"")</f>
        <v>451</v>
      </c>
    </row>
    <row r="240" ht="14.25" customHeight="1">
      <c r="A240" s="19">
        <v>51402.0</v>
      </c>
      <c r="B240" s="20" t="s">
        <v>252</v>
      </c>
      <c r="C240" s="21">
        <f>IFERROR(VLOOKUP(A240,datos_2016!$B$1:$G$330,4,FALSE),"")</f>
        <v>173</v>
      </c>
      <c r="D240" s="21">
        <f>IFERROR(VLOOKUP(A240,datos_2024!$B$1:$G$326,4,FALSE),"")</f>
        <v>170</v>
      </c>
    </row>
    <row r="241" ht="14.25" customHeight="1">
      <c r="A241" s="22">
        <v>51501.0</v>
      </c>
      <c r="B241" s="23" t="s">
        <v>253</v>
      </c>
      <c r="C241" s="21">
        <f>IFERROR(VLOOKUP(A241,datos_2016!$B$1:$G$330,4,FALSE),"")</f>
        <v>392</v>
      </c>
      <c r="D241" s="21">
        <f>IFERROR(VLOOKUP(A241,datos_2024!$B$1:$G$326,4,FALSE),"")</f>
        <v>745</v>
      </c>
    </row>
    <row r="242" ht="14.25" customHeight="1">
      <c r="A242" s="19">
        <v>51601.0</v>
      </c>
      <c r="B242" s="20" t="s">
        <v>254</v>
      </c>
      <c r="C242" s="21">
        <f>IFERROR(VLOOKUP(A242,datos_2016!$B$1:$G$330,4,FALSE),"")</f>
        <v>28</v>
      </c>
      <c r="D242" s="21">
        <f>IFERROR(VLOOKUP(A242,datos_2024!$B$1:$G$326,4,FALSE),"")</f>
        <v>94</v>
      </c>
    </row>
    <row r="243" ht="14.25" customHeight="1">
      <c r="A243" s="22">
        <v>60101.0</v>
      </c>
      <c r="B243" s="23" t="s">
        <v>255</v>
      </c>
      <c r="C243" s="21">
        <f>IFERROR(VLOOKUP(A243,datos_2016!$B$1:$G$330,4,FALSE),"")</f>
        <v>2196</v>
      </c>
      <c r="D243" s="21">
        <f>IFERROR(VLOOKUP(A243,datos_2024!$B$1:$G$326,4,FALSE),"")</f>
        <v>3802</v>
      </c>
    </row>
    <row r="244" ht="14.25" customHeight="1">
      <c r="A244" s="19">
        <v>60201.0</v>
      </c>
      <c r="B244" s="20" t="s">
        <v>256</v>
      </c>
      <c r="C244" s="21">
        <f>IFERROR(VLOOKUP(A244,datos_2016!$B$1:$G$330,4,FALSE),"")</f>
        <v>499</v>
      </c>
      <c r="D244" s="21">
        <f>IFERROR(VLOOKUP(A244,datos_2024!$B$1:$G$326,4,FALSE),"")</f>
        <v>990</v>
      </c>
    </row>
    <row r="245" ht="14.25" customHeight="1">
      <c r="A245" s="22">
        <v>60202.0</v>
      </c>
      <c r="B245" s="23" t="s">
        <v>257</v>
      </c>
      <c r="C245" s="21">
        <f>IFERROR(VLOOKUP(A245,datos_2016!$B$1:$G$330,4,FALSE),"")</f>
        <v>286</v>
      </c>
      <c r="D245" s="21">
        <f>IFERROR(VLOOKUP(A245,datos_2024!$B$1:$G$326,4,FALSE),"")</f>
        <v>424</v>
      </c>
    </row>
    <row r="246" ht="14.25" customHeight="1">
      <c r="A246" s="19">
        <v>60301.0</v>
      </c>
      <c r="B246" s="20" t="s">
        <v>258</v>
      </c>
      <c r="C246" s="21">
        <f>IFERROR(VLOOKUP(A246,datos_2016!$B$1:$G$330,4,FALSE),"")</f>
        <v>582</v>
      </c>
      <c r="D246" s="21">
        <f>IFERROR(VLOOKUP(A246,datos_2024!$B$1:$G$326,4,FALSE),"")</f>
        <v>1144</v>
      </c>
    </row>
    <row r="247" ht="14.25" customHeight="1">
      <c r="A247" s="22">
        <v>60302.0</v>
      </c>
      <c r="B247" s="23" t="s">
        <v>259</v>
      </c>
      <c r="C247" s="21">
        <f>IFERROR(VLOOKUP(A247,datos_2016!$B$1:$G$330,4,FALSE),"")</f>
        <v>216</v>
      </c>
      <c r="D247" s="21">
        <f>IFERROR(VLOOKUP(A247,datos_2024!$B$1:$G$326,4,FALSE),"")</f>
        <v>418</v>
      </c>
    </row>
    <row r="248" ht="14.25" customHeight="1">
      <c r="A248" s="19">
        <v>60303.0</v>
      </c>
      <c r="B248" s="20" t="s">
        <v>260</v>
      </c>
      <c r="C248" s="21">
        <f>IFERROR(VLOOKUP(A248,datos_2016!$B$1:$G$330,4,FALSE),"")</f>
        <v>419</v>
      </c>
      <c r="D248" s="21">
        <f>IFERROR(VLOOKUP(A248,datos_2024!$B$1:$G$326,4,FALSE),"")</f>
        <v>718</v>
      </c>
    </row>
    <row r="249" ht="14.25" customHeight="1">
      <c r="A249" s="22">
        <v>60401.0</v>
      </c>
      <c r="B249" s="23" t="s">
        <v>261</v>
      </c>
      <c r="C249" s="21">
        <f>IFERROR(VLOOKUP(A249,datos_2016!$B$1:$G$330,4,FALSE),"")</f>
        <v>293</v>
      </c>
      <c r="D249" s="21">
        <f>IFERROR(VLOOKUP(A249,datos_2024!$B$1:$G$326,4,FALSE),"")</f>
        <v>517</v>
      </c>
    </row>
    <row r="250" ht="14.25" customHeight="1">
      <c r="A250" s="19">
        <v>60402.0</v>
      </c>
      <c r="B250" s="20" t="s">
        <v>262</v>
      </c>
      <c r="C250" s="21">
        <f>IFERROR(VLOOKUP(A250,datos_2016!$B$1:$G$330,4,FALSE),"")</f>
        <v>51</v>
      </c>
      <c r="D250" s="21">
        <f>IFERROR(VLOOKUP(A250,datos_2024!$B$1:$G$326,4,FALSE),"")</f>
        <v>396</v>
      </c>
    </row>
    <row r="251" ht="14.25" customHeight="1">
      <c r="A251" s="22">
        <v>60501.0</v>
      </c>
      <c r="B251" s="23" t="s">
        <v>263</v>
      </c>
      <c r="C251" s="21">
        <f>IFERROR(VLOOKUP(A251,datos_2016!$B$1:$G$330,4,FALSE),"")</f>
        <v>741</v>
      </c>
      <c r="D251" s="21">
        <f>IFERROR(VLOOKUP(A251,datos_2024!$B$1:$G$326,4,FALSE),"")</f>
        <v>951</v>
      </c>
    </row>
    <row r="252" ht="14.25" customHeight="1">
      <c r="A252" s="19">
        <v>60502.0</v>
      </c>
      <c r="B252" s="20" t="s">
        <v>264</v>
      </c>
      <c r="C252" s="21">
        <f>IFERROR(VLOOKUP(A252,datos_2016!$B$1:$G$330,4,FALSE),"")</f>
        <v>218</v>
      </c>
      <c r="D252" s="21">
        <f>IFERROR(VLOOKUP(A252,datos_2024!$B$1:$G$326,4,FALSE),"")</f>
        <v>555</v>
      </c>
    </row>
    <row r="253" ht="14.25" customHeight="1">
      <c r="A253" s="22">
        <v>60601.0</v>
      </c>
      <c r="B253" s="23" t="s">
        <v>165</v>
      </c>
      <c r="C253" s="21">
        <f>IFERROR(VLOOKUP(A253,datos_2016!$B$1:$G$330,4,FALSE),"")</f>
        <v>385</v>
      </c>
      <c r="D253" s="21">
        <f>IFERROR(VLOOKUP(A253,datos_2024!$B$1:$G$326,4,FALSE),"")</f>
        <v>657</v>
      </c>
    </row>
    <row r="254" ht="14.25" customHeight="1">
      <c r="A254" s="19">
        <v>70101.0</v>
      </c>
      <c r="B254" s="20" t="s">
        <v>265</v>
      </c>
      <c r="C254" s="21">
        <f>IFERROR(VLOOKUP(A254,datos_2016!$B$1:$G$330,4,FALSE),"")</f>
        <v>11653</v>
      </c>
      <c r="D254" s="21">
        <f>IFERROR(VLOOKUP(A254,datos_2024!$B$1:$G$326,4,FALSE),"")</f>
        <v>24601</v>
      </c>
    </row>
    <row r="255" ht="14.25" customHeight="1">
      <c r="A255" s="22">
        <v>70102.0</v>
      </c>
      <c r="B255" s="23" t="s">
        <v>266</v>
      </c>
      <c r="C255" s="21">
        <f>IFERROR(VLOOKUP(A255,datos_2016!$B$1:$G$330,4,FALSE),"")</f>
        <v>913</v>
      </c>
      <c r="D255" s="21">
        <f>IFERROR(VLOOKUP(A255,datos_2024!$B$1:$G$326,4,FALSE),"")</f>
        <v>3009</v>
      </c>
    </row>
    <row r="256" ht="14.25" customHeight="1">
      <c r="A256" s="19">
        <v>70103.0</v>
      </c>
      <c r="B256" s="20" t="s">
        <v>267</v>
      </c>
      <c r="C256" s="21">
        <f>IFERROR(VLOOKUP(A256,datos_2016!$B$1:$G$330,4,FALSE),"")</f>
        <v>283</v>
      </c>
      <c r="D256" s="21">
        <f>IFERROR(VLOOKUP(A256,datos_2024!$B$1:$G$326,4,FALSE),"")</f>
        <v>768</v>
      </c>
    </row>
    <row r="257" ht="14.25" customHeight="1">
      <c r="A257" s="22">
        <v>70104.0</v>
      </c>
      <c r="B257" s="23" t="s">
        <v>268</v>
      </c>
      <c r="C257" s="21">
        <f>IFERROR(VLOOKUP(A257,datos_2016!$B$1:$G$330,4,FALSE),"")</f>
        <v>1003</v>
      </c>
      <c r="D257" s="21">
        <f>IFERROR(VLOOKUP(A257,datos_2024!$B$1:$G$326,4,FALSE),"")</f>
        <v>2584</v>
      </c>
    </row>
    <row r="258" ht="14.25" customHeight="1">
      <c r="A258" s="19">
        <v>70105.0</v>
      </c>
      <c r="B258" s="20" t="s">
        <v>269</v>
      </c>
      <c r="C258" s="21">
        <f>IFERROR(VLOOKUP(A258,datos_2016!$B$1:$G$330,4,FALSE),"")</f>
        <v>434</v>
      </c>
      <c r="D258" s="21">
        <f>IFERROR(VLOOKUP(A258,datos_2024!$B$1:$G$326,4,FALSE),"")</f>
        <v>1116</v>
      </c>
    </row>
    <row r="259" ht="14.25" customHeight="1">
      <c r="A259" s="22">
        <v>70201.0</v>
      </c>
      <c r="B259" s="23" t="s">
        <v>270</v>
      </c>
      <c r="C259" s="21">
        <f>IFERROR(VLOOKUP(A259,datos_2016!$B$1:$G$330,4,FALSE),"")</f>
        <v>1481</v>
      </c>
      <c r="D259" s="21">
        <f>IFERROR(VLOOKUP(A259,datos_2024!$B$1:$G$326,4,FALSE),"")</f>
        <v>4534</v>
      </c>
    </row>
    <row r="260" ht="14.25" customHeight="1">
      <c r="A260" s="19">
        <v>70202.0</v>
      </c>
      <c r="B260" s="20" t="s">
        <v>271</v>
      </c>
      <c r="C260" s="21">
        <f>IFERROR(VLOOKUP(A260,datos_2016!$B$1:$G$330,4,FALSE),"")</f>
        <v>88</v>
      </c>
      <c r="D260" s="21">
        <f>IFERROR(VLOOKUP(A260,datos_2024!$B$1:$G$326,4,FALSE),"")</f>
        <v>250</v>
      </c>
    </row>
    <row r="261" ht="14.25" customHeight="1">
      <c r="A261" s="22">
        <v>70301.0</v>
      </c>
      <c r="B261" s="23" t="s">
        <v>272</v>
      </c>
      <c r="C261" s="21">
        <f>IFERROR(VLOOKUP(A261,datos_2016!$B$1:$G$330,4,FALSE),"")</f>
        <v>233</v>
      </c>
      <c r="D261" s="21">
        <f>IFERROR(VLOOKUP(A261,datos_2024!$B$1:$G$326,4,FALSE),"")</f>
        <v>13</v>
      </c>
    </row>
    <row r="262" ht="14.25" customHeight="1">
      <c r="A262" s="19">
        <v>70302.0</v>
      </c>
      <c r="B262" s="20" t="s">
        <v>273</v>
      </c>
      <c r="C262" s="21">
        <f>IFERROR(VLOOKUP(A262,datos_2016!$B$1:$G$330,4,FALSE),"")</f>
        <v>78</v>
      </c>
      <c r="D262" s="21">
        <f>IFERROR(VLOOKUP(A262,datos_2024!$B$1:$G$326,4,FALSE),"")</f>
        <v>3</v>
      </c>
    </row>
    <row r="263" ht="14.25" customHeight="1">
      <c r="A263" s="22">
        <v>70303.0</v>
      </c>
      <c r="B263" s="23" t="s">
        <v>274</v>
      </c>
      <c r="C263" s="21">
        <f>IFERROR(VLOOKUP(A263,datos_2016!$B$1:$G$330,4,FALSE),"")</f>
        <v>35</v>
      </c>
      <c r="D263" s="21">
        <f>IFERROR(VLOOKUP(A263,datos_2024!$B$1:$G$326,4,FALSE),"")</f>
        <v>2</v>
      </c>
    </row>
    <row r="264" ht="14.25" customHeight="1">
      <c r="A264" s="19">
        <v>70401.0</v>
      </c>
      <c r="B264" s="20" t="s">
        <v>275</v>
      </c>
      <c r="C264" s="21">
        <f>IFERROR(VLOOKUP(A264,datos_2016!$B$1:$G$330,4,FALSE),"")</f>
        <v>185</v>
      </c>
      <c r="D264" s="21">
        <f>IFERROR(VLOOKUP(A264,datos_2024!$B$1:$G$326,4,FALSE),"")</f>
        <v>429</v>
      </c>
    </row>
    <row r="265" ht="14.25" customHeight="1">
      <c r="A265" s="22">
        <v>70402.0</v>
      </c>
      <c r="B265" s="23" t="s">
        <v>276</v>
      </c>
      <c r="C265" s="21">
        <f>IFERROR(VLOOKUP(A265,datos_2016!$B$1:$G$330,4,FALSE),"")</f>
        <v>186</v>
      </c>
      <c r="D265" s="21">
        <f>IFERROR(VLOOKUP(A265,datos_2024!$B$1:$G$326,4,FALSE),"")</f>
        <v>427</v>
      </c>
    </row>
    <row r="266" ht="14.25" customHeight="1">
      <c r="A266" s="19">
        <v>70403.0</v>
      </c>
      <c r="B266" s="20" t="s">
        <v>277</v>
      </c>
      <c r="C266" s="21">
        <f>IFERROR(VLOOKUP(A266,datos_2016!$B$1:$G$330,4,FALSE),"")</f>
        <v>416</v>
      </c>
      <c r="D266" s="21">
        <f>IFERROR(VLOOKUP(A266,datos_2024!$B$1:$G$326,4,FALSE),"")</f>
        <v>1230</v>
      </c>
    </row>
    <row r="267" ht="14.25" customHeight="1">
      <c r="A267" s="22">
        <v>70404.0</v>
      </c>
      <c r="B267" s="23" t="s">
        <v>278</v>
      </c>
      <c r="C267" s="21">
        <f>IFERROR(VLOOKUP(A267,datos_2016!$B$1:$G$330,4,FALSE),"")</f>
        <v>61</v>
      </c>
      <c r="D267" s="21">
        <f>IFERROR(VLOOKUP(A267,datos_2024!$B$1:$G$326,4,FALSE),"")</f>
        <v>191</v>
      </c>
    </row>
    <row r="268" ht="14.25" customHeight="1">
      <c r="A268" s="19">
        <v>70501.0</v>
      </c>
      <c r="B268" s="20" t="s">
        <v>279</v>
      </c>
      <c r="C268" s="21">
        <f>IFERROR(VLOOKUP(A268,datos_2016!$B$1:$G$330,4,FALSE),"")</f>
        <v>123</v>
      </c>
      <c r="D268" s="21">
        <f>IFERROR(VLOOKUP(A268,datos_2024!$B$1:$G$326,4,FALSE),"")</f>
        <v>36</v>
      </c>
    </row>
    <row r="269" ht="14.25" customHeight="1">
      <c r="A269" s="22">
        <v>70502.0</v>
      </c>
      <c r="B269" s="23" t="s">
        <v>280</v>
      </c>
      <c r="C269" s="21">
        <f>IFERROR(VLOOKUP(A269,datos_2016!$B$1:$G$330,4,FALSE),"")</f>
        <v>264</v>
      </c>
      <c r="D269" s="21">
        <f>IFERROR(VLOOKUP(A269,datos_2024!$B$1:$G$326,4,FALSE),"")</f>
        <v>588</v>
      </c>
    </row>
    <row r="270" ht="14.25" customHeight="1">
      <c r="A270" s="19">
        <v>70503.0</v>
      </c>
      <c r="B270" s="20" t="s">
        <v>281</v>
      </c>
      <c r="C270" s="21">
        <f>IFERROR(VLOOKUP(A270,datos_2016!$B$1:$G$330,4,FALSE),"")</f>
        <v>153</v>
      </c>
      <c r="D270" s="21">
        <f>IFERROR(VLOOKUP(A270,datos_2024!$B$1:$G$326,4,FALSE),"")</f>
        <v>37</v>
      </c>
    </row>
    <row r="271" ht="14.25" customHeight="1">
      <c r="A271" s="22">
        <v>70601.0</v>
      </c>
      <c r="B271" s="23" t="s">
        <v>282</v>
      </c>
      <c r="C271" s="21">
        <f>IFERROR(VLOOKUP(A271,datos_2016!$B$1:$G$330,4,FALSE),"")</f>
        <v>100</v>
      </c>
      <c r="D271" s="21">
        <f>IFERROR(VLOOKUP(A271,datos_2024!$B$1:$G$326,4,FALSE),"")</f>
        <v>297</v>
      </c>
    </row>
    <row r="272" ht="14.25" customHeight="1">
      <c r="A272" s="19">
        <v>70602.0</v>
      </c>
      <c r="B272" s="20" t="s">
        <v>283</v>
      </c>
      <c r="C272" s="21">
        <f>IFERROR(VLOOKUP(A272,datos_2016!$B$1:$G$330,4,FALSE),"")</f>
        <v>190</v>
      </c>
      <c r="D272" s="21">
        <f>IFERROR(VLOOKUP(A272,datos_2024!$B$1:$G$326,4,FALSE),"")</f>
        <v>419</v>
      </c>
    </row>
    <row r="273" ht="14.25" customHeight="1">
      <c r="A273" s="22">
        <v>70603.0</v>
      </c>
      <c r="B273" s="23" t="s">
        <v>284</v>
      </c>
      <c r="C273" s="21">
        <f>IFERROR(VLOOKUP(A273,datos_2016!$B$1:$G$330,4,FALSE),"")</f>
        <v>46</v>
      </c>
      <c r="D273" s="21">
        <f>IFERROR(VLOOKUP(A273,datos_2024!$B$1:$G$326,4,FALSE),"")</f>
        <v>145</v>
      </c>
    </row>
    <row r="274" ht="14.25" customHeight="1">
      <c r="A274" s="19">
        <v>70701.0</v>
      </c>
      <c r="B274" s="20" t="s">
        <v>285</v>
      </c>
      <c r="C274" s="21">
        <f>IFERROR(VLOOKUP(A274,datos_2016!$B$1:$G$330,4,FALSE),"")</f>
        <v>25</v>
      </c>
      <c r="D274" s="21">
        <f>IFERROR(VLOOKUP(A274,datos_2024!$B$1:$G$326,4,FALSE),"")</f>
        <v>22</v>
      </c>
    </row>
    <row r="275" ht="14.25" customHeight="1">
      <c r="A275" s="22">
        <v>70702.0</v>
      </c>
      <c r="B275" s="23" t="s">
        <v>286</v>
      </c>
      <c r="C275" s="21">
        <f>IFERROR(VLOOKUP(A275,datos_2016!$B$1:$G$330,4,FALSE),"")</f>
        <v>120</v>
      </c>
      <c r="D275" s="21">
        <f>IFERROR(VLOOKUP(A275,datos_2024!$B$1:$G$326,4,FALSE),"")</f>
        <v>140</v>
      </c>
    </row>
    <row r="276" ht="14.25" customHeight="1">
      <c r="A276" s="19">
        <v>70703.0</v>
      </c>
      <c r="B276" s="20" t="s">
        <v>287</v>
      </c>
      <c r="C276" s="21">
        <f>IFERROR(VLOOKUP(A276,datos_2016!$B$1:$G$330,4,FALSE),"")</f>
        <v>221</v>
      </c>
      <c r="D276" s="21">
        <f>IFERROR(VLOOKUP(A276,datos_2024!$B$1:$G$326,4,FALSE),"")</f>
        <v>596</v>
      </c>
    </row>
    <row r="277" ht="14.25" customHeight="1">
      <c r="A277" s="22">
        <v>70704.0</v>
      </c>
      <c r="B277" s="23" t="s">
        <v>288</v>
      </c>
      <c r="C277" s="21">
        <f>IFERROR(VLOOKUP(A277,datos_2016!$B$1:$G$330,4,FALSE),"")</f>
        <v>34</v>
      </c>
      <c r="D277" s="21">
        <f>IFERROR(VLOOKUP(A277,datos_2024!$B$1:$G$326,4,FALSE),"")</f>
        <v>21</v>
      </c>
    </row>
    <row r="278" ht="14.25" customHeight="1">
      <c r="A278" s="19">
        <v>70705.0</v>
      </c>
      <c r="B278" s="20" t="s">
        <v>289</v>
      </c>
      <c r="C278" s="21">
        <f>IFERROR(VLOOKUP(A278,datos_2016!$B$1:$G$330,4,FALSE),"")</f>
        <v>49</v>
      </c>
      <c r="D278" s="21">
        <f>IFERROR(VLOOKUP(A278,datos_2024!$B$1:$G$326,4,FALSE),"")</f>
        <v>39</v>
      </c>
    </row>
    <row r="279" ht="14.25" customHeight="1">
      <c r="A279" s="22">
        <v>70706.0</v>
      </c>
      <c r="B279" s="23" t="s">
        <v>290</v>
      </c>
      <c r="C279" s="21">
        <f>IFERROR(VLOOKUP(A279,datos_2016!$B$1:$G$330,4,FALSE),"")</f>
        <v>215</v>
      </c>
      <c r="D279" s="21">
        <f>IFERROR(VLOOKUP(A279,datos_2024!$B$1:$G$326,4,FALSE),"")</f>
        <v>115</v>
      </c>
    </row>
    <row r="280" ht="14.25" customHeight="1">
      <c r="A280" s="19">
        <v>70707.0</v>
      </c>
      <c r="B280" s="20" t="s">
        <v>291</v>
      </c>
      <c r="C280" s="21">
        <f>IFERROR(VLOOKUP(A280,datos_2016!$B$1:$G$330,4,FALSE),"")</f>
        <v>30</v>
      </c>
      <c r="D280" s="21">
        <f>IFERROR(VLOOKUP(A280,datos_2024!$B$1:$G$326,4,FALSE),"")</f>
        <v>25</v>
      </c>
    </row>
    <row r="281" ht="14.25" customHeight="1">
      <c r="A281" s="22">
        <v>70801.0</v>
      </c>
      <c r="B281" s="23" t="s">
        <v>292</v>
      </c>
      <c r="C281" s="21">
        <f>IFERROR(VLOOKUP(A281,datos_2016!$B$1:$G$330,4,FALSE),"")</f>
        <v>302</v>
      </c>
      <c r="D281" s="21">
        <f>IFERROR(VLOOKUP(A281,datos_2024!$B$1:$G$326,4,FALSE),"")</f>
        <v>39</v>
      </c>
    </row>
    <row r="282" ht="14.25" customHeight="1">
      <c r="A282" s="19">
        <v>70802.0</v>
      </c>
      <c r="B282" s="20" t="s">
        <v>293</v>
      </c>
      <c r="C282" s="21">
        <f>IFERROR(VLOOKUP(A282,datos_2016!$B$1:$G$330,4,FALSE),"")</f>
        <v>31</v>
      </c>
      <c r="D282" s="21">
        <f>IFERROR(VLOOKUP(A282,datos_2024!$B$1:$G$326,4,FALSE),"")</f>
        <v>10</v>
      </c>
    </row>
    <row r="283" ht="14.25" customHeight="1">
      <c r="A283" s="22">
        <v>70803.0</v>
      </c>
      <c r="B283" s="23" t="s">
        <v>294</v>
      </c>
      <c r="C283" s="21">
        <f>IFERROR(VLOOKUP(A283,datos_2016!$B$1:$G$330,4,FALSE),"")</f>
        <v>38</v>
      </c>
      <c r="D283" s="21">
        <f>IFERROR(VLOOKUP(A283,datos_2024!$B$1:$G$326,4,FALSE),"")</f>
        <v>3</v>
      </c>
    </row>
    <row r="284" ht="14.25" customHeight="1">
      <c r="A284" s="19">
        <v>70804.0</v>
      </c>
      <c r="B284" s="20" t="s">
        <v>295</v>
      </c>
      <c r="C284" s="21">
        <f>IFERROR(VLOOKUP(A284,datos_2016!$B$1:$G$330,4,FALSE),"")</f>
        <v>42</v>
      </c>
      <c r="D284" s="21">
        <f>IFERROR(VLOOKUP(A284,datos_2024!$B$1:$G$326,4,FALSE),"")</f>
        <v>7</v>
      </c>
    </row>
    <row r="285" ht="14.25" customHeight="1">
      <c r="A285" s="22">
        <v>70805.0</v>
      </c>
      <c r="B285" s="23" t="s">
        <v>296</v>
      </c>
      <c r="C285" s="21" t="str">
        <f>IFERROR(VLOOKUP(A285,datos_2016!$B$1:$G$330,4,FALSE),"")</f>
        <v/>
      </c>
      <c r="D285" s="21" t="str">
        <f>IFERROR(VLOOKUP(A285,datos_2024!$B$1:$G$326,4,FALSE),"")</f>
        <v/>
      </c>
    </row>
    <row r="286" ht="14.25" customHeight="1">
      <c r="A286" s="19">
        <v>70901.0</v>
      </c>
      <c r="B286" s="20" t="s">
        <v>297</v>
      </c>
      <c r="C286" s="21">
        <f>IFERROR(VLOOKUP(A286,datos_2016!$B$1:$G$330,4,FALSE),"")</f>
        <v>198</v>
      </c>
      <c r="D286" s="21">
        <f>IFERROR(VLOOKUP(A286,datos_2024!$B$1:$G$326,4,FALSE),"")</f>
        <v>61</v>
      </c>
    </row>
    <row r="287" ht="14.25" customHeight="1">
      <c r="A287" s="22">
        <v>70902.0</v>
      </c>
      <c r="B287" s="23" t="s">
        <v>298</v>
      </c>
      <c r="C287" s="21">
        <f>IFERROR(VLOOKUP(A287,datos_2016!$B$1:$G$330,4,FALSE),"")</f>
        <v>157</v>
      </c>
      <c r="D287" s="21">
        <f>IFERROR(VLOOKUP(A287,datos_2024!$B$1:$G$326,4,FALSE),"")</f>
        <v>19</v>
      </c>
    </row>
    <row r="288" ht="14.25" customHeight="1">
      <c r="A288" s="19">
        <v>70903.0</v>
      </c>
      <c r="B288" s="20" t="s">
        <v>299</v>
      </c>
      <c r="C288" s="21">
        <f>IFERROR(VLOOKUP(A288,datos_2016!$B$1:$G$330,4,FALSE),"")</f>
        <v>134</v>
      </c>
      <c r="D288" s="21">
        <f>IFERROR(VLOOKUP(A288,datos_2024!$B$1:$G$326,4,FALSE),"")</f>
        <v>28</v>
      </c>
    </row>
    <row r="289" ht="14.25" customHeight="1">
      <c r="A289" s="22">
        <v>70904.0</v>
      </c>
      <c r="B289" s="23" t="s">
        <v>300</v>
      </c>
      <c r="C289" s="21">
        <f>IFERROR(VLOOKUP(A289,datos_2016!$B$1:$G$330,4,FALSE),"")</f>
        <v>43</v>
      </c>
      <c r="D289" s="21">
        <f>IFERROR(VLOOKUP(A289,datos_2024!$B$1:$G$326,4,FALSE),"")</f>
        <v>3</v>
      </c>
    </row>
    <row r="290" ht="14.25" customHeight="1">
      <c r="A290" s="19">
        <v>71001.0</v>
      </c>
      <c r="B290" s="20" t="s">
        <v>301</v>
      </c>
      <c r="C290" s="21">
        <f>IFERROR(VLOOKUP(A290,datos_2016!$B$1:$G$330,4,FALSE),"")</f>
        <v>756</v>
      </c>
      <c r="D290" s="21">
        <f>IFERROR(VLOOKUP(A290,datos_2024!$B$1:$G$326,4,FALSE),"")</f>
        <v>1838</v>
      </c>
    </row>
    <row r="291" ht="14.25" customHeight="1">
      <c r="A291" s="22">
        <v>71002.0</v>
      </c>
      <c r="B291" s="23" t="s">
        <v>302</v>
      </c>
      <c r="C291" s="21">
        <f>IFERROR(VLOOKUP(A291,datos_2016!$B$1:$G$330,4,FALSE),"")</f>
        <v>153</v>
      </c>
      <c r="D291" s="21">
        <f>IFERROR(VLOOKUP(A291,datos_2024!$B$1:$G$326,4,FALSE),"")</f>
        <v>335</v>
      </c>
    </row>
    <row r="292" ht="14.25" customHeight="1">
      <c r="A292" s="19">
        <v>71003.0</v>
      </c>
      <c r="B292" s="20" t="s">
        <v>303</v>
      </c>
      <c r="C292" s="21">
        <f>IFERROR(VLOOKUP(A292,datos_2016!$B$1:$G$330,4,FALSE),"")</f>
        <v>158</v>
      </c>
      <c r="D292" s="21">
        <f>IFERROR(VLOOKUP(A292,datos_2024!$B$1:$G$326,4,FALSE),"")</f>
        <v>402</v>
      </c>
    </row>
    <row r="293" ht="14.25" customHeight="1">
      <c r="A293" s="22">
        <v>71004.0</v>
      </c>
      <c r="B293" s="23" t="s">
        <v>304</v>
      </c>
      <c r="C293" s="21">
        <f>IFERROR(VLOOKUP(A293,datos_2016!$B$1:$G$330,4,FALSE),"")</f>
        <v>123</v>
      </c>
      <c r="D293" s="21">
        <f>IFERROR(VLOOKUP(A293,datos_2024!$B$1:$G$326,4,FALSE),"")</f>
        <v>243</v>
      </c>
    </row>
    <row r="294" ht="14.25" customHeight="1">
      <c r="A294" s="19">
        <v>71005.0</v>
      </c>
      <c r="B294" s="20" t="s">
        <v>305</v>
      </c>
      <c r="C294" s="21">
        <f>IFERROR(VLOOKUP(A294,datos_2016!$B$1:$G$330,4,FALSE),"")</f>
        <v>145</v>
      </c>
      <c r="D294" s="21">
        <f>IFERROR(VLOOKUP(A294,datos_2024!$B$1:$G$326,4,FALSE),"")</f>
        <v>324</v>
      </c>
    </row>
    <row r="295" ht="14.25" customHeight="1">
      <c r="A295" s="22">
        <v>71101.0</v>
      </c>
      <c r="B295" s="23" t="s">
        <v>306</v>
      </c>
      <c r="C295" s="21">
        <f>IFERROR(VLOOKUP(A295,datos_2016!$B$1:$G$330,4,FALSE),"")</f>
        <v>163</v>
      </c>
      <c r="D295" s="21">
        <f>IFERROR(VLOOKUP(A295,datos_2024!$B$1:$G$326,4,FALSE),"")</f>
        <v>67</v>
      </c>
    </row>
    <row r="296" ht="14.25" customHeight="1">
      <c r="A296" s="19">
        <v>71102.0</v>
      </c>
      <c r="B296" s="20" t="s">
        <v>307</v>
      </c>
      <c r="C296" s="21">
        <f>IFERROR(VLOOKUP(A296,datos_2016!$B$1:$G$330,4,FALSE),"")</f>
        <v>58</v>
      </c>
      <c r="D296" s="21">
        <f>IFERROR(VLOOKUP(A296,datos_2024!$B$1:$G$326,4,FALSE),"")</f>
        <v>25</v>
      </c>
    </row>
    <row r="297" ht="14.25" customHeight="1">
      <c r="A297" s="22">
        <v>71103.0</v>
      </c>
      <c r="B297" s="23" t="s">
        <v>308</v>
      </c>
      <c r="C297" s="21">
        <f>IFERROR(VLOOKUP(A297,datos_2016!$B$1:$G$330,4,FALSE),"")</f>
        <v>46</v>
      </c>
      <c r="D297" s="21">
        <f>IFERROR(VLOOKUP(A297,datos_2024!$B$1:$G$326,4,FALSE),"")</f>
        <v>19</v>
      </c>
    </row>
    <row r="298" ht="14.25" customHeight="1">
      <c r="A298" s="19">
        <v>71104.0</v>
      </c>
      <c r="B298" s="20" t="s">
        <v>309</v>
      </c>
      <c r="C298" s="21">
        <f>IFERROR(VLOOKUP(A298,datos_2016!$B$1:$G$330,4,FALSE),"")</f>
        <v>377</v>
      </c>
      <c r="D298" s="21">
        <f>IFERROR(VLOOKUP(A298,datos_2024!$B$1:$G$326,4,FALSE),"")</f>
        <v>134</v>
      </c>
    </row>
    <row r="299" ht="14.25" customHeight="1">
      <c r="A299" s="22">
        <v>71105.0</v>
      </c>
      <c r="B299" s="23" t="s">
        <v>310</v>
      </c>
      <c r="C299" s="21">
        <f>IFERROR(VLOOKUP(A299,datos_2016!$B$1:$G$330,4,FALSE),"")</f>
        <v>27</v>
      </c>
      <c r="D299" s="21">
        <f>IFERROR(VLOOKUP(A299,datos_2024!$B$1:$G$326,4,FALSE),"")</f>
        <v>14</v>
      </c>
    </row>
    <row r="300" ht="14.25" customHeight="1">
      <c r="A300" s="19">
        <v>71106.0</v>
      </c>
      <c r="B300" s="20" t="s">
        <v>311</v>
      </c>
      <c r="C300" s="21">
        <f>IFERROR(VLOOKUP(A300,datos_2016!$B$1:$G$330,4,FALSE),"")</f>
        <v>202</v>
      </c>
      <c r="D300" s="21" t="str">
        <f>IFERROR(VLOOKUP(A300,datos_2024!$B$1:$G$326,4,FALSE),"")</f>
        <v/>
      </c>
    </row>
    <row r="301" ht="14.25" customHeight="1">
      <c r="A301" s="22">
        <v>71201.0</v>
      </c>
      <c r="B301" s="23" t="s">
        <v>312</v>
      </c>
      <c r="C301" s="21">
        <f>IFERROR(VLOOKUP(A301,datos_2016!$B$1:$G$330,4,FALSE),"")</f>
        <v>0</v>
      </c>
      <c r="D301" s="21">
        <f>IFERROR(VLOOKUP(A301,datos_2024!$B$1:$G$326,4,FALSE),"")</f>
        <v>0</v>
      </c>
    </row>
    <row r="302" ht="14.25" customHeight="1">
      <c r="A302" s="19">
        <v>71301.0</v>
      </c>
      <c r="B302" s="20" t="s">
        <v>313</v>
      </c>
      <c r="C302" s="21">
        <f>IFERROR(VLOOKUP(A302,datos_2016!$B$1:$G$330,4,FALSE),"")</f>
        <v>189</v>
      </c>
      <c r="D302" s="21">
        <f>IFERROR(VLOOKUP(A302,datos_2024!$B$1:$G$326,4,FALSE),"")</f>
        <v>52</v>
      </c>
    </row>
    <row r="303" ht="14.25" customHeight="1">
      <c r="A303" s="22">
        <v>71302.0</v>
      </c>
      <c r="B303" s="23" t="s">
        <v>314</v>
      </c>
      <c r="C303" s="21">
        <f>IFERROR(VLOOKUP(A303,datos_2016!$B$1:$G$330,4,FALSE),"")</f>
        <v>115</v>
      </c>
      <c r="D303" s="21">
        <f>IFERROR(VLOOKUP(A303,datos_2024!$B$1:$G$326,4,FALSE),"")</f>
        <v>11</v>
      </c>
    </row>
    <row r="304" ht="14.25" customHeight="1">
      <c r="A304" s="19">
        <v>71401.0</v>
      </c>
      <c r="B304" s="20" t="s">
        <v>315</v>
      </c>
      <c r="C304" s="21">
        <f>IFERROR(VLOOKUP(A304,datos_2016!$B$1:$G$330,4,FALSE),"")</f>
        <v>299</v>
      </c>
      <c r="D304" s="21">
        <f>IFERROR(VLOOKUP(A304,datos_2024!$B$1:$G$326,4,FALSE),"")</f>
        <v>25</v>
      </c>
    </row>
    <row r="305" ht="14.25" customHeight="1">
      <c r="A305" s="22">
        <v>71402.0</v>
      </c>
      <c r="B305" s="23" t="s">
        <v>316</v>
      </c>
      <c r="C305" s="21">
        <f>IFERROR(VLOOKUP(A305,datos_2016!$B$1:$G$330,4,FALSE),"")</f>
        <v>214</v>
      </c>
      <c r="D305" s="21">
        <f>IFERROR(VLOOKUP(A305,datos_2024!$B$1:$G$326,4,FALSE),"")</f>
        <v>27</v>
      </c>
    </row>
    <row r="306" ht="14.25" customHeight="1">
      <c r="A306" s="19">
        <v>71403.0</v>
      </c>
      <c r="B306" s="20" t="s">
        <v>317</v>
      </c>
      <c r="C306" s="21">
        <f>IFERROR(VLOOKUP(A306,datos_2016!$B$1:$G$330,4,FALSE),"")</f>
        <v>33</v>
      </c>
      <c r="D306" s="21">
        <f>IFERROR(VLOOKUP(A306,datos_2024!$B$1:$G$326,4,FALSE),"")</f>
        <v>3</v>
      </c>
    </row>
    <row r="307" ht="14.25" customHeight="1">
      <c r="A307" s="22">
        <v>71501.0</v>
      </c>
      <c r="B307" s="23" t="s">
        <v>318</v>
      </c>
      <c r="C307" s="21">
        <f>IFERROR(VLOOKUP(A307,datos_2016!$B$1:$G$330,4,FALSE),"")</f>
        <v>182</v>
      </c>
      <c r="D307" s="21">
        <f>IFERROR(VLOOKUP(A307,datos_2024!$B$1:$G$326,4,FALSE),"")</f>
        <v>81</v>
      </c>
    </row>
    <row r="308" ht="14.25" customHeight="1">
      <c r="A308" s="19">
        <v>71502.0</v>
      </c>
      <c r="B308" s="20" t="s">
        <v>319</v>
      </c>
      <c r="C308" s="21">
        <f>IFERROR(VLOOKUP(A308,datos_2016!$B$1:$G$330,4,FALSE),"")</f>
        <v>46</v>
      </c>
      <c r="D308" s="21">
        <f>IFERROR(VLOOKUP(A308,datos_2024!$B$1:$G$326,4,FALSE),"")</f>
        <v>16</v>
      </c>
    </row>
    <row r="309" ht="14.25" customHeight="1">
      <c r="A309" s="22">
        <v>71503.0</v>
      </c>
      <c r="B309" s="23" t="s">
        <v>264</v>
      </c>
      <c r="C309" s="21">
        <f>IFERROR(VLOOKUP(A309,datos_2016!$B$1:$G$330,4,FALSE),"")</f>
        <v>53</v>
      </c>
      <c r="D309" s="21">
        <f>IFERROR(VLOOKUP(A309,datos_2024!$B$1:$G$326,4,FALSE),"")</f>
        <v>23</v>
      </c>
    </row>
    <row r="310" ht="14.25" customHeight="1">
      <c r="A310" s="19">
        <v>80101.0</v>
      </c>
      <c r="B310" s="20" t="s">
        <v>320</v>
      </c>
      <c r="C310" s="21">
        <f>IFERROR(VLOOKUP(A310,datos_2016!$B$1:$G$330,4,FALSE),"")</f>
        <v>458</v>
      </c>
      <c r="D310" s="21">
        <f>IFERROR(VLOOKUP(A310,datos_2024!$B$1:$G$326,4,FALSE),"")</f>
        <v>405</v>
      </c>
    </row>
    <row r="311" ht="14.25" customHeight="1">
      <c r="A311" s="22">
        <v>80102.0</v>
      </c>
      <c r="B311" s="23" t="s">
        <v>307</v>
      </c>
      <c r="C311" s="21">
        <f>IFERROR(VLOOKUP(A311,datos_2016!$B$1:$G$330,4,FALSE),"")</f>
        <v>6</v>
      </c>
      <c r="D311" s="21">
        <f>IFERROR(VLOOKUP(A311,datos_2024!$B$1:$G$326,4,FALSE),"")</f>
        <v>18</v>
      </c>
    </row>
    <row r="312" ht="14.25" customHeight="1">
      <c r="A312" s="19">
        <v>80201.0</v>
      </c>
      <c r="B312" s="20" t="s">
        <v>321</v>
      </c>
      <c r="C312" s="21">
        <f>IFERROR(VLOOKUP(A312,datos_2016!$B$1:$G$330,4,FALSE),"")</f>
        <v>0</v>
      </c>
      <c r="D312" s="21">
        <f>IFERROR(VLOOKUP(A312,datos_2024!$B$1:$G$326,4,FALSE),"")</f>
        <v>387</v>
      </c>
    </row>
    <row r="313" ht="14.25" customHeight="1">
      <c r="A313" s="22">
        <v>80202.0</v>
      </c>
      <c r="B313" s="23" t="s">
        <v>322</v>
      </c>
      <c r="C313" s="21">
        <f>IFERROR(VLOOKUP(A313,datos_2016!$B$1:$G$330,4,FALSE),"")</f>
        <v>0</v>
      </c>
      <c r="D313" s="21">
        <f>IFERROR(VLOOKUP(A313,datos_2024!$B$1:$G$326,4,FALSE),"")</f>
        <v>71</v>
      </c>
    </row>
    <row r="314" ht="14.25" customHeight="1">
      <c r="A314" s="19">
        <v>80301.0</v>
      </c>
      <c r="B314" s="20" t="s">
        <v>323</v>
      </c>
      <c r="C314" s="21">
        <f>IFERROR(VLOOKUP(A314,datos_2016!$B$1:$G$330,4,FALSE),"")</f>
        <v>25</v>
      </c>
      <c r="D314" s="21">
        <f>IFERROR(VLOOKUP(A314,datos_2024!$B$1:$G$326,4,FALSE),"")</f>
        <v>68</v>
      </c>
    </row>
    <row r="315" ht="14.25" customHeight="1">
      <c r="A315" s="22">
        <v>80302.0</v>
      </c>
      <c r="B315" s="23" t="s">
        <v>324</v>
      </c>
      <c r="C315" s="21">
        <f>IFERROR(VLOOKUP(A315,datos_2016!$B$1:$G$330,4,FALSE),"")</f>
        <v>202</v>
      </c>
      <c r="D315" s="21">
        <f>IFERROR(VLOOKUP(A315,datos_2024!$B$1:$G$326,4,FALSE),"")</f>
        <v>274</v>
      </c>
    </row>
    <row r="316" ht="14.25" customHeight="1">
      <c r="A316" s="19">
        <v>80303.0</v>
      </c>
      <c r="B316" s="20" t="s">
        <v>325</v>
      </c>
      <c r="C316" s="21">
        <f>IFERROR(VLOOKUP(A316,datos_2016!$B$1:$G$330,4,FALSE),"")</f>
        <v>3</v>
      </c>
      <c r="D316" s="21">
        <f>IFERROR(VLOOKUP(A316,datos_2024!$B$1:$G$326,4,FALSE),"")</f>
        <v>58</v>
      </c>
    </row>
    <row r="317" ht="14.25" customHeight="1">
      <c r="A317" s="22">
        <v>80304.0</v>
      </c>
      <c r="B317" s="23" t="s">
        <v>326</v>
      </c>
      <c r="C317" s="21">
        <f>IFERROR(VLOOKUP(A317,datos_2016!$B$1:$G$330,4,FALSE),"")</f>
        <v>75</v>
      </c>
      <c r="D317" s="21">
        <f>IFERROR(VLOOKUP(A317,datos_2024!$B$1:$G$326,4,FALSE),"")</f>
        <v>316</v>
      </c>
    </row>
    <row r="318" ht="14.25" customHeight="1">
      <c r="A318" s="19">
        <v>80401.0</v>
      </c>
      <c r="B318" s="20" t="s">
        <v>327</v>
      </c>
      <c r="C318" s="21">
        <f>IFERROR(VLOOKUP(A318,datos_2016!$B$1:$G$330,4,FALSE),"")</f>
        <v>5</v>
      </c>
      <c r="D318" s="21">
        <f>IFERROR(VLOOKUP(A318,datos_2024!$B$1:$G$326,4,FALSE),"")</f>
        <v>72</v>
      </c>
    </row>
    <row r="319" ht="14.25" customHeight="1">
      <c r="A319" s="22">
        <v>80402.0</v>
      </c>
      <c r="B319" s="23" t="s">
        <v>328</v>
      </c>
      <c r="C319" s="21" t="str">
        <f>IFERROR(VLOOKUP(A319,datos_2016!$B$1:$G$330,4,FALSE),"")</f>
        <v/>
      </c>
      <c r="D319" s="21">
        <f>IFERROR(VLOOKUP(A319,datos_2024!$B$1:$G$326,4,FALSE),"")</f>
        <v>0</v>
      </c>
    </row>
    <row r="320" ht="14.25" customHeight="1">
      <c r="A320" s="19">
        <v>80501.0</v>
      </c>
      <c r="B320" s="20" t="s">
        <v>329</v>
      </c>
      <c r="C320" s="21">
        <f>IFERROR(VLOOKUP(A320,datos_2016!$B$1:$G$330,4,FALSE),"")</f>
        <v>39</v>
      </c>
      <c r="D320" s="21">
        <f>IFERROR(VLOOKUP(A320,datos_2024!$B$1:$G$326,4,FALSE),"")</f>
        <v>99</v>
      </c>
    </row>
    <row r="321" ht="14.25" customHeight="1">
      <c r="A321" s="22">
        <v>80601.0</v>
      </c>
      <c r="B321" s="23" t="s">
        <v>330</v>
      </c>
      <c r="C321" s="21">
        <f>IFERROR(VLOOKUP(A321,datos_2016!$B$1:$G$330,4,FALSE),"")</f>
        <v>4</v>
      </c>
      <c r="D321" s="21">
        <f>IFERROR(VLOOKUP(A321,datos_2024!$B$1:$G$326,4,FALSE),"")</f>
        <v>13</v>
      </c>
    </row>
    <row r="322" ht="14.25" customHeight="1">
      <c r="A322" s="19">
        <v>80602.0</v>
      </c>
      <c r="B322" s="20" t="s">
        <v>331</v>
      </c>
      <c r="C322" s="21">
        <f>IFERROR(VLOOKUP(A322,datos_2016!$B$1:$G$330,4,FALSE),"")</f>
        <v>48</v>
      </c>
      <c r="D322" s="21">
        <f>IFERROR(VLOOKUP(A322,datos_2024!$B$1:$G$326,4,FALSE),"")</f>
        <v>75</v>
      </c>
    </row>
    <row r="323" ht="14.25" customHeight="1">
      <c r="A323" s="22">
        <v>80701.0</v>
      </c>
      <c r="B323" s="23" t="s">
        <v>332</v>
      </c>
      <c r="C323" s="21">
        <f>IFERROR(VLOOKUP(A323,datos_2016!$B$1:$G$330,4,FALSE),"")</f>
        <v>15</v>
      </c>
      <c r="D323" s="21">
        <f>IFERROR(VLOOKUP(A323,datos_2024!$B$1:$G$326,4,FALSE),"")</f>
        <v>15</v>
      </c>
    </row>
    <row r="324" ht="14.25" customHeight="1">
      <c r="A324" s="19">
        <v>80702.0</v>
      </c>
      <c r="B324" s="20" t="s">
        <v>308</v>
      </c>
      <c r="C324" s="21">
        <f>IFERROR(VLOOKUP(A324,datos_2016!$B$1:$G$330,4,FALSE),"")</f>
        <v>31</v>
      </c>
      <c r="D324" s="21">
        <f>IFERROR(VLOOKUP(A324,datos_2024!$B$1:$G$326,4,FALSE),"")</f>
        <v>23</v>
      </c>
    </row>
    <row r="325" ht="14.25" customHeight="1">
      <c r="A325" s="22">
        <v>80703.0</v>
      </c>
      <c r="B325" s="23" t="s">
        <v>333</v>
      </c>
      <c r="C325" s="21" t="str">
        <f>IFERROR(VLOOKUP(A325,datos_2016!$B$1:$G$330,4,FALSE),"")</f>
        <v/>
      </c>
      <c r="D325" s="21" t="str">
        <f>IFERROR(VLOOKUP(A325,datos_2024!$B$1:$G$326,4,FALSE),"")</f>
        <v/>
      </c>
    </row>
    <row r="326" ht="14.25" customHeight="1">
      <c r="A326" s="19">
        <v>80801.0</v>
      </c>
      <c r="B326" s="20" t="s">
        <v>334</v>
      </c>
      <c r="C326" s="21">
        <f>IFERROR(VLOOKUP(A326,datos_2016!$B$1:$G$330,4,FALSE),"")</f>
        <v>10</v>
      </c>
      <c r="D326" s="21">
        <f>IFERROR(VLOOKUP(A326,datos_2024!$B$1:$G$326,4,FALSE),"")</f>
        <v>39</v>
      </c>
    </row>
    <row r="327" ht="14.25" customHeight="1">
      <c r="A327" s="22">
        <v>80802.0</v>
      </c>
      <c r="B327" s="23" t="s">
        <v>335</v>
      </c>
      <c r="C327" s="21">
        <f>IFERROR(VLOOKUP(A327,datos_2016!$B$1:$G$330,4,FALSE),"")</f>
        <v>0</v>
      </c>
      <c r="D327" s="21">
        <f>IFERROR(VLOOKUP(A327,datos_2024!$B$1:$G$326,4,FALSE),"")</f>
        <v>16</v>
      </c>
    </row>
    <row r="328" ht="14.25" customHeight="1">
      <c r="A328" s="19">
        <v>80803.0</v>
      </c>
      <c r="B328" s="20" t="s">
        <v>336</v>
      </c>
      <c r="C328" s="21">
        <f>IFERROR(VLOOKUP(A328,datos_2016!$B$1:$G$330,4,FALSE),"")</f>
        <v>0</v>
      </c>
      <c r="D328" s="21">
        <f>IFERROR(VLOOKUP(A328,datos_2024!$B$1:$G$326,4,FALSE),"")</f>
        <v>8</v>
      </c>
    </row>
    <row r="329" ht="14.25" customHeight="1">
      <c r="A329" s="22">
        <v>80901.0</v>
      </c>
      <c r="B329" s="23" t="s">
        <v>337</v>
      </c>
      <c r="C329" s="21" t="str">
        <f>IFERROR(VLOOKUP(A329,datos_2016!$B$1:$G$330,4,FALSE),"")</f>
        <v/>
      </c>
      <c r="D329" s="21" t="str">
        <f>IFERROR(VLOOKUP(A329,datos_2024!$B$1:$G$326,4,FALSE),"")</f>
        <v/>
      </c>
    </row>
    <row r="330" ht="14.25" customHeight="1">
      <c r="A330" s="19">
        <v>90101.0</v>
      </c>
      <c r="B330" s="20" t="s">
        <v>338</v>
      </c>
      <c r="C330" s="21">
        <f>IFERROR(VLOOKUP(A330,datos_2016!$B$1:$G$330,4,FALSE),"")</f>
        <v>238</v>
      </c>
      <c r="D330" s="21">
        <f>IFERROR(VLOOKUP(A330,datos_2024!$B$1:$G$326,4,FALSE),"")</f>
        <v>262</v>
      </c>
    </row>
    <row r="331" ht="14.25" customHeight="1">
      <c r="A331" s="22">
        <v>90102.0</v>
      </c>
      <c r="B331" s="23" t="s">
        <v>339</v>
      </c>
      <c r="C331" s="21">
        <f>IFERROR(VLOOKUP(A331,datos_2016!$B$1:$G$330,4,FALSE),"")</f>
        <v>32</v>
      </c>
      <c r="D331" s="21">
        <f>IFERROR(VLOOKUP(A331,datos_2024!$B$1:$G$326,4,FALSE),"")</f>
        <v>42</v>
      </c>
    </row>
    <row r="332" ht="14.25" customHeight="1">
      <c r="A332" s="19">
        <v>90103.0</v>
      </c>
      <c r="B332" s="20" t="s">
        <v>340</v>
      </c>
      <c r="C332" s="21" t="str">
        <f>IFERROR(VLOOKUP(A332,datos_2016!$B$1:$G$330,4,FALSE),"")</f>
        <v/>
      </c>
      <c r="D332" s="21" t="str">
        <f>IFERROR(VLOOKUP(A332,datos_2024!$B$1:$G$326,4,FALSE),"")</f>
        <v/>
      </c>
    </row>
    <row r="333" ht="14.25" customHeight="1">
      <c r="A333" s="22">
        <v>90104.0</v>
      </c>
      <c r="B333" s="23" t="s">
        <v>341</v>
      </c>
      <c r="C333" s="21">
        <f>IFERROR(VLOOKUP(A333,datos_2016!$B$1:$G$330,4,FALSE),"")</f>
        <v>1</v>
      </c>
      <c r="D333" s="21">
        <f>IFERROR(VLOOKUP(A333,datos_2024!$B$1:$G$326,4,FALSE),"")</f>
        <v>16</v>
      </c>
    </row>
    <row r="334" ht="14.25" customHeight="1">
      <c r="A334" s="19">
        <v>90201.0</v>
      </c>
      <c r="B334" s="20" t="s">
        <v>342</v>
      </c>
      <c r="C334" s="21">
        <f>IFERROR(VLOOKUP(A334,datos_2016!$B$1:$G$330,4,FALSE),"")</f>
        <v>32</v>
      </c>
      <c r="D334" s="21">
        <f>IFERROR(VLOOKUP(A334,datos_2024!$B$1:$G$326,4,FALSE),"")</f>
        <v>38</v>
      </c>
    </row>
    <row r="335" ht="14.25" customHeight="1">
      <c r="A335" s="22">
        <v>90202.0</v>
      </c>
      <c r="B335" s="23" t="s">
        <v>305</v>
      </c>
      <c r="C335" s="21">
        <f>IFERROR(VLOOKUP(A335,datos_2016!$B$1:$G$330,4,FALSE),"")</f>
        <v>3</v>
      </c>
      <c r="D335" s="21">
        <f>IFERROR(VLOOKUP(A335,datos_2024!$B$1:$G$326,4,FALSE),"")</f>
        <v>4</v>
      </c>
    </row>
    <row r="336" ht="14.25" customHeight="1">
      <c r="A336" s="19">
        <v>90203.0</v>
      </c>
      <c r="B336" s="20" t="s">
        <v>343</v>
      </c>
      <c r="C336" s="21">
        <f>IFERROR(VLOOKUP(A336,datos_2016!$B$1:$G$330,4,FALSE),"")</f>
        <v>16</v>
      </c>
      <c r="D336" s="21">
        <f>IFERROR(VLOOKUP(A336,datos_2024!$B$1:$G$326,4,FALSE),"")</f>
        <v>42</v>
      </c>
    </row>
    <row r="337" ht="14.25" customHeight="1">
      <c r="A337" s="22">
        <v>90301.0</v>
      </c>
      <c r="B337" s="23" t="s">
        <v>344</v>
      </c>
      <c r="C337" s="21">
        <f>IFERROR(VLOOKUP(A337,datos_2016!$B$1:$G$330,4,FALSE),"")</f>
        <v>0</v>
      </c>
      <c r="D337" s="21" t="str">
        <f>IFERROR(VLOOKUP(A337,datos_2024!$B$1:$G$326,4,FALSE),"")</f>
        <v/>
      </c>
    </row>
    <row r="338" ht="14.25" customHeight="1">
      <c r="A338" s="19">
        <v>90302.0</v>
      </c>
      <c r="B338" s="20" t="s">
        <v>345</v>
      </c>
      <c r="C338" s="21">
        <f>IFERROR(VLOOKUP(A338,datos_2016!$B$1:$G$330,4,FALSE),"")</f>
        <v>1</v>
      </c>
      <c r="D338" s="21">
        <f>IFERROR(VLOOKUP(A338,datos_2024!$B$1:$G$326,4,FALSE),"")</f>
        <v>11</v>
      </c>
    </row>
    <row r="339" ht="14.25" customHeight="1">
      <c r="A339" s="22">
        <v>90303.0</v>
      </c>
      <c r="B339" s="23" t="s">
        <v>346</v>
      </c>
      <c r="C339" s="21">
        <f>IFERROR(VLOOKUP(A339,datos_2016!$B$1:$G$330,4,FALSE),"")</f>
        <v>2</v>
      </c>
      <c r="D339" s="21">
        <f>IFERROR(VLOOKUP(A339,datos_2024!$B$1:$G$326,4,FALSE),"")</f>
        <v>22</v>
      </c>
    </row>
    <row r="340" ht="14.25" customHeight="1">
      <c r="A340" s="19">
        <v>90401.0</v>
      </c>
      <c r="B340" s="20" t="s">
        <v>347</v>
      </c>
      <c r="C340" s="21" t="str">
        <f>IFERROR(VLOOKUP(A340,datos_2016!$B$1:$G$330,4,FALSE),"")</f>
        <v/>
      </c>
      <c r="D340" s="21">
        <f>IFERROR(VLOOKUP(A340,datos_2024!$B$1:$G$326,4,FALSE),"")</f>
        <v>34</v>
      </c>
    </row>
    <row r="341" ht="14.25" customHeight="1">
      <c r="A341" s="22">
        <v>90402.0</v>
      </c>
      <c r="B341" s="23" t="s">
        <v>348</v>
      </c>
      <c r="C341" s="21" t="str">
        <f>IFERROR(VLOOKUP(A341,datos_2016!$B$1:$G$330,4,FALSE),"")</f>
        <v/>
      </c>
      <c r="D341" s="21" t="str">
        <f>IFERROR(VLOOKUP(A341,datos_2024!$B$1:$G$326,4,FALSE),"")</f>
        <v/>
      </c>
    </row>
    <row r="342" ht="14.25" customHeight="1">
      <c r="A342" s="19">
        <v>90501.0</v>
      </c>
      <c r="B342" s="20" t="s">
        <v>349</v>
      </c>
      <c r="C342" s="21">
        <f>IFERROR(VLOOKUP(A342,datos_2016!$B$1:$G$330,4,FALSE),"")</f>
        <v>0</v>
      </c>
      <c r="D342" s="21" t="str">
        <f>IFERROR(VLOOKUP(A342,datos_2024!$B$1:$G$326,4,FALSE),"")</f>
        <v/>
      </c>
    </row>
    <row r="343" ht="14.25" customHeight="1">
      <c r="A343" s="22">
        <v>90502.0</v>
      </c>
      <c r="B343" s="23" t="s">
        <v>350</v>
      </c>
      <c r="C343" s="21">
        <f>IFERROR(VLOOKUP(A343,datos_2016!$B$1:$G$330,4,FALSE),"")</f>
        <v>0</v>
      </c>
      <c r="D343" s="21" t="str">
        <f>IFERROR(VLOOKUP(A343,datos_2024!$B$1:$G$326,4,FALSE),"")</f>
        <v/>
      </c>
    </row>
    <row r="344" ht="14.25" customHeight="1">
      <c r="A344" s="24">
        <v>90503.0</v>
      </c>
      <c r="B344" s="25" t="s">
        <v>351</v>
      </c>
      <c r="C344" s="21" t="str">
        <f>IFERROR(VLOOKUP(A344,datos_2016!$B$1:$G$330,4,FALSE),"")</f>
        <v/>
      </c>
      <c r="D344" s="21" t="str">
        <f>IFERROR(VLOOKUP(A344,datos_2024!$B$1:$G$326,4,FALSE),"")</f>
        <v/>
      </c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2.43"/>
    <col customWidth="1" min="4" max="26" width="10.71"/>
  </cols>
  <sheetData>
    <row r="1" ht="14.25" customHeight="1">
      <c r="A1" s="26" t="s">
        <v>354</v>
      </c>
      <c r="B1" s="26" t="s">
        <v>355</v>
      </c>
      <c r="C1" s="5" t="s">
        <v>6</v>
      </c>
      <c r="D1" s="5" t="s">
        <v>356</v>
      </c>
    </row>
    <row r="2" ht="14.25" customHeight="1">
      <c r="A2" s="27">
        <v>1.0</v>
      </c>
      <c r="B2" s="27" t="s">
        <v>357</v>
      </c>
      <c r="C2" s="28">
        <v>6.136760557073127</v>
      </c>
      <c r="D2" s="28">
        <v>8.71331520897713</v>
      </c>
    </row>
    <row r="3" ht="14.25" customHeight="1">
      <c r="A3" s="27">
        <v>2.0</v>
      </c>
      <c r="B3" s="27" t="s">
        <v>358</v>
      </c>
      <c r="C3" s="28">
        <v>8.81891990773055</v>
      </c>
      <c r="D3" s="28">
        <v>9.11488376251027</v>
      </c>
    </row>
    <row r="4" ht="14.25" customHeight="1">
      <c r="A4" s="27">
        <v>3.0</v>
      </c>
      <c r="B4" s="27" t="s">
        <v>130</v>
      </c>
      <c r="C4" s="28">
        <v>5.94767384477796</v>
      </c>
      <c r="D4" s="28">
        <v>6.761084355295169</v>
      </c>
    </row>
    <row r="5" ht="14.25" customHeight="1">
      <c r="A5" s="27">
        <v>4.0</v>
      </c>
      <c r="B5" s="27" t="s">
        <v>178</v>
      </c>
      <c r="C5" s="28">
        <v>7.405891980360066</v>
      </c>
      <c r="D5" s="28">
        <v>10.055427105438191</v>
      </c>
    </row>
    <row r="6" ht="14.25" customHeight="1">
      <c r="A6" s="27">
        <v>5.0</v>
      </c>
      <c r="B6" s="27" t="s">
        <v>213</v>
      </c>
      <c r="C6" s="28">
        <v>9.895484837941279</v>
      </c>
      <c r="D6" s="28">
        <v>11.504295451935825</v>
      </c>
    </row>
    <row r="7" ht="14.25" customHeight="1">
      <c r="A7" s="27">
        <v>6.0</v>
      </c>
      <c r="B7" s="27" t="s">
        <v>255</v>
      </c>
      <c r="C7" s="28">
        <v>5.055398093274929</v>
      </c>
      <c r="D7" s="28">
        <v>7.1757279576461</v>
      </c>
    </row>
    <row r="8" ht="14.25" customHeight="1">
      <c r="A8" s="27">
        <v>7.0</v>
      </c>
      <c r="B8" s="27" t="s">
        <v>359</v>
      </c>
      <c r="C8" s="28">
        <v>4.1202746729847926</v>
      </c>
      <c r="D8" s="28">
        <v>6.850064587701356</v>
      </c>
    </row>
    <row r="9" ht="14.25" customHeight="1">
      <c r="A9" s="27">
        <v>8.0</v>
      </c>
      <c r="B9" s="27" t="s">
        <v>360</v>
      </c>
      <c r="C9" s="28">
        <v>0.8285279909320715</v>
      </c>
      <c r="D9" s="28">
        <v>1.963715908406751</v>
      </c>
    </row>
    <row r="10" ht="14.25" customHeight="1">
      <c r="A10" s="27">
        <v>9.0</v>
      </c>
      <c r="B10" s="27" t="s">
        <v>361</v>
      </c>
      <c r="C10" s="28">
        <v>2.1392838335966298</v>
      </c>
      <c r="D10" s="28">
        <v>2.1562972119214394</v>
      </c>
    </row>
    <row r="11" ht="14.25" customHeight="1">
      <c r="A11" s="27">
        <v>10.0</v>
      </c>
      <c r="B11" s="27" t="s">
        <v>362</v>
      </c>
      <c r="C11" s="29">
        <v>3.515309069901791</v>
      </c>
      <c r="D11" s="28">
        <v>5.312208760484623</v>
      </c>
    </row>
    <row r="12" ht="14.25" customHeight="1">
      <c r="A12" s="27">
        <v>11.0</v>
      </c>
      <c r="B12" s="27" t="s">
        <v>363</v>
      </c>
      <c r="C12" s="29">
        <v>6.465129884375686</v>
      </c>
      <c r="D12" s="28">
        <v>7.916296430871885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2.43"/>
    <col customWidth="1" min="4" max="26" width="10.71"/>
  </cols>
  <sheetData>
    <row r="1" ht="14.25" customHeight="1">
      <c r="A1" s="26" t="s">
        <v>354</v>
      </c>
      <c r="B1" s="26" t="s">
        <v>355</v>
      </c>
      <c r="C1" s="5" t="s">
        <v>352</v>
      </c>
      <c r="D1" s="5" t="s">
        <v>353</v>
      </c>
    </row>
    <row r="2" ht="14.25" customHeight="1">
      <c r="A2" s="27">
        <v>1.0</v>
      </c>
      <c r="B2" s="27" t="s">
        <v>357</v>
      </c>
      <c r="C2" s="4">
        <v>6852.0</v>
      </c>
      <c r="D2" s="4">
        <v>14070.0</v>
      </c>
    </row>
    <row r="3" ht="14.25" customHeight="1">
      <c r="A3" s="27">
        <v>2.0</v>
      </c>
      <c r="B3" s="27" t="s">
        <v>358</v>
      </c>
      <c r="C3" s="4">
        <v>67975.0</v>
      </c>
      <c r="D3" s="4">
        <v>85646.0</v>
      </c>
    </row>
    <row r="4" ht="14.25" customHeight="1">
      <c r="A4" s="27">
        <v>3.0</v>
      </c>
      <c r="B4" s="27" t="s">
        <v>130</v>
      </c>
      <c r="C4" s="4">
        <v>29528.0</v>
      </c>
      <c r="D4" s="4">
        <v>43576.0</v>
      </c>
    </row>
    <row r="5" ht="14.25" customHeight="1">
      <c r="A5" s="27">
        <v>4.0</v>
      </c>
      <c r="B5" s="27" t="s">
        <v>178</v>
      </c>
      <c r="C5" s="4">
        <v>9955.0</v>
      </c>
      <c r="D5" s="4">
        <v>15874.0</v>
      </c>
    </row>
    <row r="6" ht="14.25" customHeight="1">
      <c r="A6" s="27">
        <v>5.0</v>
      </c>
      <c r="B6" s="27" t="s">
        <v>213</v>
      </c>
      <c r="C6" s="4">
        <v>14789.0</v>
      </c>
      <c r="D6" s="4">
        <v>22042.0</v>
      </c>
    </row>
    <row r="7" ht="14.25" customHeight="1">
      <c r="A7" s="27">
        <v>6.0</v>
      </c>
      <c r="B7" s="27" t="s">
        <v>255</v>
      </c>
      <c r="C7" s="4">
        <v>5886.0</v>
      </c>
      <c r="D7" s="4">
        <v>10572.0</v>
      </c>
    </row>
    <row r="8" ht="14.25" customHeight="1">
      <c r="A8" s="27">
        <v>7.0</v>
      </c>
      <c r="B8" s="27" t="s">
        <v>359</v>
      </c>
      <c r="C8" s="4">
        <v>22903.0</v>
      </c>
      <c r="D8" s="4">
        <v>45446.0</v>
      </c>
    </row>
    <row r="9" ht="14.25" customHeight="1">
      <c r="A9" s="27">
        <v>8.0</v>
      </c>
      <c r="B9" s="27" t="s">
        <v>360</v>
      </c>
      <c r="C9" s="4">
        <v>921.0</v>
      </c>
      <c r="D9" s="4">
        <v>1957.0</v>
      </c>
    </row>
    <row r="10" ht="14.25" customHeight="1">
      <c r="A10" s="27">
        <v>9.0</v>
      </c>
      <c r="B10" s="27" t="s">
        <v>361</v>
      </c>
      <c r="C10" s="4">
        <v>325.0</v>
      </c>
      <c r="D10" s="4">
        <v>471.0</v>
      </c>
    </row>
    <row r="11" ht="14.25" customHeight="1">
      <c r="A11" s="27">
        <v>10.0</v>
      </c>
      <c r="B11" s="27" t="s">
        <v>362</v>
      </c>
      <c r="C11" s="30">
        <v>1217.0</v>
      </c>
      <c r="D11" s="30">
        <v>2280.0</v>
      </c>
    </row>
    <row r="12" ht="14.25" customHeight="1">
      <c r="A12" s="27">
        <v>11.0</v>
      </c>
      <c r="B12" s="27" t="s">
        <v>363</v>
      </c>
      <c r="C12" s="30">
        <v>159134.0</v>
      </c>
      <c r="D12" s="30">
        <v>239654.0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>
      <c r="A1" s="31" t="s">
        <v>364</v>
      </c>
      <c r="B1" s="31" t="s">
        <v>365</v>
      </c>
      <c r="C1" s="32" t="s">
        <v>366</v>
      </c>
      <c r="D1" s="32" t="s">
        <v>367</v>
      </c>
      <c r="E1" s="33" t="s">
        <v>368</v>
      </c>
      <c r="F1" s="33" t="s">
        <v>369</v>
      </c>
      <c r="G1" s="34" t="s">
        <v>370</v>
      </c>
      <c r="H1" s="34" t="s">
        <v>371</v>
      </c>
      <c r="I1" s="35" t="s">
        <v>372</v>
      </c>
      <c r="J1" s="35" t="s">
        <v>373</v>
      </c>
      <c r="K1" s="36" t="s">
        <v>374</v>
      </c>
    </row>
    <row r="2" ht="14.25" customHeight="1">
      <c r="A2" s="37">
        <v>7.0</v>
      </c>
      <c r="B2" s="38" t="s">
        <v>375</v>
      </c>
      <c r="C2" s="37">
        <v>0.0</v>
      </c>
      <c r="D2" s="39">
        <v>4.5</v>
      </c>
      <c r="E2" s="39">
        <v>4.5</v>
      </c>
      <c r="F2" s="39">
        <v>10.2</v>
      </c>
      <c r="G2" s="39">
        <v>10.2</v>
      </c>
      <c r="H2" s="39">
        <v>24.9</v>
      </c>
      <c r="I2" s="39">
        <v>24.9</v>
      </c>
      <c r="J2" s="37">
        <v>100.0</v>
      </c>
      <c r="K2" s="36" t="s">
        <v>376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2026-05-24T20:47:41Z</dcterms:created>
  <dc:creator>Karina</dc:creator>
</cp:coreProperties>
</file>