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6C97465E-34C8-4F3B-93CD-389115187CB2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 2012 MORT INFANTIL CENSO" sheetId="18" r:id="rId1"/>
    <sheet name=" 2024 MORT INFA" sheetId="15" r:id="rId2"/>
    <sheet name="Indicador_MUN" sheetId="2" r:id="rId3"/>
    <sheet name="INFANTIL Absoluto_MUN" sheetId="8" state="hidden" r:id="rId4"/>
    <sheet name="NIÑEZ Absoluto_MUN " sheetId="20" state="hidden" r:id="rId5"/>
    <sheet name="Absoluto_MUN" sheetId="27" r:id="rId6"/>
    <sheet name="Indicador_DEP " sheetId="9" r:id="rId7"/>
    <sheet name="Absoluto_DEP" sheetId="22" r:id="rId8"/>
    <sheet name="Umbral" sheetId="11" r:id="rId9"/>
    <sheet name="Mapa" sheetId="30" r:id="rId10"/>
  </sheets>
  <definedNames>
    <definedName name="_xlnm._FilterDatabase" localSheetId="5" hidden="1">Absoluto_MUN!$A$1:$D$1</definedName>
    <definedName name="_xlnm._FilterDatabase" localSheetId="2" hidden="1">Indicador_MUN!$A$1:$D$1</definedName>
    <definedName name="_xlnm._FilterDatabase" localSheetId="3" hidden="1">'INFANTIL Absoluto_MUN'!$A$1:$D$1</definedName>
    <definedName name="_xlnm._FilterDatabase" localSheetId="4" hidden="1">'NIÑEZ Absoluto_MUN '!$A$1:$D$1</definedName>
  </definedNames>
  <calcPr calcId="191029"/>
</workbook>
</file>

<file path=xl/calcChain.xml><?xml version="1.0" encoding="utf-8"?>
<calcChain xmlns="http://schemas.openxmlformats.org/spreadsheetml/2006/main">
  <c r="I2" i="15" l="1"/>
  <c r="H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I200" i="15"/>
  <c r="I201" i="15"/>
  <c r="I202" i="15"/>
  <c r="I203" i="15"/>
  <c r="I204" i="15"/>
  <c r="I205" i="15"/>
  <c r="I206" i="15"/>
  <c r="I207" i="15"/>
  <c r="I208" i="15"/>
  <c r="I209" i="15"/>
  <c r="I210" i="15"/>
  <c r="I211" i="15"/>
  <c r="I212" i="15"/>
  <c r="I213" i="15"/>
  <c r="I214" i="15"/>
  <c r="I215" i="15"/>
  <c r="I216" i="15"/>
  <c r="I217" i="15"/>
  <c r="I218" i="15"/>
  <c r="I219" i="15"/>
  <c r="I220" i="15"/>
  <c r="I221" i="15"/>
  <c r="I222" i="15"/>
  <c r="I223" i="15"/>
  <c r="I224" i="15"/>
  <c r="I225" i="15"/>
  <c r="I226" i="15"/>
  <c r="I227" i="15"/>
  <c r="I228" i="15"/>
  <c r="I229" i="15"/>
  <c r="I230" i="15"/>
  <c r="I231" i="15"/>
  <c r="I232" i="15"/>
  <c r="I233" i="15"/>
  <c r="I234" i="15"/>
  <c r="I235" i="15"/>
  <c r="I236" i="15"/>
  <c r="I237" i="15"/>
  <c r="I238" i="15"/>
  <c r="I239" i="15"/>
  <c r="I240" i="15"/>
  <c r="I241" i="15"/>
  <c r="I242" i="15"/>
  <c r="I243" i="15"/>
  <c r="I244" i="15"/>
  <c r="I245" i="15"/>
  <c r="I246" i="15"/>
  <c r="I247" i="15"/>
  <c r="I248" i="15"/>
  <c r="I249" i="15"/>
  <c r="I250" i="15"/>
  <c r="I251" i="15"/>
  <c r="I252" i="15"/>
  <c r="I253" i="15"/>
  <c r="I254" i="15"/>
  <c r="I255" i="15"/>
  <c r="I256" i="15"/>
  <c r="I257" i="15"/>
  <c r="I258" i="15"/>
  <c r="I259" i="15"/>
  <c r="I260" i="15"/>
  <c r="I261" i="15"/>
  <c r="I262" i="15"/>
  <c r="I263" i="15"/>
  <c r="I264" i="15"/>
  <c r="I265" i="15"/>
  <c r="I266" i="15"/>
  <c r="I267" i="15"/>
  <c r="I268" i="15"/>
  <c r="I269" i="15"/>
  <c r="I270" i="15"/>
  <c r="I271" i="15"/>
  <c r="I272" i="15"/>
  <c r="I273" i="15"/>
  <c r="I274" i="15"/>
  <c r="I275" i="15"/>
  <c r="I276" i="15"/>
  <c r="I277" i="15"/>
  <c r="I278" i="15"/>
  <c r="I279" i="15"/>
  <c r="I280" i="15"/>
  <c r="I281" i="15"/>
  <c r="I282" i="15"/>
  <c r="I283" i="15"/>
  <c r="I284" i="15"/>
  <c r="I285" i="15"/>
  <c r="I286" i="15"/>
  <c r="I287" i="15"/>
  <c r="I288" i="15"/>
  <c r="I289" i="15"/>
  <c r="I290" i="15"/>
  <c r="I291" i="15"/>
  <c r="I292" i="15"/>
  <c r="I293" i="15"/>
  <c r="I294" i="15"/>
  <c r="I295" i="15"/>
  <c r="I296" i="15"/>
  <c r="I297" i="15"/>
  <c r="I298" i="15"/>
  <c r="I299" i="15"/>
  <c r="I300" i="15"/>
  <c r="I301" i="15"/>
  <c r="I302" i="15"/>
  <c r="I303" i="15"/>
  <c r="I304" i="15"/>
  <c r="I305" i="15"/>
  <c r="I306" i="15"/>
  <c r="I307" i="15"/>
  <c r="I308" i="15"/>
  <c r="I309" i="15"/>
  <c r="I310" i="15"/>
  <c r="I311" i="15"/>
  <c r="I312" i="15"/>
  <c r="I313" i="15"/>
  <c r="I314" i="15"/>
  <c r="I315" i="15"/>
  <c r="I316" i="15"/>
  <c r="I317" i="15"/>
  <c r="I318" i="15"/>
  <c r="I319" i="15"/>
  <c r="I320" i="15"/>
  <c r="I321" i="15"/>
  <c r="I322" i="15"/>
  <c r="I323" i="15"/>
  <c r="I324" i="15"/>
  <c r="I325" i="15"/>
  <c r="I326" i="15"/>
  <c r="I327" i="15"/>
  <c r="I328" i="15"/>
  <c r="I329" i="15"/>
  <c r="I330" i="15"/>
  <c r="I331" i="15"/>
  <c r="I332" i="15"/>
  <c r="I333" i="15"/>
  <c r="I334" i="15"/>
  <c r="I335" i="15"/>
  <c r="I336" i="15"/>
  <c r="I337" i="15"/>
  <c r="I338" i="15"/>
  <c r="I339" i="15"/>
  <c r="I340" i="15"/>
  <c r="I341" i="15"/>
  <c r="I342" i="15"/>
  <c r="I343" i="15"/>
  <c r="I344" i="15"/>
  <c r="I345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G346" i="15"/>
  <c r="F346" i="15"/>
  <c r="E346" i="15" s="1"/>
  <c r="E346" i="18"/>
  <c r="E344" i="18"/>
  <c r="G346" i="18"/>
  <c r="F346" i="18"/>
  <c r="D353" i="18"/>
  <c r="D354" i="18" l="1"/>
  <c r="F353" i="18" s="1"/>
  <c r="F354" i="18" l="1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2" i="15"/>
  <c r="K2" i="18"/>
  <c r="D354" i="15" l="1"/>
  <c r="D353" i="15"/>
  <c r="L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E224" i="18"/>
  <c r="E225" i="18"/>
  <c r="E226" i="18"/>
  <c r="E227" i="18"/>
  <c r="E228" i="18"/>
  <c r="E229" i="18"/>
  <c r="E230" i="18"/>
  <c r="E231" i="18"/>
  <c r="E232" i="18"/>
  <c r="E233" i="18"/>
  <c r="E234" i="18"/>
  <c r="E235" i="18"/>
  <c r="E236" i="18"/>
  <c r="E237" i="18"/>
  <c r="E238" i="18"/>
  <c r="E239" i="18"/>
  <c r="E240" i="18"/>
  <c r="E241" i="18"/>
  <c r="E242" i="18"/>
  <c r="E243" i="18"/>
  <c r="E244" i="18"/>
  <c r="E245" i="18"/>
  <c r="E246" i="18"/>
  <c r="E247" i="18"/>
  <c r="E248" i="18"/>
  <c r="E249" i="18"/>
  <c r="E250" i="18"/>
  <c r="E251" i="18"/>
  <c r="E252" i="18"/>
  <c r="E253" i="18"/>
  <c r="E254" i="18"/>
  <c r="E255" i="18"/>
  <c r="E256" i="18"/>
  <c r="E257" i="18"/>
  <c r="E258" i="18"/>
  <c r="E259" i="18"/>
  <c r="E260" i="18"/>
  <c r="E261" i="18"/>
  <c r="E262" i="18"/>
  <c r="E263" i="18"/>
  <c r="E264" i="18"/>
  <c r="E265" i="18"/>
  <c r="E266" i="18"/>
  <c r="E267" i="18"/>
  <c r="E268" i="18"/>
  <c r="E269" i="18"/>
  <c r="E270" i="18"/>
  <c r="E271" i="18"/>
  <c r="E272" i="18"/>
  <c r="E273" i="18"/>
  <c r="E274" i="18"/>
  <c r="E275" i="18"/>
  <c r="E276" i="18"/>
  <c r="E277" i="18"/>
  <c r="E278" i="18"/>
  <c r="E279" i="18"/>
  <c r="E280" i="18"/>
  <c r="E281" i="18"/>
  <c r="E282" i="18"/>
  <c r="E283" i="18"/>
  <c r="E284" i="18"/>
  <c r="E285" i="18"/>
  <c r="E286" i="18"/>
  <c r="E287" i="18"/>
  <c r="E288" i="18"/>
  <c r="E289" i="18"/>
  <c r="E290" i="18"/>
  <c r="E291" i="18"/>
  <c r="E292" i="18"/>
  <c r="E293" i="18"/>
  <c r="E294" i="18"/>
  <c r="E295" i="18"/>
  <c r="E296" i="18"/>
  <c r="E297" i="18"/>
  <c r="E298" i="18"/>
  <c r="E299" i="18"/>
  <c r="E300" i="18"/>
  <c r="E301" i="18"/>
  <c r="E302" i="18"/>
  <c r="E303" i="18"/>
  <c r="E304" i="18"/>
  <c r="E305" i="18"/>
  <c r="E306" i="18"/>
  <c r="E307" i="18"/>
  <c r="E308" i="18"/>
  <c r="E309" i="18"/>
  <c r="E310" i="18"/>
  <c r="E311" i="18"/>
  <c r="E312" i="18"/>
  <c r="E313" i="18"/>
  <c r="E314" i="18"/>
  <c r="E315" i="18"/>
  <c r="E316" i="18"/>
  <c r="E317" i="18"/>
  <c r="E318" i="18"/>
  <c r="E319" i="18"/>
  <c r="E320" i="18"/>
  <c r="E321" i="18"/>
  <c r="E322" i="18"/>
  <c r="E323" i="18"/>
  <c r="E324" i="18"/>
  <c r="E325" i="18"/>
  <c r="E326" i="18"/>
  <c r="E327" i="18"/>
  <c r="E328" i="18"/>
  <c r="E329" i="18"/>
  <c r="E330" i="18"/>
  <c r="E331" i="18"/>
  <c r="E332" i="18"/>
  <c r="E333" i="18"/>
  <c r="E334" i="18"/>
  <c r="E335" i="18"/>
  <c r="E336" i="18"/>
  <c r="E337" i="18"/>
  <c r="E338" i="18"/>
  <c r="E339" i="18"/>
  <c r="E340" i="18"/>
  <c r="E341" i="18"/>
  <c r="E342" i="18"/>
  <c r="E343" i="18"/>
  <c r="E2" i="18"/>
  <c r="K4" i="18" l="1"/>
  <c r="M2" i="18" l="1"/>
  <c r="L10" i="18"/>
  <c r="K10" i="18"/>
  <c r="L9" i="18"/>
  <c r="K9" i="18"/>
  <c r="L8" i="18"/>
  <c r="K8" i="18"/>
  <c r="L7" i="18"/>
  <c r="K7" i="18"/>
  <c r="L6" i="18"/>
  <c r="K6" i="18"/>
  <c r="L5" i="18"/>
  <c r="K5" i="18"/>
  <c r="L4" i="18"/>
  <c r="M4" i="18" s="1"/>
  <c r="L3" i="18"/>
  <c r="K3" i="18"/>
  <c r="M5" i="18" l="1"/>
  <c r="M9" i="18"/>
  <c r="M10" i="18"/>
  <c r="F354" i="15"/>
  <c r="F353" i="15"/>
  <c r="M6" i="18"/>
  <c r="M8" i="18"/>
  <c r="K11" i="18"/>
  <c r="M3" i="18"/>
  <c r="M7" i="18"/>
  <c r="L11" i="18"/>
  <c r="N2" i="15"/>
  <c r="M2" i="15"/>
  <c r="O2" i="15" l="1"/>
  <c r="M11" i="18"/>
  <c r="L345" i="15"/>
  <c r="N10" i="15" l="1"/>
  <c r="N9" i="15"/>
  <c r="N8" i="15"/>
  <c r="N7" i="15"/>
  <c r="N6" i="15"/>
  <c r="N5" i="15"/>
  <c r="N4" i="15"/>
  <c r="N3" i="15"/>
  <c r="M10" i="15"/>
  <c r="O10" i="15" s="1"/>
  <c r="M9" i="15"/>
  <c r="O9" i="15" s="1"/>
  <c r="M8" i="15"/>
  <c r="M7" i="15"/>
  <c r="M6" i="15"/>
  <c r="O6" i="15" s="1"/>
  <c r="M5" i="15"/>
  <c r="M4" i="15"/>
  <c r="O4" i="15" s="1"/>
  <c r="M3" i="15"/>
  <c r="O5" i="15" l="1"/>
  <c r="O3" i="15"/>
  <c r="O8" i="15"/>
  <c r="O7" i="15"/>
  <c r="M11" i="15"/>
  <c r="N11" i="15"/>
  <c r="O11" i="15" l="1"/>
  <c r="M351" i="15"/>
  <c r="M350" i="15" l="1"/>
  <c r="O351" i="15" l="1"/>
  <c r="O350" i="15"/>
</calcChain>
</file>

<file path=xl/sharedStrings.xml><?xml version="1.0" encoding="utf-8"?>
<sst xmlns="http://schemas.openxmlformats.org/spreadsheetml/2006/main" count="3539" uniqueCount="476">
  <si>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</si>
  <si>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</si>
  <si>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</si>
  <si>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</si>
  <si>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</si>
  <si>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</si>
  <si>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</si>
  <si>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</si>
  <si>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</si>
  <si>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</si>
  <si>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</si>
  <si>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</si>
  <si>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</si>
  <si>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</si>
  <si>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</si>
  <si>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</si>
  <si>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</si>
  <si>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</si>
  <si>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</si>
  <si>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</si>
  <si>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</si>
  <si>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</si>
  <si>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</si>
  <si>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</si>
  <si>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</si>
  <si>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</si>
  <si>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</si>
  <si>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</si>
  <si>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</si>
  <si>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</si>
  <si>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</si>
  <si>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</si>
  <si>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</si>
  <si>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</si>
  <si>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</si>
  <si>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</si>
  <si>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</si>
  <si>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</si>
  <si>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</si>
  <si>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</si>
  <si>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</si>
  <si>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</si>
  <si>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</si>
  <si>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</si>
  <si>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</si>
  <si>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</si>
  <si>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</si>
  <si>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</si>
  <si>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</si>
  <si>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</si>
  <si>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</si>
  <si>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</si>
  <si>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</si>
  <si>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</si>
  <si>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</si>
  <si>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</si>
  <si>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</si>
  <si>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</si>
  <si>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</si>
  <si>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</si>
  <si>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</si>
  <si>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</si>
  <si>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</si>
  <si>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</si>
  <si>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</si>
  <si>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</si>
  <si>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</si>
  <si>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</si>
  <si>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</si>
  <si>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</si>
  <si>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</si>
  <si>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</si>
  <si>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</si>
  <si>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</si>
  <si>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</si>
  <si>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</si>
  <si>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</si>
  <si>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</si>
  <si>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</si>
  <si>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</si>
  <si>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</si>
  <si>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</si>
  <si>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</si>
  <si>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</si>
  <si>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</si>
  <si>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</si>
  <si>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</si>
  <si>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</si>
  <si>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</si>
  <si>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</si>
  <si>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</si>
  <si>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</si>
  <si>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</si>
  <si>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</si>
  <si>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</si>
  <si>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</si>
  <si>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</si>
  <si>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</si>
  <si>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</si>
  <si>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</si>
  <si>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</si>
  <si>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</si>
  <si>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</si>
  <si>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</si>
  <si>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</si>
  <si>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</si>
  <si>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</si>
  <si>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</si>
  <si>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</si>
  <si>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</si>
  <si>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</si>
  <si>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</si>
  <si>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</si>
  <si>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</si>
  <si>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</si>
  <si>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</si>
  <si>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</si>
  <si>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</si>
  <si>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</si>
  <si>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</si>
  <si>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</si>
  <si>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</si>
  <si>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</si>
  <si>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</si>
  <si>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</si>
  <si>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</si>
  <si>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</si>
  <si>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</si>
  <si>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</si>
  <si>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</si>
  <si>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</si>
  <si>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</si>
  <si>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</si>
  <si>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</si>
  <si>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</si>
  <si>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</si>
  <si>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</si>
  <si>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</si>
  <si>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</si>
  <si>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</si>
  <si>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</si>
  <si>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</si>
  <si>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</si>
  <si>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</si>
  <si>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</si>
  <si>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</si>
  <si>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</si>
  <si>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</si>
  <si>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</si>
  <si>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</si>
  <si>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</si>
  <si>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</si>
  <si>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</si>
  <si>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</si>
  <si>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</si>
  <si>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</si>
  <si>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</si>
  <si>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</si>
  <si>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</si>
  <si>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</si>
  <si>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</si>
  <si>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</si>
  <si>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</si>
  <si>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</si>
  <si>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</si>
  <si>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</si>
  <si>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</si>
  <si>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</si>
  <si>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</si>
  <si>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</si>
  <si>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</si>
  <si>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</si>
  <si>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</si>
  <si>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</si>
  <si>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</si>
  <si>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</si>
  <si>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</si>
  <si>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</si>
  <si>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</si>
  <si>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</si>
  <si>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</si>
  <si>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</si>
  <si>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</si>
  <si>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</si>
  <si>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</si>
  <si>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</si>
  <si>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</si>
  <si>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</si>
  <si>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</si>
  <si>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</si>
  <si>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</si>
  <si>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</si>
  <si>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</si>
  <si>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</si>
  <si>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</si>
  <si>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</si>
  <si>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</si>
  <si>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</si>
  <si>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</si>
  <si>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</si>
  <si>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</si>
  <si>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</si>
  <si>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</si>
  <si>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</si>
  <si>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</si>
  <si>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</si>
  <si>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</si>
  <si>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</si>
  <si>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</si>
  <si>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</si>
  <si>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</si>
  <si>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</si>
  <si>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</si>
  <si>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</si>
  <si>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</si>
  <si>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</si>
  <si>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</si>
  <si>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</si>
  <si>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</si>
  <si>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</si>
  <si>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</si>
  <si>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</si>
  <si>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</si>
  <si>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</si>
  <si>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</si>
  <si>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</si>
  <si>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</si>
  <si>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</si>
  <si>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</si>
  <si>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</si>
  <si>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</si>
  <si>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</si>
  <si>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</si>
  <si>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</si>
  <si>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</si>
  <si>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</si>
  <si>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</si>
  <si>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</si>
  <si>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</si>
  <si>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</si>
  <si>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</si>
  <si>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</si>
  <si>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</si>
  <si>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</si>
  <si>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</si>
  <si>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</si>
  <si>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</si>
  <si>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</si>
  <si>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</si>
  <si>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</si>
  <si>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</si>
  <si>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</si>
  <si>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</si>
  <si>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</si>
  <si>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</si>
  <si>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</si>
  <si>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</si>
  <si>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</si>
  <si>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</si>
  <si>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</si>
  <si>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</si>
  <si>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</si>
  <si>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</si>
  <si>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</si>
  <si>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</si>
  <si>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</si>
  <si>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</si>
  <si>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</si>
  <si>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</si>
  <si>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</si>
  <si>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</si>
  <si>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</si>
  <si>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</si>
  <si>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</si>
  <si>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</si>
  <si>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</si>
  <si>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</si>
  <si>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</si>
  <si>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</si>
  <si>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</si>
  <si>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</si>
  <si>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</si>
  <si>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</si>
  <si>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</si>
  <si>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</si>
  <si>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</si>
  <si>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</si>
  <si>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</si>
  <si>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</si>
  <si>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</si>
  <si>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</si>
  <si>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</si>
  <si>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</si>
  <si>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</si>
  <si>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</si>
  <si>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</si>
  <si>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</si>
  <si>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</si>
  <si>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</si>
  <si>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</si>
  <si>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</si>
  <si>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</si>
  <si>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</si>
  <si>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</si>
  <si>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</si>
  <si>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</si>
  <si>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</si>
  <si>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Promedio</t>
  </si>
  <si>
    <t>Min</t>
  </si>
  <si>
    <t>Max</t>
  </si>
  <si>
    <t>Obs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</si>
  <si>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</si>
  <si>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</si>
  <si>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</si>
  <si>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</si>
  <si>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</si>
  <si>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</si>
  <si>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</si>
  <si>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</si>
  <si>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</si>
  <si>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</si>
  <si>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</si>
  <si>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</si>
  <si>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</si>
  <si>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</si>
  <si>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</si>
  <si>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</si>
  <si>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</si>
  <si>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</si>
  <si>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</si>
  <si>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</si>
  <si>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</si>
  <si>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</si>
  <si>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</si>
  <si>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</si>
  <si>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</si>
  <si>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</si>
  <si>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</si>
  <si>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</si>
  <si>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</si>
  <si>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</si>
  <si>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</si>
  <si>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</si>
  <si>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</si>
  <si>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</si>
  <si>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</si>
  <si>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</si>
  <si>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</si>
  <si>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</si>
  <si>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</si>
  <si>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</si>
  <si>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</si>
  <si>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</si>
  <si>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</si>
  <si>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</si>
  <si>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</si>
  <si>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</si>
  <si>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</si>
  <si>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</si>
  <si>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</si>
  <si>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</si>
  <si>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</si>
  <si>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</si>
  <si>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</si>
  <si>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</si>
  <si>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</si>
  <si>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</si>
  <si>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</si>
  <si>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</si>
  <si>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</si>
  <si>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</si>
  <si>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</si>
  <si>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</si>
  <si>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</si>
  <si>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</si>
  <si>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</si>
  <si>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</si>
  <si>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</si>
  <si>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</si>
  <si>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</si>
  <si>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</si>
  <si>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</si>
  <si>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</si>
  <si>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</si>
  <si>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</si>
  <si>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</si>
  <si>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</si>
  <si>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</si>
  <si>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</si>
  <si>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</si>
  <si>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</si>
  <si>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</si>
  <si>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</si>
  <si>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</si>
  <si>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</si>
  <si>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</si>
  <si>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</si>
  <si>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</si>
  <si>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</si>
  <si>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</si>
  <si>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</si>
  <si>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</si>
  <si>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</si>
  <si>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</si>
  <si>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</si>
  <si>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</si>
  <si>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</si>
  <si>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</si>
  <si>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</si>
  <si>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</si>
  <si>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</si>
  <si>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</si>
  <si>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</si>
  <si>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</si>
  <si>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</si>
  <si>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</si>
  <si>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</si>
  <si>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</si>
  <si>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</si>
  <si>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</si>
  <si>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</si>
  <si>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</si>
  <si>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</si>
  <si>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</si>
  <si>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</si>
  <si>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</si>
  <si>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</si>
  <si>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</si>
  <si>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</si>
  <si>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</si>
  <si>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</si>
  <si>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</si>
  <si>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</si>
  <si>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</si>
  <si>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</si>
  <si>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</si>
  <si>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</si>
  <si>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</si>
  <si>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</si>
  <si>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</si>
  <si>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</si>
  <si>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</si>
  <si>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</si>
  <si>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</si>
  <si>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Desv.Est.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</si>
  <si>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</si>
  <si>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</si>
  <si>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</si>
  <si>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</si>
  <si>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</si>
  <si>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</si>
  <si>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</si>
  <si>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</si>
  <si>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</si>
  <si>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</si>
  <si>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Número de niños fallecidos antes de cumplir 1 año 2012</t>
  </si>
  <si>
    <t>INFANTIL Número de niños fallecidos antes de cumplir 1 año 2012</t>
  </si>
  <si>
    <t>INFANTIL Número de niños fallecidos antes de cumplir 1 año 2024</t>
  </si>
  <si>
    <t>NIÑEZ Número de niños fallecidos antes de cumplir 5 años 2024</t>
  </si>
  <si>
    <t>NIÑEZ Número de niños fallecidos antes de cumplir 5 años 2012</t>
  </si>
  <si>
    <t>Número de niños fallecidos antes de cumplir 1 año 2024</t>
  </si>
  <si>
    <t>CENSO NACIDOS VIVOS (CENSO)</t>
  </si>
  <si>
    <t>Número de niños fallecidos antes de cumplir 1 año 2012 (CENSO)</t>
  </si>
  <si>
    <t>Tasa de mortalidad infantil (&lt; 1 año) (por 1,000 nacidos vivos) 2012 (CENSO)</t>
  </si>
  <si>
    <t>Tasa de mortalidad infantil (&lt; 1 año) (por 1,000 nacidos vivos) 2024</t>
  </si>
  <si>
    <t>NACIDOS VIVOS 2012</t>
  </si>
  <si>
    <t>Tasa de mortalidad infantil (&lt; 1 año) (por 1,000 nacidos vivos) 2012</t>
  </si>
  <si>
    <t xml:space="preserve">Tasa de mortalidad infantil (&lt; 1 año) (por 1,000 nacidos vivos) </t>
  </si>
  <si>
    <t>Número de niños fallecidos antes de cumplir 1 año (2019-2023) (CENSO)</t>
  </si>
  <si>
    <t>Número de niños fallecidos antes de cumplir 1 año (CENSO) PROMEDIO</t>
  </si>
  <si>
    <t>CENSO NACIDOS VIVOS (CENSO)(2019-2023)</t>
  </si>
  <si>
    <t>CENSO NACIDOS VIVOS (CENSO) PROMEDIO</t>
  </si>
  <si>
    <t>NACIDOS VIVOS (2019-2023)</t>
  </si>
  <si>
    <t>Número de niños fallecidos antes de cumplir 1 año (2019-2023)</t>
  </si>
  <si>
    <t>Tasa de mortalidad infantil (&lt; 1 año) (por 1,000 nacidos vivos) 2019-2023</t>
  </si>
  <si>
    <t>Tasa de mortalidad infantil (&lt; 1 año) (por 1,000 nacidos vivos) 2019-2023 (CENSO)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</si>
</sst>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0.0"/>
    <numFmt numFmtId="167" formatCode="_(* #,##0.0_);_(* \(#,##0.0\);_(* &quot;-&quot;??_);_(@_)"/>
    <numFmt numFmtId="168" formatCode="_-* #,##0_-;\-* #,##0_-;_-* &quot;-&quot;??_-;_-@_-"/>
  </numFmts>
  <fonts count="24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3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2" fillId="0" borderId="0"/>
    <xf numFmtId="0" fontId="19" fillId="0" borderId="0"/>
    <xf numFmtId="0" fontId="2" fillId="0" borderId="0"/>
    <xf numFmtId="0" fontId="21" fillId="0" borderId="0"/>
    <xf numFmtId="0" fontId="1" fillId="0" borderId="0"/>
    <xf numFmtId="0" fontId="1" fillId="0" borderId="0"/>
    <xf numFmtId="0" fontId="1" fillId="0" borderId="0"/>
    <xf numFmtId="164" fontId="23" fillId="0" borderId="0" applyFont="0" applyFill="0" applyBorder="0" applyAlignment="0" applyProtection="0"/>
  </cellStyleXfs>
  <cellXfs count="79">
    <xf numFmtId="0" fontId="0" fillId="0" borderId="0" xfId="0"/>
    <xf numFmtId="0" fontId="4" fillId="0" borderId="1" xfId="0" applyFont="1" applyBorder="1" applyAlignment="1">
      <alignment wrapText="1"/>
    </xf>
    <xf numFmtId="0" fontId="5" fillId="0" borderId="0" xfId="0" applyFont="1" applyAlignment="1">
      <alignment vertical="top" wrapText="1"/>
    </xf>
    <xf numFmtId="166" fontId="5" fillId="0" borderId="1" xfId="0" applyNumberFormat="1" applyFont="1" applyBorder="1"/>
    <xf numFmtId="165" fontId="6" fillId="0" borderId="1" xfId="0" applyNumberFormat="1" applyFont="1" applyBorder="1" applyAlignment="1">
      <alignment horizontal="right" vertical="top"/>
    </xf>
    <xf numFmtId="165" fontId="5" fillId="0" borderId="0" xfId="0" applyNumberFormat="1" applyFont="1"/>
    <xf numFmtId="0" fontId="7" fillId="0" borderId="0" xfId="0" applyFont="1"/>
    <xf numFmtId="0" fontId="5" fillId="0" borderId="0" xfId="0" applyFont="1"/>
    <xf numFmtId="166" fontId="5" fillId="0" borderId="0" xfId="0" applyNumberFormat="1" applyFont="1"/>
    <xf numFmtId="165" fontId="6" fillId="0" borderId="0" xfId="0" applyNumberFormat="1" applyFont="1" applyAlignment="1">
      <alignment horizontal="right" vertical="top"/>
    </xf>
    <xf numFmtId="2" fontId="5" fillId="0" borderId="1" xfId="0" applyNumberFormat="1" applyFont="1" applyBorder="1"/>
    <xf numFmtId="165" fontId="5" fillId="0" borderId="2" xfId="0" applyNumberFormat="1" applyFont="1" applyBorder="1"/>
    <xf numFmtId="165" fontId="5" fillId="0" borderId="3" xfId="0" applyNumberFormat="1" applyFont="1" applyBorder="1"/>
    <xf numFmtId="165" fontId="5" fillId="0" borderId="4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5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5" fillId="0" borderId="2" xfId="0" applyFont="1" applyBorder="1"/>
    <xf numFmtId="0" fontId="11" fillId="0" borderId="2" xfId="0" applyFont="1" applyBorder="1"/>
    <xf numFmtId="0" fontId="11" fillId="0" borderId="0" xfId="0" applyFont="1"/>
    <xf numFmtId="1" fontId="5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0" xfId="3"/>
    <xf numFmtId="0" fontId="5" fillId="7" borderId="2" xfId="1" applyFont="1" applyFill="1" applyBorder="1"/>
    <xf numFmtId="2" fontId="0" fillId="0" borderId="0" xfId="0" applyNumberFormat="1"/>
    <xf numFmtId="0" fontId="5" fillId="0" borderId="2" xfId="1" applyFont="1" applyBorder="1" applyAlignment="1">
      <alignment horizontal="center" vertical="center"/>
    </xf>
    <xf numFmtId="0" fontId="5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165" fontId="6" fillId="0" borderId="6" xfId="0" applyNumberFormat="1" applyFont="1" applyBorder="1" applyAlignment="1">
      <alignment horizontal="right" vertical="top"/>
    </xf>
    <xf numFmtId="2" fontId="5" fillId="0" borderId="0" xfId="0" applyNumberFormat="1" applyFont="1"/>
    <xf numFmtId="2" fontId="5" fillId="0" borderId="7" xfId="0" applyNumberFormat="1" applyFont="1" applyBorder="1"/>
    <xf numFmtId="165" fontId="6" fillId="0" borderId="7" xfId="0" applyNumberFormat="1" applyFont="1" applyBorder="1" applyAlignment="1">
      <alignment horizontal="right" vertical="top"/>
    </xf>
    <xf numFmtId="43" fontId="22" fillId="8" borderId="1" xfId="0" applyNumberFormat="1" applyFont="1" applyFill="1" applyBorder="1"/>
    <xf numFmtId="165" fontId="0" fillId="0" borderId="0" xfId="0" applyNumberFormat="1"/>
    <xf numFmtId="168" fontId="12" fillId="0" borderId="2" xfId="16" applyNumberFormat="1" applyFont="1" applyBorder="1"/>
    <xf numFmtId="2" fontId="12" fillId="0" borderId="7" xfId="2" applyNumberFormat="1" applyBorder="1"/>
    <xf numFmtId="165" fontId="6" fillId="0" borderId="3" xfId="0" applyNumberFormat="1" applyFont="1" applyBorder="1" applyAlignment="1">
      <alignment horizontal="right" vertical="top"/>
    </xf>
    <xf numFmtId="0" fontId="4" fillId="0" borderId="0" xfId="0" applyFont="1" applyAlignment="1">
      <alignment vertical="top" wrapText="1"/>
    </xf>
    <xf numFmtId="0" fontId="4" fillId="0" borderId="10" xfId="0" applyFont="1" applyBorder="1" applyAlignment="1">
      <alignment vertical="top" wrapText="1"/>
    </xf>
    <xf numFmtId="165" fontId="5" fillId="0" borderId="10" xfId="0" applyNumberFormat="1" applyFont="1" applyBorder="1"/>
    <xf numFmtId="165" fontId="6" fillId="0" borderId="10" xfId="0" applyNumberFormat="1" applyFont="1" applyBorder="1" applyAlignment="1">
      <alignment horizontal="right" vertical="top"/>
    </xf>
    <xf numFmtId="1" fontId="22" fillId="8" borderId="8" xfId="0" applyNumberFormat="1" applyFont="1" applyFill="1" applyBorder="1"/>
    <xf numFmtId="1" fontId="22" fillId="8" borderId="1" xfId="0" applyNumberFormat="1" applyFont="1" applyFill="1" applyBorder="1"/>
    <xf numFmtId="2" fontId="22" fillId="8" borderId="11" xfId="0" applyNumberFormat="1" applyFont="1" applyFill="1" applyBorder="1"/>
    <xf numFmtId="167" fontId="5" fillId="0" borderId="10" xfId="0" applyNumberFormat="1" applyFont="1" applyBorder="1"/>
    <xf numFmtId="165" fontId="6" fillId="0" borderId="4" xfId="0" applyNumberFormat="1" applyFont="1" applyBorder="1" applyAlignment="1">
      <alignment horizontal="right" vertical="top"/>
    </xf>
    <xf numFmtId="165" fontId="5" fillId="0" borderId="13" xfId="0" applyNumberFormat="1" applyFont="1" applyBorder="1"/>
    <xf numFmtId="165" fontId="6" fillId="0" borderId="13" xfId="0" applyNumberFormat="1" applyFont="1" applyBorder="1" applyAlignment="1">
      <alignment horizontal="right" vertical="top"/>
    </xf>
    <xf numFmtId="165" fontId="5" fillId="0" borderId="12" xfId="0" applyNumberFormat="1" applyFont="1" applyBorder="1"/>
    <xf numFmtId="165" fontId="6" fillId="0" borderId="5" xfId="0" applyNumberFormat="1" applyFont="1" applyBorder="1" applyAlignment="1">
      <alignment horizontal="right" vertical="top"/>
    </xf>
    <xf numFmtId="166" fontId="22" fillId="8" borderId="11" xfId="0" applyNumberFormat="1" applyFont="1" applyFill="1" applyBorder="1"/>
    <xf numFmtId="49" fontId="4" fillId="0" borderId="2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1" fontId="5" fillId="0" borderId="0" xfId="0" applyNumberFormat="1" applyFont="1"/>
    <xf numFmtId="0" fontId="14" fillId="0" borderId="2" xfId="2" applyFont="1" applyBorder="1" applyAlignment="1">
      <alignment horizontal="center" vertical="center" wrapText="1"/>
    </xf>
    <xf numFmtId="0" fontId="14" fillId="0" borderId="2" xfId="2" applyFont="1" applyBorder="1"/>
    <xf numFmtId="3" fontId="20" fillId="0" borderId="0" xfId="13" applyNumberFormat="1" applyFont="1" applyAlignment="1">
      <alignment horizontal="right" vertical="center"/>
    </xf>
    <xf numFmtId="0" fontId="0" fillId="0" borderId="2" xfId="0" applyBorder="1" applyAlignment="1">
      <alignment horizontal="center" vertical="center"/>
    </xf>
    <xf numFmtId="43" fontId="5" fillId="0" borderId="0" xfId="0" applyNumberFormat="1" applyFont="1"/>
    <xf numFmtId="2" fontId="12" fillId="0" borderId="0" xfId="2" applyNumberFormat="1"/>
    <xf numFmtId="165" fontId="6" fillId="0" borderId="2" xfId="0" applyNumberFormat="1" applyFont="1" applyBorder="1" applyAlignment="1">
      <alignment horizontal="right" vertical="top"/>
    </xf>
  </cellXfs>
  <cellStyles count="17">
    <cellStyle name="Hipervínculo 2" xfId="8" xr:uid="{28FC412C-CE92-4F59-B2C7-968D802DCB91}"/>
    <cellStyle name="Millares" xfId="16" builtinId="3"/>
    <cellStyle name="Normal" xfId="0" builtinId="0"/>
    <cellStyle name="Normal 10" xfId="7" xr:uid="{D7BC16D8-A936-4593-9B51-BBE6068CEA82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4" xr:uid="{E7714125-BC9D-41B7-82F2-06ECCDD843C5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3" xfId="15" xr:uid="{9D4CE4AC-51D8-4EAF-9EF0-F4A340D2E083}"/>
    <cellStyle name="Normal 6" xfId="6" xr:uid="{C05B27E9-85B9-40FB-B5E7-238EF8AF6B6F}"/>
    <cellStyle name="Normal 7" xfId="12" xr:uid="{0A46CF35-032E-4790-812F-3F28A6CA4680}"/>
    <cellStyle name="Normal 8" xfId="13" xr:uid="{A6DE85BF-7A24-4497-9C8E-89DA7429C2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114301</xdr:colOff>
      <xdr:row>0</xdr:row>
      <xdr:rowOff>0</xdr:rowOff>
    </xdr:from>
    <xdr:to>
      <xdr:col>7</xdr:col>
      <xdr:colOff>590551</xdr:colOff>
      <xdr:row>23</xdr:row>
      <xdr:rowOff>112216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DF8DCD6-6077-EF09-5726-8170F7778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6343650" cy="4284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B7A0-2305-4EF6-8262-2B6B8401678D}">
  <sheetPr>
    <tabColor rgb="FFC00000"/>
  </sheetPr>
  <dimension ref="A1:AB1011"/>
  <sheetViews>
    <sheetView zoomScale="70" zoomScaleNormal="70" workbookViewId="0">
      <selection activeCell="G8" sqref="G8"/>
    </sheetView>
  </sheetViews>
  <sheetFormatPr baseColWidth="10" defaultColWidth="12.59765625" defaultRowHeight="15" customHeight="1" x14ac:dyDescent="0.25"/>
  <cols>
    <col min="1" max="1" width="12.59765625" style="18"/>
    <col min="2" max="2" width="14.09765625" customWidth="1"/>
    <col min="3" max="3" width="9.3984375" customWidth="1"/>
    <col min="4" max="4" width="11.69921875" customWidth="1"/>
    <col min="5" max="5" width="23.3984375" customWidth="1"/>
    <col min="6" max="6" width="20" customWidth="1"/>
    <col min="7" max="7" width="18.3984375" customWidth="1"/>
    <col min="8" max="8" width="14.69921875" customWidth="1"/>
    <col min="9" max="9" width="9.3984375" customWidth="1"/>
    <col min="10" max="10" width="13.69921875" customWidth="1"/>
    <col min="11" max="11" width="19.69921875" customWidth="1"/>
    <col min="12" max="12" width="14.09765625" customWidth="1"/>
    <col min="13" max="13" width="20" customWidth="1"/>
    <col min="14" max="28" width="9.3984375" customWidth="1"/>
  </cols>
  <sheetData>
    <row r="1" spans="1:28" ht="60.75" customHeight="1" x14ac:dyDescent="0.25">
      <c r="A1" s="62" t="s">
        <v>306</v>
      </c>
      <c r="B1" s="63" t="s">
        <v>342</v>
      </c>
      <c r="C1" s="63" t="s">
        <v>343</v>
      </c>
      <c r="D1" s="63" t="s">
        <v>344</v>
      </c>
      <c r="E1" s="63" t="s">
        <v>463</v>
      </c>
      <c r="F1" s="63" t="s">
        <v>462</v>
      </c>
      <c r="G1" s="64" t="s">
        <v>461</v>
      </c>
      <c r="H1" s="49"/>
      <c r="I1" s="2"/>
      <c r="J1" s="69" t="s">
        <v>3</v>
      </c>
      <c r="K1" s="69" t="s">
        <v>455</v>
      </c>
      <c r="L1" s="69" t="s">
        <v>465</v>
      </c>
      <c r="M1" s="70" t="s">
        <v>466</v>
      </c>
      <c r="N1" s="49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4.4" x14ac:dyDescent="0.3">
      <c r="A2" s="36">
        <v>10101</v>
      </c>
      <c r="B2" s="17" t="s">
        <v>27</v>
      </c>
      <c r="C2" s="17" t="s">
        <v>345</v>
      </c>
      <c r="D2" s="17" t="s">
        <v>11</v>
      </c>
      <c r="E2" s="10">
        <f>(F2/G2)*1000</f>
        <v>20.845624385447394</v>
      </c>
      <c r="F2" s="4">
        <v>106</v>
      </c>
      <c r="G2" s="12">
        <v>5085</v>
      </c>
      <c r="H2" s="50"/>
      <c r="J2" s="14" t="s">
        <v>27</v>
      </c>
      <c r="K2" s="52">
        <f>SUM(F2:F30)</f>
        <v>287</v>
      </c>
      <c r="L2" s="52">
        <f>SUM(G2:G30)</f>
        <v>11573</v>
      </c>
      <c r="M2" s="54">
        <f>(K2/L2)*1000</f>
        <v>24.799101356605895</v>
      </c>
      <c r="N2" s="55"/>
    </row>
    <row r="3" spans="1:28" ht="14.4" x14ac:dyDescent="0.3">
      <c r="A3" s="36">
        <v>10102</v>
      </c>
      <c r="B3" s="17" t="s">
        <v>27</v>
      </c>
      <c r="C3" s="17" t="s">
        <v>345</v>
      </c>
      <c r="D3" s="17" t="s">
        <v>39</v>
      </c>
      <c r="E3" s="10">
        <f t="shared" ref="E3:E66" si="0">(F3/G3)*1000</f>
        <v>23.668639053254438</v>
      </c>
      <c r="F3" s="4">
        <v>4</v>
      </c>
      <c r="G3" s="12">
        <v>169</v>
      </c>
      <c r="H3" s="50"/>
      <c r="J3" s="14" t="s">
        <v>43</v>
      </c>
      <c r="K3" s="53">
        <f>+SUM(F31:F117)</f>
        <v>1725</v>
      </c>
      <c r="L3" s="53">
        <f>+SUM(G31:G117)</f>
        <v>54260</v>
      </c>
      <c r="M3" s="54">
        <f t="shared" ref="M3:M10" si="1">(K3/L3)*1000</f>
        <v>31.791374861776632</v>
      </c>
      <c r="N3" s="55"/>
    </row>
    <row r="4" spans="1:28" ht="14.4" x14ac:dyDescent="0.3">
      <c r="A4" s="36">
        <v>10103</v>
      </c>
      <c r="B4" s="17" t="s">
        <v>27</v>
      </c>
      <c r="C4" s="17" t="s">
        <v>345</v>
      </c>
      <c r="D4" s="17" t="s">
        <v>18</v>
      </c>
      <c r="E4" s="10">
        <f t="shared" si="0"/>
        <v>34.063260340632603</v>
      </c>
      <c r="F4" s="4">
        <v>14</v>
      </c>
      <c r="G4" s="12">
        <v>411</v>
      </c>
      <c r="H4" s="50"/>
      <c r="J4" s="14" t="s">
        <v>51</v>
      </c>
      <c r="K4" s="53">
        <f>+SUM(F118:F165)</f>
        <v>924</v>
      </c>
      <c r="L4" s="53">
        <f>+SUM(G118:G165)</f>
        <v>38487</v>
      </c>
      <c r="M4" s="54">
        <f t="shared" si="1"/>
        <v>24.008106633408683</v>
      </c>
      <c r="N4" s="55"/>
    </row>
    <row r="5" spans="1:28" ht="14.4" x14ac:dyDescent="0.3">
      <c r="A5" s="36">
        <v>10201</v>
      </c>
      <c r="B5" s="17" t="s">
        <v>27</v>
      </c>
      <c r="C5" s="17" t="s">
        <v>31</v>
      </c>
      <c r="D5" s="17" t="s">
        <v>311</v>
      </c>
      <c r="E5" s="10">
        <f t="shared" si="0"/>
        <v>26.200873362445414</v>
      </c>
      <c r="F5" s="4">
        <v>6</v>
      </c>
      <c r="G5" s="12">
        <v>229</v>
      </c>
      <c r="H5" s="50"/>
      <c r="J5" s="14" t="s">
        <v>57</v>
      </c>
      <c r="K5" s="53">
        <f>+SUM(F166:F200)</f>
        <v>210</v>
      </c>
      <c r="L5" s="53">
        <f>+SUM(G166:G200)</f>
        <v>10072</v>
      </c>
      <c r="M5" s="54">
        <f t="shared" si="1"/>
        <v>20.849880857823671</v>
      </c>
      <c r="N5" s="55"/>
    </row>
    <row r="6" spans="1:28" ht="14.4" x14ac:dyDescent="0.3">
      <c r="A6" s="36">
        <v>10202</v>
      </c>
      <c r="B6" s="17" t="s">
        <v>27</v>
      </c>
      <c r="C6" s="17" t="s">
        <v>31</v>
      </c>
      <c r="D6" s="17" t="s">
        <v>65</v>
      </c>
      <c r="E6" s="10">
        <f t="shared" si="0"/>
        <v>21.582733812949641</v>
      </c>
      <c r="F6" s="4">
        <v>6</v>
      </c>
      <c r="G6" s="12">
        <v>278</v>
      </c>
      <c r="H6" s="50"/>
      <c r="J6" s="14" t="s">
        <v>68</v>
      </c>
      <c r="K6" s="53">
        <f>+SUM(F201:F242)</f>
        <v>874</v>
      </c>
      <c r="L6" s="53">
        <f>+SUM(G201:G242)</f>
        <v>19737</v>
      </c>
      <c r="M6" s="54">
        <f t="shared" si="1"/>
        <v>44.2823124081674</v>
      </c>
      <c r="N6" s="55"/>
    </row>
    <row r="7" spans="1:28" ht="14.4" x14ac:dyDescent="0.3">
      <c r="A7" s="36">
        <v>10301</v>
      </c>
      <c r="B7" s="17" t="s">
        <v>27</v>
      </c>
      <c r="C7" s="17" t="s">
        <v>346</v>
      </c>
      <c r="D7" s="17" t="s">
        <v>72</v>
      </c>
      <c r="E7" s="10">
        <f t="shared" si="0"/>
        <v>36.199095022624441</v>
      </c>
      <c r="F7" s="4">
        <v>8</v>
      </c>
      <c r="G7" s="12">
        <v>221</v>
      </c>
      <c r="H7" s="50"/>
      <c r="J7" s="14" t="s">
        <v>76</v>
      </c>
      <c r="K7" s="53">
        <f>+SUM(F243:F253)</f>
        <v>157</v>
      </c>
      <c r="L7" s="53">
        <f>+SUM(G243:G253)</f>
        <v>9314</v>
      </c>
      <c r="M7" s="54">
        <f t="shared" si="1"/>
        <v>16.856345286665235</v>
      </c>
      <c r="N7" s="55"/>
    </row>
    <row r="8" spans="1:28" ht="14.4" x14ac:dyDescent="0.3">
      <c r="A8" s="36">
        <v>10302</v>
      </c>
      <c r="B8" s="17" t="s">
        <v>27</v>
      </c>
      <c r="C8" s="17" t="s">
        <v>346</v>
      </c>
      <c r="D8" s="17" t="s">
        <v>80</v>
      </c>
      <c r="E8" s="10">
        <f t="shared" si="0"/>
        <v>58.18181818181818</v>
      </c>
      <c r="F8" s="4">
        <v>16</v>
      </c>
      <c r="G8" s="12">
        <v>275</v>
      </c>
      <c r="H8" s="50"/>
      <c r="J8" s="14" t="s">
        <v>85</v>
      </c>
      <c r="K8" s="53">
        <f>+SUM(F254:F309)</f>
        <v>965</v>
      </c>
      <c r="L8" s="53">
        <f>+SUM(G254:G309)</f>
        <v>62306</v>
      </c>
      <c r="M8" s="54">
        <f t="shared" si="1"/>
        <v>15.488074984752673</v>
      </c>
      <c r="N8" s="55"/>
    </row>
    <row r="9" spans="1:28" ht="14.4" x14ac:dyDescent="0.3">
      <c r="A9" s="36">
        <v>10303</v>
      </c>
      <c r="B9" s="17" t="s">
        <v>27</v>
      </c>
      <c r="C9" s="17" t="s">
        <v>346</v>
      </c>
      <c r="D9" s="17" t="s">
        <v>312</v>
      </c>
      <c r="E9" s="10">
        <f t="shared" si="0"/>
        <v>53.030303030303031</v>
      </c>
      <c r="F9" s="4">
        <v>7</v>
      </c>
      <c r="G9" s="12">
        <v>132</v>
      </c>
      <c r="H9" s="50"/>
      <c r="J9" s="14" t="s">
        <v>92</v>
      </c>
      <c r="K9" s="53">
        <f>+SUM(F310:F329)</f>
        <v>335.5</v>
      </c>
      <c r="L9" s="53">
        <f>+SUM(G310:G329)</f>
        <v>12589.5</v>
      </c>
      <c r="M9" s="54">
        <f t="shared" si="1"/>
        <v>26.649191786806465</v>
      </c>
      <c r="N9" s="55"/>
    </row>
    <row r="10" spans="1:28" ht="14.4" x14ac:dyDescent="0.3">
      <c r="A10" s="36">
        <v>10304</v>
      </c>
      <c r="B10" s="17" t="s">
        <v>27</v>
      </c>
      <c r="C10" s="17" t="s">
        <v>346</v>
      </c>
      <c r="D10" s="17" t="s">
        <v>99</v>
      </c>
      <c r="E10" s="10">
        <f t="shared" si="0"/>
        <v>14.388489208633095</v>
      </c>
      <c r="F10" s="4">
        <v>2</v>
      </c>
      <c r="G10" s="12">
        <v>139</v>
      </c>
      <c r="H10" s="50"/>
      <c r="J10" s="14" t="s">
        <v>102</v>
      </c>
      <c r="K10" s="53">
        <f>+SUM(F330:F344)</f>
        <v>15</v>
      </c>
      <c r="L10" s="53">
        <f>+SUM(G330:G344)</f>
        <v>3404</v>
      </c>
      <c r="M10" s="54">
        <f t="shared" si="1"/>
        <v>4.4065804935370156</v>
      </c>
      <c r="N10" s="55"/>
    </row>
    <row r="11" spans="1:28" ht="14.4" x14ac:dyDescent="0.3">
      <c r="A11" s="36">
        <v>10401</v>
      </c>
      <c r="B11" s="17" t="s">
        <v>27</v>
      </c>
      <c r="C11" s="17" t="s">
        <v>117</v>
      </c>
      <c r="D11" s="17" t="s">
        <v>106</v>
      </c>
      <c r="E11" s="10">
        <f t="shared" si="0"/>
        <v>37.634408602150536</v>
      </c>
      <c r="F11" s="4">
        <v>7</v>
      </c>
      <c r="G11" s="12">
        <v>186</v>
      </c>
      <c r="H11" s="50"/>
      <c r="J11" s="14" t="s">
        <v>109</v>
      </c>
      <c r="K11" s="43">
        <f>SUM(K2:K10)</f>
        <v>5492.5</v>
      </c>
      <c r="L11" s="11">
        <f>SUM(L2:L10)</f>
        <v>221742.5</v>
      </c>
      <c r="M11" s="54">
        <f>(K11/L11)*1000</f>
        <v>24.769721636582972</v>
      </c>
      <c r="N11" s="55"/>
    </row>
    <row r="12" spans="1:28" ht="14.4" x14ac:dyDescent="0.3">
      <c r="A12" s="36">
        <v>10402</v>
      </c>
      <c r="B12" s="17" t="s">
        <v>27</v>
      </c>
      <c r="C12" s="17" t="s">
        <v>117</v>
      </c>
      <c r="D12" s="17" t="s">
        <v>117</v>
      </c>
      <c r="E12" s="10">
        <f t="shared" si="0"/>
        <v>30.303030303030305</v>
      </c>
      <c r="F12" s="4">
        <v>6</v>
      </c>
      <c r="G12" s="12">
        <v>198</v>
      </c>
      <c r="H12" s="50"/>
    </row>
    <row r="13" spans="1:28" ht="14.4" x14ac:dyDescent="0.3">
      <c r="A13" s="36">
        <v>10403</v>
      </c>
      <c r="B13" s="17" t="s">
        <v>27</v>
      </c>
      <c r="C13" s="17" t="s">
        <v>117</v>
      </c>
      <c r="D13" s="17" t="s">
        <v>121</v>
      </c>
      <c r="E13" s="10">
        <f t="shared" si="0"/>
        <v>15.503875968992247</v>
      </c>
      <c r="F13" s="4">
        <v>2</v>
      </c>
      <c r="G13" s="12">
        <v>129</v>
      </c>
      <c r="H13" s="50"/>
      <c r="L13" s="44"/>
    </row>
    <row r="14" spans="1:28" ht="14.4" x14ac:dyDescent="0.3">
      <c r="A14" s="36">
        <v>10404</v>
      </c>
      <c r="B14" s="17" t="s">
        <v>27</v>
      </c>
      <c r="C14" s="17" t="s">
        <v>117</v>
      </c>
      <c r="D14" s="17" t="s">
        <v>84</v>
      </c>
      <c r="E14" s="10">
        <f t="shared" si="0"/>
        <v>0</v>
      </c>
      <c r="F14" s="4">
        <v>0</v>
      </c>
      <c r="G14" s="12">
        <v>64</v>
      </c>
      <c r="H14" s="50"/>
    </row>
    <row r="15" spans="1:28" ht="14.4" x14ac:dyDescent="0.3">
      <c r="A15" s="36">
        <v>10405</v>
      </c>
      <c r="B15" s="17" t="s">
        <v>27</v>
      </c>
      <c r="C15" s="17" t="s">
        <v>117</v>
      </c>
      <c r="D15" s="17" t="s">
        <v>126</v>
      </c>
      <c r="E15" s="10">
        <f t="shared" si="0"/>
        <v>28.985507246376812</v>
      </c>
      <c r="F15" s="4">
        <v>2</v>
      </c>
      <c r="G15" s="12">
        <v>69</v>
      </c>
      <c r="H15" s="50"/>
    </row>
    <row r="16" spans="1:28" ht="14.4" x14ac:dyDescent="0.3">
      <c r="A16" s="36">
        <v>10501</v>
      </c>
      <c r="B16" s="17" t="s">
        <v>27</v>
      </c>
      <c r="C16" s="17" t="s">
        <v>347</v>
      </c>
      <c r="D16" s="17" t="s">
        <v>129</v>
      </c>
      <c r="E16" s="10">
        <f t="shared" si="0"/>
        <v>35.78947368421052</v>
      </c>
      <c r="F16" s="4">
        <v>17</v>
      </c>
      <c r="G16" s="12">
        <v>475</v>
      </c>
      <c r="H16" s="50"/>
    </row>
    <row r="17" spans="1:8" ht="14.4" x14ac:dyDescent="0.3">
      <c r="A17" s="36">
        <v>10502</v>
      </c>
      <c r="B17" s="17" t="s">
        <v>27</v>
      </c>
      <c r="C17" s="17" t="s">
        <v>347</v>
      </c>
      <c r="D17" s="17" t="s">
        <v>313</v>
      </c>
      <c r="E17" s="10">
        <f t="shared" si="0"/>
        <v>12.048192771084338</v>
      </c>
      <c r="F17" s="4">
        <v>2</v>
      </c>
      <c r="G17" s="12">
        <v>166</v>
      </c>
      <c r="H17" s="50"/>
    </row>
    <row r="18" spans="1:8" ht="14.4" x14ac:dyDescent="0.3">
      <c r="A18" s="36">
        <v>10601</v>
      </c>
      <c r="B18" s="17" t="s">
        <v>27</v>
      </c>
      <c r="C18" s="17" t="s">
        <v>139</v>
      </c>
      <c r="D18" s="17" t="s">
        <v>136</v>
      </c>
      <c r="E18" s="10">
        <f t="shared" si="0"/>
        <v>42.071197411003233</v>
      </c>
      <c r="F18" s="4">
        <v>13</v>
      </c>
      <c r="G18" s="12">
        <v>309</v>
      </c>
      <c r="H18" s="50"/>
    </row>
    <row r="19" spans="1:8" ht="14.4" x14ac:dyDescent="0.3">
      <c r="A19" s="36">
        <v>10602</v>
      </c>
      <c r="B19" s="17" t="s">
        <v>27</v>
      </c>
      <c r="C19" s="17" t="s">
        <v>139</v>
      </c>
      <c r="D19" s="17" t="s">
        <v>139</v>
      </c>
      <c r="E19" s="10">
        <f t="shared" si="0"/>
        <v>13.157894736842104</v>
      </c>
      <c r="F19" s="4">
        <v>2</v>
      </c>
      <c r="G19" s="12">
        <v>152</v>
      </c>
      <c r="H19" s="50"/>
    </row>
    <row r="20" spans="1:8" ht="14.4" x14ac:dyDescent="0.3">
      <c r="A20" s="36">
        <v>10701</v>
      </c>
      <c r="B20" s="17" t="s">
        <v>27</v>
      </c>
      <c r="C20" s="17" t="s">
        <v>348</v>
      </c>
      <c r="D20" s="17" t="s">
        <v>143</v>
      </c>
      <c r="E20" s="10">
        <f t="shared" si="0"/>
        <v>10.452961672473869</v>
      </c>
      <c r="F20" s="4">
        <v>3</v>
      </c>
      <c r="G20" s="12">
        <v>287</v>
      </c>
      <c r="H20" s="50"/>
    </row>
    <row r="21" spans="1:8" ht="15.75" customHeight="1" x14ac:dyDescent="0.3">
      <c r="A21" s="36">
        <v>10702</v>
      </c>
      <c r="B21" s="17" t="s">
        <v>27</v>
      </c>
      <c r="C21" s="17" t="s">
        <v>348</v>
      </c>
      <c r="D21" s="17" t="s">
        <v>147</v>
      </c>
      <c r="E21" s="10">
        <f t="shared" si="0"/>
        <v>31.563845050215207</v>
      </c>
      <c r="F21" s="4">
        <v>22</v>
      </c>
      <c r="G21" s="12">
        <v>697</v>
      </c>
      <c r="H21" s="50"/>
    </row>
    <row r="22" spans="1:8" ht="15.75" customHeight="1" x14ac:dyDescent="0.3">
      <c r="A22" s="36">
        <v>10703</v>
      </c>
      <c r="B22" s="17" t="s">
        <v>27</v>
      </c>
      <c r="C22" s="17" t="s">
        <v>348</v>
      </c>
      <c r="D22" s="17" t="s">
        <v>87</v>
      </c>
      <c r="E22" s="10">
        <f t="shared" si="0"/>
        <v>26.470588235294116</v>
      </c>
      <c r="F22" s="4">
        <v>9</v>
      </c>
      <c r="G22" s="12">
        <v>340</v>
      </c>
      <c r="H22" s="50"/>
    </row>
    <row r="23" spans="1:8" ht="15.75" customHeight="1" x14ac:dyDescent="0.3">
      <c r="A23" s="36">
        <v>10704</v>
      </c>
      <c r="B23" s="17" t="s">
        <v>27</v>
      </c>
      <c r="C23" s="17" t="s">
        <v>348</v>
      </c>
      <c r="D23" s="17" t="s">
        <v>150</v>
      </c>
      <c r="E23" s="10">
        <f t="shared" si="0"/>
        <v>41.56479217603912</v>
      </c>
      <c r="F23" s="4">
        <v>17</v>
      </c>
      <c r="G23" s="12">
        <v>409</v>
      </c>
      <c r="H23" s="50"/>
    </row>
    <row r="24" spans="1:8" ht="15.75" customHeight="1" x14ac:dyDescent="0.3">
      <c r="A24" s="36">
        <v>10801</v>
      </c>
      <c r="B24" s="17" t="s">
        <v>27</v>
      </c>
      <c r="C24" s="17" t="s">
        <v>349</v>
      </c>
      <c r="D24" s="17" t="s">
        <v>154</v>
      </c>
      <c r="E24" s="10">
        <f t="shared" si="0"/>
        <v>5</v>
      </c>
      <c r="F24" s="4">
        <v>1</v>
      </c>
      <c r="G24" s="12">
        <v>200</v>
      </c>
      <c r="H24" s="50"/>
    </row>
    <row r="25" spans="1:8" ht="15.75" customHeight="1" x14ac:dyDescent="0.3">
      <c r="A25" s="36">
        <v>10901</v>
      </c>
      <c r="B25" s="17" t="s">
        <v>27</v>
      </c>
      <c r="C25" s="17" t="s">
        <v>350</v>
      </c>
      <c r="D25" s="17" t="s">
        <v>71</v>
      </c>
      <c r="E25" s="10">
        <f t="shared" si="0"/>
        <v>15.151515151515152</v>
      </c>
      <c r="F25" s="4">
        <v>1</v>
      </c>
      <c r="G25" s="12">
        <v>66</v>
      </c>
      <c r="H25" s="50"/>
    </row>
    <row r="26" spans="1:8" ht="15.75" customHeight="1" x14ac:dyDescent="0.3">
      <c r="A26" s="36">
        <v>10902</v>
      </c>
      <c r="B26" s="17" t="s">
        <v>27</v>
      </c>
      <c r="C26" s="17" t="s">
        <v>350</v>
      </c>
      <c r="D26" s="17" t="s">
        <v>157</v>
      </c>
      <c r="E26" s="10">
        <f t="shared" si="0"/>
        <v>17.073170731707318</v>
      </c>
      <c r="F26" s="4">
        <v>7</v>
      </c>
      <c r="G26" s="12">
        <v>410</v>
      </c>
      <c r="H26" s="50"/>
    </row>
    <row r="27" spans="1:8" ht="15.75" customHeight="1" x14ac:dyDescent="0.3">
      <c r="A27" s="36">
        <v>10903</v>
      </c>
      <c r="B27" s="17" t="s">
        <v>27</v>
      </c>
      <c r="C27" s="17" t="s">
        <v>350</v>
      </c>
      <c r="D27" s="17" t="s">
        <v>89</v>
      </c>
      <c r="E27" s="10">
        <f t="shared" si="0"/>
        <v>14.492753623188406</v>
      </c>
      <c r="F27" s="4">
        <v>1</v>
      </c>
      <c r="G27" s="12">
        <v>69</v>
      </c>
      <c r="H27" s="50"/>
    </row>
    <row r="28" spans="1:8" ht="15.75" customHeight="1" x14ac:dyDescent="0.3">
      <c r="A28" s="36">
        <v>11001</v>
      </c>
      <c r="B28" s="17" t="s">
        <v>27</v>
      </c>
      <c r="C28" s="17" t="s">
        <v>351</v>
      </c>
      <c r="D28" s="17" t="s">
        <v>352</v>
      </c>
      <c r="E28" s="10">
        <f t="shared" si="0"/>
        <v>19.417475728155338</v>
      </c>
      <c r="F28" s="4">
        <v>4</v>
      </c>
      <c r="G28" s="12">
        <v>206</v>
      </c>
      <c r="H28" s="50"/>
    </row>
    <row r="29" spans="1:8" ht="15.75" customHeight="1" x14ac:dyDescent="0.3">
      <c r="A29" s="36">
        <v>11002</v>
      </c>
      <c r="B29" s="17" t="s">
        <v>27</v>
      </c>
      <c r="C29" s="17" t="s">
        <v>351</v>
      </c>
      <c r="D29" s="17" t="s">
        <v>33</v>
      </c>
      <c r="E29" s="10">
        <f t="shared" si="0"/>
        <v>16.949152542372882</v>
      </c>
      <c r="F29" s="4">
        <v>1</v>
      </c>
      <c r="G29" s="12">
        <v>59</v>
      </c>
      <c r="H29" s="50"/>
    </row>
    <row r="30" spans="1:8" ht="15.75" customHeight="1" x14ac:dyDescent="0.3">
      <c r="A30" s="36">
        <v>11003</v>
      </c>
      <c r="B30" s="17" t="s">
        <v>27</v>
      </c>
      <c r="C30" s="17" t="s">
        <v>351</v>
      </c>
      <c r="D30" s="17" t="s">
        <v>146</v>
      </c>
      <c r="E30" s="10">
        <f t="shared" si="0"/>
        <v>6.9930069930069934</v>
      </c>
      <c r="F30" s="4">
        <v>1</v>
      </c>
      <c r="G30" s="12">
        <v>143</v>
      </c>
      <c r="H30" s="50"/>
    </row>
    <row r="31" spans="1:8" ht="15.75" customHeight="1" x14ac:dyDescent="0.3">
      <c r="A31" s="36">
        <v>20101</v>
      </c>
      <c r="B31" s="17" t="s">
        <v>43</v>
      </c>
      <c r="C31" s="17" t="s">
        <v>353</v>
      </c>
      <c r="D31" s="17" t="s">
        <v>314</v>
      </c>
      <c r="E31" s="10">
        <f t="shared" si="0"/>
        <v>31.257362758187384</v>
      </c>
      <c r="F31" s="4">
        <v>398</v>
      </c>
      <c r="G31" s="12">
        <v>12733</v>
      </c>
      <c r="H31" s="50"/>
    </row>
    <row r="32" spans="1:8" ht="15.75" customHeight="1" x14ac:dyDescent="0.3">
      <c r="A32" s="36">
        <v>20102</v>
      </c>
      <c r="B32" s="17" t="s">
        <v>43</v>
      </c>
      <c r="C32" s="17" t="s">
        <v>353</v>
      </c>
      <c r="D32" s="17" t="s">
        <v>168</v>
      </c>
      <c r="E32" s="10">
        <f t="shared" si="0"/>
        <v>61.170212765957444</v>
      </c>
      <c r="F32" s="4">
        <v>23</v>
      </c>
      <c r="G32" s="12">
        <v>376</v>
      </c>
      <c r="H32" s="50"/>
    </row>
    <row r="33" spans="1:8" ht="15.75" customHeight="1" x14ac:dyDescent="0.3">
      <c r="A33" s="36">
        <v>20103</v>
      </c>
      <c r="B33" s="17" t="s">
        <v>43</v>
      </c>
      <c r="C33" s="17" t="s">
        <v>353</v>
      </c>
      <c r="D33" s="17" t="s">
        <v>170</v>
      </c>
      <c r="E33" s="10">
        <f t="shared" si="0"/>
        <v>40</v>
      </c>
      <c r="F33" s="4">
        <v>12</v>
      </c>
      <c r="G33" s="12">
        <v>300</v>
      </c>
      <c r="H33" s="50"/>
    </row>
    <row r="34" spans="1:8" ht="15.75" customHeight="1" x14ac:dyDescent="0.3">
      <c r="A34" s="36">
        <v>20104</v>
      </c>
      <c r="B34" s="17" t="s">
        <v>43</v>
      </c>
      <c r="C34" s="17" t="s">
        <v>353</v>
      </c>
      <c r="D34" s="17" t="s">
        <v>174</v>
      </c>
      <c r="E34" s="10">
        <f t="shared" si="0"/>
        <v>52.173913043478258</v>
      </c>
      <c r="F34" s="4">
        <v>24</v>
      </c>
      <c r="G34" s="12">
        <v>460</v>
      </c>
      <c r="H34" s="50"/>
    </row>
    <row r="35" spans="1:8" ht="15.75" customHeight="1" x14ac:dyDescent="0.3">
      <c r="A35" s="36">
        <v>20105</v>
      </c>
      <c r="B35" s="17" t="s">
        <v>43</v>
      </c>
      <c r="C35" s="17" t="s">
        <v>353</v>
      </c>
      <c r="D35" s="17" t="s">
        <v>178</v>
      </c>
      <c r="E35" s="10">
        <f t="shared" si="0"/>
        <v>29.95727831614046</v>
      </c>
      <c r="F35" s="4">
        <v>575</v>
      </c>
      <c r="G35" s="12">
        <v>19194</v>
      </c>
      <c r="H35" s="50"/>
    </row>
    <row r="36" spans="1:8" ht="15.75" customHeight="1" x14ac:dyDescent="0.3">
      <c r="A36" s="36">
        <v>20201</v>
      </c>
      <c r="B36" s="17" t="s">
        <v>43</v>
      </c>
      <c r="C36" s="17" t="s">
        <v>354</v>
      </c>
      <c r="D36" s="17" t="s">
        <v>181</v>
      </c>
      <c r="E36" s="10">
        <f t="shared" si="0"/>
        <v>3.7878787878787881</v>
      </c>
      <c r="F36" s="4">
        <v>3</v>
      </c>
      <c r="G36" s="12">
        <v>792</v>
      </c>
      <c r="H36" s="50"/>
    </row>
    <row r="37" spans="1:8" ht="15.75" customHeight="1" x14ac:dyDescent="0.3">
      <c r="A37" s="36">
        <v>20202</v>
      </c>
      <c r="B37" s="17" t="s">
        <v>43</v>
      </c>
      <c r="C37" s="17" t="s">
        <v>354</v>
      </c>
      <c r="D37" s="17" t="s">
        <v>183</v>
      </c>
      <c r="E37" s="10">
        <f t="shared" si="0"/>
        <v>32.11009174311927</v>
      </c>
      <c r="F37" s="4">
        <v>7</v>
      </c>
      <c r="G37" s="12">
        <v>218</v>
      </c>
      <c r="H37" s="50"/>
    </row>
    <row r="38" spans="1:8" ht="15.75" customHeight="1" x14ac:dyDescent="0.3">
      <c r="A38" s="36">
        <v>20203</v>
      </c>
      <c r="B38" s="17" t="s">
        <v>43</v>
      </c>
      <c r="C38" s="17" t="s">
        <v>354</v>
      </c>
      <c r="D38" s="17" t="s">
        <v>159</v>
      </c>
      <c r="E38" s="10">
        <f t="shared" si="0"/>
        <v>34.482758620689651</v>
      </c>
      <c r="F38" s="4">
        <v>2</v>
      </c>
      <c r="G38" s="12">
        <v>58</v>
      </c>
      <c r="H38" s="50"/>
    </row>
    <row r="39" spans="1:8" ht="15.75" customHeight="1" x14ac:dyDescent="0.3">
      <c r="A39" s="36">
        <v>20204</v>
      </c>
      <c r="B39" s="17" t="s">
        <v>43</v>
      </c>
      <c r="C39" s="17" t="s">
        <v>354</v>
      </c>
      <c r="D39" s="17" t="s">
        <v>187</v>
      </c>
      <c r="E39" s="10">
        <f t="shared" si="0"/>
        <v>40.54054054054054</v>
      </c>
      <c r="F39" s="4">
        <v>3</v>
      </c>
      <c r="G39" s="12">
        <v>74</v>
      </c>
      <c r="H39" s="50"/>
    </row>
    <row r="40" spans="1:8" ht="15.75" customHeight="1" x14ac:dyDescent="0.3">
      <c r="A40" s="36">
        <v>20205</v>
      </c>
      <c r="B40" s="17" t="s">
        <v>43</v>
      </c>
      <c r="C40" s="17" t="s">
        <v>354</v>
      </c>
      <c r="D40" s="17" t="s">
        <v>189</v>
      </c>
      <c r="E40" s="10">
        <f t="shared" si="0"/>
        <v>40.404040404040408</v>
      </c>
      <c r="F40" s="4">
        <v>4</v>
      </c>
      <c r="G40" s="12">
        <v>99</v>
      </c>
      <c r="H40" s="50"/>
    </row>
    <row r="41" spans="1:8" ht="15.75" customHeight="1" x14ac:dyDescent="0.3">
      <c r="A41" s="36">
        <v>20206</v>
      </c>
      <c r="B41" s="17" t="s">
        <v>43</v>
      </c>
      <c r="C41" s="17" t="s">
        <v>354</v>
      </c>
      <c r="D41" s="17" t="s">
        <v>103</v>
      </c>
      <c r="E41" s="10">
        <f t="shared" si="0"/>
        <v>0</v>
      </c>
      <c r="F41" s="4">
        <v>0</v>
      </c>
      <c r="G41" s="12">
        <v>110</v>
      </c>
      <c r="H41" s="50"/>
    </row>
    <row r="42" spans="1:8" ht="15.75" customHeight="1" x14ac:dyDescent="0.3">
      <c r="A42" s="36">
        <v>20301</v>
      </c>
      <c r="B42" s="17" t="s">
        <v>43</v>
      </c>
      <c r="C42" s="17" t="s">
        <v>355</v>
      </c>
      <c r="D42" s="17" t="s">
        <v>196</v>
      </c>
      <c r="E42" s="10">
        <f t="shared" si="0"/>
        <v>11.173184357541899</v>
      </c>
      <c r="F42" s="4">
        <v>2</v>
      </c>
      <c r="G42" s="12">
        <v>179</v>
      </c>
      <c r="H42" s="50"/>
    </row>
    <row r="43" spans="1:8" ht="15.75" customHeight="1" x14ac:dyDescent="0.3">
      <c r="A43" s="36">
        <v>20302</v>
      </c>
      <c r="B43" s="17" t="s">
        <v>43</v>
      </c>
      <c r="C43" s="17" t="s">
        <v>355</v>
      </c>
      <c r="D43" s="17" t="s">
        <v>82</v>
      </c>
      <c r="E43" s="10">
        <f t="shared" si="0"/>
        <v>16</v>
      </c>
      <c r="F43" s="4">
        <v>4</v>
      </c>
      <c r="G43" s="12">
        <v>250</v>
      </c>
      <c r="H43" s="50"/>
    </row>
    <row r="44" spans="1:8" ht="15.75" customHeight="1" x14ac:dyDescent="0.3">
      <c r="A44" s="36">
        <v>20303</v>
      </c>
      <c r="B44" s="17" t="s">
        <v>43</v>
      </c>
      <c r="C44" s="17" t="s">
        <v>355</v>
      </c>
      <c r="D44" s="17" t="s">
        <v>30</v>
      </c>
      <c r="E44" s="10">
        <f t="shared" si="0"/>
        <v>0</v>
      </c>
      <c r="F44" s="4">
        <v>0</v>
      </c>
      <c r="G44" s="12">
        <v>173</v>
      </c>
      <c r="H44" s="50"/>
    </row>
    <row r="45" spans="1:8" ht="15.75" customHeight="1" x14ac:dyDescent="0.3">
      <c r="A45" s="36">
        <v>20304</v>
      </c>
      <c r="B45" s="17" t="s">
        <v>43</v>
      </c>
      <c r="C45" s="17" t="s">
        <v>355</v>
      </c>
      <c r="D45" s="17" t="s">
        <v>148</v>
      </c>
      <c r="E45" s="10">
        <f t="shared" si="0"/>
        <v>0</v>
      </c>
      <c r="F45" s="4">
        <v>0</v>
      </c>
      <c r="G45" s="12">
        <v>68</v>
      </c>
      <c r="H45" s="50"/>
    </row>
    <row r="46" spans="1:8" ht="15.75" customHeight="1" x14ac:dyDescent="0.3">
      <c r="A46" s="36">
        <v>20305</v>
      </c>
      <c r="B46" s="17" t="s">
        <v>43</v>
      </c>
      <c r="C46" s="17" t="s">
        <v>355</v>
      </c>
      <c r="D46" s="17" t="s">
        <v>93</v>
      </c>
      <c r="E46" s="10">
        <f t="shared" si="0"/>
        <v>0</v>
      </c>
      <c r="F46" s="4">
        <v>0</v>
      </c>
      <c r="G46" s="12">
        <v>62</v>
      </c>
      <c r="H46" s="50"/>
    </row>
    <row r="47" spans="1:8" ht="15.75" customHeight="1" x14ac:dyDescent="0.3">
      <c r="A47" s="36">
        <v>20306</v>
      </c>
      <c r="B47" s="17" t="s">
        <v>43</v>
      </c>
      <c r="C47" s="17" t="s">
        <v>355</v>
      </c>
      <c r="D47" s="17" t="s">
        <v>97</v>
      </c>
      <c r="E47" s="10">
        <f t="shared" si="0"/>
        <v>19.417475728155338</v>
      </c>
      <c r="F47" s="4">
        <v>2</v>
      </c>
      <c r="G47" s="12">
        <v>103</v>
      </c>
      <c r="H47" s="50"/>
    </row>
    <row r="48" spans="1:8" ht="15.75" customHeight="1" x14ac:dyDescent="0.3">
      <c r="A48" s="36">
        <v>20307</v>
      </c>
      <c r="B48" s="17" t="s">
        <v>43</v>
      </c>
      <c r="C48" s="17" t="s">
        <v>355</v>
      </c>
      <c r="D48" s="17" t="s">
        <v>12</v>
      </c>
      <c r="E48" s="10">
        <f t="shared" si="0"/>
        <v>0</v>
      </c>
      <c r="F48" s="4">
        <v>0</v>
      </c>
      <c r="G48" s="12">
        <v>13</v>
      </c>
      <c r="H48" s="50"/>
    </row>
    <row r="49" spans="1:8" ht="15.75" customHeight="1" x14ac:dyDescent="0.3">
      <c r="A49" s="36">
        <v>20308</v>
      </c>
      <c r="B49" s="17" t="s">
        <v>43</v>
      </c>
      <c r="C49" s="17" t="s">
        <v>355</v>
      </c>
      <c r="D49" s="17" t="s">
        <v>315</v>
      </c>
      <c r="E49" s="10">
        <f t="shared" si="0"/>
        <v>0</v>
      </c>
      <c r="F49" s="4">
        <v>0</v>
      </c>
      <c r="G49" s="12">
        <v>101</v>
      </c>
      <c r="H49" s="50"/>
    </row>
    <row r="50" spans="1:8" ht="15.75" customHeight="1" x14ac:dyDescent="0.3">
      <c r="A50" s="36">
        <v>20401</v>
      </c>
      <c r="B50" s="17" t="s">
        <v>43</v>
      </c>
      <c r="C50" s="17" t="s">
        <v>356</v>
      </c>
      <c r="D50" s="17" t="s">
        <v>124</v>
      </c>
      <c r="E50" s="10">
        <f t="shared" si="0"/>
        <v>38.216560509554135</v>
      </c>
      <c r="F50" s="4">
        <v>6</v>
      </c>
      <c r="G50" s="12">
        <v>157</v>
      </c>
      <c r="H50" s="50"/>
    </row>
    <row r="51" spans="1:8" ht="15.75" customHeight="1" x14ac:dyDescent="0.3">
      <c r="A51" s="36">
        <v>20402</v>
      </c>
      <c r="B51" s="17" t="s">
        <v>43</v>
      </c>
      <c r="C51" s="17" t="s">
        <v>356</v>
      </c>
      <c r="D51" s="17" t="s">
        <v>112</v>
      </c>
      <c r="E51" s="10">
        <f t="shared" si="0"/>
        <v>52.434456928838955</v>
      </c>
      <c r="F51" s="4">
        <v>14</v>
      </c>
      <c r="G51" s="12">
        <v>267</v>
      </c>
      <c r="H51" s="50"/>
    </row>
    <row r="52" spans="1:8" ht="15.75" customHeight="1" x14ac:dyDescent="0.3">
      <c r="A52" s="36">
        <v>20403</v>
      </c>
      <c r="B52" s="17" t="s">
        <v>43</v>
      </c>
      <c r="C52" s="17" t="s">
        <v>356</v>
      </c>
      <c r="D52" s="17" t="s">
        <v>316</v>
      </c>
      <c r="E52" s="10">
        <f t="shared" si="0"/>
        <v>61.135371179039296</v>
      </c>
      <c r="F52" s="4">
        <v>14</v>
      </c>
      <c r="G52" s="12">
        <v>229</v>
      </c>
      <c r="H52" s="50"/>
    </row>
    <row r="53" spans="1:8" ht="15.75" customHeight="1" x14ac:dyDescent="0.3">
      <c r="A53" s="36">
        <v>20404</v>
      </c>
      <c r="B53" s="17" t="s">
        <v>43</v>
      </c>
      <c r="C53" s="17" t="s">
        <v>356</v>
      </c>
      <c r="D53" s="17" t="s">
        <v>116</v>
      </c>
      <c r="E53" s="10">
        <f t="shared" si="0"/>
        <v>87.378640776699029</v>
      </c>
      <c r="F53" s="4">
        <v>9</v>
      </c>
      <c r="G53" s="12">
        <v>103</v>
      </c>
      <c r="H53" s="50"/>
    </row>
    <row r="54" spans="1:8" ht="15.75" customHeight="1" x14ac:dyDescent="0.3">
      <c r="A54" s="36">
        <v>20405</v>
      </c>
      <c r="B54" s="17" t="s">
        <v>43</v>
      </c>
      <c r="C54" s="17" t="s">
        <v>356</v>
      </c>
      <c r="D54" s="17" t="s">
        <v>222</v>
      </c>
      <c r="E54" s="10">
        <f t="shared" si="0"/>
        <v>33.333333333333336</v>
      </c>
      <c r="F54" s="4">
        <v>3</v>
      </c>
      <c r="G54" s="12">
        <v>90</v>
      </c>
      <c r="H54" s="50"/>
    </row>
    <row r="55" spans="1:8" ht="15.75" customHeight="1" x14ac:dyDescent="0.3">
      <c r="A55" s="36">
        <v>20501</v>
      </c>
      <c r="B55" s="17" t="s">
        <v>43</v>
      </c>
      <c r="C55" s="17" t="s">
        <v>357</v>
      </c>
      <c r="D55" s="17" t="s">
        <v>226</v>
      </c>
      <c r="E55" s="10">
        <f t="shared" si="0"/>
        <v>30.042918454935624</v>
      </c>
      <c r="F55" s="4">
        <v>7</v>
      </c>
      <c r="G55" s="12">
        <v>233</v>
      </c>
      <c r="H55" s="50"/>
    </row>
    <row r="56" spans="1:8" ht="15.75" customHeight="1" x14ac:dyDescent="0.3">
      <c r="A56" s="36">
        <v>20502</v>
      </c>
      <c r="B56" s="17" t="s">
        <v>43</v>
      </c>
      <c r="C56" s="17" t="s">
        <v>357</v>
      </c>
      <c r="D56" s="17" t="s">
        <v>101</v>
      </c>
      <c r="E56" s="10">
        <f t="shared" si="0"/>
        <v>47.846889952153113</v>
      </c>
      <c r="F56" s="4">
        <v>10</v>
      </c>
      <c r="G56" s="12">
        <v>209</v>
      </c>
      <c r="H56" s="50"/>
    </row>
    <row r="57" spans="1:8" ht="15.75" customHeight="1" x14ac:dyDescent="0.3">
      <c r="A57" s="36">
        <v>20503</v>
      </c>
      <c r="B57" s="17" t="s">
        <v>43</v>
      </c>
      <c r="C57" s="17" t="s">
        <v>357</v>
      </c>
      <c r="D57" s="17" t="s">
        <v>182</v>
      </c>
      <c r="E57" s="10">
        <f t="shared" si="0"/>
        <v>38.095238095238102</v>
      </c>
      <c r="F57" s="4">
        <v>4</v>
      </c>
      <c r="G57" s="12">
        <v>105</v>
      </c>
      <c r="H57" s="50"/>
    </row>
    <row r="58" spans="1:8" ht="15.75" customHeight="1" x14ac:dyDescent="0.3">
      <c r="A58" s="36">
        <v>20601</v>
      </c>
      <c r="B58" s="17" t="s">
        <v>43</v>
      </c>
      <c r="C58" s="17" t="s">
        <v>358</v>
      </c>
      <c r="D58" s="17" t="s">
        <v>233</v>
      </c>
      <c r="E58" s="10">
        <f t="shared" si="0"/>
        <v>43.478260869565219</v>
      </c>
      <c r="F58" s="4">
        <v>20</v>
      </c>
      <c r="G58" s="12">
        <v>460</v>
      </c>
      <c r="H58" s="50"/>
    </row>
    <row r="59" spans="1:8" ht="15.75" customHeight="1" x14ac:dyDescent="0.3">
      <c r="A59" s="36">
        <v>20602</v>
      </c>
      <c r="B59" s="17" t="s">
        <v>43</v>
      </c>
      <c r="C59" s="17" t="s">
        <v>358</v>
      </c>
      <c r="D59" s="17" t="s">
        <v>236</v>
      </c>
      <c r="E59" s="10">
        <f t="shared" si="0"/>
        <v>77.881619937694694</v>
      </c>
      <c r="F59" s="4">
        <v>25</v>
      </c>
      <c r="G59" s="12">
        <v>321</v>
      </c>
      <c r="H59" s="50"/>
    </row>
    <row r="60" spans="1:8" ht="15.75" customHeight="1" x14ac:dyDescent="0.3">
      <c r="A60" s="36">
        <v>20603</v>
      </c>
      <c r="B60" s="17" t="s">
        <v>43</v>
      </c>
      <c r="C60" s="17" t="s">
        <v>358</v>
      </c>
      <c r="D60" s="17" t="s">
        <v>203</v>
      </c>
      <c r="E60" s="10">
        <f t="shared" si="0"/>
        <v>38.461538461538467</v>
      </c>
      <c r="F60" s="4">
        <v>7</v>
      </c>
      <c r="G60" s="12">
        <v>182</v>
      </c>
      <c r="H60" s="50"/>
    </row>
    <row r="61" spans="1:8" ht="15.75" customHeight="1" x14ac:dyDescent="0.3">
      <c r="A61" s="36">
        <v>20604</v>
      </c>
      <c r="B61" s="17" t="s">
        <v>43</v>
      </c>
      <c r="C61" s="17" t="s">
        <v>358</v>
      </c>
      <c r="D61" s="17" t="s">
        <v>54</v>
      </c>
      <c r="E61" s="10">
        <f t="shared" si="0"/>
        <v>94.339622641509436</v>
      </c>
      <c r="F61" s="4">
        <v>5</v>
      </c>
      <c r="G61" s="12">
        <v>53</v>
      </c>
      <c r="H61" s="50"/>
    </row>
    <row r="62" spans="1:8" ht="15.75" customHeight="1" x14ac:dyDescent="0.3">
      <c r="A62" s="36">
        <v>20605</v>
      </c>
      <c r="B62" s="17" t="s">
        <v>43</v>
      </c>
      <c r="C62" s="17" t="s">
        <v>358</v>
      </c>
      <c r="D62" s="17" t="s">
        <v>62</v>
      </c>
      <c r="E62" s="10">
        <f t="shared" si="0"/>
        <v>39.215686274509807</v>
      </c>
      <c r="F62" s="4">
        <v>2</v>
      </c>
      <c r="G62" s="12">
        <v>51</v>
      </c>
      <c r="H62" s="50"/>
    </row>
    <row r="63" spans="1:8" ht="15.75" customHeight="1" x14ac:dyDescent="0.3">
      <c r="A63" s="36">
        <v>20606</v>
      </c>
      <c r="B63" s="17" t="s">
        <v>43</v>
      </c>
      <c r="C63" s="17" t="s">
        <v>358</v>
      </c>
      <c r="D63" s="17" t="s">
        <v>140</v>
      </c>
      <c r="E63" s="10">
        <f t="shared" si="0"/>
        <v>50.78125</v>
      </c>
      <c r="F63" s="4">
        <v>13</v>
      </c>
      <c r="G63" s="12">
        <v>256</v>
      </c>
      <c r="H63" s="50"/>
    </row>
    <row r="64" spans="1:8" ht="15.75" customHeight="1" x14ac:dyDescent="0.3">
      <c r="A64" s="36">
        <v>20607</v>
      </c>
      <c r="B64" s="17" t="s">
        <v>43</v>
      </c>
      <c r="C64" s="17" t="s">
        <v>358</v>
      </c>
      <c r="D64" s="17" t="s">
        <v>167</v>
      </c>
      <c r="E64" s="10">
        <f t="shared" si="0"/>
        <v>34.759358288770052</v>
      </c>
      <c r="F64" s="4">
        <v>13</v>
      </c>
      <c r="G64" s="12">
        <v>374</v>
      </c>
      <c r="H64" s="50"/>
    </row>
    <row r="65" spans="1:8" ht="15.75" customHeight="1" x14ac:dyDescent="0.3">
      <c r="A65" s="36">
        <v>20608</v>
      </c>
      <c r="B65" s="17" t="s">
        <v>43</v>
      </c>
      <c r="C65" s="17" t="s">
        <v>358</v>
      </c>
      <c r="D65" s="17" t="s">
        <v>200</v>
      </c>
      <c r="E65" s="10">
        <f t="shared" si="0"/>
        <v>37.974683544303801</v>
      </c>
      <c r="F65" s="4">
        <v>9</v>
      </c>
      <c r="G65" s="12">
        <v>237</v>
      </c>
      <c r="H65" s="50"/>
    </row>
    <row r="66" spans="1:8" ht="15.75" customHeight="1" x14ac:dyDescent="0.3">
      <c r="A66" s="36">
        <v>20701</v>
      </c>
      <c r="B66" s="17" t="s">
        <v>43</v>
      </c>
      <c r="C66" s="17" t="s">
        <v>359</v>
      </c>
      <c r="D66" s="17" t="s">
        <v>241</v>
      </c>
      <c r="E66" s="10">
        <f t="shared" si="0"/>
        <v>43.981481481481481</v>
      </c>
      <c r="F66" s="4">
        <v>19</v>
      </c>
      <c r="G66" s="12">
        <v>432</v>
      </c>
      <c r="H66" s="50"/>
    </row>
    <row r="67" spans="1:8" ht="15.75" customHeight="1" x14ac:dyDescent="0.3">
      <c r="A67" s="36">
        <v>20702</v>
      </c>
      <c r="B67" s="17" t="s">
        <v>43</v>
      </c>
      <c r="C67" s="17" t="s">
        <v>359</v>
      </c>
      <c r="D67" s="17" t="s">
        <v>41</v>
      </c>
      <c r="E67" s="10">
        <f t="shared" ref="E67:E130" si="2">(F67/G67)*1000</f>
        <v>45.161290322580641</v>
      </c>
      <c r="F67" s="4">
        <v>7</v>
      </c>
      <c r="G67" s="12">
        <v>155</v>
      </c>
      <c r="H67" s="50"/>
    </row>
    <row r="68" spans="1:8" ht="15.75" customHeight="1" x14ac:dyDescent="0.3">
      <c r="A68" s="36">
        <v>20801</v>
      </c>
      <c r="B68" s="17" t="s">
        <v>43</v>
      </c>
      <c r="C68" s="17" t="s">
        <v>14</v>
      </c>
      <c r="D68" s="17" t="s">
        <v>244</v>
      </c>
      <c r="E68" s="10">
        <f t="shared" si="2"/>
        <v>37.834997372569632</v>
      </c>
      <c r="F68" s="4">
        <v>72</v>
      </c>
      <c r="G68" s="12">
        <v>1903</v>
      </c>
      <c r="H68" s="50"/>
    </row>
    <row r="69" spans="1:8" ht="15.75" customHeight="1" x14ac:dyDescent="0.3">
      <c r="A69" s="36">
        <v>20802</v>
      </c>
      <c r="B69" s="17" t="s">
        <v>43</v>
      </c>
      <c r="C69" s="17" t="s">
        <v>14</v>
      </c>
      <c r="D69" s="17" t="s">
        <v>186</v>
      </c>
      <c r="E69" s="10">
        <f t="shared" si="2"/>
        <v>45.454545454545453</v>
      </c>
      <c r="F69" s="4">
        <v>5</v>
      </c>
      <c r="G69" s="12">
        <v>110</v>
      </c>
      <c r="H69" s="50"/>
    </row>
    <row r="70" spans="1:8" ht="15.75" customHeight="1" x14ac:dyDescent="0.3">
      <c r="A70" s="36">
        <v>20803</v>
      </c>
      <c r="B70" s="17" t="s">
        <v>43</v>
      </c>
      <c r="C70" s="17" t="s">
        <v>14</v>
      </c>
      <c r="D70" s="17" t="s">
        <v>217</v>
      </c>
      <c r="E70" s="10">
        <f t="shared" si="2"/>
        <v>46.808510638297868</v>
      </c>
      <c r="F70" s="4">
        <v>11</v>
      </c>
      <c r="G70" s="12">
        <v>235</v>
      </c>
      <c r="H70" s="50"/>
    </row>
    <row r="71" spans="1:8" ht="15.75" customHeight="1" x14ac:dyDescent="0.3">
      <c r="A71" s="36">
        <v>20804</v>
      </c>
      <c r="B71" s="17" t="s">
        <v>43</v>
      </c>
      <c r="C71" s="17" t="s">
        <v>14</v>
      </c>
      <c r="D71" s="17" t="s">
        <v>113</v>
      </c>
      <c r="E71" s="10">
        <f t="shared" si="2"/>
        <v>46.979865771812079</v>
      </c>
      <c r="F71" s="4">
        <v>7</v>
      </c>
      <c r="G71" s="12">
        <v>149</v>
      </c>
      <c r="H71" s="50"/>
    </row>
    <row r="72" spans="1:8" ht="15.75" customHeight="1" x14ac:dyDescent="0.3">
      <c r="A72" s="36">
        <v>20805</v>
      </c>
      <c r="B72" s="17" t="s">
        <v>43</v>
      </c>
      <c r="C72" s="17" t="s">
        <v>14</v>
      </c>
      <c r="D72" s="17" t="s">
        <v>90</v>
      </c>
      <c r="E72" s="10">
        <f t="shared" si="2"/>
        <v>13.157894736842104</v>
      </c>
      <c r="F72" s="4">
        <v>1</v>
      </c>
      <c r="G72" s="12">
        <v>76</v>
      </c>
      <c r="H72" s="50"/>
    </row>
    <row r="73" spans="1:8" ht="15.75" customHeight="1" x14ac:dyDescent="0.3">
      <c r="A73" s="36">
        <v>20806</v>
      </c>
      <c r="B73" s="17" t="s">
        <v>43</v>
      </c>
      <c r="C73" s="17" t="s">
        <v>14</v>
      </c>
      <c r="D73" s="17" t="s">
        <v>210</v>
      </c>
      <c r="E73" s="10">
        <f t="shared" si="2"/>
        <v>39.130434782608695</v>
      </c>
      <c r="F73" s="4">
        <v>9</v>
      </c>
      <c r="G73" s="12">
        <v>230</v>
      </c>
      <c r="H73" s="50"/>
    </row>
    <row r="74" spans="1:8" ht="15.75" customHeight="1" x14ac:dyDescent="0.3">
      <c r="A74" s="36">
        <v>20807</v>
      </c>
      <c r="B74" s="17" t="s">
        <v>43</v>
      </c>
      <c r="C74" s="17" t="s">
        <v>14</v>
      </c>
      <c r="D74" s="17" t="s">
        <v>123</v>
      </c>
      <c r="E74" s="10">
        <f t="shared" si="2"/>
        <v>11.494252873563218</v>
      </c>
      <c r="F74" s="4">
        <v>1</v>
      </c>
      <c r="G74" s="12">
        <v>87</v>
      </c>
      <c r="H74" s="50"/>
    </row>
    <row r="75" spans="1:8" ht="15.75" customHeight="1" x14ac:dyDescent="0.3">
      <c r="A75" s="36">
        <v>20901</v>
      </c>
      <c r="B75" s="17" t="s">
        <v>43</v>
      </c>
      <c r="C75" s="17" t="s">
        <v>360</v>
      </c>
      <c r="D75" s="17" t="s">
        <v>253</v>
      </c>
      <c r="E75" s="10">
        <f t="shared" si="2"/>
        <v>44.117647058823529</v>
      </c>
      <c r="F75" s="4">
        <v>9</v>
      </c>
      <c r="G75" s="12">
        <v>204</v>
      </c>
      <c r="H75" s="50"/>
    </row>
    <row r="76" spans="1:8" ht="15.75" customHeight="1" x14ac:dyDescent="0.3">
      <c r="A76" s="36">
        <v>20902</v>
      </c>
      <c r="B76" s="17" t="s">
        <v>43</v>
      </c>
      <c r="C76" s="17" t="s">
        <v>360</v>
      </c>
      <c r="D76" s="17" t="s">
        <v>172</v>
      </c>
      <c r="E76" s="10">
        <f t="shared" si="2"/>
        <v>34.782608695652172</v>
      </c>
      <c r="F76" s="4">
        <v>8</v>
      </c>
      <c r="G76" s="12">
        <v>230</v>
      </c>
      <c r="H76" s="50"/>
    </row>
    <row r="77" spans="1:8" ht="15.75" customHeight="1" x14ac:dyDescent="0.3">
      <c r="A77" s="36">
        <v>20903</v>
      </c>
      <c r="B77" s="17" t="s">
        <v>43</v>
      </c>
      <c r="C77" s="17" t="s">
        <v>360</v>
      </c>
      <c r="D77" s="17" t="s">
        <v>198</v>
      </c>
      <c r="E77" s="10">
        <f t="shared" si="2"/>
        <v>50.724637681159422</v>
      </c>
      <c r="F77" s="4">
        <v>7</v>
      </c>
      <c r="G77" s="12">
        <v>138</v>
      </c>
      <c r="H77" s="50"/>
    </row>
    <row r="78" spans="1:8" ht="15.75" customHeight="1" x14ac:dyDescent="0.3">
      <c r="A78" s="36">
        <v>20904</v>
      </c>
      <c r="B78" s="17" t="s">
        <v>43</v>
      </c>
      <c r="C78" s="17" t="s">
        <v>360</v>
      </c>
      <c r="D78" s="17" t="s">
        <v>107</v>
      </c>
      <c r="E78" s="10">
        <f t="shared" si="2"/>
        <v>45.454545454545453</v>
      </c>
      <c r="F78" s="4">
        <v>4</v>
      </c>
      <c r="G78" s="12">
        <v>88</v>
      </c>
      <c r="H78" s="50"/>
    </row>
    <row r="79" spans="1:8" ht="15.75" customHeight="1" x14ac:dyDescent="0.3">
      <c r="A79" s="36">
        <v>20905</v>
      </c>
      <c r="B79" s="17" t="s">
        <v>43</v>
      </c>
      <c r="C79" s="17" t="s">
        <v>360</v>
      </c>
      <c r="D79" s="17" t="s">
        <v>191</v>
      </c>
      <c r="E79" s="10">
        <f t="shared" si="2"/>
        <v>69.387755102040813</v>
      </c>
      <c r="F79" s="4">
        <v>17</v>
      </c>
      <c r="G79" s="12">
        <v>245</v>
      </c>
      <c r="H79" s="50"/>
    </row>
    <row r="80" spans="1:8" ht="15.75" customHeight="1" x14ac:dyDescent="0.3">
      <c r="A80" s="36">
        <v>21001</v>
      </c>
      <c r="B80" s="17" t="s">
        <v>43</v>
      </c>
      <c r="C80" s="17" t="s">
        <v>138</v>
      </c>
      <c r="D80" s="17" t="s">
        <v>138</v>
      </c>
      <c r="E80" s="10">
        <f t="shared" si="2"/>
        <v>43.209876543209873</v>
      </c>
      <c r="F80" s="4">
        <v>14</v>
      </c>
      <c r="G80" s="12">
        <v>324</v>
      </c>
      <c r="H80" s="50"/>
    </row>
    <row r="81" spans="1:8" ht="15.75" customHeight="1" x14ac:dyDescent="0.3">
      <c r="A81" s="36">
        <v>21002</v>
      </c>
      <c r="B81" s="17" t="s">
        <v>43</v>
      </c>
      <c r="C81" s="17" t="s">
        <v>138</v>
      </c>
      <c r="D81" s="17" t="s">
        <v>231</v>
      </c>
      <c r="E81" s="10">
        <f t="shared" si="2"/>
        <v>54.945054945054942</v>
      </c>
      <c r="F81" s="4">
        <v>10</v>
      </c>
      <c r="G81" s="12">
        <v>182</v>
      </c>
      <c r="H81" s="50"/>
    </row>
    <row r="82" spans="1:8" ht="15.75" customHeight="1" x14ac:dyDescent="0.3">
      <c r="A82" s="36">
        <v>21003</v>
      </c>
      <c r="B82" s="17" t="s">
        <v>43</v>
      </c>
      <c r="C82" s="17" t="s">
        <v>138</v>
      </c>
      <c r="D82" s="17" t="s">
        <v>149</v>
      </c>
      <c r="E82" s="10">
        <f t="shared" si="2"/>
        <v>54.054054054054056</v>
      </c>
      <c r="F82" s="4">
        <v>12</v>
      </c>
      <c r="G82" s="12">
        <v>222</v>
      </c>
      <c r="H82" s="50"/>
    </row>
    <row r="83" spans="1:8" ht="15.75" customHeight="1" x14ac:dyDescent="0.3">
      <c r="A83" s="36">
        <v>21004</v>
      </c>
      <c r="B83" s="17" t="s">
        <v>43</v>
      </c>
      <c r="C83" s="17" t="s">
        <v>138</v>
      </c>
      <c r="D83" s="17" t="s">
        <v>268</v>
      </c>
      <c r="E83" s="10">
        <f t="shared" si="2"/>
        <v>45.454545454545453</v>
      </c>
      <c r="F83" s="4">
        <v>21</v>
      </c>
      <c r="G83" s="12">
        <v>462</v>
      </c>
      <c r="H83" s="50"/>
    </row>
    <row r="84" spans="1:8" ht="15.75" customHeight="1" x14ac:dyDescent="0.3">
      <c r="A84" s="36">
        <v>21005</v>
      </c>
      <c r="B84" s="17" t="s">
        <v>43</v>
      </c>
      <c r="C84" s="17" t="s">
        <v>138</v>
      </c>
      <c r="D84" s="17" t="s">
        <v>132</v>
      </c>
      <c r="E84" s="10">
        <f t="shared" si="2"/>
        <v>26.845637583892618</v>
      </c>
      <c r="F84" s="4">
        <v>4</v>
      </c>
      <c r="G84" s="12">
        <v>149</v>
      </c>
      <c r="H84" s="50"/>
    </row>
    <row r="85" spans="1:8" ht="15.75" customHeight="1" x14ac:dyDescent="0.3">
      <c r="A85" s="36">
        <v>21006</v>
      </c>
      <c r="B85" s="17" t="s">
        <v>43</v>
      </c>
      <c r="C85" s="17" t="s">
        <v>138</v>
      </c>
      <c r="D85" s="17" t="s">
        <v>67</v>
      </c>
      <c r="E85" s="10">
        <f t="shared" si="2"/>
        <v>12.195121951219512</v>
      </c>
      <c r="F85" s="4">
        <v>1</v>
      </c>
      <c r="G85" s="12">
        <v>82</v>
      </c>
      <c r="H85" s="50"/>
    </row>
    <row r="86" spans="1:8" ht="15.75" customHeight="1" x14ac:dyDescent="0.3">
      <c r="A86" s="36">
        <v>21101</v>
      </c>
      <c r="B86" s="17" t="s">
        <v>43</v>
      </c>
      <c r="C86" s="17" t="s">
        <v>361</v>
      </c>
      <c r="D86" s="17" t="s">
        <v>245</v>
      </c>
      <c r="E86" s="10">
        <f t="shared" si="2"/>
        <v>34.090909090909086</v>
      </c>
      <c r="F86" s="4">
        <v>12</v>
      </c>
      <c r="G86" s="12">
        <v>352</v>
      </c>
      <c r="H86" s="50"/>
    </row>
    <row r="87" spans="1:8" ht="15.75" customHeight="1" x14ac:dyDescent="0.3">
      <c r="A87" s="36">
        <v>21102</v>
      </c>
      <c r="B87" s="17" t="s">
        <v>43</v>
      </c>
      <c r="C87" s="17" t="s">
        <v>361</v>
      </c>
      <c r="D87" s="17" t="s">
        <v>273</v>
      </c>
      <c r="E87" s="10">
        <f t="shared" si="2"/>
        <v>26.737967914438503</v>
      </c>
      <c r="F87" s="4">
        <v>10</v>
      </c>
      <c r="G87" s="12">
        <v>374</v>
      </c>
      <c r="H87" s="50"/>
    </row>
    <row r="88" spans="1:8" ht="15.75" customHeight="1" x14ac:dyDescent="0.3">
      <c r="A88" s="36">
        <v>21103</v>
      </c>
      <c r="B88" s="17" t="s">
        <v>43</v>
      </c>
      <c r="C88" s="17" t="s">
        <v>361</v>
      </c>
      <c r="D88" s="17" t="s">
        <v>94</v>
      </c>
      <c r="E88" s="10">
        <f t="shared" si="2"/>
        <v>34.246575342465754</v>
      </c>
      <c r="F88" s="4">
        <v>5</v>
      </c>
      <c r="G88" s="12">
        <v>146</v>
      </c>
      <c r="H88" s="50"/>
    </row>
    <row r="89" spans="1:8" ht="15.75" customHeight="1" x14ac:dyDescent="0.3">
      <c r="A89" s="36">
        <v>21104</v>
      </c>
      <c r="B89" s="17" t="s">
        <v>43</v>
      </c>
      <c r="C89" s="17" t="s">
        <v>361</v>
      </c>
      <c r="D89" s="17" t="s">
        <v>258</v>
      </c>
      <c r="E89" s="10">
        <f t="shared" si="2"/>
        <v>26.194144838212633</v>
      </c>
      <c r="F89" s="4">
        <v>17</v>
      </c>
      <c r="G89" s="12">
        <v>649</v>
      </c>
      <c r="H89" s="50"/>
    </row>
    <row r="90" spans="1:8" ht="15.75" customHeight="1" x14ac:dyDescent="0.3">
      <c r="A90" s="36">
        <v>21105</v>
      </c>
      <c r="B90" s="17" t="s">
        <v>43</v>
      </c>
      <c r="C90" s="17" t="s">
        <v>361</v>
      </c>
      <c r="D90" s="17" t="s">
        <v>70</v>
      </c>
      <c r="E90" s="10">
        <f t="shared" si="2"/>
        <v>36.020583190394511</v>
      </c>
      <c r="F90" s="4">
        <v>42</v>
      </c>
      <c r="G90" s="12">
        <v>1166</v>
      </c>
      <c r="H90" s="50"/>
    </row>
    <row r="91" spans="1:8" ht="15.75" customHeight="1" x14ac:dyDescent="0.3">
      <c r="A91" s="36">
        <v>21201</v>
      </c>
      <c r="B91" s="17" t="s">
        <v>43</v>
      </c>
      <c r="C91" s="17" t="s">
        <v>362</v>
      </c>
      <c r="D91" s="17" t="s">
        <v>255</v>
      </c>
      <c r="E91" s="10">
        <f t="shared" si="2"/>
        <v>57.450628366247756</v>
      </c>
      <c r="F91" s="4">
        <v>32</v>
      </c>
      <c r="G91" s="12">
        <v>557</v>
      </c>
      <c r="H91" s="50"/>
    </row>
    <row r="92" spans="1:8" ht="15.75" customHeight="1" x14ac:dyDescent="0.3">
      <c r="A92" s="36">
        <v>21202</v>
      </c>
      <c r="B92" s="17" t="s">
        <v>43</v>
      </c>
      <c r="C92" s="17" t="s">
        <v>362</v>
      </c>
      <c r="D92" s="17" t="s">
        <v>267</v>
      </c>
      <c r="E92" s="10">
        <f t="shared" si="2"/>
        <v>39.735099337748345</v>
      </c>
      <c r="F92" s="4">
        <v>18</v>
      </c>
      <c r="G92" s="12">
        <v>453</v>
      </c>
      <c r="H92" s="50"/>
    </row>
    <row r="93" spans="1:8" ht="15.75" customHeight="1" x14ac:dyDescent="0.3">
      <c r="A93" s="36">
        <v>21203</v>
      </c>
      <c r="B93" s="17" t="s">
        <v>43</v>
      </c>
      <c r="C93" s="17" t="s">
        <v>362</v>
      </c>
      <c r="D93" s="17" t="s">
        <v>277</v>
      </c>
      <c r="E93" s="10">
        <f t="shared" si="2"/>
        <v>20.134228187919462</v>
      </c>
      <c r="F93" s="4">
        <v>6</v>
      </c>
      <c r="G93" s="12">
        <v>298</v>
      </c>
      <c r="H93" s="50"/>
    </row>
    <row r="94" spans="1:8" ht="15.75" customHeight="1" x14ac:dyDescent="0.3">
      <c r="A94" s="36">
        <v>21204</v>
      </c>
      <c r="B94" s="17" t="s">
        <v>43</v>
      </c>
      <c r="C94" s="17" t="s">
        <v>362</v>
      </c>
      <c r="D94" s="17" t="s">
        <v>199</v>
      </c>
      <c r="E94" s="10">
        <f t="shared" si="2"/>
        <v>75</v>
      </c>
      <c r="F94" s="4">
        <v>9</v>
      </c>
      <c r="G94" s="12">
        <v>120</v>
      </c>
      <c r="H94" s="50"/>
    </row>
    <row r="95" spans="1:8" ht="15.75" customHeight="1" x14ac:dyDescent="0.3">
      <c r="A95" s="36">
        <v>21301</v>
      </c>
      <c r="B95" s="17" t="s">
        <v>43</v>
      </c>
      <c r="C95" s="17" t="s">
        <v>363</v>
      </c>
      <c r="D95" s="17" t="s">
        <v>261</v>
      </c>
      <c r="E95" s="10">
        <f t="shared" si="2"/>
        <v>47.058823529411761</v>
      </c>
      <c r="F95" s="4">
        <v>28</v>
      </c>
      <c r="G95" s="12">
        <v>595</v>
      </c>
      <c r="H95" s="50"/>
    </row>
    <row r="96" spans="1:8" ht="15.75" customHeight="1" x14ac:dyDescent="0.3">
      <c r="A96" s="36">
        <v>21302</v>
      </c>
      <c r="B96" s="17" t="s">
        <v>43</v>
      </c>
      <c r="C96" s="17" t="s">
        <v>363</v>
      </c>
      <c r="D96" s="17" t="s">
        <v>232</v>
      </c>
      <c r="E96" s="10">
        <f t="shared" si="2"/>
        <v>37.974683544303801</v>
      </c>
      <c r="F96" s="4">
        <v>6</v>
      </c>
      <c r="G96" s="12">
        <v>158</v>
      </c>
      <c r="H96" s="50"/>
    </row>
    <row r="97" spans="1:8" ht="15.75" customHeight="1" x14ac:dyDescent="0.3">
      <c r="A97" s="36">
        <v>21303</v>
      </c>
      <c r="B97" s="17" t="s">
        <v>43</v>
      </c>
      <c r="C97" s="17" t="s">
        <v>363</v>
      </c>
      <c r="D97" s="17" t="s">
        <v>218</v>
      </c>
      <c r="E97" s="10">
        <f t="shared" si="2"/>
        <v>16.853932584269664</v>
      </c>
      <c r="F97" s="4">
        <v>3</v>
      </c>
      <c r="G97" s="12">
        <v>178</v>
      </c>
      <c r="H97" s="50"/>
    </row>
    <row r="98" spans="1:8" ht="15.75" customHeight="1" x14ac:dyDescent="0.3">
      <c r="A98" s="36">
        <v>21304</v>
      </c>
      <c r="B98" s="17" t="s">
        <v>43</v>
      </c>
      <c r="C98" s="17" t="s">
        <v>363</v>
      </c>
      <c r="D98" s="17" t="s">
        <v>249</v>
      </c>
      <c r="E98" s="10">
        <f t="shared" si="2"/>
        <v>18.018018018018019</v>
      </c>
      <c r="F98" s="4">
        <v>4</v>
      </c>
      <c r="G98" s="12">
        <v>222</v>
      </c>
      <c r="H98" s="50"/>
    </row>
    <row r="99" spans="1:8" ht="15.75" customHeight="1" x14ac:dyDescent="0.3">
      <c r="A99" s="36">
        <v>21305</v>
      </c>
      <c r="B99" s="17" t="s">
        <v>43</v>
      </c>
      <c r="C99" s="17" t="s">
        <v>363</v>
      </c>
      <c r="D99" s="17" t="s">
        <v>280</v>
      </c>
      <c r="E99" s="10">
        <f t="shared" si="2"/>
        <v>12.76595744680851</v>
      </c>
      <c r="F99" s="4">
        <v>6</v>
      </c>
      <c r="G99" s="12">
        <v>470</v>
      </c>
      <c r="H99" s="50"/>
    </row>
    <row r="100" spans="1:8" ht="15.75" customHeight="1" x14ac:dyDescent="0.3">
      <c r="A100" s="36">
        <v>21306</v>
      </c>
      <c r="B100" s="17" t="s">
        <v>43</v>
      </c>
      <c r="C100" s="17" t="s">
        <v>363</v>
      </c>
      <c r="D100" s="17" t="s">
        <v>229</v>
      </c>
      <c r="E100" s="10">
        <f t="shared" si="2"/>
        <v>8.4745762711864412</v>
      </c>
      <c r="F100" s="4">
        <v>2</v>
      </c>
      <c r="G100" s="12">
        <v>236</v>
      </c>
      <c r="H100" s="50"/>
    </row>
    <row r="101" spans="1:8" ht="15.75" customHeight="1" x14ac:dyDescent="0.3">
      <c r="A101" s="36">
        <v>21307</v>
      </c>
      <c r="B101" s="17" t="s">
        <v>43</v>
      </c>
      <c r="C101" s="17" t="s">
        <v>363</v>
      </c>
      <c r="D101" s="17" t="s">
        <v>100</v>
      </c>
      <c r="E101" s="10">
        <f t="shared" si="2"/>
        <v>0</v>
      </c>
      <c r="F101" s="4">
        <v>0</v>
      </c>
      <c r="G101" s="12">
        <v>89</v>
      </c>
      <c r="H101" s="50"/>
    </row>
    <row r="102" spans="1:8" ht="15.75" customHeight="1" x14ac:dyDescent="0.3">
      <c r="A102" s="36">
        <v>21401</v>
      </c>
      <c r="B102" s="17" t="s">
        <v>43</v>
      </c>
      <c r="C102" s="17" t="s">
        <v>364</v>
      </c>
      <c r="D102" s="17" t="s">
        <v>284</v>
      </c>
      <c r="E102" s="10">
        <f t="shared" si="2"/>
        <v>13.440860215053764</v>
      </c>
      <c r="F102" s="4">
        <v>5</v>
      </c>
      <c r="G102" s="12">
        <v>372</v>
      </c>
      <c r="H102" s="50"/>
    </row>
    <row r="103" spans="1:8" ht="15.75" customHeight="1" x14ac:dyDescent="0.3">
      <c r="A103" s="36">
        <v>21402</v>
      </c>
      <c r="B103" s="17" t="s">
        <v>43</v>
      </c>
      <c r="C103" s="17" t="s">
        <v>364</v>
      </c>
      <c r="D103" s="17" t="s">
        <v>220</v>
      </c>
      <c r="E103" s="10">
        <f t="shared" si="2"/>
        <v>27.247956403269754</v>
      </c>
      <c r="F103" s="4">
        <v>10</v>
      </c>
      <c r="G103" s="12">
        <v>367</v>
      </c>
      <c r="H103" s="50"/>
    </row>
    <row r="104" spans="1:8" ht="15.75" customHeight="1" x14ac:dyDescent="0.3">
      <c r="A104" s="36">
        <v>21501</v>
      </c>
      <c r="B104" s="17" t="s">
        <v>43</v>
      </c>
      <c r="C104" s="17" t="s">
        <v>365</v>
      </c>
      <c r="D104" s="17" t="s">
        <v>194</v>
      </c>
      <c r="E104" s="10">
        <f t="shared" si="2"/>
        <v>7.042253521126761</v>
      </c>
      <c r="F104" s="4">
        <v>2</v>
      </c>
      <c r="G104" s="12">
        <v>284</v>
      </c>
      <c r="H104" s="50"/>
    </row>
    <row r="105" spans="1:8" ht="15.75" customHeight="1" x14ac:dyDescent="0.3">
      <c r="A105" s="36">
        <v>21502</v>
      </c>
      <c r="B105" s="17" t="s">
        <v>43</v>
      </c>
      <c r="C105" s="17" t="s">
        <v>365</v>
      </c>
      <c r="D105" s="17" t="s">
        <v>133</v>
      </c>
      <c r="E105" s="10">
        <f t="shared" si="2"/>
        <v>8.0321285140562235</v>
      </c>
      <c r="F105" s="4">
        <v>2</v>
      </c>
      <c r="G105" s="12">
        <v>249</v>
      </c>
      <c r="H105" s="50"/>
    </row>
    <row r="106" spans="1:8" ht="15.75" customHeight="1" x14ac:dyDescent="0.3">
      <c r="A106" s="36">
        <v>21601</v>
      </c>
      <c r="B106" s="17" t="s">
        <v>43</v>
      </c>
      <c r="C106" s="17" t="s">
        <v>366</v>
      </c>
      <c r="D106" s="17" t="s">
        <v>317</v>
      </c>
      <c r="E106" s="10">
        <f t="shared" si="2"/>
        <v>20.477815699658702</v>
      </c>
      <c r="F106" s="4">
        <v>6</v>
      </c>
      <c r="G106" s="12">
        <v>293</v>
      </c>
      <c r="H106" s="50"/>
    </row>
    <row r="107" spans="1:8" ht="15.75" customHeight="1" x14ac:dyDescent="0.3">
      <c r="A107" s="36">
        <v>21602</v>
      </c>
      <c r="B107" s="17" t="s">
        <v>43</v>
      </c>
      <c r="C107" s="17" t="s">
        <v>366</v>
      </c>
      <c r="D107" s="17" t="s">
        <v>108</v>
      </c>
      <c r="E107" s="10">
        <f t="shared" si="2"/>
        <v>14.285714285714285</v>
      </c>
      <c r="F107" s="4">
        <v>1</v>
      </c>
      <c r="G107" s="12">
        <v>70</v>
      </c>
      <c r="H107" s="50"/>
    </row>
    <row r="108" spans="1:8" ht="15.75" customHeight="1" x14ac:dyDescent="0.3">
      <c r="A108" s="36">
        <v>21701</v>
      </c>
      <c r="B108" s="17" t="s">
        <v>43</v>
      </c>
      <c r="C108" s="17" t="s">
        <v>367</v>
      </c>
      <c r="D108" s="17" t="s">
        <v>251</v>
      </c>
      <c r="E108" s="10">
        <f t="shared" si="2"/>
        <v>19.083969465648856</v>
      </c>
      <c r="F108" s="4">
        <v>5</v>
      </c>
      <c r="G108" s="12">
        <v>262</v>
      </c>
      <c r="H108" s="50"/>
    </row>
    <row r="109" spans="1:8" ht="15.75" customHeight="1" x14ac:dyDescent="0.3">
      <c r="A109" s="36">
        <v>21702</v>
      </c>
      <c r="B109" s="17" t="s">
        <v>43</v>
      </c>
      <c r="C109" s="17" t="s">
        <v>367</v>
      </c>
      <c r="D109" s="17" t="s">
        <v>184</v>
      </c>
      <c r="E109" s="10">
        <f t="shared" si="2"/>
        <v>0</v>
      </c>
      <c r="F109" s="4">
        <v>0</v>
      </c>
      <c r="G109" s="12">
        <v>68</v>
      </c>
      <c r="H109" s="50"/>
    </row>
    <row r="110" spans="1:8" ht="15.75" customHeight="1" x14ac:dyDescent="0.3">
      <c r="A110" s="36">
        <v>21703</v>
      </c>
      <c r="B110" s="17" t="s">
        <v>43</v>
      </c>
      <c r="C110" s="17" t="s">
        <v>367</v>
      </c>
      <c r="D110" s="17" t="s">
        <v>135</v>
      </c>
      <c r="E110" s="10">
        <f t="shared" si="2"/>
        <v>0</v>
      </c>
      <c r="F110" s="4">
        <v>0</v>
      </c>
      <c r="G110" s="12">
        <v>59</v>
      </c>
      <c r="H110" s="50"/>
    </row>
    <row r="111" spans="1:8" ht="15.75" customHeight="1" x14ac:dyDescent="0.3">
      <c r="A111" s="36">
        <v>21801</v>
      </c>
      <c r="B111" s="17" t="s">
        <v>43</v>
      </c>
      <c r="C111" s="17" t="s">
        <v>368</v>
      </c>
      <c r="D111" s="17" t="s">
        <v>318</v>
      </c>
      <c r="E111" s="10">
        <f t="shared" si="2"/>
        <v>6.4102564102564097</v>
      </c>
      <c r="F111" s="4">
        <v>1</v>
      </c>
      <c r="G111" s="12">
        <v>156</v>
      </c>
      <c r="H111" s="50"/>
    </row>
    <row r="112" spans="1:8" ht="15.75" customHeight="1" x14ac:dyDescent="0.3">
      <c r="A112" s="36">
        <v>21802</v>
      </c>
      <c r="B112" s="17" t="s">
        <v>43</v>
      </c>
      <c r="C112" s="17" t="s">
        <v>369</v>
      </c>
      <c r="D112" s="17" t="s">
        <v>197</v>
      </c>
      <c r="E112" s="10">
        <f t="shared" si="2"/>
        <v>8.4745762711864412</v>
      </c>
      <c r="F112" s="4">
        <v>1</v>
      </c>
      <c r="G112" s="12">
        <v>118</v>
      </c>
      <c r="H112" s="50"/>
    </row>
    <row r="113" spans="1:8" ht="15.75" customHeight="1" x14ac:dyDescent="0.3">
      <c r="A113" s="36">
        <v>21803</v>
      </c>
      <c r="B113" s="17" t="s">
        <v>43</v>
      </c>
      <c r="C113" s="17" t="s">
        <v>369</v>
      </c>
      <c r="D113" s="17" t="s">
        <v>49</v>
      </c>
      <c r="E113" s="10">
        <f t="shared" si="2"/>
        <v>0</v>
      </c>
      <c r="F113" s="4">
        <v>0</v>
      </c>
      <c r="G113" s="12">
        <v>27</v>
      </c>
      <c r="H113" s="50"/>
    </row>
    <row r="114" spans="1:8" ht="15.75" customHeight="1" x14ac:dyDescent="0.3">
      <c r="A114" s="36">
        <v>21901</v>
      </c>
      <c r="B114" s="17" t="s">
        <v>43</v>
      </c>
      <c r="C114" s="17" t="s">
        <v>370</v>
      </c>
      <c r="D114" s="17" t="s">
        <v>50</v>
      </c>
      <c r="E114" s="10">
        <f t="shared" si="2"/>
        <v>0</v>
      </c>
      <c r="F114" s="4">
        <v>0</v>
      </c>
      <c r="G114" s="12">
        <v>62</v>
      </c>
      <c r="H114" s="50"/>
    </row>
    <row r="115" spans="1:8" ht="15.75" customHeight="1" x14ac:dyDescent="0.3">
      <c r="A115" s="36">
        <v>21902</v>
      </c>
      <c r="B115" s="17" t="s">
        <v>43</v>
      </c>
      <c r="C115" s="17" t="s">
        <v>370</v>
      </c>
      <c r="D115" s="17" t="s">
        <v>28</v>
      </c>
      <c r="E115" s="10">
        <f t="shared" si="2"/>
        <v>0</v>
      </c>
      <c r="F115" s="4">
        <v>0</v>
      </c>
      <c r="G115" s="12">
        <v>56</v>
      </c>
      <c r="H115" s="50"/>
    </row>
    <row r="116" spans="1:8" ht="15.75" customHeight="1" x14ac:dyDescent="0.3">
      <c r="A116" s="36">
        <v>22001</v>
      </c>
      <c r="B116" s="17" t="s">
        <v>43</v>
      </c>
      <c r="C116" s="17" t="s">
        <v>260</v>
      </c>
      <c r="D116" s="17" t="s">
        <v>260</v>
      </c>
      <c r="E116" s="10">
        <f t="shared" si="2"/>
        <v>18.779342723004696</v>
      </c>
      <c r="F116" s="4">
        <v>20</v>
      </c>
      <c r="G116" s="12">
        <v>1065</v>
      </c>
      <c r="H116" s="50"/>
    </row>
    <row r="117" spans="1:8" ht="15.75" customHeight="1" x14ac:dyDescent="0.3">
      <c r="A117" s="36">
        <v>22002</v>
      </c>
      <c r="B117" s="17" t="s">
        <v>43</v>
      </c>
      <c r="C117" s="17" t="s">
        <v>260</v>
      </c>
      <c r="D117" s="17" t="s">
        <v>185</v>
      </c>
      <c r="E117" s="10">
        <f t="shared" si="2"/>
        <v>43.918918918918919</v>
      </c>
      <c r="F117" s="4">
        <v>13</v>
      </c>
      <c r="G117" s="12">
        <v>296</v>
      </c>
      <c r="H117" s="50"/>
    </row>
    <row r="118" spans="1:8" ht="15.75" customHeight="1" x14ac:dyDescent="0.3">
      <c r="A118" s="36">
        <v>30101</v>
      </c>
      <c r="B118" s="17" t="s">
        <v>51</v>
      </c>
      <c r="C118" s="17" t="s">
        <v>371</v>
      </c>
      <c r="D118" s="17" t="s">
        <v>51</v>
      </c>
      <c r="E118" s="10">
        <f t="shared" si="2"/>
        <v>22.630834512022631</v>
      </c>
      <c r="F118" s="4">
        <v>288</v>
      </c>
      <c r="G118" s="12">
        <v>12726</v>
      </c>
      <c r="H118" s="50"/>
    </row>
    <row r="119" spans="1:8" ht="15.75" customHeight="1" x14ac:dyDescent="0.3">
      <c r="A119" s="36">
        <v>30201</v>
      </c>
      <c r="B119" s="17" t="s">
        <v>51</v>
      </c>
      <c r="C119" s="17" t="s">
        <v>372</v>
      </c>
      <c r="D119" s="17" t="s">
        <v>252</v>
      </c>
      <c r="E119" s="10">
        <f t="shared" si="2"/>
        <v>28.806584362139919</v>
      </c>
      <c r="F119" s="4">
        <v>14</v>
      </c>
      <c r="G119" s="12">
        <v>486</v>
      </c>
      <c r="H119" s="50"/>
    </row>
    <row r="120" spans="1:8" ht="15.75" customHeight="1" x14ac:dyDescent="0.3">
      <c r="A120" s="36">
        <v>30202</v>
      </c>
      <c r="B120" s="17" t="s">
        <v>51</v>
      </c>
      <c r="C120" s="17" t="s">
        <v>372</v>
      </c>
      <c r="D120" s="17" t="s">
        <v>145</v>
      </c>
      <c r="E120" s="10">
        <f t="shared" si="2"/>
        <v>0</v>
      </c>
      <c r="F120" s="4">
        <v>0</v>
      </c>
      <c r="G120" s="12">
        <v>111</v>
      </c>
      <c r="H120" s="50"/>
    </row>
    <row r="121" spans="1:8" ht="15.75" customHeight="1" x14ac:dyDescent="0.3">
      <c r="A121" s="36">
        <v>30203</v>
      </c>
      <c r="B121" s="17" t="s">
        <v>51</v>
      </c>
      <c r="C121" s="17" t="s">
        <v>372</v>
      </c>
      <c r="D121" s="17" t="s">
        <v>56</v>
      </c>
      <c r="E121" s="10">
        <f t="shared" si="2"/>
        <v>22.556390977443609</v>
      </c>
      <c r="F121" s="4">
        <v>3</v>
      </c>
      <c r="G121" s="12">
        <v>133</v>
      </c>
      <c r="H121" s="50"/>
    </row>
    <row r="122" spans="1:8" ht="15.75" customHeight="1" x14ac:dyDescent="0.3">
      <c r="A122" s="36">
        <v>30301</v>
      </c>
      <c r="B122" s="17" t="s">
        <v>51</v>
      </c>
      <c r="C122" s="17" t="s">
        <v>373</v>
      </c>
      <c r="D122" s="17" t="s">
        <v>211</v>
      </c>
      <c r="E122" s="10">
        <f t="shared" si="2"/>
        <v>70.085470085470092</v>
      </c>
      <c r="F122" s="4">
        <v>41</v>
      </c>
      <c r="G122" s="12">
        <v>585</v>
      </c>
      <c r="H122" s="50"/>
    </row>
    <row r="123" spans="1:8" ht="15.75" customHeight="1" x14ac:dyDescent="0.3">
      <c r="A123" s="36">
        <v>30302</v>
      </c>
      <c r="B123" s="17" t="s">
        <v>51</v>
      </c>
      <c r="C123" s="17" t="s">
        <v>373</v>
      </c>
      <c r="D123" s="17" t="s">
        <v>177</v>
      </c>
      <c r="E123" s="10">
        <f t="shared" si="2"/>
        <v>58.252427184466022</v>
      </c>
      <c r="F123" s="4">
        <v>18</v>
      </c>
      <c r="G123" s="12">
        <v>309</v>
      </c>
      <c r="H123" s="50"/>
    </row>
    <row r="124" spans="1:8" ht="15.75" customHeight="1" x14ac:dyDescent="0.3">
      <c r="A124" s="36">
        <v>30303</v>
      </c>
      <c r="B124" s="17" t="s">
        <v>51</v>
      </c>
      <c r="C124" s="17" t="s">
        <v>373</v>
      </c>
      <c r="D124" s="17" t="s">
        <v>66</v>
      </c>
      <c r="E124" s="10">
        <f t="shared" si="2"/>
        <v>56.530214424951261</v>
      </c>
      <c r="F124" s="4">
        <v>29</v>
      </c>
      <c r="G124" s="12">
        <v>513</v>
      </c>
      <c r="H124" s="50"/>
    </row>
    <row r="125" spans="1:8" ht="15.75" customHeight="1" x14ac:dyDescent="0.3">
      <c r="A125" s="36">
        <v>30401</v>
      </c>
      <c r="B125" s="17" t="s">
        <v>51</v>
      </c>
      <c r="C125" s="17" t="s">
        <v>374</v>
      </c>
      <c r="D125" s="17" t="s">
        <v>171</v>
      </c>
      <c r="E125" s="10">
        <f t="shared" si="2"/>
        <v>49.382716049382715</v>
      </c>
      <c r="F125" s="4">
        <v>8</v>
      </c>
      <c r="G125" s="12">
        <v>162</v>
      </c>
      <c r="H125" s="50"/>
    </row>
    <row r="126" spans="1:8" ht="15.75" customHeight="1" x14ac:dyDescent="0.3">
      <c r="A126" s="36">
        <v>30402</v>
      </c>
      <c r="B126" s="17" t="s">
        <v>51</v>
      </c>
      <c r="C126" s="17" t="s">
        <v>374</v>
      </c>
      <c r="D126" s="17" t="s">
        <v>153</v>
      </c>
      <c r="E126" s="10">
        <f t="shared" si="2"/>
        <v>21.897810218978105</v>
      </c>
      <c r="F126" s="4">
        <v>3</v>
      </c>
      <c r="G126" s="12">
        <v>137</v>
      </c>
      <c r="H126" s="50"/>
    </row>
    <row r="127" spans="1:8" ht="15.75" customHeight="1" x14ac:dyDescent="0.3">
      <c r="A127" s="36">
        <v>30403</v>
      </c>
      <c r="B127" s="17" t="s">
        <v>51</v>
      </c>
      <c r="C127" s="17" t="s">
        <v>374</v>
      </c>
      <c r="D127" s="17" t="s">
        <v>259</v>
      </c>
      <c r="E127" s="10">
        <f t="shared" si="2"/>
        <v>72.02216066481995</v>
      </c>
      <c r="F127" s="4">
        <v>26</v>
      </c>
      <c r="G127" s="12">
        <v>361</v>
      </c>
      <c r="H127" s="50"/>
    </row>
    <row r="128" spans="1:8" ht="15.75" customHeight="1" x14ac:dyDescent="0.3">
      <c r="A128" s="36">
        <v>30404</v>
      </c>
      <c r="B128" s="17" t="s">
        <v>51</v>
      </c>
      <c r="C128" s="17" t="s">
        <v>374</v>
      </c>
      <c r="D128" s="17" t="s">
        <v>155</v>
      </c>
      <c r="E128" s="10">
        <f t="shared" si="2"/>
        <v>0</v>
      </c>
      <c r="F128" s="4">
        <v>0</v>
      </c>
      <c r="G128" s="12">
        <v>93</v>
      </c>
      <c r="H128" s="50"/>
    </row>
    <row r="129" spans="1:8" ht="15.75" customHeight="1" x14ac:dyDescent="0.3">
      <c r="A129" s="36">
        <v>30501</v>
      </c>
      <c r="B129" s="17" t="s">
        <v>51</v>
      </c>
      <c r="C129" s="17" t="s">
        <v>179</v>
      </c>
      <c r="D129" s="17" t="s">
        <v>179</v>
      </c>
      <c r="E129" s="10">
        <f t="shared" si="2"/>
        <v>86.330935251798564</v>
      </c>
      <c r="F129" s="4">
        <v>12</v>
      </c>
      <c r="G129" s="12">
        <v>139</v>
      </c>
      <c r="H129" s="50"/>
    </row>
    <row r="130" spans="1:8" ht="15.75" customHeight="1" x14ac:dyDescent="0.3">
      <c r="A130" s="36">
        <v>30502</v>
      </c>
      <c r="B130" s="17" t="s">
        <v>51</v>
      </c>
      <c r="C130" s="17" t="s">
        <v>179</v>
      </c>
      <c r="D130" s="17" t="s">
        <v>238</v>
      </c>
      <c r="E130" s="10">
        <f t="shared" si="2"/>
        <v>21.978021978021978</v>
      </c>
      <c r="F130" s="4">
        <v>4</v>
      </c>
      <c r="G130" s="12">
        <v>182</v>
      </c>
      <c r="H130" s="50"/>
    </row>
    <row r="131" spans="1:8" ht="15.75" customHeight="1" x14ac:dyDescent="0.3">
      <c r="A131" s="36">
        <v>30601</v>
      </c>
      <c r="B131" s="17" t="s">
        <v>51</v>
      </c>
      <c r="C131" s="17" t="s">
        <v>128</v>
      </c>
      <c r="D131" s="17" t="s">
        <v>128</v>
      </c>
      <c r="E131" s="10">
        <f t="shared" ref="E131:E194" si="3">(F131/G131)*1000</f>
        <v>49.450549450549445</v>
      </c>
      <c r="F131" s="4">
        <v>18</v>
      </c>
      <c r="G131" s="12">
        <v>364</v>
      </c>
      <c r="H131" s="50"/>
    </row>
    <row r="132" spans="1:8" ht="15.75" customHeight="1" x14ac:dyDescent="0.3">
      <c r="A132" s="36">
        <v>30602</v>
      </c>
      <c r="B132" s="17" t="s">
        <v>51</v>
      </c>
      <c r="C132" s="17" t="s">
        <v>128</v>
      </c>
      <c r="D132" s="17" t="s">
        <v>48</v>
      </c>
      <c r="E132" s="10">
        <f t="shared" si="3"/>
        <v>50.761421319796952</v>
      </c>
      <c r="F132" s="4">
        <v>10</v>
      </c>
      <c r="G132" s="12">
        <v>197</v>
      </c>
      <c r="H132" s="50"/>
    </row>
    <row r="133" spans="1:8" ht="15.75" customHeight="1" x14ac:dyDescent="0.3">
      <c r="A133" s="36">
        <v>30701</v>
      </c>
      <c r="B133" s="17" t="s">
        <v>51</v>
      </c>
      <c r="C133" s="17" t="s">
        <v>269</v>
      </c>
      <c r="D133" s="17" t="s">
        <v>269</v>
      </c>
      <c r="E133" s="10">
        <f t="shared" si="3"/>
        <v>13.66742596810934</v>
      </c>
      <c r="F133" s="4">
        <v>6</v>
      </c>
      <c r="G133" s="12">
        <v>439</v>
      </c>
      <c r="H133" s="50"/>
    </row>
    <row r="134" spans="1:8" ht="15.75" customHeight="1" x14ac:dyDescent="0.3">
      <c r="A134" s="36">
        <v>30702</v>
      </c>
      <c r="B134" s="17" t="s">
        <v>51</v>
      </c>
      <c r="C134" s="17" t="s">
        <v>269</v>
      </c>
      <c r="D134" s="17" t="s">
        <v>176</v>
      </c>
      <c r="E134" s="10">
        <f t="shared" si="3"/>
        <v>23.809523809523807</v>
      </c>
      <c r="F134" s="4">
        <v>3</v>
      </c>
      <c r="G134" s="12">
        <v>126</v>
      </c>
      <c r="H134" s="50"/>
    </row>
    <row r="135" spans="1:8" ht="15.75" customHeight="1" x14ac:dyDescent="0.3">
      <c r="A135" s="36">
        <v>30703</v>
      </c>
      <c r="B135" s="17" t="s">
        <v>51</v>
      </c>
      <c r="C135" s="17" t="s">
        <v>269</v>
      </c>
      <c r="D135" s="17" t="s">
        <v>96</v>
      </c>
      <c r="E135" s="10">
        <f t="shared" si="3"/>
        <v>79.207920792079207</v>
      </c>
      <c r="F135" s="4">
        <v>8</v>
      </c>
      <c r="G135" s="12">
        <v>101</v>
      </c>
      <c r="H135" s="50"/>
    </row>
    <row r="136" spans="1:8" ht="15.75" customHeight="1" x14ac:dyDescent="0.3">
      <c r="A136" s="36">
        <v>30801</v>
      </c>
      <c r="B136" s="17" t="s">
        <v>51</v>
      </c>
      <c r="C136" s="17" t="s">
        <v>375</v>
      </c>
      <c r="D136" s="17" t="s">
        <v>202</v>
      </c>
      <c r="E136" s="10">
        <f t="shared" si="3"/>
        <v>20</v>
      </c>
      <c r="F136" s="4">
        <v>8</v>
      </c>
      <c r="G136" s="12">
        <v>400</v>
      </c>
      <c r="H136" s="50"/>
    </row>
    <row r="137" spans="1:8" ht="15.75" customHeight="1" x14ac:dyDescent="0.3">
      <c r="A137" s="36">
        <v>30802</v>
      </c>
      <c r="B137" s="17" t="s">
        <v>51</v>
      </c>
      <c r="C137" s="17" t="s">
        <v>375</v>
      </c>
      <c r="D137" s="17" t="s">
        <v>319</v>
      </c>
      <c r="E137" s="10">
        <f t="shared" si="3"/>
        <v>27.522935779816514</v>
      </c>
      <c r="F137" s="4">
        <v>3</v>
      </c>
      <c r="G137" s="12">
        <v>109</v>
      </c>
      <c r="H137" s="50"/>
    </row>
    <row r="138" spans="1:8" ht="15.75" customHeight="1" x14ac:dyDescent="0.3">
      <c r="A138" s="36">
        <v>30803</v>
      </c>
      <c r="B138" s="17" t="s">
        <v>51</v>
      </c>
      <c r="C138" s="17" t="s">
        <v>375</v>
      </c>
      <c r="D138" s="17" t="s">
        <v>19</v>
      </c>
      <c r="E138" s="10">
        <f t="shared" si="3"/>
        <v>41.237113402061858</v>
      </c>
      <c r="F138" s="4">
        <v>4</v>
      </c>
      <c r="G138" s="12">
        <v>97</v>
      </c>
      <c r="H138" s="50"/>
    </row>
    <row r="139" spans="1:8" ht="15.75" customHeight="1" x14ac:dyDescent="0.3">
      <c r="A139" s="36">
        <v>30901</v>
      </c>
      <c r="B139" s="17" t="s">
        <v>51</v>
      </c>
      <c r="C139" s="17" t="s">
        <v>299</v>
      </c>
      <c r="D139" s="17" t="s">
        <v>299</v>
      </c>
      <c r="E139" s="10">
        <f t="shared" si="3"/>
        <v>8.9872105081230558</v>
      </c>
      <c r="F139" s="4">
        <v>26</v>
      </c>
      <c r="G139" s="12">
        <v>2893</v>
      </c>
      <c r="H139" s="50"/>
    </row>
    <row r="140" spans="1:8" ht="15.75" customHeight="1" x14ac:dyDescent="0.3">
      <c r="A140" s="36">
        <v>30902</v>
      </c>
      <c r="B140" s="17" t="s">
        <v>51</v>
      </c>
      <c r="C140" s="17" t="s">
        <v>299</v>
      </c>
      <c r="D140" s="17" t="s">
        <v>292</v>
      </c>
      <c r="E140" s="10">
        <f t="shared" si="3"/>
        <v>17.875920084121976</v>
      </c>
      <c r="F140" s="4">
        <v>17</v>
      </c>
      <c r="G140" s="12">
        <v>951</v>
      </c>
      <c r="H140" s="50"/>
    </row>
    <row r="141" spans="1:8" ht="15.75" customHeight="1" x14ac:dyDescent="0.3">
      <c r="A141" s="36">
        <v>30903</v>
      </c>
      <c r="B141" s="17" t="s">
        <v>51</v>
      </c>
      <c r="C141" s="17" t="s">
        <v>299</v>
      </c>
      <c r="D141" s="17" t="s">
        <v>283</v>
      </c>
      <c r="E141" s="10">
        <f t="shared" si="3"/>
        <v>8.9766606822262123</v>
      </c>
      <c r="F141" s="4">
        <v>10</v>
      </c>
      <c r="G141" s="12">
        <v>1114</v>
      </c>
      <c r="H141" s="50"/>
    </row>
    <row r="142" spans="1:8" ht="15.75" customHeight="1" x14ac:dyDescent="0.3">
      <c r="A142" s="36">
        <v>30904</v>
      </c>
      <c r="B142" s="17" t="s">
        <v>51</v>
      </c>
      <c r="C142" s="17" t="s">
        <v>299</v>
      </c>
      <c r="D142" s="17" t="s">
        <v>288</v>
      </c>
      <c r="E142" s="10">
        <f t="shared" si="3"/>
        <v>13.547840812870449</v>
      </c>
      <c r="F142" s="4">
        <v>16</v>
      </c>
      <c r="G142" s="12">
        <v>1181</v>
      </c>
      <c r="H142" s="50"/>
    </row>
    <row r="143" spans="1:8" ht="15.75" customHeight="1" x14ac:dyDescent="0.3">
      <c r="A143" s="36">
        <v>30905</v>
      </c>
      <c r="B143" s="17" t="s">
        <v>51</v>
      </c>
      <c r="C143" s="17" t="s">
        <v>299</v>
      </c>
      <c r="D143" s="17" t="s">
        <v>213</v>
      </c>
      <c r="E143" s="10">
        <f t="shared" si="3"/>
        <v>8.9552238805970159</v>
      </c>
      <c r="F143" s="4">
        <v>9</v>
      </c>
      <c r="G143" s="12">
        <v>1005</v>
      </c>
      <c r="H143" s="50"/>
    </row>
    <row r="144" spans="1:8" ht="15.75" customHeight="1" x14ac:dyDescent="0.3">
      <c r="A144" s="36">
        <v>31001</v>
      </c>
      <c r="B144" s="17" t="s">
        <v>51</v>
      </c>
      <c r="C144" s="17" t="s">
        <v>376</v>
      </c>
      <c r="D144" s="17" t="s">
        <v>303</v>
      </c>
      <c r="E144" s="10">
        <f t="shared" si="3"/>
        <v>23.408506994005137</v>
      </c>
      <c r="F144" s="4">
        <v>82</v>
      </c>
      <c r="G144" s="12">
        <v>3503</v>
      </c>
      <c r="H144" s="50"/>
    </row>
    <row r="145" spans="1:8" ht="15.75" customHeight="1" x14ac:dyDescent="0.3">
      <c r="A145" s="36">
        <v>31002</v>
      </c>
      <c r="B145" s="17" t="s">
        <v>51</v>
      </c>
      <c r="C145" s="17" t="s">
        <v>376</v>
      </c>
      <c r="D145" s="17" t="s">
        <v>275</v>
      </c>
      <c r="E145" s="10">
        <f t="shared" si="3"/>
        <v>33.472803347280333</v>
      </c>
      <c r="F145" s="4">
        <v>16</v>
      </c>
      <c r="G145" s="12">
        <v>478</v>
      </c>
      <c r="H145" s="50"/>
    </row>
    <row r="146" spans="1:8" ht="15.75" customHeight="1" x14ac:dyDescent="0.3">
      <c r="A146" s="36">
        <v>31003</v>
      </c>
      <c r="B146" s="17" t="s">
        <v>51</v>
      </c>
      <c r="C146" s="17" t="s">
        <v>376</v>
      </c>
      <c r="D146" s="17" t="s">
        <v>195</v>
      </c>
      <c r="E146" s="10">
        <f t="shared" si="3"/>
        <v>33.640803038524147</v>
      </c>
      <c r="F146" s="4">
        <v>62</v>
      </c>
      <c r="G146" s="12">
        <v>1843</v>
      </c>
      <c r="H146" s="50"/>
    </row>
    <row r="147" spans="1:8" ht="15.75" customHeight="1" x14ac:dyDescent="0.3">
      <c r="A147" s="36">
        <v>31101</v>
      </c>
      <c r="B147" s="17" t="s">
        <v>51</v>
      </c>
      <c r="C147" s="17" t="s">
        <v>63</v>
      </c>
      <c r="D147" s="17" t="s">
        <v>63</v>
      </c>
      <c r="E147" s="10">
        <f t="shared" si="3"/>
        <v>49.450549450549445</v>
      </c>
      <c r="F147" s="4">
        <v>27</v>
      </c>
      <c r="G147" s="12">
        <v>546</v>
      </c>
      <c r="H147" s="50"/>
    </row>
    <row r="148" spans="1:8" ht="15.75" customHeight="1" x14ac:dyDescent="0.3">
      <c r="A148" s="36">
        <v>31201</v>
      </c>
      <c r="B148" s="17" t="s">
        <v>51</v>
      </c>
      <c r="C148" s="17" t="s">
        <v>377</v>
      </c>
      <c r="D148" s="17" t="s">
        <v>180</v>
      </c>
      <c r="E148" s="10">
        <f t="shared" si="3"/>
        <v>41.666666666666664</v>
      </c>
      <c r="F148" s="4">
        <v>14</v>
      </c>
      <c r="G148" s="12">
        <v>336</v>
      </c>
      <c r="H148" s="50"/>
    </row>
    <row r="149" spans="1:8" ht="15.75" customHeight="1" x14ac:dyDescent="0.3">
      <c r="A149" s="36">
        <v>31202</v>
      </c>
      <c r="B149" s="17" t="s">
        <v>51</v>
      </c>
      <c r="C149" s="17" t="s">
        <v>377</v>
      </c>
      <c r="D149" s="17" t="s">
        <v>205</v>
      </c>
      <c r="E149" s="10">
        <f t="shared" si="3"/>
        <v>33.333333333333336</v>
      </c>
      <c r="F149" s="4">
        <v>9</v>
      </c>
      <c r="G149" s="12">
        <v>270</v>
      </c>
      <c r="H149" s="50"/>
    </row>
    <row r="150" spans="1:8" ht="15.75" customHeight="1" x14ac:dyDescent="0.3">
      <c r="A150" s="36">
        <v>31203</v>
      </c>
      <c r="B150" s="17" t="s">
        <v>51</v>
      </c>
      <c r="C150" s="17" t="s">
        <v>377</v>
      </c>
      <c r="D150" s="17" t="s">
        <v>242</v>
      </c>
      <c r="E150" s="10">
        <f t="shared" si="3"/>
        <v>22.831050228310502</v>
      </c>
      <c r="F150" s="4">
        <v>5</v>
      </c>
      <c r="G150" s="12">
        <v>219</v>
      </c>
      <c r="H150" s="50"/>
    </row>
    <row r="151" spans="1:8" ht="15.75" customHeight="1" x14ac:dyDescent="0.3">
      <c r="A151" s="36">
        <v>31204</v>
      </c>
      <c r="B151" s="17" t="s">
        <v>51</v>
      </c>
      <c r="C151" s="17" t="s">
        <v>377</v>
      </c>
      <c r="D151" s="17" t="s">
        <v>237</v>
      </c>
      <c r="E151" s="10">
        <f t="shared" si="3"/>
        <v>32.590051457975989</v>
      </c>
      <c r="F151" s="4">
        <v>19</v>
      </c>
      <c r="G151" s="12">
        <v>583</v>
      </c>
      <c r="H151" s="50"/>
    </row>
    <row r="152" spans="1:8" ht="15.75" customHeight="1" x14ac:dyDescent="0.3">
      <c r="A152" s="36">
        <v>31205</v>
      </c>
      <c r="B152" s="17" t="s">
        <v>51</v>
      </c>
      <c r="C152" s="17" t="s">
        <v>377</v>
      </c>
      <c r="D152" s="17" t="s">
        <v>270</v>
      </c>
      <c r="E152" s="10">
        <f t="shared" si="3"/>
        <v>20.29220779220779</v>
      </c>
      <c r="F152" s="4">
        <v>25</v>
      </c>
      <c r="G152" s="12">
        <v>1232</v>
      </c>
      <c r="H152" s="50"/>
    </row>
    <row r="153" spans="1:8" ht="15.75" customHeight="1" x14ac:dyDescent="0.3">
      <c r="A153" s="36">
        <v>31206</v>
      </c>
      <c r="B153" s="17" t="s">
        <v>51</v>
      </c>
      <c r="C153" s="17" t="s">
        <v>377</v>
      </c>
      <c r="D153" s="17" t="s">
        <v>223</v>
      </c>
      <c r="E153" s="10">
        <f t="shared" si="3"/>
        <v>14.527845036319613</v>
      </c>
      <c r="F153" s="4">
        <v>12</v>
      </c>
      <c r="G153" s="12">
        <v>826</v>
      </c>
      <c r="H153" s="50"/>
    </row>
    <row r="154" spans="1:8" ht="15.75" customHeight="1" x14ac:dyDescent="0.3">
      <c r="A154" s="36">
        <v>31301</v>
      </c>
      <c r="B154" s="17" t="s">
        <v>51</v>
      </c>
      <c r="C154" s="17" t="s">
        <v>224</v>
      </c>
      <c r="D154" s="17" t="s">
        <v>224</v>
      </c>
      <c r="E154" s="10">
        <f t="shared" si="3"/>
        <v>17.341040462427745</v>
      </c>
      <c r="F154" s="4">
        <v>12</v>
      </c>
      <c r="G154" s="12">
        <v>692</v>
      </c>
      <c r="H154" s="50"/>
    </row>
    <row r="155" spans="1:8" ht="15.75" customHeight="1" x14ac:dyDescent="0.3">
      <c r="A155" s="36">
        <v>31302</v>
      </c>
      <c r="B155" s="17" t="s">
        <v>51</v>
      </c>
      <c r="C155" s="17" t="s">
        <v>224</v>
      </c>
      <c r="D155" s="17" t="s">
        <v>38</v>
      </c>
      <c r="E155" s="10">
        <f t="shared" si="3"/>
        <v>18.518518518518519</v>
      </c>
      <c r="F155" s="4">
        <v>2</v>
      </c>
      <c r="G155" s="12">
        <v>108</v>
      </c>
      <c r="H155" s="50"/>
    </row>
    <row r="156" spans="1:8" ht="15.75" customHeight="1" x14ac:dyDescent="0.3">
      <c r="A156" s="36">
        <v>31303</v>
      </c>
      <c r="B156" s="17" t="s">
        <v>51</v>
      </c>
      <c r="C156" s="17" t="s">
        <v>224</v>
      </c>
      <c r="D156" s="17" t="s">
        <v>21</v>
      </c>
      <c r="E156" s="10">
        <f t="shared" si="3"/>
        <v>12.195121951219512</v>
      </c>
      <c r="F156" s="4">
        <v>1</v>
      </c>
      <c r="G156" s="12">
        <v>82</v>
      </c>
      <c r="H156" s="50"/>
    </row>
    <row r="157" spans="1:8" ht="15.75" customHeight="1" x14ac:dyDescent="0.3">
      <c r="A157" s="37">
        <v>31304</v>
      </c>
      <c r="B157" s="17" t="s">
        <v>51</v>
      </c>
      <c r="C157" s="17" t="s">
        <v>224</v>
      </c>
      <c r="D157" s="17" t="s">
        <v>320</v>
      </c>
      <c r="E157" s="10">
        <f t="shared" si="3"/>
        <v>17.341040462427745</v>
      </c>
      <c r="F157" s="4">
        <v>12</v>
      </c>
      <c r="G157" s="12">
        <v>692</v>
      </c>
      <c r="H157" s="50"/>
    </row>
    <row r="158" spans="1:8" ht="15.75" customHeight="1" x14ac:dyDescent="0.3">
      <c r="A158" s="36">
        <v>31401</v>
      </c>
      <c r="B158" s="17" t="s">
        <v>51</v>
      </c>
      <c r="C158" s="17" t="s">
        <v>240</v>
      </c>
      <c r="D158" s="17" t="s">
        <v>240</v>
      </c>
      <c r="E158" s="10">
        <f t="shared" si="3"/>
        <v>14.925373134328359</v>
      </c>
      <c r="F158" s="4">
        <v>8</v>
      </c>
      <c r="G158" s="12">
        <v>536</v>
      </c>
      <c r="H158" s="50"/>
    </row>
    <row r="159" spans="1:8" ht="15.75" customHeight="1" x14ac:dyDescent="0.3">
      <c r="A159" s="36">
        <v>31402</v>
      </c>
      <c r="B159" s="17" t="s">
        <v>51</v>
      </c>
      <c r="C159" s="17" t="s">
        <v>240</v>
      </c>
      <c r="D159" s="17" t="s">
        <v>163</v>
      </c>
      <c r="E159" s="10">
        <f t="shared" si="3"/>
        <v>0</v>
      </c>
      <c r="F159" s="4">
        <v>0</v>
      </c>
      <c r="G159" s="12">
        <v>174</v>
      </c>
      <c r="H159" s="50"/>
    </row>
    <row r="160" spans="1:8" ht="15.75" customHeight="1" x14ac:dyDescent="0.3">
      <c r="A160" s="36">
        <v>31403</v>
      </c>
      <c r="B160" s="17" t="s">
        <v>51</v>
      </c>
      <c r="C160" s="17" t="s">
        <v>240</v>
      </c>
      <c r="D160" s="17" t="s">
        <v>156</v>
      </c>
      <c r="E160" s="10">
        <f t="shared" si="3"/>
        <v>27.649769585253459</v>
      </c>
      <c r="F160" s="4">
        <v>6</v>
      </c>
      <c r="G160" s="12">
        <v>217</v>
      </c>
      <c r="H160" s="50"/>
    </row>
    <row r="161" spans="1:8" ht="15.75" customHeight="1" x14ac:dyDescent="0.3">
      <c r="A161" s="36">
        <v>31404</v>
      </c>
      <c r="B161" s="17" t="s">
        <v>51</v>
      </c>
      <c r="C161" s="17" t="s">
        <v>240</v>
      </c>
      <c r="D161" s="17" t="s">
        <v>7</v>
      </c>
      <c r="E161" s="10">
        <f t="shared" si="3"/>
        <v>43.478260869565219</v>
      </c>
      <c r="F161" s="4">
        <v>1</v>
      </c>
      <c r="G161" s="12">
        <v>23</v>
      </c>
      <c r="H161" s="50"/>
    </row>
    <row r="162" spans="1:8" ht="15.75" customHeight="1" x14ac:dyDescent="0.3">
      <c r="A162" s="36">
        <v>31405</v>
      </c>
      <c r="B162" s="17" t="s">
        <v>51</v>
      </c>
      <c r="C162" s="17" t="s">
        <v>240</v>
      </c>
      <c r="D162" s="17" t="s">
        <v>321</v>
      </c>
      <c r="E162" s="10">
        <f t="shared" si="3"/>
        <v>0</v>
      </c>
      <c r="F162" s="4">
        <v>0</v>
      </c>
      <c r="G162" s="12">
        <v>49</v>
      </c>
      <c r="H162" s="50"/>
    </row>
    <row r="163" spans="1:8" ht="15.75" customHeight="1" x14ac:dyDescent="0.3">
      <c r="A163" s="36">
        <v>31501</v>
      </c>
      <c r="B163" s="17" t="s">
        <v>51</v>
      </c>
      <c r="C163" s="17" t="s">
        <v>322</v>
      </c>
      <c r="D163" s="17" t="s">
        <v>322</v>
      </c>
      <c r="E163" s="10">
        <f t="shared" si="3"/>
        <v>59.25925925925926</v>
      </c>
      <c r="F163" s="4">
        <v>8</v>
      </c>
      <c r="G163" s="12">
        <v>135</v>
      </c>
      <c r="H163" s="50"/>
    </row>
    <row r="164" spans="1:8" ht="15.75" customHeight="1" x14ac:dyDescent="0.3">
      <c r="A164" s="36">
        <v>31601</v>
      </c>
      <c r="B164" s="17" t="s">
        <v>51</v>
      </c>
      <c r="C164" s="17" t="s">
        <v>282</v>
      </c>
      <c r="D164" s="17" t="s">
        <v>282</v>
      </c>
      <c r="E164" s="10">
        <f t="shared" si="3"/>
        <v>29.850746268656717</v>
      </c>
      <c r="F164" s="4">
        <v>14</v>
      </c>
      <c r="G164" s="12">
        <v>469</v>
      </c>
      <c r="H164" s="50"/>
    </row>
    <row r="165" spans="1:8" ht="15.75" customHeight="1" x14ac:dyDescent="0.3">
      <c r="A165" s="36">
        <v>31602</v>
      </c>
      <c r="B165" s="17" t="s">
        <v>51</v>
      </c>
      <c r="C165" s="17" t="s">
        <v>282</v>
      </c>
      <c r="D165" s="17" t="s">
        <v>243</v>
      </c>
      <c r="E165" s="10">
        <f t="shared" si="3"/>
        <v>8.9285714285714288</v>
      </c>
      <c r="F165" s="4">
        <v>5</v>
      </c>
      <c r="G165" s="12">
        <v>560</v>
      </c>
      <c r="H165" s="50"/>
    </row>
    <row r="166" spans="1:8" ht="15.75" customHeight="1" x14ac:dyDescent="0.3">
      <c r="A166" s="36">
        <v>40101</v>
      </c>
      <c r="B166" s="17" t="s">
        <v>57</v>
      </c>
      <c r="C166" s="17" t="s">
        <v>371</v>
      </c>
      <c r="D166" s="17" t="s">
        <v>57</v>
      </c>
      <c r="E166" s="10">
        <f t="shared" si="3"/>
        <v>5.3059780686239826</v>
      </c>
      <c r="F166" s="4">
        <v>30</v>
      </c>
      <c r="G166" s="12">
        <v>5654</v>
      </c>
      <c r="H166" s="50"/>
    </row>
    <row r="167" spans="1:8" ht="15.75" customHeight="1" x14ac:dyDescent="0.3">
      <c r="A167" s="36">
        <v>40102</v>
      </c>
      <c r="B167" s="17" t="s">
        <v>57</v>
      </c>
      <c r="C167" s="17" t="s">
        <v>371</v>
      </c>
      <c r="D167" s="17" t="s">
        <v>286</v>
      </c>
      <c r="E167" s="10">
        <f t="shared" si="3"/>
        <v>54.585152838427952</v>
      </c>
      <c r="F167" s="4">
        <v>25</v>
      </c>
      <c r="G167" s="12">
        <v>458</v>
      </c>
      <c r="H167" s="50"/>
    </row>
    <row r="168" spans="1:8" ht="15.75" customHeight="1" x14ac:dyDescent="0.3">
      <c r="A168" s="36">
        <v>40103</v>
      </c>
      <c r="B168" s="17" t="s">
        <v>57</v>
      </c>
      <c r="C168" s="17" t="s">
        <v>371</v>
      </c>
      <c r="D168" s="17" t="s">
        <v>32</v>
      </c>
      <c r="E168" s="10">
        <f t="shared" si="3"/>
        <v>27.210884353741495</v>
      </c>
      <c r="F168" s="4">
        <v>4</v>
      </c>
      <c r="G168" s="12">
        <v>147</v>
      </c>
      <c r="H168" s="50"/>
    </row>
    <row r="169" spans="1:8" ht="15.75" customHeight="1" x14ac:dyDescent="0.3">
      <c r="A169" s="36">
        <v>40104</v>
      </c>
      <c r="B169" s="17" t="s">
        <v>57</v>
      </c>
      <c r="C169" s="17" t="s">
        <v>371</v>
      </c>
      <c r="D169" s="17" t="s">
        <v>227</v>
      </c>
      <c r="E169" s="10">
        <f t="shared" si="3"/>
        <v>60.377358490566039</v>
      </c>
      <c r="F169" s="4">
        <v>16</v>
      </c>
      <c r="G169" s="12">
        <v>265</v>
      </c>
      <c r="H169" s="50"/>
    </row>
    <row r="170" spans="1:8" ht="15.75" customHeight="1" x14ac:dyDescent="0.3">
      <c r="A170" s="36">
        <v>40201</v>
      </c>
      <c r="B170" s="17" t="s">
        <v>57</v>
      </c>
      <c r="C170" s="17" t="s">
        <v>378</v>
      </c>
      <c r="D170" s="17" t="s">
        <v>247</v>
      </c>
      <c r="E170" s="10">
        <f t="shared" si="3"/>
        <v>62.593144560357679</v>
      </c>
      <c r="F170" s="4">
        <v>42</v>
      </c>
      <c r="G170" s="12">
        <v>671</v>
      </c>
      <c r="H170" s="50"/>
    </row>
    <row r="171" spans="1:8" ht="15.75" customHeight="1" x14ac:dyDescent="0.3">
      <c r="A171" s="36">
        <v>40202</v>
      </c>
      <c r="B171" s="17" t="s">
        <v>57</v>
      </c>
      <c r="C171" s="17" t="s">
        <v>378</v>
      </c>
      <c r="D171" s="17" t="s">
        <v>323</v>
      </c>
      <c r="E171" s="10">
        <f t="shared" si="3"/>
        <v>61.728395061728392</v>
      </c>
      <c r="F171" s="4">
        <v>5</v>
      </c>
      <c r="G171" s="12">
        <v>81</v>
      </c>
      <c r="H171" s="50"/>
    </row>
    <row r="172" spans="1:8" ht="15.75" customHeight="1" x14ac:dyDescent="0.3">
      <c r="A172" s="36">
        <v>40301</v>
      </c>
      <c r="B172" s="17" t="s">
        <v>57</v>
      </c>
      <c r="C172" s="17" t="s">
        <v>8</v>
      </c>
      <c r="D172" s="17" t="s">
        <v>190</v>
      </c>
      <c r="E172" s="10">
        <f t="shared" si="3"/>
        <v>12.269938650306749</v>
      </c>
      <c r="F172" s="4">
        <v>2</v>
      </c>
      <c r="G172" s="12">
        <v>163</v>
      </c>
      <c r="H172" s="50"/>
    </row>
    <row r="173" spans="1:8" ht="15.75" customHeight="1" x14ac:dyDescent="0.3">
      <c r="A173" s="36">
        <v>40302</v>
      </c>
      <c r="B173" s="17" t="s">
        <v>57</v>
      </c>
      <c r="C173" s="17" t="s">
        <v>8</v>
      </c>
      <c r="D173" s="17" t="s">
        <v>324</v>
      </c>
      <c r="E173" s="10">
        <f t="shared" si="3"/>
        <v>33.333333333333336</v>
      </c>
      <c r="F173" s="4">
        <v>1</v>
      </c>
      <c r="G173" s="12">
        <v>30</v>
      </c>
      <c r="H173" s="50"/>
    </row>
    <row r="174" spans="1:8" ht="15.75" customHeight="1" x14ac:dyDescent="0.3">
      <c r="A174" s="36">
        <v>40401</v>
      </c>
      <c r="B174" s="17" t="s">
        <v>57</v>
      </c>
      <c r="C174" s="17" t="s">
        <v>379</v>
      </c>
      <c r="D174" s="17" t="s">
        <v>110</v>
      </c>
      <c r="E174" s="10">
        <f t="shared" si="3"/>
        <v>64.102564102564102</v>
      </c>
      <c r="F174" s="4">
        <v>5</v>
      </c>
      <c r="G174" s="12">
        <v>78</v>
      </c>
      <c r="H174" s="50"/>
    </row>
    <row r="175" spans="1:8" ht="15.75" customHeight="1" x14ac:dyDescent="0.3">
      <c r="A175" s="36">
        <v>40402</v>
      </c>
      <c r="B175" s="17" t="s">
        <v>57</v>
      </c>
      <c r="C175" s="17" t="s">
        <v>379</v>
      </c>
      <c r="D175" s="17" t="s">
        <v>144</v>
      </c>
      <c r="E175" s="10">
        <f t="shared" si="3"/>
        <v>72.916666666666671</v>
      </c>
      <c r="F175" s="4">
        <v>7</v>
      </c>
      <c r="G175" s="12">
        <v>96</v>
      </c>
      <c r="H175" s="50"/>
    </row>
    <row r="176" spans="1:8" ht="15.75" customHeight="1" x14ac:dyDescent="0.3">
      <c r="A176" s="36">
        <v>40501</v>
      </c>
      <c r="B176" s="17" t="s">
        <v>57</v>
      </c>
      <c r="C176" s="17" t="s">
        <v>380</v>
      </c>
      <c r="D176" s="17" t="s">
        <v>6</v>
      </c>
      <c r="E176" s="10">
        <f t="shared" si="3"/>
        <v>0</v>
      </c>
      <c r="F176" s="4">
        <v>0</v>
      </c>
      <c r="G176" s="12">
        <v>11</v>
      </c>
      <c r="H176" s="50"/>
    </row>
    <row r="177" spans="1:8" ht="15.75" customHeight="1" x14ac:dyDescent="0.3">
      <c r="A177" s="36">
        <v>40502</v>
      </c>
      <c r="B177" s="17" t="s">
        <v>57</v>
      </c>
      <c r="C177" s="17" t="s">
        <v>380</v>
      </c>
      <c r="D177" s="17" t="s">
        <v>111</v>
      </c>
      <c r="E177" s="10">
        <f t="shared" si="3"/>
        <v>25.641025641025639</v>
      </c>
      <c r="F177" s="4">
        <v>2</v>
      </c>
      <c r="G177" s="12">
        <v>78</v>
      </c>
      <c r="H177" s="50"/>
    </row>
    <row r="178" spans="1:8" ht="15.75" customHeight="1" x14ac:dyDescent="0.3">
      <c r="A178" s="36">
        <v>40503</v>
      </c>
      <c r="B178" s="17" t="s">
        <v>57</v>
      </c>
      <c r="C178" s="17" t="s">
        <v>380</v>
      </c>
      <c r="D178" s="17" t="s">
        <v>40</v>
      </c>
      <c r="E178" s="10">
        <f t="shared" si="3"/>
        <v>58.823529411764703</v>
      </c>
      <c r="F178" s="4">
        <v>2</v>
      </c>
      <c r="G178" s="12">
        <v>34</v>
      </c>
      <c r="H178" s="50"/>
    </row>
    <row r="179" spans="1:8" ht="15.75" customHeight="1" x14ac:dyDescent="0.3">
      <c r="A179" s="36">
        <v>40504</v>
      </c>
      <c r="B179" s="17" t="s">
        <v>57</v>
      </c>
      <c r="C179" s="17" t="s">
        <v>380</v>
      </c>
      <c r="D179" s="17" t="s">
        <v>325</v>
      </c>
      <c r="E179" s="10">
        <f t="shared" si="3"/>
        <v>0</v>
      </c>
      <c r="F179" s="4">
        <v>0</v>
      </c>
      <c r="G179" s="12">
        <v>8</v>
      </c>
      <c r="H179" s="50"/>
    </row>
    <row r="180" spans="1:8" ht="15.75" customHeight="1" x14ac:dyDescent="0.3">
      <c r="A180" s="36">
        <v>40505</v>
      </c>
      <c r="B180" s="17" t="s">
        <v>57</v>
      </c>
      <c r="C180" s="17" t="s">
        <v>380</v>
      </c>
      <c r="D180" s="17" t="s">
        <v>22</v>
      </c>
      <c r="E180" s="10">
        <f t="shared" si="3"/>
        <v>0</v>
      </c>
      <c r="F180" s="4">
        <v>0</v>
      </c>
      <c r="G180" s="12">
        <v>60</v>
      </c>
      <c r="H180" s="50"/>
    </row>
    <row r="181" spans="1:8" ht="15.75" customHeight="1" x14ac:dyDescent="0.3">
      <c r="A181" s="36">
        <v>40601</v>
      </c>
      <c r="B181" s="17" t="s">
        <v>57</v>
      </c>
      <c r="C181" s="17" t="s">
        <v>208</v>
      </c>
      <c r="D181" s="17" t="s">
        <v>208</v>
      </c>
      <c r="E181" s="10">
        <f t="shared" si="3"/>
        <v>84.033613445378151</v>
      </c>
      <c r="F181" s="4">
        <v>10</v>
      </c>
      <c r="G181" s="12">
        <v>119</v>
      </c>
      <c r="H181" s="50"/>
    </row>
    <row r="182" spans="1:8" ht="15.75" customHeight="1" x14ac:dyDescent="0.3">
      <c r="A182" s="36">
        <v>40602</v>
      </c>
      <c r="B182" s="17" t="s">
        <v>57</v>
      </c>
      <c r="C182" s="17" t="s">
        <v>208</v>
      </c>
      <c r="D182" s="17" t="s">
        <v>137</v>
      </c>
      <c r="E182" s="10">
        <f t="shared" si="3"/>
        <v>26.785714285714285</v>
      </c>
      <c r="F182" s="4">
        <v>3</v>
      </c>
      <c r="G182" s="12">
        <v>112</v>
      </c>
      <c r="H182" s="50"/>
    </row>
    <row r="183" spans="1:8" ht="15.75" customHeight="1" x14ac:dyDescent="0.3">
      <c r="A183" s="36">
        <v>40603</v>
      </c>
      <c r="B183" s="17" t="s">
        <v>57</v>
      </c>
      <c r="C183" s="17" t="s">
        <v>208</v>
      </c>
      <c r="D183" s="17" t="s">
        <v>45</v>
      </c>
      <c r="E183" s="10">
        <f t="shared" si="3"/>
        <v>16.393442622950822</v>
      </c>
      <c r="F183" s="4">
        <v>1</v>
      </c>
      <c r="G183" s="12">
        <v>61</v>
      </c>
      <c r="H183" s="50"/>
    </row>
    <row r="184" spans="1:8" ht="15.75" customHeight="1" x14ac:dyDescent="0.3">
      <c r="A184" s="36">
        <v>40701</v>
      </c>
      <c r="B184" s="17" t="s">
        <v>57</v>
      </c>
      <c r="C184" s="17" t="s">
        <v>381</v>
      </c>
      <c r="D184" s="17" t="s">
        <v>215</v>
      </c>
      <c r="E184" s="10">
        <f t="shared" si="3"/>
        <v>18.975332068311193</v>
      </c>
      <c r="F184" s="4">
        <v>10</v>
      </c>
      <c r="G184" s="12">
        <v>527</v>
      </c>
      <c r="H184" s="50"/>
    </row>
    <row r="185" spans="1:8" ht="15.75" customHeight="1" x14ac:dyDescent="0.3">
      <c r="A185" s="36">
        <v>40702</v>
      </c>
      <c r="B185" s="17" t="s">
        <v>57</v>
      </c>
      <c r="C185" s="17" t="s">
        <v>381</v>
      </c>
      <c r="D185" s="17" t="s">
        <v>47</v>
      </c>
      <c r="E185" s="10">
        <f t="shared" si="3"/>
        <v>22.727272727272727</v>
      </c>
      <c r="F185" s="4">
        <v>2</v>
      </c>
      <c r="G185" s="12">
        <v>88</v>
      </c>
      <c r="H185" s="50"/>
    </row>
    <row r="186" spans="1:8" ht="15.75" customHeight="1" x14ac:dyDescent="0.3">
      <c r="A186" s="36">
        <v>40801</v>
      </c>
      <c r="B186" s="17" t="s">
        <v>57</v>
      </c>
      <c r="C186" s="17" t="s">
        <v>382</v>
      </c>
      <c r="D186" s="17" t="s">
        <v>326</v>
      </c>
      <c r="E186" s="10">
        <f t="shared" si="3"/>
        <v>35.714285714285715</v>
      </c>
      <c r="F186" s="4">
        <v>7</v>
      </c>
      <c r="G186" s="12">
        <v>196</v>
      </c>
      <c r="H186" s="50"/>
    </row>
    <row r="187" spans="1:8" ht="15.75" customHeight="1" x14ac:dyDescent="0.3">
      <c r="A187" s="36">
        <v>40802</v>
      </c>
      <c r="B187" s="17" t="s">
        <v>57</v>
      </c>
      <c r="C187" s="17" t="s">
        <v>382</v>
      </c>
      <c r="D187" s="17" t="s">
        <v>69</v>
      </c>
      <c r="E187" s="10">
        <f t="shared" si="3"/>
        <v>0</v>
      </c>
      <c r="F187" s="4">
        <v>0</v>
      </c>
      <c r="G187" s="12">
        <v>64</v>
      </c>
      <c r="H187" s="50"/>
    </row>
    <row r="188" spans="1:8" ht="15.75" customHeight="1" x14ac:dyDescent="0.3">
      <c r="A188" s="36">
        <v>40901</v>
      </c>
      <c r="B188" s="17" t="s">
        <v>57</v>
      </c>
      <c r="C188" s="17" t="s">
        <v>173</v>
      </c>
      <c r="D188" s="17" t="s">
        <v>173</v>
      </c>
      <c r="E188" s="10">
        <f t="shared" si="3"/>
        <v>22.598870056497177</v>
      </c>
      <c r="F188" s="4">
        <v>4</v>
      </c>
      <c r="G188" s="12">
        <v>177</v>
      </c>
      <c r="H188" s="50"/>
    </row>
    <row r="189" spans="1:8" ht="15.75" customHeight="1" x14ac:dyDescent="0.3">
      <c r="A189" s="36">
        <v>40902</v>
      </c>
      <c r="B189" s="17" t="s">
        <v>57</v>
      </c>
      <c r="C189" s="17" t="s">
        <v>173</v>
      </c>
      <c r="D189" s="17" t="s">
        <v>0</v>
      </c>
      <c r="E189" s="10">
        <f t="shared" si="3"/>
        <v>0</v>
      </c>
      <c r="F189" s="4">
        <v>0</v>
      </c>
      <c r="G189" s="12">
        <v>18</v>
      </c>
      <c r="H189" s="50"/>
    </row>
    <row r="190" spans="1:8" ht="15.75" customHeight="1" x14ac:dyDescent="0.3">
      <c r="A190" s="36">
        <v>40903</v>
      </c>
      <c r="B190" s="17" t="s">
        <v>57</v>
      </c>
      <c r="C190" s="17" t="s">
        <v>173</v>
      </c>
      <c r="D190" s="17" t="s">
        <v>23</v>
      </c>
      <c r="E190" s="10">
        <f t="shared" si="3"/>
        <v>58.823529411764703</v>
      </c>
      <c r="F190" s="4">
        <v>3</v>
      </c>
      <c r="G190" s="12">
        <v>51</v>
      </c>
      <c r="H190" s="50"/>
    </row>
    <row r="191" spans="1:8" ht="15.75" customHeight="1" x14ac:dyDescent="0.3">
      <c r="A191" s="36">
        <v>41001</v>
      </c>
      <c r="B191" s="17" t="s">
        <v>57</v>
      </c>
      <c r="C191" s="17" t="s">
        <v>383</v>
      </c>
      <c r="D191" s="17" t="s">
        <v>125</v>
      </c>
      <c r="E191" s="10">
        <f t="shared" si="3"/>
        <v>27.586206896551722</v>
      </c>
      <c r="F191" s="4">
        <v>4</v>
      </c>
      <c r="G191" s="12">
        <v>145</v>
      </c>
      <c r="H191" s="50"/>
    </row>
    <row r="192" spans="1:8" ht="15.75" customHeight="1" x14ac:dyDescent="0.3">
      <c r="A192" s="36">
        <v>41101</v>
      </c>
      <c r="B192" s="17" t="s">
        <v>57</v>
      </c>
      <c r="C192" s="17" t="s">
        <v>384</v>
      </c>
      <c r="D192" s="17" t="s">
        <v>127</v>
      </c>
      <c r="E192" s="10">
        <f t="shared" si="3"/>
        <v>60.606060606060609</v>
      </c>
      <c r="F192" s="4">
        <v>6</v>
      </c>
      <c r="G192" s="12">
        <v>99</v>
      </c>
      <c r="H192" s="50"/>
    </row>
    <row r="193" spans="1:8" ht="15.75" customHeight="1" x14ac:dyDescent="0.3">
      <c r="A193" s="36">
        <v>41201</v>
      </c>
      <c r="B193" s="17" t="s">
        <v>57</v>
      </c>
      <c r="C193" s="17" t="s">
        <v>385</v>
      </c>
      <c r="D193" s="17" t="s">
        <v>152</v>
      </c>
      <c r="E193" s="10">
        <f t="shared" si="3"/>
        <v>50.632911392405063</v>
      </c>
      <c r="F193" s="4">
        <v>4</v>
      </c>
      <c r="G193" s="12">
        <v>79</v>
      </c>
      <c r="H193" s="50"/>
    </row>
    <row r="194" spans="1:8" ht="15.75" customHeight="1" x14ac:dyDescent="0.3">
      <c r="A194" s="36">
        <v>41202</v>
      </c>
      <c r="B194" s="17" t="s">
        <v>57</v>
      </c>
      <c r="C194" s="17" t="s">
        <v>385</v>
      </c>
      <c r="D194" s="17" t="s">
        <v>55</v>
      </c>
      <c r="E194" s="10">
        <f t="shared" si="3"/>
        <v>0</v>
      </c>
      <c r="F194" s="4">
        <v>0</v>
      </c>
      <c r="G194" s="12">
        <v>35</v>
      </c>
      <c r="H194" s="50"/>
    </row>
    <row r="195" spans="1:8" ht="15.75" customHeight="1" x14ac:dyDescent="0.3">
      <c r="A195" s="36">
        <v>41301</v>
      </c>
      <c r="B195" s="17" t="s">
        <v>57</v>
      </c>
      <c r="C195" s="17" t="s">
        <v>134</v>
      </c>
      <c r="D195" s="17" t="s">
        <v>134</v>
      </c>
      <c r="E195" s="10">
        <f t="shared" ref="E195:E258" si="4">(F195/G195)*1000</f>
        <v>0</v>
      </c>
      <c r="F195" s="4">
        <v>0</v>
      </c>
      <c r="G195" s="12">
        <v>108</v>
      </c>
      <c r="H195" s="50"/>
    </row>
    <row r="196" spans="1:8" ht="15.75" customHeight="1" x14ac:dyDescent="0.3">
      <c r="A196" s="36">
        <v>41401</v>
      </c>
      <c r="B196" s="17" t="s">
        <v>57</v>
      </c>
      <c r="C196" s="17" t="s">
        <v>386</v>
      </c>
      <c r="D196" s="17" t="s">
        <v>327</v>
      </c>
      <c r="E196" s="10">
        <f t="shared" si="4"/>
        <v>41.841004184100413</v>
      </c>
      <c r="F196" s="4">
        <v>10</v>
      </c>
      <c r="G196" s="12">
        <v>239</v>
      </c>
      <c r="H196" s="50"/>
    </row>
    <row r="197" spans="1:8" ht="15.75" customHeight="1" x14ac:dyDescent="0.3">
      <c r="A197" s="36">
        <v>41501</v>
      </c>
      <c r="B197" s="17" t="s">
        <v>57</v>
      </c>
      <c r="C197" s="17" t="s">
        <v>387</v>
      </c>
      <c r="D197" s="17" t="s">
        <v>1</v>
      </c>
      <c r="E197" s="10">
        <f t="shared" si="4"/>
        <v>0</v>
      </c>
      <c r="F197" s="4">
        <v>0</v>
      </c>
      <c r="G197" s="12">
        <v>10</v>
      </c>
      <c r="H197" s="50"/>
    </row>
    <row r="198" spans="1:8" ht="15.75" customHeight="1" x14ac:dyDescent="0.3">
      <c r="A198" s="36">
        <v>41502</v>
      </c>
      <c r="B198" s="17" t="s">
        <v>57</v>
      </c>
      <c r="C198" s="17" t="s">
        <v>387</v>
      </c>
      <c r="D198" s="17" t="s">
        <v>5</v>
      </c>
      <c r="E198" s="10">
        <f t="shared" si="4"/>
        <v>0</v>
      </c>
      <c r="F198" s="4">
        <v>0</v>
      </c>
      <c r="G198" s="12">
        <v>20</v>
      </c>
      <c r="H198" s="50"/>
    </row>
    <row r="199" spans="1:8" ht="15.75" customHeight="1" x14ac:dyDescent="0.3">
      <c r="A199" s="36">
        <v>41503</v>
      </c>
      <c r="B199" s="17" t="s">
        <v>57</v>
      </c>
      <c r="C199" s="17" t="s">
        <v>387</v>
      </c>
      <c r="D199" s="17" t="s">
        <v>8</v>
      </c>
      <c r="E199" s="10">
        <f t="shared" si="4"/>
        <v>0</v>
      </c>
      <c r="F199" s="4">
        <v>0</v>
      </c>
      <c r="G199" s="12">
        <v>15</v>
      </c>
      <c r="H199" s="50"/>
    </row>
    <row r="200" spans="1:8" ht="15.75" customHeight="1" x14ac:dyDescent="0.3">
      <c r="A200" s="36">
        <v>41601</v>
      </c>
      <c r="B200" s="17" t="s">
        <v>57</v>
      </c>
      <c r="C200" s="17" t="s">
        <v>388</v>
      </c>
      <c r="D200" s="17" t="s">
        <v>389</v>
      </c>
      <c r="E200" s="10">
        <f t="shared" si="4"/>
        <v>66.666666666666671</v>
      </c>
      <c r="F200" s="4">
        <v>5</v>
      </c>
      <c r="G200" s="12">
        <v>75</v>
      </c>
      <c r="H200" s="50"/>
    </row>
    <row r="201" spans="1:8" ht="15.75" customHeight="1" x14ac:dyDescent="0.3">
      <c r="A201" s="36">
        <v>50101</v>
      </c>
      <c r="B201" s="17" t="s">
        <v>302</v>
      </c>
      <c r="C201" s="17" t="s">
        <v>390</v>
      </c>
      <c r="D201" s="17" t="s">
        <v>302</v>
      </c>
      <c r="E201" s="10">
        <f t="shared" si="4"/>
        <v>35.079829098268497</v>
      </c>
      <c r="F201" s="4">
        <v>156</v>
      </c>
      <c r="G201" s="12">
        <v>4447</v>
      </c>
      <c r="H201" s="50"/>
    </row>
    <row r="202" spans="1:8" ht="15.75" customHeight="1" x14ac:dyDescent="0.3">
      <c r="A202" s="36">
        <v>50102</v>
      </c>
      <c r="B202" s="17" t="s">
        <v>302</v>
      </c>
      <c r="C202" s="17" t="s">
        <v>390</v>
      </c>
      <c r="D202" s="17" t="s">
        <v>34</v>
      </c>
      <c r="E202" s="10">
        <f t="shared" si="4"/>
        <v>99.688473520249218</v>
      </c>
      <c r="F202" s="4">
        <v>64</v>
      </c>
      <c r="G202" s="12">
        <v>642</v>
      </c>
      <c r="H202" s="50"/>
    </row>
    <row r="203" spans="1:8" ht="15.75" customHeight="1" x14ac:dyDescent="0.3">
      <c r="A203" s="36">
        <v>50103</v>
      </c>
      <c r="B203" s="17" t="s">
        <v>302</v>
      </c>
      <c r="C203" s="17" t="s">
        <v>390</v>
      </c>
      <c r="D203" s="17" t="s">
        <v>207</v>
      </c>
      <c r="E203" s="10">
        <f t="shared" si="4"/>
        <v>6.4516129032258061</v>
      </c>
      <c r="F203" s="4">
        <v>1</v>
      </c>
      <c r="G203" s="12">
        <v>155</v>
      </c>
      <c r="H203" s="50"/>
    </row>
    <row r="204" spans="1:8" ht="15.75" customHeight="1" x14ac:dyDescent="0.3">
      <c r="A204" s="36">
        <v>50104</v>
      </c>
      <c r="B204" s="17" t="s">
        <v>302</v>
      </c>
      <c r="C204" s="17" t="s">
        <v>390</v>
      </c>
      <c r="D204" s="17" t="s">
        <v>391</v>
      </c>
      <c r="E204" s="10">
        <f t="shared" si="4"/>
        <v>16.666666666666668</v>
      </c>
      <c r="F204" s="4">
        <v>1</v>
      </c>
      <c r="G204" s="12">
        <v>60</v>
      </c>
      <c r="H204" s="50"/>
    </row>
    <row r="205" spans="1:8" ht="15.75" customHeight="1" x14ac:dyDescent="0.3">
      <c r="A205" s="36">
        <v>50201</v>
      </c>
      <c r="B205" s="17" t="s">
        <v>302</v>
      </c>
      <c r="C205" s="17" t="s">
        <v>392</v>
      </c>
      <c r="D205" s="17" t="s">
        <v>264</v>
      </c>
      <c r="E205" s="10">
        <f t="shared" si="4"/>
        <v>96.846846846846844</v>
      </c>
      <c r="F205" s="4">
        <v>43</v>
      </c>
      <c r="G205" s="12">
        <v>444</v>
      </c>
      <c r="H205" s="50"/>
    </row>
    <row r="206" spans="1:8" ht="15.75" customHeight="1" x14ac:dyDescent="0.3">
      <c r="A206" s="36">
        <v>50202</v>
      </c>
      <c r="B206" s="17" t="s">
        <v>302</v>
      </c>
      <c r="C206" s="17" t="s">
        <v>392</v>
      </c>
      <c r="D206" s="17" t="s">
        <v>228</v>
      </c>
      <c r="E206" s="10">
        <f t="shared" si="4"/>
        <v>71.794871794871796</v>
      </c>
      <c r="F206" s="4">
        <v>28</v>
      </c>
      <c r="G206" s="12">
        <v>390</v>
      </c>
      <c r="H206" s="50"/>
    </row>
    <row r="207" spans="1:8" ht="15.75" customHeight="1" x14ac:dyDescent="0.3">
      <c r="A207" s="36">
        <v>50203</v>
      </c>
      <c r="B207" s="17" t="s">
        <v>302</v>
      </c>
      <c r="C207" s="17" t="s">
        <v>392</v>
      </c>
      <c r="D207" s="17" t="s">
        <v>295</v>
      </c>
      <c r="E207" s="10">
        <f t="shared" si="4"/>
        <v>33.932135728542917</v>
      </c>
      <c r="F207" s="4">
        <v>34</v>
      </c>
      <c r="G207" s="12">
        <v>1002</v>
      </c>
      <c r="H207" s="50"/>
    </row>
    <row r="208" spans="1:8" ht="15.75" customHeight="1" x14ac:dyDescent="0.3">
      <c r="A208" s="36">
        <v>50204</v>
      </c>
      <c r="B208" s="17" t="s">
        <v>302</v>
      </c>
      <c r="C208" s="17" t="s">
        <v>392</v>
      </c>
      <c r="D208" s="17" t="s">
        <v>393</v>
      </c>
      <c r="E208" s="10">
        <f t="shared" si="4"/>
        <v>59.28853754940711</v>
      </c>
      <c r="F208" s="4">
        <v>15</v>
      </c>
      <c r="G208" s="12">
        <v>253</v>
      </c>
      <c r="H208" s="50"/>
    </row>
    <row r="209" spans="1:8" ht="15.75" customHeight="1" x14ac:dyDescent="0.3">
      <c r="A209" s="36">
        <v>50301</v>
      </c>
      <c r="B209" s="17" t="s">
        <v>302</v>
      </c>
      <c r="C209" s="17" t="s">
        <v>394</v>
      </c>
      <c r="D209" s="17" t="s">
        <v>266</v>
      </c>
      <c r="E209" s="10">
        <f t="shared" si="4"/>
        <v>56.162246489859598</v>
      </c>
      <c r="F209" s="4">
        <v>36</v>
      </c>
      <c r="G209" s="12">
        <v>641</v>
      </c>
      <c r="H209" s="50"/>
    </row>
    <row r="210" spans="1:8" ht="15.75" customHeight="1" x14ac:dyDescent="0.3">
      <c r="A210" s="36">
        <v>50302</v>
      </c>
      <c r="B210" s="17" t="s">
        <v>302</v>
      </c>
      <c r="C210" s="17" t="s">
        <v>394</v>
      </c>
      <c r="D210" s="17" t="s">
        <v>219</v>
      </c>
      <c r="E210" s="10">
        <f t="shared" si="4"/>
        <v>52.941176470588232</v>
      </c>
      <c r="F210" s="4">
        <v>9</v>
      </c>
      <c r="G210" s="12">
        <v>170</v>
      </c>
      <c r="H210" s="50"/>
    </row>
    <row r="211" spans="1:8" ht="15.75" customHeight="1" x14ac:dyDescent="0.3">
      <c r="A211" s="36">
        <v>50303</v>
      </c>
      <c r="B211" s="17" t="s">
        <v>302</v>
      </c>
      <c r="C211" s="17" t="s">
        <v>394</v>
      </c>
      <c r="D211" s="17" t="s">
        <v>15</v>
      </c>
      <c r="E211" s="10">
        <f t="shared" si="4"/>
        <v>51.587301587301582</v>
      </c>
      <c r="F211" s="4">
        <v>13</v>
      </c>
      <c r="G211" s="12">
        <v>252</v>
      </c>
      <c r="H211" s="50"/>
    </row>
    <row r="212" spans="1:8" ht="15.75" customHeight="1" x14ac:dyDescent="0.3">
      <c r="A212" s="36">
        <v>50401</v>
      </c>
      <c r="B212" s="17" t="s">
        <v>302</v>
      </c>
      <c r="C212" s="17" t="s">
        <v>228</v>
      </c>
      <c r="D212" s="17" t="s">
        <v>119</v>
      </c>
      <c r="E212" s="10">
        <f t="shared" si="4"/>
        <v>115.65420560747664</v>
      </c>
      <c r="F212" s="4">
        <v>99</v>
      </c>
      <c r="G212" s="12">
        <v>856</v>
      </c>
      <c r="H212" s="50"/>
    </row>
    <row r="213" spans="1:8" ht="15.75" customHeight="1" x14ac:dyDescent="0.3">
      <c r="A213" s="36">
        <v>50402</v>
      </c>
      <c r="B213" s="17" t="s">
        <v>302</v>
      </c>
      <c r="C213" s="17" t="s">
        <v>228</v>
      </c>
      <c r="D213" s="17" t="s">
        <v>46</v>
      </c>
      <c r="E213" s="10">
        <f t="shared" si="4"/>
        <v>34.64203233256351</v>
      </c>
      <c r="F213" s="4">
        <v>15</v>
      </c>
      <c r="G213" s="12">
        <v>433</v>
      </c>
      <c r="H213" s="50"/>
    </row>
    <row r="214" spans="1:8" ht="15.75" customHeight="1" x14ac:dyDescent="0.3">
      <c r="A214" s="36">
        <v>50403</v>
      </c>
      <c r="B214" s="17" t="s">
        <v>302</v>
      </c>
      <c r="C214" s="17" t="s">
        <v>228</v>
      </c>
      <c r="D214" s="17" t="s">
        <v>52</v>
      </c>
      <c r="E214" s="10">
        <f t="shared" si="4"/>
        <v>71.813285457809698</v>
      </c>
      <c r="F214" s="4">
        <v>40</v>
      </c>
      <c r="G214" s="12">
        <v>557</v>
      </c>
      <c r="H214" s="50"/>
    </row>
    <row r="215" spans="1:8" ht="15.75" customHeight="1" x14ac:dyDescent="0.3">
      <c r="A215" s="36">
        <v>50404</v>
      </c>
      <c r="B215" s="17" t="s">
        <v>302</v>
      </c>
      <c r="C215" s="17" t="s">
        <v>228</v>
      </c>
      <c r="D215" s="17" t="s">
        <v>42</v>
      </c>
      <c r="E215" s="10">
        <f t="shared" si="4"/>
        <v>111.67512690355331</v>
      </c>
      <c r="F215" s="4">
        <v>44</v>
      </c>
      <c r="G215" s="12">
        <v>394</v>
      </c>
      <c r="H215" s="50"/>
    </row>
    <row r="216" spans="1:8" ht="15.75" customHeight="1" x14ac:dyDescent="0.3">
      <c r="A216" s="37">
        <v>50405</v>
      </c>
      <c r="B216" s="17" t="s">
        <v>302</v>
      </c>
      <c r="C216" s="17" t="s">
        <v>228</v>
      </c>
      <c r="D216" s="17" t="s">
        <v>328</v>
      </c>
      <c r="E216" s="10">
        <f t="shared" si="4"/>
        <v>115.65420560747664</v>
      </c>
      <c r="F216" s="4">
        <v>99</v>
      </c>
      <c r="G216" s="12">
        <v>856</v>
      </c>
      <c r="H216" s="50"/>
    </row>
    <row r="217" spans="1:8" ht="15.75" customHeight="1" x14ac:dyDescent="0.3">
      <c r="A217" s="36">
        <v>50501</v>
      </c>
      <c r="B217" s="17" t="s">
        <v>302</v>
      </c>
      <c r="C217" s="17" t="s">
        <v>395</v>
      </c>
      <c r="D217" s="17" t="s">
        <v>396</v>
      </c>
      <c r="E217" s="10">
        <f t="shared" si="4"/>
        <v>87.912087912087912</v>
      </c>
      <c r="F217" s="4">
        <v>64</v>
      </c>
      <c r="G217" s="12">
        <v>728</v>
      </c>
      <c r="H217" s="50"/>
    </row>
    <row r="218" spans="1:8" ht="15.75" customHeight="1" x14ac:dyDescent="0.3">
      <c r="A218" s="36">
        <v>50502</v>
      </c>
      <c r="B218" s="17" t="s">
        <v>302</v>
      </c>
      <c r="C218" s="17" t="s">
        <v>395</v>
      </c>
      <c r="D218" s="17" t="s">
        <v>61</v>
      </c>
      <c r="E218" s="10">
        <f t="shared" si="4"/>
        <v>76.923076923076934</v>
      </c>
      <c r="F218" s="4">
        <v>20</v>
      </c>
      <c r="G218" s="12">
        <v>260</v>
      </c>
      <c r="H218" s="50"/>
    </row>
    <row r="219" spans="1:8" ht="15.75" customHeight="1" x14ac:dyDescent="0.3">
      <c r="A219" s="36">
        <v>50601</v>
      </c>
      <c r="B219" s="17" t="s">
        <v>302</v>
      </c>
      <c r="C219" s="17" t="s">
        <v>397</v>
      </c>
      <c r="D219" s="17" t="s">
        <v>114</v>
      </c>
      <c r="E219" s="10">
        <f t="shared" si="4"/>
        <v>9.9337748344370862</v>
      </c>
      <c r="F219" s="4">
        <v>6</v>
      </c>
      <c r="G219" s="12">
        <v>604</v>
      </c>
      <c r="H219" s="50"/>
    </row>
    <row r="220" spans="1:8" ht="15.75" customHeight="1" x14ac:dyDescent="0.3">
      <c r="A220" s="36">
        <v>50602</v>
      </c>
      <c r="B220" s="17" t="s">
        <v>302</v>
      </c>
      <c r="C220" s="17" t="s">
        <v>397</v>
      </c>
      <c r="D220" s="17" t="s">
        <v>234</v>
      </c>
      <c r="E220" s="10">
        <f t="shared" si="4"/>
        <v>20.833333333333332</v>
      </c>
      <c r="F220" s="4">
        <v>4</v>
      </c>
      <c r="G220" s="12">
        <v>192</v>
      </c>
      <c r="H220" s="50"/>
    </row>
    <row r="221" spans="1:8" ht="15.75" customHeight="1" x14ac:dyDescent="0.3">
      <c r="A221" s="36">
        <v>50701</v>
      </c>
      <c r="B221" s="17" t="s">
        <v>302</v>
      </c>
      <c r="C221" s="17" t="s">
        <v>398</v>
      </c>
      <c r="D221" s="17" t="s">
        <v>399</v>
      </c>
      <c r="E221" s="10">
        <f t="shared" si="4"/>
        <v>30.23758099352052</v>
      </c>
      <c r="F221" s="4">
        <v>14</v>
      </c>
      <c r="G221" s="12">
        <v>463</v>
      </c>
      <c r="H221" s="50"/>
    </row>
    <row r="222" spans="1:8" ht="15.75" customHeight="1" x14ac:dyDescent="0.3">
      <c r="A222" s="36">
        <v>50702</v>
      </c>
      <c r="B222" s="17" t="s">
        <v>302</v>
      </c>
      <c r="C222" s="17" t="s">
        <v>398</v>
      </c>
      <c r="D222" s="17" t="s">
        <v>78</v>
      </c>
      <c r="E222" s="10">
        <f t="shared" si="4"/>
        <v>37.914691943127963</v>
      </c>
      <c r="F222" s="4">
        <v>8</v>
      </c>
      <c r="G222" s="12">
        <v>211</v>
      </c>
      <c r="H222" s="50"/>
    </row>
    <row r="223" spans="1:8" ht="15.75" customHeight="1" x14ac:dyDescent="0.3">
      <c r="A223" s="36">
        <v>50801</v>
      </c>
      <c r="B223" s="17" t="s">
        <v>302</v>
      </c>
      <c r="C223" s="17" t="s">
        <v>400</v>
      </c>
      <c r="D223" s="17" t="s">
        <v>290</v>
      </c>
      <c r="E223" s="10">
        <f t="shared" si="4"/>
        <v>10.834236186348862</v>
      </c>
      <c r="F223" s="4">
        <v>10</v>
      </c>
      <c r="G223" s="12">
        <v>923</v>
      </c>
      <c r="H223" s="50"/>
    </row>
    <row r="224" spans="1:8" ht="15.75" customHeight="1" x14ac:dyDescent="0.3">
      <c r="A224" s="36">
        <v>50802</v>
      </c>
      <c r="B224" s="17" t="s">
        <v>302</v>
      </c>
      <c r="C224" s="17" t="s">
        <v>400</v>
      </c>
      <c r="D224" s="17" t="s">
        <v>120</v>
      </c>
      <c r="E224" s="10">
        <f t="shared" si="4"/>
        <v>3.8167938931297707</v>
      </c>
      <c r="F224" s="4">
        <v>1</v>
      </c>
      <c r="G224" s="12">
        <v>262</v>
      </c>
      <c r="H224" s="50"/>
    </row>
    <row r="225" spans="1:8" ht="15.75" customHeight="1" x14ac:dyDescent="0.3">
      <c r="A225" s="36">
        <v>50901</v>
      </c>
      <c r="B225" s="17" t="s">
        <v>302</v>
      </c>
      <c r="C225" s="17" t="s">
        <v>401</v>
      </c>
      <c r="D225" s="17" t="s">
        <v>402</v>
      </c>
      <c r="E225" s="10">
        <f t="shared" si="4"/>
        <v>3.4722222222222219</v>
      </c>
      <c r="F225" s="4">
        <v>1</v>
      </c>
      <c r="G225" s="12">
        <v>288</v>
      </c>
      <c r="H225" s="50"/>
    </row>
    <row r="226" spans="1:8" ht="15.75" customHeight="1" x14ac:dyDescent="0.3">
      <c r="A226" s="36">
        <v>50902</v>
      </c>
      <c r="B226" s="17" t="s">
        <v>302</v>
      </c>
      <c r="C226" s="17" t="s">
        <v>401</v>
      </c>
      <c r="D226" s="17" t="s">
        <v>13</v>
      </c>
      <c r="E226" s="10">
        <f t="shared" si="4"/>
        <v>0</v>
      </c>
      <c r="F226" s="4">
        <v>0</v>
      </c>
      <c r="G226" s="12">
        <v>16</v>
      </c>
      <c r="H226" s="50"/>
    </row>
    <row r="227" spans="1:8" ht="15.75" customHeight="1" x14ac:dyDescent="0.3">
      <c r="A227" s="36">
        <v>51001</v>
      </c>
      <c r="B227" s="17" t="s">
        <v>302</v>
      </c>
      <c r="C227" s="17" t="s">
        <v>403</v>
      </c>
      <c r="D227" s="17" t="s">
        <v>86</v>
      </c>
      <c r="E227" s="10">
        <f t="shared" si="4"/>
        <v>10.638297872340425</v>
      </c>
      <c r="F227" s="4">
        <v>1</v>
      </c>
      <c r="G227" s="12">
        <v>94</v>
      </c>
      <c r="H227" s="50"/>
    </row>
    <row r="228" spans="1:8" ht="15.75" customHeight="1" x14ac:dyDescent="0.3">
      <c r="A228" s="36">
        <v>51002</v>
      </c>
      <c r="B228" s="17" t="s">
        <v>302</v>
      </c>
      <c r="C228" s="17" t="s">
        <v>403</v>
      </c>
      <c r="D228" s="17" t="s">
        <v>16</v>
      </c>
      <c r="E228" s="10">
        <f t="shared" si="4"/>
        <v>0</v>
      </c>
      <c r="F228" s="4">
        <v>0</v>
      </c>
      <c r="G228" s="12">
        <v>31</v>
      </c>
      <c r="H228" s="50"/>
    </row>
    <row r="229" spans="1:8" ht="15.75" customHeight="1" x14ac:dyDescent="0.3">
      <c r="A229" s="36">
        <v>51003</v>
      </c>
      <c r="B229" s="17" t="s">
        <v>302</v>
      </c>
      <c r="C229" s="17" t="s">
        <v>403</v>
      </c>
      <c r="D229" s="17" t="s">
        <v>60</v>
      </c>
      <c r="E229" s="10">
        <f t="shared" si="4"/>
        <v>0</v>
      </c>
      <c r="F229" s="4">
        <v>0</v>
      </c>
      <c r="G229" s="12">
        <v>56</v>
      </c>
      <c r="H229" s="50"/>
    </row>
    <row r="230" spans="1:8" ht="15.75" customHeight="1" x14ac:dyDescent="0.3">
      <c r="A230" s="36">
        <v>51101</v>
      </c>
      <c r="B230" s="17" t="s">
        <v>302</v>
      </c>
      <c r="C230" s="17" t="s">
        <v>404</v>
      </c>
      <c r="D230" s="17" t="s">
        <v>265</v>
      </c>
      <c r="E230" s="10">
        <f t="shared" si="4"/>
        <v>11.210762331838565</v>
      </c>
      <c r="F230" s="4">
        <v>5</v>
      </c>
      <c r="G230" s="12">
        <v>446</v>
      </c>
      <c r="H230" s="50"/>
    </row>
    <row r="231" spans="1:8" ht="15.75" customHeight="1" x14ac:dyDescent="0.3">
      <c r="A231" s="36">
        <v>51102</v>
      </c>
      <c r="B231" s="17" t="s">
        <v>302</v>
      </c>
      <c r="C231" s="17" t="s">
        <v>404</v>
      </c>
      <c r="D231" s="17" t="s">
        <v>329</v>
      </c>
      <c r="E231" s="10">
        <f t="shared" si="4"/>
        <v>13.698630136986301</v>
      </c>
      <c r="F231" s="4">
        <v>3</v>
      </c>
      <c r="G231" s="12">
        <v>219</v>
      </c>
      <c r="H231" s="50"/>
    </row>
    <row r="232" spans="1:8" ht="15.75" customHeight="1" x14ac:dyDescent="0.3">
      <c r="A232" s="36">
        <v>51103</v>
      </c>
      <c r="B232" s="17" t="s">
        <v>302</v>
      </c>
      <c r="C232" s="17" t="s">
        <v>404</v>
      </c>
      <c r="D232" s="17" t="s">
        <v>175</v>
      </c>
      <c r="E232" s="10">
        <f t="shared" si="4"/>
        <v>23.255813953488371</v>
      </c>
      <c r="F232" s="4">
        <v>10</v>
      </c>
      <c r="G232" s="12">
        <v>430</v>
      </c>
      <c r="H232" s="50"/>
    </row>
    <row r="233" spans="1:8" ht="15.75" customHeight="1" x14ac:dyDescent="0.3">
      <c r="A233" s="36">
        <v>51201</v>
      </c>
      <c r="B233" s="17" t="s">
        <v>302</v>
      </c>
      <c r="C233" s="17" t="s">
        <v>405</v>
      </c>
      <c r="D233" s="17" t="s">
        <v>289</v>
      </c>
      <c r="E233" s="10">
        <f t="shared" si="4"/>
        <v>11.577424023154848</v>
      </c>
      <c r="F233" s="4">
        <v>8</v>
      </c>
      <c r="G233" s="12">
        <v>691</v>
      </c>
      <c r="H233" s="50"/>
    </row>
    <row r="234" spans="1:8" ht="15.75" customHeight="1" x14ac:dyDescent="0.3">
      <c r="A234" s="36">
        <v>51202</v>
      </c>
      <c r="B234" s="17" t="s">
        <v>302</v>
      </c>
      <c r="C234" s="17" t="s">
        <v>405</v>
      </c>
      <c r="D234" s="17" t="s">
        <v>130</v>
      </c>
      <c r="E234" s="10">
        <f t="shared" si="4"/>
        <v>16.5016501650165</v>
      </c>
      <c r="F234" s="4">
        <v>5</v>
      </c>
      <c r="G234" s="12">
        <v>303</v>
      </c>
      <c r="H234" s="50"/>
    </row>
    <row r="235" spans="1:8" ht="15.75" customHeight="1" x14ac:dyDescent="0.3">
      <c r="A235" s="36">
        <v>51203</v>
      </c>
      <c r="B235" s="17" t="s">
        <v>302</v>
      </c>
      <c r="C235" s="17" t="s">
        <v>405</v>
      </c>
      <c r="D235" s="17" t="s">
        <v>166</v>
      </c>
      <c r="E235" s="10">
        <f t="shared" si="4"/>
        <v>6.2893081761006293</v>
      </c>
      <c r="F235" s="4">
        <v>2</v>
      </c>
      <c r="G235" s="12">
        <v>318</v>
      </c>
      <c r="H235" s="50"/>
    </row>
    <row r="236" spans="1:8" ht="15.75" customHeight="1" x14ac:dyDescent="0.3">
      <c r="A236" s="37">
        <v>51204</v>
      </c>
      <c r="B236" s="17" t="s">
        <v>302</v>
      </c>
      <c r="C236" s="17"/>
      <c r="D236" s="17" t="s">
        <v>406</v>
      </c>
      <c r="E236" s="10">
        <f t="shared" si="4"/>
        <v>16.5016501650165</v>
      </c>
      <c r="F236" s="4">
        <v>5</v>
      </c>
      <c r="G236" s="12">
        <v>303</v>
      </c>
      <c r="H236" s="50"/>
    </row>
    <row r="237" spans="1:8" ht="15.75" customHeight="1" x14ac:dyDescent="0.3">
      <c r="A237" s="36">
        <v>51301</v>
      </c>
      <c r="B237" s="17" t="s">
        <v>302</v>
      </c>
      <c r="C237" s="17" t="s">
        <v>407</v>
      </c>
      <c r="D237" s="17" t="s">
        <v>104</v>
      </c>
      <c r="E237" s="10">
        <f t="shared" si="4"/>
        <v>27.27272727272727</v>
      </c>
      <c r="F237" s="4">
        <v>3</v>
      </c>
      <c r="G237" s="12">
        <v>110</v>
      </c>
      <c r="H237" s="50"/>
    </row>
    <row r="238" spans="1:8" ht="15.75" customHeight="1" x14ac:dyDescent="0.3">
      <c r="A238" s="36">
        <v>51302</v>
      </c>
      <c r="B238" s="17" t="s">
        <v>302</v>
      </c>
      <c r="C238" s="17" t="s">
        <v>407</v>
      </c>
      <c r="D238" s="17" t="s">
        <v>169</v>
      </c>
      <c r="E238" s="10">
        <f t="shared" si="4"/>
        <v>23.255813953488371</v>
      </c>
      <c r="F238" s="4">
        <v>3</v>
      </c>
      <c r="G238" s="12">
        <v>129</v>
      </c>
      <c r="H238" s="50"/>
    </row>
    <row r="239" spans="1:8" ht="15.75" customHeight="1" x14ac:dyDescent="0.3">
      <c r="A239" s="36">
        <v>51401</v>
      </c>
      <c r="B239" s="17" t="s">
        <v>302</v>
      </c>
      <c r="C239" s="17" t="s">
        <v>408</v>
      </c>
      <c r="D239" s="17" t="s">
        <v>151</v>
      </c>
      <c r="E239" s="10">
        <f t="shared" si="4"/>
        <v>12.195121951219512</v>
      </c>
      <c r="F239" s="4">
        <v>1</v>
      </c>
      <c r="G239" s="12">
        <v>82</v>
      </c>
      <c r="H239" s="50"/>
    </row>
    <row r="240" spans="1:8" ht="15.75" customHeight="1" x14ac:dyDescent="0.3">
      <c r="A240" s="36">
        <v>51402</v>
      </c>
      <c r="B240" s="17" t="s">
        <v>302</v>
      </c>
      <c r="C240" s="17" t="s">
        <v>408</v>
      </c>
      <c r="D240" s="17" t="s">
        <v>25</v>
      </c>
      <c r="E240" s="10">
        <f t="shared" si="4"/>
        <v>0</v>
      </c>
      <c r="F240" s="4">
        <v>0</v>
      </c>
      <c r="G240" s="12">
        <v>26</v>
      </c>
      <c r="H240" s="50"/>
    </row>
    <row r="241" spans="1:12" ht="15.75" customHeight="1" x14ac:dyDescent="0.3">
      <c r="A241" s="36">
        <v>51501</v>
      </c>
      <c r="B241" s="17" t="s">
        <v>302</v>
      </c>
      <c r="C241" s="17" t="s">
        <v>409</v>
      </c>
      <c r="D241" s="17" t="s">
        <v>293</v>
      </c>
      <c r="E241" s="10">
        <f t="shared" si="4"/>
        <v>3.0581039755351682</v>
      </c>
      <c r="F241" s="4">
        <v>3</v>
      </c>
      <c r="G241" s="12">
        <v>981</v>
      </c>
      <c r="H241" s="50"/>
    </row>
    <row r="242" spans="1:12" ht="15.75" customHeight="1" x14ac:dyDescent="0.3">
      <c r="A242" s="36">
        <v>51601</v>
      </c>
      <c r="B242" s="17" t="s">
        <v>302</v>
      </c>
      <c r="C242" s="17" t="s">
        <v>410</v>
      </c>
      <c r="D242" s="17" t="s">
        <v>29</v>
      </c>
      <c r="E242" s="10">
        <f t="shared" si="4"/>
        <v>0</v>
      </c>
      <c r="F242" s="4">
        <v>0</v>
      </c>
      <c r="G242" s="12">
        <v>19</v>
      </c>
      <c r="H242" s="50"/>
    </row>
    <row r="243" spans="1:12" ht="15.75" customHeight="1" x14ac:dyDescent="0.3">
      <c r="A243" s="36">
        <v>60101</v>
      </c>
      <c r="B243" s="17" t="s">
        <v>76</v>
      </c>
      <c r="C243" s="17" t="s">
        <v>371</v>
      </c>
      <c r="D243" s="17" t="s">
        <v>76</v>
      </c>
      <c r="E243" s="10">
        <f t="shared" si="4"/>
        <v>11.360634081902244</v>
      </c>
      <c r="F243" s="4">
        <v>43</v>
      </c>
      <c r="G243" s="12">
        <v>3785</v>
      </c>
      <c r="H243" s="50"/>
    </row>
    <row r="244" spans="1:12" ht="15.75" customHeight="1" x14ac:dyDescent="0.3">
      <c r="A244" s="36">
        <v>60201</v>
      </c>
      <c r="B244" s="17" t="s">
        <v>76</v>
      </c>
      <c r="C244" s="17" t="s">
        <v>411</v>
      </c>
      <c r="D244" s="17" t="s">
        <v>274</v>
      </c>
      <c r="E244" s="10">
        <f t="shared" si="4"/>
        <v>18.348623853211009</v>
      </c>
      <c r="F244" s="4">
        <v>6</v>
      </c>
      <c r="G244" s="12">
        <v>327</v>
      </c>
      <c r="H244" s="50"/>
    </row>
    <row r="245" spans="1:12" ht="15.75" customHeight="1" x14ac:dyDescent="0.3">
      <c r="A245" s="36">
        <v>60202</v>
      </c>
      <c r="B245" s="17" t="s">
        <v>76</v>
      </c>
      <c r="C245" s="17" t="s">
        <v>411</v>
      </c>
      <c r="D245" s="17" t="s">
        <v>254</v>
      </c>
      <c r="E245" s="10">
        <f t="shared" si="4"/>
        <v>25.751072961373392</v>
      </c>
      <c r="F245" s="4">
        <v>18</v>
      </c>
      <c r="G245" s="12">
        <v>699</v>
      </c>
      <c r="H245" s="50"/>
    </row>
    <row r="246" spans="1:12" ht="15.75" customHeight="1" x14ac:dyDescent="0.3">
      <c r="A246" s="36">
        <v>60301</v>
      </c>
      <c r="B246" s="17" t="s">
        <v>76</v>
      </c>
      <c r="C246" s="17" t="s">
        <v>412</v>
      </c>
      <c r="D246" s="17" t="s">
        <v>297</v>
      </c>
      <c r="E246" s="10">
        <f t="shared" si="4"/>
        <v>23.006955591225257</v>
      </c>
      <c r="F246" s="4">
        <v>43</v>
      </c>
      <c r="G246" s="12">
        <v>1869</v>
      </c>
      <c r="H246" s="50"/>
      <c r="J246" s="44"/>
      <c r="K246" s="44"/>
      <c r="L246" s="44"/>
    </row>
    <row r="247" spans="1:12" ht="15.75" customHeight="1" x14ac:dyDescent="0.3">
      <c r="A247" s="36">
        <v>60302</v>
      </c>
      <c r="B247" s="17" t="s">
        <v>76</v>
      </c>
      <c r="C247" s="17" t="s">
        <v>412</v>
      </c>
      <c r="D247" s="17" t="s">
        <v>193</v>
      </c>
      <c r="E247" s="10">
        <f t="shared" si="4"/>
        <v>7.0671378091872787</v>
      </c>
      <c r="F247" s="4">
        <v>2</v>
      </c>
      <c r="G247" s="12">
        <v>283</v>
      </c>
      <c r="H247" s="50"/>
    </row>
    <row r="248" spans="1:12" ht="15.75" customHeight="1" x14ac:dyDescent="0.3">
      <c r="A248" s="36">
        <v>60303</v>
      </c>
      <c r="B248" s="17" t="s">
        <v>76</v>
      </c>
      <c r="C248" s="17" t="s">
        <v>412</v>
      </c>
      <c r="D248" s="17" t="s">
        <v>330</v>
      </c>
      <c r="E248" s="10">
        <f t="shared" si="4"/>
        <v>27.149321266968325</v>
      </c>
      <c r="F248" s="4">
        <v>24</v>
      </c>
      <c r="G248" s="12">
        <v>884</v>
      </c>
      <c r="H248" s="50"/>
    </row>
    <row r="249" spans="1:12" ht="15.75" customHeight="1" x14ac:dyDescent="0.3">
      <c r="A249" s="36">
        <v>60401</v>
      </c>
      <c r="B249" s="17" t="s">
        <v>76</v>
      </c>
      <c r="C249" s="17" t="s">
        <v>413</v>
      </c>
      <c r="D249" s="17" t="s">
        <v>235</v>
      </c>
      <c r="E249" s="10">
        <f t="shared" si="4"/>
        <v>6.968641114982578</v>
      </c>
      <c r="F249" s="4">
        <v>2</v>
      </c>
      <c r="G249" s="12">
        <v>287</v>
      </c>
      <c r="H249" s="50"/>
    </row>
    <row r="250" spans="1:12" ht="15.75" customHeight="1" x14ac:dyDescent="0.3">
      <c r="A250" s="36">
        <v>60402</v>
      </c>
      <c r="B250" s="17" t="s">
        <v>76</v>
      </c>
      <c r="C250" s="17" t="s">
        <v>413</v>
      </c>
      <c r="D250" s="17" t="s">
        <v>105</v>
      </c>
      <c r="E250" s="10">
        <f t="shared" si="4"/>
        <v>34.188034188034194</v>
      </c>
      <c r="F250" s="4">
        <v>4</v>
      </c>
      <c r="G250" s="12">
        <v>117</v>
      </c>
      <c r="H250" s="50"/>
    </row>
    <row r="251" spans="1:12" ht="15.75" customHeight="1" x14ac:dyDescent="0.3">
      <c r="A251" s="36">
        <v>60501</v>
      </c>
      <c r="B251" s="17" t="s">
        <v>76</v>
      </c>
      <c r="C251" s="17" t="s">
        <v>414</v>
      </c>
      <c r="D251" s="17" t="s">
        <v>271</v>
      </c>
      <c r="E251" s="10">
        <f t="shared" si="4"/>
        <v>19.323671497584542</v>
      </c>
      <c r="F251" s="4">
        <v>8</v>
      </c>
      <c r="G251" s="12">
        <v>414</v>
      </c>
      <c r="H251" s="50"/>
    </row>
    <row r="252" spans="1:12" ht="15.75" customHeight="1" x14ac:dyDescent="0.3">
      <c r="A252" s="36">
        <v>60502</v>
      </c>
      <c r="B252" s="17" t="s">
        <v>76</v>
      </c>
      <c r="C252" s="17" t="s">
        <v>414</v>
      </c>
      <c r="D252" s="17" t="s">
        <v>88</v>
      </c>
      <c r="E252" s="10">
        <f t="shared" si="4"/>
        <v>17.857142857142858</v>
      </c>
      <c r="F252" s="4">
        <v>4</v>
      </c>
      <c r="G252" s="12">
        <v>224</v>
      </c>
      <c r="H252" s="50"/>
    </row>
    <row r="253" spans="1:12" ht="15.75" customHeight="1" x14ac:dyDescent="0.3">
      <c r="A253" s="36">
        <v>60601</v>
      </c>
      <c r="B253" s="17" t="s">
        <v>76</v>
      </c>
      <c r="C253" s="17" t="s">
        <v>415</v>
      </c>
      <c r="D253" s="17" t="s">
        <v>223</v>
      </c>
      <c r="E253" s="10">
        <f t="shared" si="4"/>
        <v>7.0588235294117654</v>
      </c>
      <c r="F253" s="4">
        <v>3</v>
      </c>
      <c r="G253" s="12">
        <v>425</v>
      </c>
      <c r="H253" s="50"/>
    </row>
    <row r="254" spans="1:12" ht="15.75" customHeight="1" x14ac:dyDescent="0.3">
      <c r="A254" s="36">
        <v>70101</v>
      </c>
      <c r="B254" s="17" t="s">
        <v>85</v>
      </c>
      <c r="C254" s="17" t="s">
        <v>416</v>
      </c>
      <c r="D254" s="17" t="s">
        <v>304</v>
      </c>
      <c r="E254" s="10">
        <f t="shared" si="4"/>
        <v>14.541142696664275</v>
      </c>
      <c r="F254" s="4">
        <v>466</v>
      </c>
      <c r="G254" s="12">
        <v>32047</v>
      </c>
      <c r="H254" s="50"/>
    </row>
    <row r="255" spans="1:12" ht="15.75" customHeight="1" x14ac:dyDescent="0.3">
      <c r="A255" s="36">
        <v>70102</v>
      </c>
      <c r="B255" s="17" t="s">
        <v>85</v>
      </c>
      <c r="C255" s="17" t="s">
        <v>416</v>
      </c>
      <c r="D255" s="17" t="s">
        <v>263</v>
      </c>
      <c r="E255" s="10">
        <f t="shared" si="4"/>
        <v>29.156816390858946</v>
      </c>
      <c r="F255" s="4">
        <v>37</v>
      </c>
      <c r="G255" s="12">
        <v>1269</v>
      </c>
      <c r="H255" s="50"/>
    </row>
    <row r="256" spans="1:12" ht="15.75" customHeight="1" x14ac:dyDescent="0.3">
      <c r="A256" s="36">
        <v>70103</v>
      </c>
      <c r="B256" s="17" t="s">
        <v>85</v>
      </c>
      <c r="C256" s="17" t="s">
        <v>416</v>
      </c>
      <c r="D256" s="17" t="s">
        <v>188</v>
      </c>
      <c r="E256" s="10">
        <f t="shared" si="4"/>
        <v>6.25</v>
      </c>
      <c r="F256" s="4">
        <v>2</v>
      </c>
      <c r="G256" s="12">
        <v>320</v>
      </c>
      <c r="H256" s="50"/>
    </row>
    <row r="257" spans="1:8" ht="15.75" customHeight="1" x14ac:dyDescent="0.3">
      <c r="A257" s="36">
        <v>70104</v>
      </c>
      <c r="B257" s="17" t="s">
        <v>85</v>
      </c>
      <c r="C257" s="17" t="s">
        <v>416</v>
      </c>
      <c r="D257" s="17" t="s">
        <v>294</v>
      </c>
      <c r="E257" s="10">
        <f t="shared" si="4"/>
        <v>8.5470085470085486</v>
      </c>
      <c r="F257" s="4">
        <v>19</v>
      </c>
      <c r="G257" s="12">
        <v>2223</v>
      </c>
      <c r="H257" s="50"/>
    </row>
    <row r="258" spans="1:8" ht="15.75" customHeight="1" x14ac:dyDescent="0.3">
      <c r="A258" s="36">
        <v>70105</v>
      </c>
      <c r="B258" s="17" t="s">
        <v>85</v>
      </c>
      <c r="C258" s="17" t="s">
        <v>416</v>
      </c>
      <c r="D258" s="17" t="s">
        <v>291</v>
      </c>
      <c r="E258" s="10">
        <f t="shared" si="4"/>
        <v>13.440860215053764</v>
      </c>
      <c r="F258" s="4">
        <v>15</v>
      </c>
      <c r="G258" s="12">
        <v>1116</v>
      </c>
      <c r="H258" s="50"/>
    </row>
    <row r="259" spans="1:8" ht="15.75" customHeight="1" x14ac:dyDescent="0.3">
      <c r="A259" s="36">
        <v>70201</v>
      </c>
      <c r="B259" s="17" t="s">
        <v>85</v>
      </c>
      <c r="C259" s="17" t="s">
        <v>298</v>
      </c>
      <c r="D259" s="17" t="s">
        <v>298</v>
      </c>
      <c r="E259" s="10">
        <f t="shared" ref="E259:E322" si="5">(F259/G259)*1000</f>
        <v>9.4197437829691033</v>
      </c>
      <c r="F259" s="4">
        <v>25</v>
      </c>
      <c r="G259" s="12">
        <v>2654</v>
      </c>
      <c r="H259" s="50"/>
    </row>
    <row r="260" spans="1:8" ht="15.75" customHeight="1" x14ac:dyDescent="0.3">
      <c r="A260" s="36">
        <v>70202</v>
      </c>
      <c r="B260" s="17" t="s">
        <v>85</v>
      </c>
      <c r="C260" s="17" t="s">
        <v>298</v>
      </c>
      <c r="D260" s="17" t="s">
        <v>91</v>
      </c>
      <c r="E260" s="10">
        <f t="shared" si="5"/>
        <v>16.556291390728479</v>
      </c>
      <c r="F260" s="4">
        <v>5</v>
      </c>
      <c r="G260" s="12">
        <v>302</v>
      </c>
      <c r="H260" s="50"/>
    </row>
    <row r="261" spans="1:8" ht="15.75" customHeight="1" x14ac:dyDescent="0.3">
      <c r="A261" s="36">
        <v>70301</v>
      </c>
      <c r="B261" s="17" t="s">
        <v>85</v>
      </c>
      <c r="C261" s="17" t="s">
        <v>417</v>
      </c>
      <c r="D261" s="17" t="s">
        <v>279</v>
      </c>
      <c r="E261" s="10">
        <f t="shared" si="5"/>
        <v>18.601667735728029</v>
      </c>
      <c r="F261" s="4">
        <v>29</v>
      </c>
      <c r="G261" s="12">
        <v>1559</v>
      </c>
      <c r="H261" s="50"/>
    </row>
    <row r="262" spans="1:8" ht="15.75" customHeight="1" x14ac:dyDescent="0.3">
      <c r="A262" s="36">
        <v>70302</v>
      </c>
      <c r="B262" s="17" t="s">
        <v>85</v>
      </c>
      <c r="C262" s="17" t="s">
        <v>417</v>
      </c>
      <c r="D262" s="17" t="s">
        <v>201</v>
      </c>
      <c r="E262" s="10">
        <f t="shared" si="5"/>
        <v>38.869257950530034</v>
      </c>
      <c r="F262" s="4">
        <v>11</v>
      </c>
      <c r="G262" s="12">
        <v>283</v>
      </c>
      <c r="H262" s="50"/>
    </row>
    <row r="263" spans="1:8" ht="15.75" customHeight="1" x14ac:dyDescent="0.3">
      <c r="A263" s="36">
        <v>70303</v>
      </c>
      <c r="B263" s="17" t="s">
        <v>85</v>
      </c>
      <c r="C263" s="17" t="s">
        <v>417</v>
      </c>
      <c r="D263" s="17" t="s">
        <v>79</v>
      </c>
      <c r="E263" s="10">
        <f t="shared" si="5"/>
        <v>34.722222222222221</v>
      </c>
      <c r="F263" s="4">
        <v>5</v>
      </c>
      <c r="G263" s="12">
        <v>144</v>
      </c>
      <c r="H263" s="50"/>
    </row>
    <row r="264" spans="1:8" ht="15.75" customHeight="1" x14ac:dyDescent="0.3">
      <c r="A264" s="36">
        <v>70401</v>
      </c>
      <c r="B264" s="17" t="s">
        <v>85</v>
      </c>
      <c r="C264" s="17" t="s">
        <v>418</v>
      </c>
      <c r="D264" s="17" t="s">
        <v>164</v>
      </c>
      <c r="E264" s="10">
        <f t="shared" si="5"/>
        <v>12.658227848101266</v>
      </c>
      <c r="F264" s="4">
        <v>4</v>
      </c>
      <c r="G264" s="12">
        <v>316</v>
      </c>
      <c r="H264" s="50"/>
    </row>
    <row r="265" spans="1:8" ht="15.75" customHeight="1" x14ac:dyDescent="0.3">
      <c r="A265" s="36">
        <v>70402</v>
      </c>
      <c r="B265" s="17" t="s">
        <v>85</v>
      </c>
      <c r="C265" s="17" t="s">
        <v>418</v>
      </c>
      <c r="D265" s="17" t="s">
        <v>225</v>
      </c>
      <c r="E265" s="10">
        <f t="shared" si="5"/>
        <v>13.7524557956778</v>
      </c>
      <c r="F265" s="4">
        <v>7</v>
      </c>
      <c r="G265" s="12">
        <v>509</v>
      </c>
      <c r="H265" s="50"/>
    </row>
    <row r="266" spans="1:8" ht="15.75" customHeight="1" x14ac:dyDescent="0.3">
      <c r="A266" s="36">
        <v>70403</v>
      </c>
      <c r="B266" s="17" t="s">
        <v>85</v>
      </c>
      <c r="C266" s="17" t="s">
        <v>418</v>
      </c>
      <c r="D266" s="17" t="s">
        <v>278</v>
      </c>
      <c r="E266" s="10">
        <f t="shared" si="5"/>
        <v>23.045267489711936</v>
      </c>
      <c r="F266" s="4">
        <v>28</v>
      </c>
      <c r="G266" s="12">
        <v>1215</v>
      </c>
      <c r="H266" s="50"/>
    </row>
    <row r="267" spans="1:8" ht="15.75" customHeight="1" x14ac:dyDescent="0.3">
      <c r="A267" s="36">
        <v>70404</v>
      </c>
      <c r="B267" s="17" t="s">
        <v>85</v>
      </c>
      <c r="C267" s="17" t="s">
        <v>418</v>
      </c>
      <c r="D267" s="17" t="s">
        <v>331</v>
      </c>
      <c r="E267" s="10">
        <f t="shared" si="5"/>
        <v>21.459227467811157</v>
      </c>
      <c r="F267" s="4">
        <v>5</v>
      </c>
      <c r="G267" s="12">
        <v>233</v>
      </c>
      <c r="H267" s="50"/>
    </row>
    <row r="268" spans="1:8" ht="15.75" customHeight="1" x14ac:dyDescent="0.3">
      <c r="A268" s="36">
        <v>70501</v>
      </c>
      <c r="B268" s="17" t="s">
        <v>85</v>
      </c>
      <c r="C268" s="17" t="s">
        <v>419</v>
      </c>
      <c r="D268" s="17" t="s">
        <v>332</v>
      </c>
      <c r="E268" s="10">
        <f t="shared" si="5"/>
        <v>11.984021304926763</v>
      </c>
      <c r="F268" s="4">
        <v>9</v>
      </c>
      <c r="G268" s="12">
        <v>751</v>
      </c>
      <c r="H268" s="50"/>
    </row>
    <row r="269" spans="1:8" ht="15.75" customHeight="1" x14ac:dyDescent="0.3">
      <c r="A269" s="36">
        <v>70502</v>
      </c>
      <c r="B269" s="17" t="s">
        <v>85</v>
      </c>
      <c r="C269" s="17" t="s">
        <v>419</v>
      </c>
      <c r="D269" s="17" t="s">
        <v>272</v>
      </c>
      <c r="E269" s="10">
        <f t="shared" si="5"/>
        <v>20.329138431752177</v>
      </c>
      <c r="F269" s="4">
        <v>21</v>
      </c>
      <c r="G269" s="12">
        <v>1033</v>
      </c>
      <c r="H269" s="50"/>
    </row>
    <row r="270" spans="1:8" ht="15.75" customHeight="1" x14ac:dyDescent="0.3">
      <c r="A270" s="36">
        <v>70503</v>
      </c>
      <c r="B270" s="17" t="s">
        <v>85</v>
      </c>
      <c r="C270" s="17" t="s">
        <v>419</v>
      </c>
      <c r="D270" s="17" t="s">
        <v>162</v>
      </c>
      <c r="E270" s="10">
        <f t="shared" si="5"/>
        <v>12.195121951219512</v>
      </c>
      <c r="F270" s="4">
        <v>4</v>
      </c>
      <c r="G270" s="12">
        <v>328</v>
      </c>
      <c r="H270" s="50"/>
    </row>
    <row r="271" spans="1:8" ht="15.75" customHeight="1" x14ac:dyDescent="0.3">
      <c r="A271" s="36">
        <v>70601</v>
      </c>
      <c r="B271" s="17" t="s">
        <v>85</v>
      </c>
      <c r="C271" s="17" t="s">
        <v>420</v>
      </c>
      <c r="D271" s="17" t="s">
        <v>158</v>
      </c>
      <c r="E271" s="10">
        <f t="shared" si="5"/>
        <v>4.5766590389016022</v>
      </c>
      <c r="F271" s="4">
        <v>2</v>
      </c>
      <c r="G271" s="12">
        <v>437</v>
      </c>
      <c r="H271" s="50"/>
    </row>
    <row r="272" spans="1:8" ht="15.75" customHeight="1" x14ac:dyDescent="0.3">
      <c r="A272" s="36">
        <v>70602</v>
      </c>
      <c r="B272" s="17" t="s">
        <v>85</v>
      </c>
      <c r="C272" s="17" t="s">
        <v>420</v>
      </c>
      <c r="D272" s="17" t="s">
        <v>256</v>
      </c>
      <c r="E272" s="10">
        <f t="shared" si="5"/>
        <v>14.056224899598392</v>
      </c>
      <c r="F272" s="4">
        <v>7</v>
      </c>
      <c r="G272" s="12">
        <v>498</v>
      </c>
      <c r="H272" s="50"/>
    </row>
    <row r="273" spans="1:8" ht="15.75" customHeight="1" x14ac:dyDescent="0.3">
      <c r="A273" s="36">
        <v>70603</v>
      </c>
      <c r="B273" s="17" t="s">
        <v>85</v>
      </c>
      <c r="C273" s="17" t="s">
        <v>420</v>
      </c>
      <c r="D273" s="17" t="s">
        <v>333</v>
      </c>
      <c r="E273" s="10">
        <f t="shared" si="5"/>
        <v>13.333333333333334</v>
      </c>
      <c r="F273" s="4">
        <v>2</v>
      </c>
      <c r="G273" s="12">
        <v>150</v>
      </c>
      <c r="H273" s="50"/>
    </row>
    <row r="274" spans="1:8" ht="15.75" customHeight="1" x14ac:dyDescent="0.3">
      <c r="A274" s="36">
        <v>70701</v>
      </c>
      <c r="B274" s="17" t="s">
        <v>85</v>
      </c>
      <c r="C274" s="17" t="s">
        <v>421</v>
      </c>
      <c r="D274" s="17" t="s">
        <v>74</v>
      </c>
      <c r="E274" s="10">
        <f t="shared" si="5"/>
        <v>15.503875968992247</v>
      </c>
      <c r="F274" s="4">
        <v>2</v>
      </c>
      <c r="G274" s="12">
        <v>129</v>
      </c>
      <c r="H274" s="50"/>
    </row>
    <row r="275" spans="1:8" ht="15.75" customHeight="1" x14ac:dyDescent="0.3">
      <c r="A275" s="36">
        <v>70702</v>
      </c>
      <c r="B275" s="17" t="s">
        <v>85</v>
      </c>
      <c r="C275" s="17" t="s">
        <v>421</v>
      </c>
      <c r="D275" s="17" t="s">
        <v>95</v>
      </c>
      <c r="E275" s="10">
        <f t="shared" si="5"/>
        <v>29.147982062780269</v>
      </c>
      <c r="F275" s="4">
        <v>26</v>
      </c>
      <c r="G275" s="12">
        <v>892</v>
      </c>
      <c r="H275" s="50"/>
    </row>
    <row r="276" spans="1:8" ht="15.75" customHeight="1" x14ac:dyDescent="0.3">
      <c r="A276" s="36">
        <v>70703</v>
      </c>
      <c r="B276" s="17" t="s">
        <v>85</v>
      </c>
      <c r="C276" s="17" t="s">
        <v>421</v>
      </c>
      <c r="D276" s="17" t="s">
        <v>250</v>
      </c>
      <c r="E276" s="10">
        <f t="shared" si="5"/>
        <v>13.412816691505217</v>
      </c>
      <c r="F276" s="4">
        <v>9</v>
      </c>
      <c r="G276" s="12">
        <v>671</v>
      </c>
      <c r="H276" s="50"/>
    </row>
    <row r="277" spans="1:8" ht="15.75" customHeight="1" x14ac:dyDescent="0.3">
      <c r="A277" s="36">
        <v>70704</v>
      </c>
      <c r="B277" s="17" t="s">
        <v>85</v>
      </c>
      <c r="C277" s="17" t="s">
        <v>421</v>
      </c>
      <c r="D277" s="17" t="s">
        <v>73</v>
      </c>
      <c r="E277" s="10">
        <f t="shared" si="5"/>
        <v>0</v>
      </c>
      <c r="F277" s="4">
        <v>0</v>
      </c>
      <c r="G277" s="12">
        <v>112</v>
      </c>
      <c r="H277" s="50"/>
    </row>
    <row r="278" spans="1:8" ht="15.75" customHeight="1" x14ac:dyDescent="0.3">
      <c r="A278" s="36">
        <v>70705</v>
      </c>
      <c r="B278" s="17" t="s">
        <v>85</v>
      </c>
      <c r="C278" s="17" t="s">
        <v>421</v>
      </c>
      <c r="D278" s="17" t="s">
        <v>141</v>
      </c>
      <c r="E278" s="10">
        <f t="shared" si="5"/>
        <v>47.337278106508876</v>
      </c>
      <c r="F278" s="4">
        <v>16</v>
      </c>
      <c r="G278" s="12">
        <v>338</v>
      </c>
      <c r="H278" s="50"/>
    </row>
    <row r="279" spans="1:8" ht="15.75" customHeight="1" x14ac:dyDescent="0.3">
      <c r="A279" s="36">
        <v>70706</v>
      </c>
      <c r="B279" s="17" t="s">
        <v>85</v>
      </c>
      <c r="C279" s="17" t="s">
        <v>421</v>
      </c>
      <c r="D279" s="17" t="s">
        <v>221</v>
      </c>
      <c r="E279" s="10">
        <f t="shared" si="5"/>
        <v>10.479041916167663</v>
      </c>
      <c r="F279" s="4">
        <v>7</v>
      </c>
      <c r="G279" s="12">
        <v>668</v>
      </c>
      <c r="H279" s="50"/>
    </row>
    <row r="280" spans="1:8" ht="15.75" customHeight="1" x14ac:dyDescent="0.3">
      <c r="A280" s="36">
        <v>70707</v>
      </c>
      <c r="B280" s="17" t="s">
        <v>85</v>
      </c>
      <c r="C280" s="17" t="s">
        <v>421</v>
      </c>
      <c r="D280" s="17" t="s">
        <v>53</v>
      </c>
      <c r="E280" s="10">
        <f t="shared" si="5"/>
        <v>0</v>
      </c>
      <c r="F280" s="4">
        <v>0</v>
      </c>
      <c r="G280" s="12">
        <v>113</v>
      </c>
      <c r="H280" s="50"/>
    </row>
    <row r="281" spans="1:8" ht="15.75" customHeight="1" x14ac:dyDescent="0.3">
      <c r="A281" s="36">
        <v>70801</v>
      </c>
      <c r="B281" s="17" t="s">
        <v>85</v>
      </c>
      <c r="C281" s="17" t="s">
        <v>257</v>
      </c>
      <c r="D281" s="17" t="s">
        <v>257</v>
      </c>
      <c r="E281" s="10">
        <f t="shared" si="5"/>
        <v>9.2592592592592595</v>
      </c>
      <c r="F281" s="4">
        <v>3</v>
      </c>
      <c r="G281" s="12">
        <v>324</v>
      </c>
      <c r="H281" s="50"/>
    </row>
    <row r="282" spans="1:8" ht="15.75" customHeight="1" x14ac:dyDescent="0.3">
      <c r="A282" s="36">
        <v>70802</v>
      </c>
      <c r="B282" s="17" t="s">
        <v>85</v>
      </c>
      <c r="C282" s="17" t="s">
        <v>257</v>
      </c>
      <c r="D282" s="17" t="s">
        <v>10</v>
      </c>
      <c r="E282" s="10">
        <f t="shared" si="5"/>
        <v>0</v>
      </c>
      <c r="F282" s="4">
        <v>0</v>
      </c>
      <c r="G282" s="12">
        <v>33</v>
      </c>
      <c r="H282" s="50"/>
    </row>
    <row r="283" spans="1:8" ht="15.75" customHeight="1" x14ac:dyDescent="0.3">
      <c r="A283" s="36">
        <v>70803</v>
      </c>
      <c r="B283" s="17" t="s">
        <v>85</v>
      </c>
      <c r="C283" s="17" t="s">
        <v>257</v>
      </c>
      <c r="D283" s="17" t="s">
        <v>36</v>
      </c>
      <c r="E283" s="10">
        <f t="shared" si="5"/>
        <v>0</v>
      </c>
      <c r="F283" s="4">
        <v>0</v>
      </c>
      <c r="G283" s="12">
        <v>70</v>
      </c>
      <c r="H283" s="50"/>
    </row>
    <row r="284" spans="1:8" ht="15.75" customHeight="1" x14ac:dyDescent="0.3">
      <c r="A284" s="36">
        <v>70804</v>
      </c>
      <c r="B284" s="17" t="s">
        <v>85</v>
      </c>
      <c r="C284" s="17" t="s">
        <v>257</v>
      </c>
      <c r="D284" s="17" t="s">
        <v>334</v>
      </c>
      <c r="E284" s="10">
        <f t="shared" si="5"/>
        <v>0</v>
      </c>
      <c r="F284" s="4">
        <v>0</v>
      </c>
      <c r="G284" s="12">
        <v>46</v>
      </c>
      <c r="H284" s="50"/>
    </row>
    <row r="285" spans="1:8" ht="15.75" customHeight="1" x14ac:dyDescent="0.3">
      <c r="A285" s="36">
        <v>70805</v>
      </c>
      <c r="B285" s="17" t="s">
        <v>85</v>
      </c>
      <c r="C285" s="17" t="s">
        <v>257</v>
      </c>
      <c r="D285" s="17" t="s">
        <v>335</v>
      </c>
      <c r="E285" s="10">
        <f t="shared" si="5"/>
        <v>0</v>
      </c>
      <c r="F285" s="4">
        <v>0</v>
      </c>
      <c r="G285" s="12">
        <v>40</v>
      </c>
      <c r="H285" s="50"/>
    </row>
    <row r="286" spans="1:8" ht="15.75" customHeight="1" x14ac:dyDescent="0.3">
      <c r="A286" s="36">
        <v>70901</v>
      </c>
      <c r="B286" s="17" t="s">
        <v>85</v>
      </c>
      <c r="C286" s="17" t="s">
        <v>422</v>
      </c>
      <c r="D286" s="17" t="s">
        <v>192</v>
      </c>
      <c r="E286" s="10">
        <f t="shared" si="5"/>
        <v>0</v>
      </c>
      <c r="F286" s="4">
        <v>0</v>
      </c>
      <c r="G286" s="12">
        <v>215</v>
      </c>
      <c r="H286" s="50"/>
    </row>
    <row r="287" spans="1:8" ht="15.75" customHeight="1" x14ac:dyDescent="0.3">
      <c r="A287" s="36">
        <v>70902</v>
      </c>
      <c r="B287" s="17" t="s">
        <v>85</v>
      </c>
      <c r="C287" s="17" t="s">
        <v>422</v>
      </c>
      <c r="D287" s="17" t="s">
        <v>160</v>
      </c>
      <c r="E287" s="10">
        <f t="shared" si="5"/>
        <v>13.698630136986301</v>
      </c>
      <c r="F287" s="4">
        <v>3</v>
      </c>
      <c r="G287" s="12">
        <v>219</v>
      </c>
      <c r="H287" s="50"/>
    </row>
    <row r="288" spans="1:8" ht="15.75" customHeight="1" x14ac:dyDescent="0.3">
      <c r="A288" s="36">
        <v>70903</v>
      </c>
      <c r="B288" s="17" t="s">
        <v>85</v>
      </c>
      <c r="C288" s="17" t="s">
        <v>422</v>
      </c>
      <c r="D288" s="17" t="s">
        <v>122</v>
      </c>
      <c r="E288" s="10">
        <f t="shared" si="5"/>
        <v>19.607843137254903</v>
      </c>
      <c r="F288" s="4">
        <v>5</v>
      </c>
      <c r="G288" s="12">
        <v>255</v>
      </c>
      <c r="H288" s="50"/>
    </row>
    <row r="289" spans="1:8" ht="15.75" customHeight="1" x14ac:dyDescent="0.3">
      <c r="A289" s="36">
        <v>70904</v>
      </c>
      <c r="B289" s="17" t="s">
        <v>85</v>
      </c>
      <c r="C289" s="17" t="s">
        <v>422</v>
      </c>
      <c r="D289" s="17" t="s">
        <v>20</v>
      </c>
      <c r="E289" s="10">
        <f t="shared" si="5"/>
        <v>21.276595744680851</v>
      </c>
      <c r="F289" s="4">
        <v>1</v>
      </c>
      <c r="G289" s="12">
        <v>47</v>
      </c>
      <c r="H289" s="50"/>
    </row>
    <row r="290" spans="1:8" ht="15.75" customHeight="1" x14ac:dyDescent="0.3">
      <c r="A290" s="36">
        <v>71001</v>
      </c>
      <c r="B290" s="17" t="s">
        <v>85</v>
      </c>
      <c r="C290" s="17" t="s">
        <v>423</v>
      </c>
      <c r="D290" s="17" t="s">
        <v>300</v>
      </c>
      <c r="E290" s="10">
        <f t="shared" si="5"/>
        <v>14.754703061600885</v>
      </c>
      <c r="F290" s="4">
        <v>40</v>
      </c>
      <c r="G290" s="12">
        <v>2711</v>
      </c>
      <c r="H290" s="50"/>
    </row>
    <row r="291" spans="1:8" ht="15.75" customHeight="1" x14ac:dyDescent="0.3">
      <c r="A291" s="36">
        <v>71002</v>
      </c>
      <c r="B291" s="17" t="s">
        <v>85</v>
      </c>
      <c r="C291" s="17" t="s">
        <v>423</v>
      </c>
      <c r="D291" s="17" t="s">
        <v>336</v>
      </c>
      <c r="E291" s="10">
        <f t="shared" si="5"/>
        <v>8.2191780821917799</v>
      </c>
      <c r="F291" s="4">
        <v>3</v>
      </c>
      <c r="G291" s="12">
        <v>365</v>
      </c>
      <c r="H291" s="50"/>
    </row>
    <row r="292" spans="1:8" ht="15.75" customHeight="1" x14ac:dyDescent="0.3">
      <c r="A292" s="36">
        <v>71003</v>
      </c>
      <c r="B292" s="17" t="s">
        <v>85</v>
      </c>
      <c r="C292" s="17" t="s">
        <v>423</v>
      </c>
      <c r="D292" s="17" t="s">
        <v>230</v>
      </c>
      <c r="E292" s="10">
        <f t="shared" si="5"/>
        <v>18.838304552590266</v>
      </c>
      <c r="F292" s="4">
        <v>12</v>
      </c>
      <c r="G292" s="12">
        <v>637</v>
      </c>
      <c r="H292" s="50"/>
    </row>
    <row r="293" spans="1:8" ht="15.75" customHeight="1" x14ac:dyDescent="0.3">
      <c r="A293" s="36">
        <v>71004</v>
      </c>
      <c r="B293" s="17" t="s">
        <v>85</v>
      </c>
      <c r="C293" s="17" t="s">
        <v>423</v>
      </c>
      <c r="D293" s="17" t="s">
        <v>161</v>
      </c>
      <c r="E293" s="10">
        <f t="shared" si="5"/>
        <v>29.325513196480941</v>
      </c>
      <c r="F293" s="4">
        <v>10</v>
      </c>
      <c r="G293" s="12">
        <v>341</v>
      </c>
      <c r="H293" s="50"/>
    </row>
    <row r="294" spans="1:8" ht="15.75" customHeight="1" x14ac:dyDescent="0.3">
      <c r="A294" s="36">
        <v>71005</v>
      </c>
      <c r="B294" s="17" t="s">
        <v>85</v>
      </c>
      <c r="C294" s="17" t="s">
        <v>423</v>
      </c>
      <c r="D294" s="17" t="s">
        <v>9</v>
      </c>
      <c r="E294" s="10">
        <f t="shared" si="5"/>
        <v>16.666666666666668</v>
      </c>
      <c r="F294" s="4">
        <v>7</v>
      </c>
      <c r="G294" s="12">
        <v>420</v>
      </c>
      <c r="H294" s="50"/>
    </row>
    <row r="295" spans="1:8" ht="15.75" customHeight="1" x14ac:dyDescent="0.3">
      <c r="A295" s="36">
        <v>71101</v>
      </c>
      <c r="B295" s="17" t="s">
        <v>85</v>
      </c>
      <c r="C295" s="17" t="s">
        <v>424</v>
      </c>
      <c r="D295" s="17" t="s">
        <v>248</v>
      </c>
      <c r="E295" s="10">
        <f t="shared" si="5"/>
        <v>18.726591760299627</v>
      </c>
      <c r="F295" s="4">
        <v>10</v>
      </c>
      <c r="G295" s="12">
        <v>534</v>
      </c>
      <c r="H295" s="50"/>
    </row>
    <row r="296" spans="1:8" ht="15.75" customHeight="1" x14ac:dyDescent="0.3">
      <c r="A296" s="36">
        <v>71102</v>
      </c>
      <c r="B296" s="17" t="s">
        <v>85</v>
      </c>
      <c r="C296" s="17" t="s">
        <v>424</v>
      </c>
      <c r="D296" s="17" t="s">
        <v>75</v>
      </c>
      <c r="E296" s="10">
        <f t="shared" si="5"/>
        <v>42.492917847025495</v>
      </c>
      <c r="F296" s="4">
        <v>15</v>
      </c>
      <c r="G296" s="12">
        <v>353</v>
      </c>
      <c r="H296" s="50"/>
    </row>
    <row r="297" spans="1:8" ht="15.75" customHeight="1" x14ac:dyDescent="0.3">
      <c r="A297" s="36">
        <v>71103</v>
      </c>
      <c r="B297" s="17" t="s">
        <v>85</v>
      </c>
      <c r="C297" s="17" t="s">
        <v>424</v>
      </c>
      <c r="D297" s="17" t="s">
        <v>44</v>
      </c>
      <c r="E297" s="10">
        <f t="shared" si="5"/>
        <v>25.806451612903224</v>
      </c>
      <c r="F297" s="4">
        <v>4</v>
      </c>
      <c r="G297" s="12">
        <v>155</v>
      </c>
      <c r="H297" s="50"/>
    </row>
    <row r="298" spans="1:8" ht="15.75" customHeight="1" x14ac:dyDescent="0.3">
      <c r="A298" s="36">
        <v>71104</v>
      </c>
      <c r="B298" s="17" t="s">
        <v>85</v>
      </c>
      <c r="C298" s="17" t="s">
        <v>424</v>
      </c>
      <c r="D298" s="17" t="s">
        <v>285</v>
      </c>
      <c r="E298" s="10">
        <f t="shared" si="5"/>
        <v>78.703703703703709</v>
      </c>
      <c r="F298" s="4">
        <v>17</v>
      </c>
      <c r="G298" s="12">
        <v>216</v>
      </c>
      <c r="H298" s="50"/>
    </row>
    <row r="299" spans="1:8" ht="15.75" customHeight="1" x14ac:dyDescent="0.3">
      <c r="A299" s="36">
        <v>71105</v>
      </c>
      <c r="B299" s="17" t="s">
        <v>85</v>
      </c>
      <c r="C299" s="17" t="s">
        <v>424</v>
      </c>
      <c r="D299" s="17" t="s">
        <v>337</v>
      </c>
      <c r="E299" s="10">
        <f t="shared" si="5"/>
        <v>6.6170388751033915</v>
      </c>
      <c r="F299" s="4">
        <v>8</v>
      </c>
      <c r="G299" s="12">
        <v>1209</v>
      </c>
      <c r="H299" s="50"/>
    </row>
    <row r="300" spans="1:8" ht="15.75" customHeight="1" x14ac:dyDescent="0.3">
      <c r="A300" s="36">
        <v>71106</v>
      </c>
      <c r="B300" s="17" t="s">
        <v>85</v>
      </c>
      <c r="C300" s="17" t="s">
        <v>424</v>
      </c>
      <c r="D300" s="17" t="s">
        <v>239</v>
      </c>
      <c r="E300" s="10">
        <f t="shared" si="5"/>
        <v>20.654044750430295</v>
      </c>
      <c r="F300" s="4">
        <v>12</v>
      </c>
      <c r="G300" s="12">
        <v>581</v>
      </c>
      <c r="H300" s="50"/>
    </row>
    <row r="301" spans="1:8" ht="15.75" customHeight="1" x14ac:dyDescent="0.3">
      <c r="A301" s="36">
        <v>71201</v>
      </c>
      <c r="B301" s="17" t="s">
        <v>85</v>
      </c>
      <c r="C301" s="17" t="s">
        <v>425</v>
      </c>
      <c r="D301" s="17" t="s">
        <v>212</v>
      </c>
      <c r="E301" s="10">
        <f t="shared" si="5"/>
        <v>19.662921348314605</v>
      </c>
      <c r="F301" s="4">
        <v>7</v>
      </c>
      <c r="G301" s="12">
        <v>356</v>
      </c>
      <c r="H301" s="50"/>
    </row>
    <row r="302" spans="1:8" ht="15.75" customHeight="1" x14ac:dyDescent="0.3">
      <c r="A302" s="36">
        <v>71301</v>
      </c>
      <c r="B302" s="17" t="s">
        <v>85</v>
      </c>
      <c r="C302" s="17" t="s">
        <v>426</v>
      </c>
      <c r="D302" s="17" t="s">
        <v>209</v>
      </c>
      <c r="E302" s="10">
        <f t="shared" si="5"/>
        <v>6.6964285714285712</v>
      </c>
      <c r="F302" s="4">
        <v>3</v>
      </c>
      <c r="G302" s="12">
        <v>448</v>
      </c>
      <c r="H302" s="50"/>
    </row>
    <row r="303" spans="1:8" ht="15.75" customHeight="1" x14ac:dyDescent="0.3">
      <c r="A303" s="36">
        <v>71302</v>
      </c>
      <c r="B303" s="17" t="s">
        <v>85</v>
      </c>
      <c r="C303" s="17" t="s">
        <v>426</v>
      </c>
      <c r="D303" s="17" t="s">
        <v>58</v>
      </c>
      <c r="E303" s="10">
        <f t="shared" si="5"/>
        <v>5.7142857142857144</v>
      </c>
      <c r="F303" s="4">
        <v>1</v>
      </c>
      <c r="G303" s="12">
        <v>175</v>
      </c>
      <c r="H303" s="50"/>
    </row>
    <row r="304" spans="1:8" ht="15.75" customHeight="1" x14ac:dyDescent="0.3">
      <c r="A304" s="36">
        <v>71401</v>
      </c>
      <c r="B304" s="17" t="s">
        <v>85</v>
      </c>
      <c r="C304" s="17" t="s">
        <v>427</v>
      </c>
      <c r="D304" s="17" t="s">
        <v>206</v>
      </c>
      <c r="E304" s="10">
        <f t="shared" si="5"/>
        <v>18.276762402088774</v>
      </c>
      <c r="F304" s="4">
        <v>7</v>
      </c>
      <c r="G304" s="12">
        <v>383</v>
      </c>
      <c r="H304" s="50"/>
    </row>
    <row r="305" spans="1:8" ht="15.75" customHeight="1" x14ac:dyDescent="0.3">
      <c r="A305" s="36">
        <v>71402</v>
      </c>
      <c r="B305" s="17" t="s">
        <v>85</v>
      </c>
      <c r="C305" s="17" t="s">
        <v>427</v>
      </c>
      <c r="D305" s="17" t="s">
        <v>165</v>
      </c>
      <c r="E305" s="10">
        <f t="shared" si="5"/>
        <v>23.584905660377359</v>
      </c>
      <c r="F305" s="4">
        <v>10</v>
      </c>
      <c r="G305" s="12">
        <v>424</v>
      </c>
      <c r="H305" s="50"/>
    </row>
    <row r="306" spans="1:8" ht="15.75" customHeight="1" x14ac:dyDescent="0.3">
      <c r="A306" s="36">
        <v>71403</v>
      </c>
      <c r="B306" s="17" t="s">
        <v>85</v>
      </c>
      <c r="C306" s="17" t="s">
        <v>427</v>
      </c>
      <c r="D306" s="17" t="s">
        <v>338</v>
      </c>
      <c r="E306" s="10">
        <f t="shared" si="5"/>
        <v>7.6335877862595414</v>
      </c>
      <c r="F306" s="4">
        <v>1</v>
      </c>
      <c r="G306" s="12">
        <v>131</v>
      </c>
      <c r="H306" s="50"/>
    </row>
    <row r="307" spans="1:8" ht="15.75" customHeight="1" x14ac:dyDescent="0.3">
      <c r="A307" s="36">
        <v>71501</v>
      </c>
      <c r="B307" s="17" t="s">
        <v>85</v>
      </c>
      <c r="C307" s="17" t="s">
        <v>428</v>
      </c>
      <c r="D307" s="17" t="s">
        <v>339</v>
      </c>
      <c r="E307" s="10">
        <f t="shared" si="5"/>
        <v>13.793103448275861</v>
      </c>
      <c r="F307" s="4">
        <v>10</v>
      </c>
      <c r="G307" s="12">
        <v>725</v>
      </c>
      <c r="H307" s="50"/>
    </row>
    <row r="308" spans="1:8" ht="15.75" customHeight="1" x14ac:dyDescent="0.3">
      <c r="A308" s="36">
        <v>71502</v>
      </c>
      <c r="B308" s="17" t="s">
        <v>85</v>
      </c>
      <c r="C308" s="17" t="s">
        <v>428</v>
      </c>
      <c r="D308" s="17" t="s">
        <v>77</v>
      </c>
      <c r="E308" s="10">
        <f t="shared" si="5"/>
        <v>16.574585635359114</v>
      </c>
      <c r="F308" s="4">
        <v>3</v>
      </c>
      <c r="G308" s="12">
        <v>181</v>
      </c>
      <c r="H308" s="50"/>
    </row>
    <row r="309" spans="1:8" ht="15.75" customHeight="1" x14ac:dyDescent="0.3">
      <c r="A309" s="36">
        <v>71503</v>
      </c>
      <c r="B309" s="17" t="s">
        <v>85</v>
      </c>
      <c r="C309" s="17" t="s">
        <v>428</v>
      </c>
      <c r="D309" s="17" t="s">
        <v>88</v>
      </c>
      <c r="E309" s="10">
        <f t="shared" si="5"/>
        <v>24.875621890547265</v>
      </c>
      <c r="F309" s="4">
        <v>10</v>
      </c>
      <c r="G309" s="12">
        <v>402</v>
      </c>
      <c r="H309" s="50"/>
    </row>
    <row r="310" spans="1:8" ht="15.75" customHeight="1" x14ac:dyDescent="0.3">
      <c r="A310" s="36">
        <v>80101</v>
      </c>
      <c r="B310" s="17" t="s">
        <v>92</v>
      </c>
      <c r="C310" s="17" t="s">
        <v>371</v>
      </c>
      <c r="D310" s="17" t="s">
        <v>301</v>
      </c>
      <c r="E310" s="10">
        <f t="shared" si="5"/>
        <v>21.189591078066915</v>
      </c>
      <c r="F310" s="4">
        <v>57</v>
      </c>
      <c r="G310" s="12">
        <v>2690</v>
      </c>
      <c r="H310" s="50"/>
    </row>
    <row r="311" spans="1:8" ht="15.75" customHeight="1" x14ac:dyDescent="0.3">
      <c r="A311" s="36">
        <v>80102</v>
      </c>
      <c r="B311" s="17" t="s">
        <v>92</v>
      </c>
      <c r="C311" s="17" t="s">
        <v>371</v>
      </c>
      <c r="D311" s="17" t="s">
        <v>75</v>
      </c>
      <c r="E311" s="10">
        <f t="shared" si="5"/>
        <v>35.087719298245609</v>
      </c>
      <c r="F311" s="4">
        <v>6</v>
      </c>
      <c r="G311" s="12">
        <v>171</v>
      </c>
      <c r="H311" s="50"/>
    </row>
    <row r="312" spans="1:8" ht="15.75" customHeight="1" x14ac:dyDescent="0.3">
      <c r="A312" s="36">
        <v>80201</v>
      </c>
      <c r="B312" s="17" t="s">
        <v>92</v>
      </c>
      <c r="C312" s="17" t="s">
        <v>429</v>
      </c>
      <c r="D312" s="17" t="s">
        <v>296</v>
      </c>
      <c r="E312" s="10">
        <f t="shared" si="5"/>
        <v>27.220142905750254</v>
      </c>
      <c r="F312" s="4">
        <v>80</v>
      </c>
      <c r="G312" s="12">
        <v>2939</v>
      </c>
      <c r="H312" s="50"/>
    </row>
    <row r="313" spans="1:8" ht="15.75" customHeight="1" x14ac:dyDescent="0.3">
      <c r="A313" s="36">
        <v>80202</v>
      </c>
      <c r="B313" s="17" t="s">
        <v>92</v>
      </c>
      <c r="C313" s="17" t="s">
        <v>429</v>
      </c>
      <c r="D313" s="17" t="s">
        <v>287</v>
      </c>
      <c r="E313" s="10">
        <f t="shared" si="5"/>
        <v>23.275145469659186</v>
      </c>
      <c r="F313" s="4">
        <v>28</v>
      </c>
      <c r="G313" s="12">
        <v>1203</v>
      </c>
      <c r="H313" s="50"/>
    </row>
    <row r="314" spans="1:8" ht="15.75" customHeight="1" x14ac:dyDescent="0.3">
      <c r="A314" s="36">
        <v>80301</v>
      </c>
      <c r="B314" s="17" t="s">
        <v>92</v>
      </c>
      <c r="C314" s="17" t="s">
        <v>430</v>
      </c>
      <c r="D314" s="17" t="s">
        <v>216</v>
      </c>
      <c r="E314" s="10">
        <f t="shared" si="5"/>
        <v>36.923076923076927</v>
      </c>
      <c r="F314" s="4">
        <v>12</v>
      </c>
      <c r="G314" s="12">
        <v>325</v>
      </c>
      <c r="H314" s="50"/>
    </row>
    <row r="315" spans="1:8" ht="15.75" customHeight="1" x14ac:dyDescent="0.3">
      <c r="A315" s="36">
        <v>80302</v>
      </c>
      <c r="B315" s="17" t="s">
        <v>92</v>
      </c>
      <c r="C315" s="17" t="s">
        <v>430</v>
      </c>
      <c r="D315" s="17" t="s">
        <v>276</v>
      </c>
      <c r="E315" s="10">
        <f t="shared" si="5"/>
        <v>58.666666666666664</v>
      </c>
      <c r="F315" s="4">
        <v>66</v>
      </c>
      <c r="G315" s="12">
        <v>1125</v>
      </c>
      <c r="H315" s="50"/>
    </row>
    <row r="316" spans="1:8" ht="15.75" customHeight="1" x14ac:dyDescent="0.3">
      <c r="A316" s="36">
        <v>80303</v>
      </c>
      <c r="B316" s="17" t="s">
        <v>92</v>
      </c>
      <c r="C316" s="17" t="s">
        <v>430</v>
      </c>
      <c r="D316" s="17" t="s">
        <v>35</v>
      </c>
      <c r="E316" s="10">
        <f t="shared" si="5"/>
        <v>18.18181818181818</v>
      </c>
      <c r="F316" s="4">
        <v>6</v>
      </c>
      <c r="G316" s="12">
        <v>330</v>
      </c>
      <c r="H316" s="50"/>
    </row>
    <row r="317" spans="1:8" ht="15.75" customHeight="1" x14ac:dyDescent="0.3">
      <c r="A317" s="36">
        <v>80304</v>
      </c>
      <c r="B317" s="17" t="s">
        <v>92</v>
      </c>
      <c r="C317" s="17" t="s">
        <v>430</v>
      </c>
      <c r="D317" s="17" t="s">
        <v>246</v>
      </c>
      <c r="E317" s="10">
        <f t="shared" si="5"/>
        <v>25.362318840579711</v>
      </c>
      <c r="F317" s="4">
        <v>14</v>
      </c>
      <c r="G317" s="12">
        <v>552</v>
      </c>
      <c r="H317" s="50"/>
    </row>
    <row r="318" spans="1:8" ht="15.75" customHeight="1" x14ac:dyDescent="0.3">
      <c r="A318" s="36">
        <v>80401</v>
      </c>
      <c r="B318" s="17" t="s">
        <v>92</v>
      </c>
      <c r="C318" s="17" t="s">
        <v>431</v>
      </c>
      <c r="D318" s="17" t="s">
        <v>204</v>
      </c>
      <c r="E318" s="10">
        <f t="shared" si="5"/>
        <v>26.915113871635612</v>
      </c>
      <c r="F318" s="4">
        <v>13</v>
      </c>
      <c r="G318" s="12">
        <v>483</v>
      </c>
      <c r="H318" s="50"/>
    </row>
    <row r="319" spans="1:8" ht="15.75" customHeight="1" x14ac:dyDescent="0.3">
      <c r="A319" s="36">
        <v>80402</v>
      </c>
      <c r="B319" s="17" t="s">
        <v>92</v>
      </c>
      <c r="C319" s="17" t="s">
        <v>431</v>
      </c>
      <c r="D319" s="17" t="s">
        <v>98</v>
      </c>
      <c r="E319" s="10">
        <f t="shared" si="5"/>
        <v>5.4644808743169397</v>
      </c>
      <c r="F319" s="4">
        <v>1</v>
      </c>
      <c r="G319" s="12">
        <v>183</v>
      </c>
      <c r="H319" s="50"/>
    </row>
    <row r="320" spans="1:8" ht="15.75" customHeight="1" x14ac:dyDescent="0.3">
      <c r="A320" s="36">
        <v>80501</v>
      </c>
      <c r="B320" s="17" t="s">
        <v>92</v>
      </c>
      <c r="C320" s="17" t="s">
        <v>432</v>
      </c>
      <c r="D320" s="17" t="s">
        <v>262</v>
      </c>
      <c r="E320" s="10">
        <f t="shared" si="5"/>
        <v>21.739130434782609</v>
      </c>
      <c r="F320" s="4">
        <v>14</v>
      </c>
      <c r="G320" s="12">
        <v>644</v>
      </c>
      <c r="H320" s="50"/>
    </row>
    <row r="321" spans="1:8" ht="15.75" customHeight="1" x14ac:dyDescent="0.3">
      <c r="A321" s="36">
        <v>80601</v>
      </c>
      <c r="B321" s="17" t="s">
        <v>92</v>
      </c>
      <c r="C321" s="17" t="s">
        <v>433</v>
      </c>
      <c r="D321" s="17" t="s">
        <v>83</v>
      </c>
      <c r="E321" s="10">
        <f t="shared" si="5"/>
        <v>23.4375</v>
      </c>
      <c r="F321" s="4">
        <v>3</v>
      </c>
      <c r="G321" s="12">
        <v>128</v>
      </c>
      <c r="H321" s="50"/>
    </row>
    <row r="322" spans="1:8" ht="15.75" customHeight="1" x14ac:dyDescent="0.3">
      <c r="A322" s="36">
        <v>80602</v>
      </c>
      <c r="B322" s="17" t="s">
        <v>92</v>
      </c>
      <c r="C322" s="17" t="s">
        <v>433</v>
      </c>
      <c r="D322" s="17" t="s">
        <v>214</v>
      </c>
      <c r="E322" s="10">
        <f t="shared" si="5"/>
        <v>16.853932584269664</v>
      </c>
      <c r="F322" s="4">
        <v>6</v>
      </c>
      <c r="G322" s="12">
        <v>356</v>
      </c>
      <c r="H322" s="50"/>
    </row>
    <row r="323" spans="1:8" ht="15.75" customHeight="1" x14ac:dyDescent="0.3">
      <c r="A323" s="36">
        <v>80701</v>
      </c>
      <c r="B323" s="17" t="s">
        <v>92</v>
      </c>
      <c r="C323" s="17" t="s">
        <v>434</v>
      </c>
      <c r="D323" s="17" t="s">
        <v>64</v>
      </c>
      <c r="E323" s="10">
        <f t="shared" ref="E323:E343" si="6">(F323/G323)*1000</f>
        <v>34.883720930232556</v>
      </c>
      <c r="F323" s="4">
        <v>6</v>
      </c>
      <c r="G323" s="12">
        <v>172</v>
      </c>
      <c r="H323" s="50"/>
    </row>
    <row r="324" spans="1:8" ht="15.75" customHeight="1" x14ac:dyDescent="0.3">
      <c r="A324" s="36">
        <v>80702</v>
      </c>
      <c r="B324" s="17" t="s">
        <v>92</v>
      </c>
      <c r="C324" s="17" t="s">
        <v>434</v>
      </c>
      <c r="D324" s="17" t="s">
        <v>44</v>
      </c>
      <c r="E324" s="10">
        <f t="shared" si="6"/>
        <v>24.590163934426229</v>
      </c>
      <c r="F324" s="4">
        <v>3</v>
      </c>
      <c r="G324" s="12">
        <v>122</v>
      </c>
      <c r="H324" s="50"/>
    </row>
    <row r="325" spans="1:8" ht="15.75" customHeight="1" x14ac:dyDescent="0.3">
      <c r="A325" s="36">
        <v>80703</v>
      </c>
      <c r="B325" s="17" t="s">
        <v>92</v>
      </c>
      <c r="C325" s="17" t="s">
        <v>434</v>
      </c>
      <c r="D325" s="17" t="s">
        <v>2</v>
      </c>
      <c r="E325" s="10">
        <f t="shared" si="6"/>
        <v>64.516129032258064</v>
      </c>
      <c r="F325" s="4">
        <v>2</v>
      </c>
      <c r="G325" s="12">
        <v>31</v>
      </c>
      <c r="H325" s="50"/>
    </row>
    <row r="326" spans="1:8" ht="15.75" customHeight="1" x14ac:dyDescent="0.3">
      <c r="A326" s="36">
        <v>80801</v>
      </c>
      <c r="B326" s="17" t="s">
        <v>92</v>
      </c>
      <c r="C326" s="17" t="s">
        <v>435</v>
      </c>
      <c r="D326" s="17" t="s">
        <v>142</v>
      </c>
      <c r="E326" s="10">
        <f t="shared" si="6"/>
        <v>3.3444816053511706</v>
      </c>
      <c r="F326" s="4">
        <v>1</v>
      </c>
      <c r="G326" s="12">
        <v>299</v>
      </c>
      <c r="H326" s="50"/>
    </row>
    <row r="327" spans="1:8" ht="15.75" customHeight="1" x14ac:dyDescent="0.3">
      <c r="A327" s="36">
        <v>80802</v>
      </c>
      <c r="B327" s="17" t="s">
        <v>92</v>
      </c>
      <c r="C327" s="17" t="s">
        <v>435</v>
      </c>
      <c r="D327" s="17" t="s">
        <v>118</v>
      </c>
      <c r="E327" s="10">
        <f t="shared" si="6"/>
        <v>12.820512820512819</v>
      </c>
      <c r="F327" s="4">
        <v>2</v>
      </c>
      <c r="G327" s="12">
        <v>156</v>
      </c>
      <c r="H327" s="50"/>
    </row>
    <row r="328" spans="1:8" ht="15.75" customHeight="1" x14ac:dyDescent="0.3">
      <c r="A328" s="36">
        <v>80803</v>
      </c>
      <c r="B328" s="17" t="s">
        <v>92</v>
      </c>
      <c r="C328" s="17" t="s">
        <v>435</v>
      </c>
      <c r="D328" s="17" t="s">
        <v>17</v>
      </c>
      <c r="E328" s="10">
        <f t="shared" si="6"/>
        <v>17.094017094017097</v>
      </c>
      <c r="F328" s="4">
        <v>2</v>
      </c>
      <c r="G328" s="12">
        <v>117</v>
      </c>
      <c r="H328" s="50"/>
    </row>
    <row r="329" spans="1:8" ht="15.75" customHeight="1" x14ac:dyDescent="0.3">
      <c r="A329" s="37">
        <v>80901</v>
      </c>
      <c r="B329" s="17" t="s">
        <v>92</v>
      </c>
      <c r="C329" s="17"/>
      <c r="D329" s="17" t="s">
        <v>436</v>
      </c>
      <c r="E329" s="10">
        <f t="shared" si="6"/>
        <v>23.957409050576754</v>
      </c>
      <c r="F329" s="4">
        <v>13.5</v>
      </c>
      <c r="G329" s="47">
        <v>563.5</v>
      </c>
      <c r="H329" s="50"/>
    </row>
    <row r="330" spans="1:8" ht="15.75" customHeight="1" x14ac:dyDescent="0.3">
      <c r="A330" s="36">
        <v>90101</v>
      </c>
      <c r="B330" s="17" t="s">
        <v>102</v>
      </c>
      <c r="C330" s="17" t="s">
        <v>437</v>
      </c>
      <c r="D330" s="17" t="s">
        <v>281</v>
      </c>
      <c r="E330" s="10">
        <f t="shared" si="6"/>
        <v>5.1736881005173689</v>
      </c>
      <c r="F330" s="4">
        <v>7</v>
      </c>
      <c r="G330" s="12">
        <v>1353</v>
      </c>
      <c r="H330" s="50"/>
    </row>
    <row r="331" spans="1:8" ht="15.75" customHeight="1" x14ac:dyDescent="0.3">
      <c r="A331" s="36">
        <v>90102</v>
      </c>
      <c r="B331" s="17" t="s">
        <v>102</v>
      </c>
      <c r="C331" s="17" t="s">
        <v>437</v>
      </c>
      <c r="D331" s="17" t="s">
        <v>115</v>
      </c>
      <c r="E331" s="10">
        <f t="shared" si="6"/>
        <v>0</v>
      </c>
      <c r="F331" s="4">
        <v>0</v>
      </c>
      <c r="G331" s="12">
        <v>201</v>
      </c>
      <c r="H331" s="50"/>
    </row>
    <row r="332" spans="1:8" ht="15.75" customHeight="1" x14ac:dyDescent="0.3">
      <c r="A332" s="36">
        <v>90103</v>
      </c>
      <c r="B332" s="17" t="s">
        <v>102</v>
      </c>
      <c r="C332" s="17" t="s">
        <v>437</v>
      </c>
      <c r="D332" s="17" t="s">
        <v>4</v>
      </c>
      <c r="E332" s="10">
        <f t="shared" si="6"/>
        <v>0</v>
      </c>
      <c r="F332" s="4">
        <v>0</v>
      </c>
      <c r="G332" s="12">
        <v>74</v>
      </c>
      <c r="H332" s="50"/>
    </row>
    <row r="333" spans="1:8" ht="15.75" customHeight="1" x14ac:dyDescent="0.3">
      <c r="A333" s="36">
        <v>90104</v>
      </c>
      <c r="B333" s="17" t="s">
        <v>102</v>
      </c>
      <c r="C333" s="17" t="s">
        <v>437</v>
      </c>
      <c r="D333" s="17" t="s">
        <v>81</v>
      </c>
      <c r="E333" s="10">
        <f t="shared" si="6"/>
        <v>0</v>
      </c>
      <c r="F333" s="4">
        <v>0</v>
      </c>
      <c r="G333" s="12">
        <v>115</v>
      </c>
      <c r="H333" s="50"/>
    </row>
    <row r="334" spans="1:8" ht="15.75" customHeight="1" x14ac:dyDescent="0.3">
      <c r="A334" s="36">
        <v>90201</v>
      </c>
      <c r="B334" s="17" t="s">
        <v>102</v>
      </c>
      <c r="C334" s="17" t="s">
        <v>438</v>
      </c>
      <c r="D334" s="17" t="s">
        <v>131</v>
      </c>
      <c r="E334" s="10">
        <f t="shared" si="6"/>
        <v>0</v>
      </c>
      <c r="F334" s="4">
        <v>0</v>
      </c>
      <c r="G334" s="12">
        <v>213</v>
      </c>
      <c r="H334" s="50"/>
    </row>
    <row r="335" spans="1:8" ht="15.75" customHeight="1" x14ac:dyDescent="0.3">
      <c r="A335" s="36">
        <v>90202</v>
      </c>
      <c r="B335" s="17" t="s">
        <v>102</v>
      </c>
      <c r="C335" s="17" t="s">
        <v>438</v>
      </c>
      <c r="D335" s="17" t="s">
        <v>9</v>
      </c>
      <c r="E335" s="10">
        <f t="shared" si="6"/>
        <v>0</v>
      </c>
      <c r="F335" s="4">
        <v>0</v>
      </c>
      <c r="G335" s="12">
        <v>68</v>
      </c>
      <c r="H335" s="50"/>
    </row>
    <row r="336" spans="1:8" ht="15.75" customHeight="1" x14ac:dyDescent="0.3">
      <c r="A336" s="36">
        <v>90203</v>
      </c>
      <c r="B336" s="17" t="s">
        <v>102</v>
      </c>
      <c r="C336" s="17" t="s">
        <v>438</v>
      </c>
      <c r="D336" s="17" t="s">
        <v>37</v>
      </c>
      <c r="E336" s="10">
        <f t="shared" si="6"/>
        <v>0</v>
      </c>
      <c r="F336" s="4">
        <v>0</v>
      </c>
      <c r="G336" s="12">
        <v>214</v>
      </c>
      <c r="H336" s="50"/>
    </row>
    <row r="337" spans="1:10" ht="15.75" customHeight="1" x14ac:dyDescent="0.3">
      <c r="A337" s="36">
        <v>90301</v>
      </c>
      <c r="B337" s="17" t="s">
        <v>102</v>
      </c>
      <c r="C337" s="17" t="s">
        <v>439</v>
      </c>
      <c r="D337" s="17" t="s">
        <v>340</v>
      </c>
      <c r="E337" s="10">
        <f t="shared" si="6"/>
        <v>4.5871559633027523</v>
      </c>
      <c r="F337" s="4">
        <v>1</v>
      </c>
      <c r="G337" s="12">
        <v>218</v>
      </c>
      <c r="H337" s="50"/>
    </row>
    <row r="338" spans="1:10" ht="15.75" customHeight="1" x14ac:dyDescent="0.3">
      <c r="A338" s="36">
        <v>90302</v>
      </c>
      <c r="B338" s="17" t="s">
        <v>102</v>
      </c>
      <c r="C338" s="17" t="s">
        <v>439</v>
      </c>
      <c r="D338" s="17" t="s">
        <v>59</v>
      </c>
      <c r="E338" s="10">
        <f t="shared" si="6"/>
        <v>0</v>
      </c>
      <c r="F338" s="4">
        <v>0</v>
      </c>
      <c r="G338" s="12">
        <v>286</v>
      </c>
      <c r="H338" s="50"/>
    </row>
    <row r="339" spans="1:10" ht="15.75" customHeight="1" x14ac:dyDescent="0.3">
      <c r="A339" s="36">
        <v>90303</v>
      </c>
      <c r="B339" s="17" t="s">
        <v>102</v>
      </c>
      <c r="C339" s="17" t="s">
        <v>439</v>
      </c>
      <c r="D339" s="17" t="s">
        <v>341</v>
      </c>
      <c r="E339" s="10">
        <f t="shared" si="6"/>
        <v>6.4102564102564097</v>
      </c>
      <c r="F339" s="4">
        <v>2</v>
      </c>
      <c r="G339" s="12">
        <v>312</v>
      </c>
      <c r="H339" s="50"/>
    </row>
    <row r="340" spans="1:10" ht="15.75" customHeight="1" x14ac:dyDescent="0.3">
      <c r="A340" s="36">
        <v>90401</v>
      </c>
      <c r="B340" s="17" t="s">
        <v>102</v>
      </c>
      <c r="C340" s="17" t="s">
        <v>440</v>
      </c>
      <c r="D340" s="17" t="s">
        <v>441</v>
      </c>
      <c r="E340" s="10">
        <f t="shared" si="6"/>
        <v>0</v>
      </c>
      <c r="F340" s="4">
        <v>0</v>
      </c>
      <c r="G340" s="12">
        <v>72</v>
      </c>
      <c r="H340" s="50"/>
    </row>
    <row r="341" spans="1:10" ht="15.75" customHeight="1" x14ac:dyDescent="0.3">
      <c r="A341" s="36">
        <v>90402</v>
      </c>
      <c r="B341" s="17" t="s">
        <v>102</v>
      </c>
      <c r="C341" s="17" t="s">
        <v>440</v>
      </c>
      <c r="D341" s="17" t="s">
        <v>14</v>
      </c>
      <c r="E341" s="10">
        <f t="shared" si="6"/>
        <v>19.607843137254903</v>
      </c>
      <c r="F341" s="4">
        <v>1</v>
      </c>
      <c r="G341" s="12">
        <v>51</v>
      </c>
      <c r="H341" s="50"/>
    </row>
    <row r="342" spans="1:10" ht="15.75" customHeight="1" x14ac:dyDescent="0.3">
      <c r="A342" s="36">
        <v>90501</v>
      </c>
      <c r="B342" s="17" t="s">
        <v>102</v>
      </c>
      <c r="C342" s="17" t="s">
        <v>442</v>
      </c>
      <c r="D342" s="17" t="s">
        <v>26</v>
      </c>
      <c r="E342" s="10">
        <f t="shared" si="6"/>
        <v>35.087719298245609</v>
      </c>
      <c r="F342" s="4">
        <v>2</v>
      </c>
      <c r="G342" s="12">
        <v>57</v>
      </c>
      <c r="H342" s="50"/>
    </row>
    <row r="343" spans="1:10" ht="15.75" customHeight="1" x14ac:dyDescent="0.3">
      <c r="A343" s="36">
        <v>90502</v>
      </c>
      <c r="B343" s="17" t="s">
        <v>102</v>
      </c>
      <c r="C343" s="17" t="s">
        <v>442</v>
      </c>
      <c r="D343" s="17" t="s">
        <v>443</v>
      </c>
      <c r="E343" s="10">
        <f t="shared" si="6"/>
        <v>21.739130434782609</v>
      </c>
      <c r="F343" s="4">
        <v>2</v>
      </c>
      <c r="G343" s="12">
        <v>92</v>
      </c>
      <c r="H343" s="50"/>
    </row>
    <row r="344" spans="1:10" ht="15.75" customHeight="1" x14ac:dyDescent="0.3">
      <c r="A344" s="36">
        <v>90503</v>
      </c>
      <c r="B344" s="17" t="s">
        <v>102</v>
      </c>
      <c r="C344" s="17" t="s">
        <v>442</v>
      </c>
      <c r="D344" s="17" t="s">
        <v>24</v>
      </c>
      <c r="E344" s="10">
        <f>(F344/G344)*1000</f>
        <v>0</v>
      </c>
      <c r="F344" s="39">
        <v>0</v>
      </c>
      <c r="G344" s="13">
        <v>78</v>
      </c>
      <c r="H344" s="50"/>
    </row>
    <row r="345" spans="1:10" ht="15.75" customHeight="1" x14ac:dyDescent="0.3">
      <c r="D345" s="19"/>
      <c r="E345" s="41"/>
      <c r="F345" s="42">
        <v>5492.5</v>
      </c>
      <c r="G345" s="42">
        <v>221742.5</v>
      </c>
      <c r="H345" s="51"/>
      <c r="J345" s="44"/>
    </row>
    <row r="346" spans="1:10" ht="15.75" customHeight="1" x14ac:dyDescent="0.3">
      <c r="D346" s="19" t="s">
        <v>412</v>
      </c>
      <c r="E346" s="40">
        <f>(F346/G346)*1000</f>
        <v>22.727272727272727</v>
      </c>
      <c r="F346" s="9">
        <f>AVERAGE(F246:F248)</f>
        <v>23</v>
      </c>
      <c r="G346" s="9">
        <f>AVERAGE(G246:G248)</f>
        <v>1012</v>
      </c>
      <c r="H346" s="5"/>
    </row>
    <row r="347" spans="1:10" ht="15.75" customHeight="1" x14ac:dyDescent="0.3">
      <c r="D347" s="74"/>
      <c r="E347" s="40"/>
      <c r="F347" s="9"/>
      <c r="G347" s="5"/>
      <c r="H347" s="5"/>
    </row>
    <row r="348" spans="1:10" ht="15.75" customHeight="1" x14ac:dyDescent="0.3">
      <c r="D348" s="19"/>
      <c r="E348" s="40"/>
      <c r="F348" s="9"/>
      <c r="G348" s="5"/>
      <c r="H348" s="5"/>
    </row>
    <row r="349" spans="1:10" ht="15.75" customHeight="1" x14ac:dyDescent="0.3">
      <c r="D349" s="19"/>
      <c r="E349" s="7"/>
      <c r="F349" s="9"/>
      <c r="G349" s="5"/>
      <c r="H349" s="5"/>
    </row>
    <row r="350" spans="1:10" ht="15.75" customHeight="1" x14ac:dyDescent="0.3">
      <c r="D350" s="19"/>
      <c r="E350" s="7"/>
      <c r="F350" s="9"/>
      <c r="G350" s="5"/>
      <c r="H350" s="5"/>
    </row>
    <row r="351" spans="1:10" ht="15.75" customHeight="1" x14ac:dyDescent="0.3">
      <c r="D351" s="19"/>
      <c r="E351" s="7"/>
      <c r="F351" s="9"/>
      <c r="G351" s="5"/>
      <c r="H351" s="5"/>
    </row>
    <row r="352" spans="1:10" ht="15.75" customHeight="1" x14ac:dyDescent="0.3">
      <c r="D352" s="19"/>
      <c r="F352" s="5"/>
      <c r="H352" s="5"/>
    </row>
    <row r="353" spans="3:7" ht="15.75" customHeight="1" x14ac:dyDescent="0.3">
      <c r="C353" s="20" t="s">
        <v>307</v>
      </c>
      <c r="D353" s="21">
        <f>AVERAGE(E1:E344)</f>
        <v>26.680647652149098</v>
      </c>
      <c r="F353" s="7">
        <f>D353+D354</f>
        <v>49.565579189451128</v>
      </c>
    </row>
    <row r="354" spans="3:7" ht="15.75" customHeight="1" x14ac:dyDescent="0.3">
      <c r="C354" s="20" t="s">
        <v>444</v>
      </c>
      <c r="D354" s="21">
        <f>STDEV(E1:E344)</f>
        <v>22.884931537302034</v>
      </c>
      <c r="E354" s="8"/>
      <c r="F354" s="7">
        <f>D353-D354</f>
        <v>3.7957161148470639</v>
      </c>
      <c r="G354" s="8"/>
    </row>
    <row r="355" spans="3:7" ht="15.75" customHeight="1" x14ac:dyDescent="0.3">
      <c r="C355" s="20" t="s">
        <v>308</v>
      </c>
      <c r="D355" s="21"/>
      <c r="E355" s="8"/>
      <c r="F355" s="7"/>
      <c r="G355" s="8"/>
    </row>
    <row r="356" spans="3:7" ht="15.75" customHeight="1" x14ac:dyDescent="0.3">
      <c r="C356" s="20" t="s">
        <v>309</v>
      </c>
      <c r="D356" s="21"/>
      <c r="E356" s="8"/>
      <c r="F356" s="7"/>
    </row>
    <row r="357" spans="3:7" ht="15.75" customHeight="1" x14ac:dyDescent="0.3">
      <c r="C357" s="20" t="s">
        <v>310</v>
      </c>
      <c r="D357" s="21"/>
      <c r="E357" s="8"/>
      <c r="F357" s="7"/>
    </row>
    <row r="358" spans="3:7" ht="15.75" customHeight="1" x14ac:dyDescent="0.3">
      <c r="D358" s="22"/>
      <c r="E358" s="6"/>
      <c r="F358" s="7"/>
    </row>
    <row r="359" spans="3:7" ht="15.75" customHeight="1" x14ac:dyDescent="0.3">
      <c r="D359" s="22"/>
      <c r="F359" s="7"/>
    </row>
    <row r="360" spans="3:7" ht="15.75" customHeight="1" x14ac:dyDescent="0.3">
      <c r="D360" s="22"/>
      <c r="F360" s="7"/>
    </row>
    <row r="361" spans="3:7" ht="15.75" customHeight="1" x14ac:dyDescent="0.3">
      <c r="D361" s="22"/>
      <c r="F361" s="7"/>
    </row>
    <row r="362" spans="3:7" ht="15.75" customHeight="1" x14ac:dyDescent="0.3">
      <c r="D362" s="22"/>
      <c r="F362" s="7"/>
    </row>
    <row r="363" spans="3:7" ht="15.75" customHeight="1" x14ac:dyDescent="0.3">
      <c r="D363" s="22"/>
      <c r="F363" s="7"/>
    </row>
    <row r="364" spans="3:7" ht="15.75" customHeight="1" x14ac:dyDescent="0.3">
      <c r="D364" s="22"/>
      <c r="F364" s="7"/>
    </row>
    <row r="365" spans="3:7" ht="15.75" customHeight="1" x14ac:dyDescent="0.3">
      <c r="D365" s="22"/>
      <c r="F365" s="7"/>
    </row>
    <row r="366" spans="3:7" ht="15.75" customHeight="1" x14ac:dyDescent="0.3">
      <c r="D366" s="22"/>
      <c r="F366" s="7"/>
    </row>
    <row r="367" spans="3:7" ht="15.75" customHeight="1" x14ac:dyDescent="0.3">
      <c r="D367" s="22"/>
      <c r="F367" s="7"/>
    </row>
    <row r="368" spans="3:7" ht="15.75" customHeight="1" x14ac:dyDescent="0.3">
      <c r="D368" s="22"/>
      <c r="F368" s="7"/>
    </row>
    <row r="369" spans="4:6" ht="15.75" customHeight="1" x14ac:dyDescent="0.3">
      <c r="D369" s="22"/>
      <c r="F369" s="7"/>
    </row>
    <row r="370" spans="4:6" ht="15.75" customHeight="1" x14ac:dyDescent="0.3">
      <c r="D370" s="22"/>
      <c r="F370" s="7"/>
    </row>
    <row r="371" spans="4:6" ht="15.75" customHeight="1" x14ac:dyDescent="0.3">
      <c r="D371" s="22"/>
      <c r="F371" s="7"/>
    </row>
    <row r="372" spans="4:6" ht="15.75" customHeight="1" x14ac:dyDescent="0.3">
      <c r="D372" s="22"/>
      <c r="F372" s="7"/>
    </row>
    <row r="373" spans="4:6" ht="15.75" customHeight="1" x14ac:dyDescent="0.3">
      <c r="D373" s="22"/>
      <c r="F373" s="7"/>
    </row>
    <row r="374" spans="4:6" ht="15.75" customHeight="1" x14ac:dyDescent="0.3">
      <c r="D374" s="22"/>
      <c r="F374" s="7"/>
    </row>
    <row r="375" spans="4:6" ht="15.75" customHeight="1" x14ac:dyDescent="0.3">
      <c r="D375" s="22"/>
      <c r="F375" s="7"/>
    </row>
    <row r="376" spans="4:6" ht="15.75" customHeight="1" x14ac:dyDescent="0.3">
      <c r="D376" s="22"/>
      <c r="F376" s="7"/>
    </row>
    <row r="377" spans="4:6" ht="15.75" customHeight="1" x14ac:dyDescent="0.3">
      <c r="D377" s="22"/>
      <c r="F377" s="7"/>
    </row>
    <row r="378" spans="4:6" ht="15.75" customHeight="1" x14ac:dyDescent="0.3">
      <c r="D378" s="22"/>
      <c r="F378" s="7"/>
    </row>
    <row r="379" spans="4:6" ht="15.75" customHeight="1" x14ac:dyDescent="0.3">
      <c r="D379" s="22"/>
      <c r="F379" s="7"/>
    </row>
    <row r="380" spans="4:6" ht="15.75" customHeight="1" x14ac:dyDescent="0.3">
      <c r="D380" s="22"/>
      <c r="F380" s="7"/>
    </row>
    <row r="381" spans="4:6" ht="15.75" customHeight="1" x14ac:dyDescent="0.3">
      <c r="D381" s="22"/>
      <c r="F381" s="7"/>
    </row>
    <row r="382" spans="4:6" ht="15.75" customHeight="1" x14ac:dyDescent="0.3">
      <c r="D382" s="22"/>
      <c r="F382" s="7"/>
    </row>
    <row r="383" spans="4:6" ht="15.75" customHeight="1" x14ac:dyDescent="0.3">
      <c r="D383" s="22"/>
      <c r="F383" s="7"/>
    </row>
    <row r="384" spans="4:6" ht="15.75" customHeight="1" x14ac:dyDescent="0.3">
      <c r="D384" s="22"/>
      <c r="F384" s="7"/>
    </row>
    <row r="385" spans="4:6" ht="15.75" customHeight="1" x14ac:dyDescent="0.3">
      <c r="D385" s="22"/>
      <c r="F385" s="7"/>
    </row>
    <row r="386" spans="4:6" ht="15.75" customHeight="1" x14ac:dyDescent="0.3">
      <c r="D386" s="22"/>
      <c r="F386" s="7"/>
    </row>
    <row r="387" spans="4:6" ht="15.75" customHeight="1" x14ac:dyDescent="0.3">
      <c r="D387" s="22"/>
      <c r="F387" s="7"/>
    </row>
    <row r="388" spans="4:6" ht="15.75" customHeight="1" x14ac:dyDescent="0.3">
      <c r="D388" s="22"/>
      <c r="F388" s="7"/>
    </row>
    <row r="389" spans="4:6" ht="15.75" customHeight="1" x14ac:dyDescent="0.3">
      <c r="D389" s="22"/>
      <c r="F389" s="7"/>
    </row>
    <row r="390" spans="4:6" ht="15.75" customHeight="1" x14ac:dyDescent="0.3">
      <c r="D390" s="22"/>
      <c r="F390" s="7"/>
    </row>
    <row r="391" spans="4:6" ht="15.75" customHeight="1" x14ac:dyDescent="0.3">
      <c r="D391" s="22"/>
      <c r="F391" s="7"/>
    </row>
    <row r="392" spans="4:6" ht="15.75" customHeight="1" x14ac:dyDescent="0.3">
      <c r="D392" s="22"/>
      <c r="F392" s="7"/>
    </row>
    <row r="393" spans="4:6" ht="15.75" customHeight="1" x14ac:dyDescent="0.3">
      <c r="D393" s="22"/>
      <c r="F393" s="7"/>
    </row>
    <row r="394" spans="4:6" ht="15.75" customHeight="1" x14ac:dyDescent="0.3">
      <c r="D394" s="22"/>
      <c r="F394" s="7"/>
    </row>
    <row r="395" spans="4:6" ht="15.75" customHeight="1" x14ac:dyDescent="0.3">
      <c r="D395" s="22"/>
      <c r="F395" s="7"/>
    </row>
    <row r="396" spans="4:6" ht="15.75" customHeight="1" x14ac:dyDescent="0.3">
      <c r="D396" s="22"/>
      <c r="F396" s="7"/>
    </row>
    <row r="397" spans="4:6" ht="15.75" customHeight="1" x14ac:dyDescent="0.3">
      <c r="D397" s="22"/>
      <c r="F397" s="7"/>
    </row>
    <row r="398" spans="4:6" ht="15.75" customHeight="1" x14ac:dyDescent="0.3">
      <c r="D398" s="22"/>
      <c r="F398" s="7"/>
    </row>
    <row r="399" spans="4:6" ht="15.75" customHeight="1" x14ac:dyDescent="0.3">
      <c r="D399" s="22"/>
      <c r="F399" s="7"/>
    </row>
    <row r="400" spans="4:6" ht="15.75" customHeight="1" x14ac:dyDescent="0.3">
      <c r="D400" s="22"/>
      <c r="F400" s="7"/>
    </row>
    <row r="401" spans="4:6" ht="15.75" customHeight="1" x14ac:dyDescent="0.3">
      <c r="D401" s="22"/>
      <c r="F401" s="7"/>
    </row>
    <row r="402" spans="4:6" ht="15.75" customHeight="1" x14ac:dyDescent="0.3">
      <c r="D402" s="22"/>
      <c r="F402" s="7"/>
    </row>
    <row r="403" spans="4:6" ht="15.75" customHeight="1" x14ac:dyDescent="0.3">
      <c r="D403" s="22"/>
      <c r="F403" s="7"/>
    </row>
    <row r="404" spans="4:6" ht="15.75" customHeight="1" x14ac:dyDescent="0.3">
      <c r="D404" s="22"/>
      <c r="F404" s="7"/>
    </row>
    <row r="405" spans="4:6" ht="15.75" customHeight="1" x14ac:dyDescent="0.3">
      <c r="D405" s="22"/>
      <c r="F405" s="7"/>
    </row>
    <row r="406" spans="4:6" ht="15.75" customHeight="1" x14ac:dyDescent="0.3">
      <c r="D406" s="22"/>
      <c r="F406" s="7"/>
    </row>
    <row r="407" spans="4:6" ht="15.75" customHeight="1" x14ac:dyDescent="0.3">
      <c r="D407" s="22"/>
      <c r="F407" s="7"/>
    </row>
    <row r="408" spans="4:6" ht="15.75" customHeight="1" x14ac:dyDescent="0.3">
      <c r="D408" s="22"/>
      <c r="F408" s="7"/>
    </row>
    <row r="409" spans="4:6" ht="15.75" customHeight="1" x14ac:dyDescent="0.3">
      <c r="D409" s="22"/>
      <c r="F409" s="7"/>
    </row>
    <row r="410" spans="4:6" ht="15.75" customHeight="1" x14ac:dyDescent="0.3">
      <c r="D410" s="22"/>
      <c r="F410" s="7"/>
    </row>
    <row r="411" spans="4:6" ht="15.75" customHeight="1" x14ac:dyDescent="0.3">
      <c r="D411" s="22"/>
      <c r="F411" s="7"/>
    </row>
    <row r="412" spans="4:6" ht="15.75" customHeight="1" x14ac:dyDescent="0.3">
      <c r="D412" s="22"/>
      <c r="F412" s="7"/>
    </row>
    <row r="413" spans="4:6" ht="15.75" customHeight="1" x14ac:dyDescent="0.3">
      <c r="D413" s="22"/>
      <c r="F413" s="7"/>
    </row>
    <row r="414" spans="4:6" ht="15.75" customHeight="1" x14ac:dyDescent="0.3">
      <c r="D414" s="22"/>
      <c r="F414" s="7"/>
    </row>
    <row r="415" spans="4:6" ht="15.75" customHeight="1" x14ac:dyDescent="0.3">
      <c r="D415" s="22"/>
      <c r="F415" s="7"/>
    </row>
    <row r="416" spans="4:6" ht="15.75" customHeight="1" x14ac:dyDescent="0.3">
      <c r="D416" s="22"/>
      <c r="F416" s="7"/>
    </row>
    <row r="417" spans="4:6" ht="15.75" customHeight="1" x14ac:dyDescent="0.3">
      <c r="D417" s="22"/>
      <c r="F417" s="7"/>
    </row>
    <row r="418" spans="4:6" ht="15.75" customHeight="1" x14ac:dyDescent="0.3">
      <c r="D418" s="22"/>
      <c r="F418" s="7"/>
    </row>
    <row r="419" spans="4:6" ht="15.75" customHeight="1" x14ac:dyDescent="0.3">
      <c r="D419" s="22"/>
      <c r="F419" s="7"/>
    </row>
    <row r="420" spans="4:6" ht="15.75" customHeight="1" x14ac:dyDescent="0.3">
      <c r="D420" s="22"/>
      <c r="F420" s="7"/>
    </row>
    <row r="421" spans="4:6" ht="15.75" customHeight="1" x14ac:dyDescent="0.3">
      <c r="D421" s="22"/>
      <c r="F421" s="7"/>
    </row>
    <row r="422" spans="4:6" ht="15.75" customHeight="1" x14ac:dyDescent="0.3">
      <c r="D422" s="22"/>
      <c r="F422" s="7"/>
    </row>
    <row r="423" spans="4:6" ht="15.75" customHeight="1" x14ac:dyDescent="0.3">
      <c r="D423" s="22"/>
      <c r="F423" s="7"/>
    </row>
    <row r="424" spans="4:6" ht="15.75" customHeight="1" x14ac:dyDescent="0.3">
      <c r="D424" s="22"/>
      <c r="F424" s="7"/>
    </row>
    <row r="425" spans="4:6" ht="15.75" customHeight="1" x14ac:dyDescent="0.3">
      <c r="D425" s="22"/>
      <c r="F425" s="7"/>
    </row>
    <row r="426" spans="4:6" ht="15.75" customHeight="1" x14ac:dyDescent="0.3">
      <c r="D426" s="22"/>
      <c r="F426" s="7"/>
    </row>
    <row r="427" spans="4:6" ht="15.75" customHeight="1" x14ac:dyDescent="0.3">
      <c r="D427" s="22"/>
      <c r="F427" s="7"/>
    </row>
    <row r="428" spans="4:6" ht="15.75" customHeight="1" x14ac:dyDescent="0.3">
      <c r="D428" s="22"/>
      <c r="F428" s="7"/>
    </row>
    <row r="429" spans="4:6" ht="15.75" customHeight="1" x14ac:dyDescent="0.3">
      <c r="D429" s="22"/>
      <c r="F429" s="7"/>
    </row>
    <row r="430" spans="4:6" ht="15.75" customHeight="1" x14ac:dyDescent="0.3">
      <c r="D430" s="22"/>
      <c r="F430" s="7"/>
    </row>
    <row r="431" spans="4:6" ht="15.75" customHeight="1" x14ac:dyDescent="0.3">
      <c r="D431" s="22"/>
      <c r="F431" s="7"/>
    </row>
    <row r="432" spans="4:6" ht="15.75" customHeight="1" x14ac:dyDescent="0.3">
      <c r="D432" s="22"/>
      <c r="F432" s="7"/>
    </row>
    <row r="433" spans="4:6" ht="15.75" customHeight="1" x14ac:dyDescent="0.3">
      <c r="D433" s="22"/>
      <c r="F433" s="7"/>
    </row>
    <row r="434" spans="4:6" ht="15.75" customHeight="1" x14ac:dyDescent="0.3">
      <c r="D434" s="22"/>
      <c r="F434" s="7"/>
    </row>
    <row r="435" spans="4:6" ht="15.75" customHeight="1" x14ac:dyDescent="0.3">
      <c r="D435" s="22"/>
      <c r="F435" s="7"/>
    </row>
    <row r="436" spans="4:6" ht="15.75" customHeight="1" x14ac:dyDescent="0.3">
      <c r="D436" s="22"/>
      <c r="F436" s="7"/>
    </row>
    <row r="437" spans="4:6" ht="15.75" customHeight="1" x14ac:dyDescent="0.3">
      <c r="D437" s="22"/>
      <c r="F437" s="7"/>
    </row>
    <row r="438" spans="4:6" ht="15.75" customHeight="1" x14ac:dyDescent="0.3">
      <c r="D438" s="22"/>
      <c r="F438" s="7"/>
    </row>
    <row r="439" spans="4:6" ht="15.75" customHeight="1" x14ac:dyDescent="0.3">
      <c r="D439" s="22"/>
      <c r="F439" s="7"/>
    </row>
    <row r="440" spans="4:6" ht="15.75" customHeight="1" x14ac:dyDescent="0.3">
      <c r="D440" s="22"/>
      <c r="F440" s="7"/>
    </row>
    <row r="441" spans="4:6" ht="15.75" customHeight="1" x14ac:dyDescent="0.3">
      <c r="D441" s="22"/>
      <c r="F441" s="7"/>
    </row>
    <row r="442" spans="4:6" ht="15.75" customHeight="1" x14ac:dyDescent="0.3">
      <c r="D442" s="22"/>
      <c r="F442" s="7"/>
    </row>
    <row r="443" spans="4:6" ht="15.75" customHeight="1" x14ac:dyDescent="0.3">
      <c r="D443" s="22"/>
      <c r="F443" s="7"/>
    </row>
    <row r="444" spans="4:6" ht="15.75" customHeight="1" x14ac:dyDescent="0.3">
      <c r="D444" s="22"/>
      <c r="F444" s="7"/>
    </row>
    <row r="445" spans="4:6" ht="15.75" customHeight="1" x14ac:dyDescent="0.3">
      <c r="D445" s="22"/>
      <c r="F445" s="7"/>
    </row>
    <row r="446" spans="4:6" ht="15.75" customHeight="1" x14ac:dyDescent="0.3">
      <c r="D446" s="22"/>
      <c r="F446" s="7"/>
    </row>
    <row r="447" spans="4:6" ht="15.75" customHeight="1" x14ac:dyDescent="0.3">
      <c r="D447" s="22"/>
      <c r="F447" s="7"/>
    </row>
    <row r="448" spans="4:6" ht="15.75" customHeight="1" x14ac:dyDescent="0.3">
      <c r="D448" s="22"/>
      <c r="F448" s="7"/>
    </row>
    <row r="449" spans="4:6" ht="15.75" customHeight="1" x14ac:dyDescent="0.3">
      <c r="D449" s="22"/>
      <c r="F449" s="7"/>
    </row>
    <row r="450" spans="4:6" ht="15.75" customHeight="1" x14ac:dyDescent="0.3">
      <c r="D450" s="22"/>
      <c r="F450" s="7"/>
    </row>
    <row r="451" spans="4:6" ht="15.75" customHeight="1" x14ac:dyDescent="0.3">
      <c r="D451" s="22"/>
      <c r="F451" s="7"/>
    </row>
    <row r="452" spans="4:6" ht="15.75" customHeight="1" x14ac:dyDescent="0.3">
      <c r="D452" s="22"/>
      <c r="F452" s="7"/>
    </row>
    <row r="453" spans="4:6" ht="15.75" customHeight="1" x14ac:dyDescent="0.3">
      <c r="D453" s="22"/>
      <c r="F453" s="7"/>
    </row>
    <row r="454" spans="4:6" ht="15.75" customHeight="1" x14ac:dyDescent="0.3">
      <c r="D454" s="22"/>
      <c r="F454" s="7"/>
    </row>
    <row r="455" spans="4:6" ht="15.75" customHeight="1" x14ac:dyDescent="0.3">
      <c r="D455" s="22"/>
      <c r="F455" s="7"/>
    </row>
    <row r="456" spans="4:6" ht="15.75" customHeight="1" x14ac:dyDescent="0.3">
      <c r="D456" s="22"/>
      <c r="F456" s="7"/>
    </row>
    <row r="457" spans="4:6" ht="15.75" customHeight="1" x14ac:dyDescent="0.3">
      <c r="D457" s="22"/>
      <c r="F457" s="7"/>
    </row>
    <row r="458" spans="4:6" ht="15.75" customHeight="1" x14ac:dyDescent="0.3">
      <c r="D458" s="22"/>
      <c r="F458" s="7"/>
    </row>
    <row r="459" spans="4:6" ht="15.75" customHeight="1" x14ac:dyDescent="0.3">
      <c r="D459" s="22"/>
      <c r="F459" s="7"/>
    </row>
    <row r="460" spans="4:6" ht="15.75" customHeight="1" x14ac:dyDescent="0.3">
      <c r="D460" s="22"/>
      <c r="F460" s="7"/>
    </row>
    <row r="461" spans="4:6" ht="15.75" customHeight="1" x14ac:dyDescent="0.3">
      <c r="D461" s="22"/>
      <c r="F461" s="7"/>
    </row>
    <row r="462" spans="4:6" ht="15.75" customHeight="1" x14ac:dyDescent="0.3">
      <c r="D462" s="22"/>
      <c r="F462" s="7"/>
    </row>
    <row r="463" spans="4:6" ht="15.75" customHeight="1" x14ac:dyDescent="0.3">
      <c r="D463" s="22"/>
      <c r="F463" s="7"/>
    </row>
    <row r="464" spans="4:6" ht="15.75" customHeight="1" x14ac:dyDescent="0.3">
      <c r="D464" s="22"/>
      <c r="F464" s="7"/>
    </row>
    <row r="465" spans="4:6" ht="15.75" customHeight="1" x14ac:dyDescent="0.3">
      <c r="D465" s="22"/>
      <c r="F465" s="7"/>
    </row>
    <row r="466" spans="4:6" ht="15.75" customHeight="1" x14ac:dyDescent="0.3">
      <c r="D466" s="22"/>
      <c r="F466" s="7"/>
    </row>
    <row r="467" spans="4:6" ht="15.75" customHeight="1" x14ac:dyDescent="0.3">
      <c r="D467" s="22"/>
      <c r="F467" s="7"/>
    </row>
    <row r="468" spans="4:6" ht="15.75" customHeight="1" x14ac:dyDescent="0.3">
      <c r="D468" s="22"/>
      <c r="F468" s="7"/>
    </row>
    <row r="469" spans="4:6" ht="15.75" customHeight="1" x14ac:dyDescent="0.3">
      <c r="D469" s="22"/>
      <c r="F469" s="7"/>
    </row>
    <row r="470" spans="4:6" ht="15.75" customHeight="1" x14ac:dyDescent="0.3">
      <c r="D470" s="22"/>
      <c r="F470" s="7"/>
    </row>
    <row r="471" spans="4:6" ht="15.75" customHeight="1" x14ac:dyDescent="0.3">
      <c r="D471" s="22"/>
      <c r="F471" s="7"/>
    </row>
    <row r="472" spans="4:6" ht="15.75" customHeight="1" x14ac:dyDescent="0.3">
      <c r="D472" s="22"/>
      <c r="F472" s="7"/>
    </row>
    <row r="473" spans="4:6" ht="15.75" customHeight="1" x14ac:dyDescent="0.3">
      <c r="D473" s="22"/>
      <c r="F473" s="7"/>
    </row>
    <row r="474" spans="4:6" ht="15.75" customHeight="1" x14ac:dyDescent="0.3">
      <c r="D474" s="22"/>
      <c r="F474" s="7"/>
    </row>
    <row r="475" spans="4:6" ht="15.75" customHeight="1" x14ac:dyDescent="0.3">
      <c r="D475" s="22"/>
      <c r="F475" s="7"/>
    </row>
    <row r="476" spans="4:6" ht="15.75" customHeight="1" x14ac:dyDescent="0.3">
      <c r="D476" s="22"/>
      <c r="F476" s="7"/>
    </row>
    <row r="477" spans="4:6" ht="15.75" customHeight="1" x14ac:dyDescent="0.3">
      <c r="D477" s="22"/>
      <c r="F477" s="7"/>
    </row>
    <row r="478" spans="4:6" ht="15.75" customHeight="1" x14ac:dyDescent="0.3">
      <c r="D478" s="22"/>
      <c r="F478" s="7"/>
    </row>
    <row r="479" spans="4:6" ht="15.75" customHeight="1" x14ac:dyDescent="0.3">
      <c r="D479" s="22"/>
      <c r="F479" s="7"/>
    </row>
    <row r="480" spans="4:6" ht="15.75" customHeight="1" x14ac:dyDescent="0.3">
      <c r="D480" s="22"/>
      <c r="F480" s="7"/>
    </row>
    <row r="481" spans="4:6" ht="15.75" customHeight="1" x14ac:dyDescent="0.3">
      <c r="D481" s="22"/>
      <c r="F481" s="7"/>
    </row>
    <row r="482" spans="4:6" ht="15.75" customHeight="1" x14ac:dyDescent="0.3">
      <c r="D482" s="22"/>
      <c r="F482" s="7"/>
    </row>
    <row r="483" spans="4:6" ht="15.75" customHeight="1" x14ac:dyDescent="0.3">
      <c r="D483" s="22"/>
      <c r="F483" s="7"/>
    </row>
    <row r="484" spans="4:6" ht="15.75" customHeight="1" x14ac:dyDescent="0.3">
      <c r="D484" s="22"/>
      <c r="F484" s="7"/>
    </row>
    <row r="485" spans="4:6" ht="15.75" customHeight="1" x14ac:dyDescent="0.3">
      <c r="D485" s="22"/>
      <c r="F485" s="7"/>
    </row>
    <row r="486" spans="4:6" ht="15.75" customHeight="1" x14ac:dyDescent="0.3">
      <c r="D486" s="22"/>
      <c r="F486" s="7"/>
    </row>
    <row r="487" spans="4:6" ht="15.75" customHeight="1" x14ac:dyDescent="0.3">
      <c r="D487" s="22"/>
      <c r="F487" s="7"/>
    </row>
    <row r="488" spans="4:6" ht="15.75" customHeight="1" x14ac:dyDescent="0.3">
      <c r="D488" s="22"/>
      <c r="F488" s="7"/>
    </row>
    <row r="489" spans="4:6" ht="15.75" customHeight="1" x14ac:dyDescent="0.3">
      <c r="D489" s="22"/>
      <c r="F489" s="7"/>
    </row>
    <row r="490" spans="4:6" ht="15.75" customHeight="1" x14ac:dyDescent="0.3">
      <c r="D490" s="22"/>
      <c r="F490" s="7"/>
    </row>
    <row r="491" spans="4:6" ht="15.75" customHeight="1" x14ac:dyDescent="0.3">
      <c r="D491" s="22"/>
      <c r="F491" s="7"/>
    </row>
    <row r="492" spans="4:6" ht="15.75" customHeight="1" x14ac:dyDescent="0.3">
      <c r="D492" s="22"/>
      <c r="F492" s="7"/>
    </row>
    <row r="493" spans="4:6" ht="15.75" customHeight="1" x14ac:dyDescent="0.3">
      <c r="D493" s="22"/>
      <c r="F493" s="7"/>
    </row>
    <row r="494" spans="4:6" ht="15.75" customHeight="1" x14ac:dyDescent="0.3">
      <c r="D494" s="22"/>
      <c r="F494" s="7"/>
    </row>
    <row r="495" spans="4:6" ht="15.75" customHeight="1" x14ac:dyDescent="0.3">
      <c r="D495" s="22"/>
      <c r="F495" s="7"/>
    </row>
    <row r="496" spans="4:6" ht="15.75" customHeight="1" x14ac:dyDescent="0.3">
      <c r="D496" s="22"/>
      <c r="F496" s="7"/>
    </row>
    <row r="497" spans="4:6" ht="15.75" customHeight="1" x14ac:dyDescent="0.3">
      <c r="D497" s="22"/>
      <c r="F497" s="7"/>
    </row>
    <row r="498" spans="4:6" ht="15.75" customHeight="1" x14ac:dyDescent="0.3">
      <c r="D498" s="22"/>
      <c r="F498" s="7"/>
    </row>
    <row r="499" spans="4:6" ht="15.75" customHeight="1" x14ac:dyDescent="0.3">
      <c r="D499" s="22"/>
      <c r="F499" s="7"/>
    </row>
    <row r="500" spans="4:6" ht="15.75" customHeight="1" x14ac:dyDescent="0.3">
      <c r="D500" s="22"/>
      <c r="F500" s="7"/>
    </row>
    <row r="501" spans="4:6" ht="15.75" customHeight="1" x14ac:dyDescent="0.3">
      <c r="D501" s="22"/>
      <c r="F501" s="7"/>
    </row>
    <row r="502" spans="4:6" ht="15.75" customHeight="1" x14ac:dyDescent="0.3">
      <c r="D502" s="22"/>
      <c r="F502" s="7"/>
    </row>
    <row r="503" spans="4:6" ht="15.75" customHeight="1" x14ac:dyDescent="0.3">
      <c r="D503" s="22"/>
      <c r="F503" s="7"/>
    </row>
    <row r="504" spans="4:6" ht="15.75" customHeight="1" x14ac:dyDescent="0.3">
      <c r="D504" s="22"/>
      <c r="F504" s="7"/>
    </row>
    <row r="505" spans="4:6" ht="15.75" customHeight="1" x14ac:dyDescent="0.3">
      <c r="D505" s="22"/>
      <c r="F505" s="7"/>
    </row>
    <row r="506" spans="4:6" ht="15.75" customHeight="1" x14ac:dyDescent="0.3">
      <c r="D506" s="22"/>
      <c r="F506" s="7"/>
    </row>
    <row r="507" spans="4:6" ht="15.75" customHeight="1" x14ac:dyDescent="0.3">
      <c r="D507" s="22"/>
      <c r="F507" s="7"/>
    </row>
    <row r="508" spans="4:6" ht="15.75" customHeight="1" x14ac:dyDescent="0.3">
      <c r="D508" s="22"/>
      <c r="F508" s="7"/>
    </row>
    <row r="509" spans="4:6" ht="15.75" customHeight="1" x14ac:dyDescent="0.3">
      <c r="D509" s="22"/>
      <c r="F509" s="7"/>
    </row>
    <row r="510" spans="4:6" ht="15.75" customHeight="1" x14ac:dyDescent="0.3">
      <c r="D510" s="22"/>
      <c r="F510" s="7"/>
    </row>
    <row r="511" spans="4:6" ht="15.75" customHeight="1" x14ac:dyDescent="0.3">
      <c r="D511" s="22"/>
      <c r="F511" s="7"/>
    </row>
    <row r="512" spans="4:6" ht="15.75" customHeight="1" x14ac:dyDescent="0.3">
      <c r="D512" s="22"/>
      <c r="F512" s="7"/>
    </row>
    <row r="513" spans="4:6" ht="15.75" customHeight="1" x14ac:dyDescent="0.3">
      <c r="D513" s="22"/>
      <c r="F513" s="7"/>
    </row>
    <row r="514" spans="4:6" ht="15.75" customHeight="1" x14ac:dyDescent="0.3">
      <c r="D514" s="22"/>
      <c r="F514" s="7"/>
    </row>
    <row r="515" spans="4:6" ht="15.75" customHeight="1" x14ac:dyDescent="0.3">
      <c r="D515" s="22"/>
      <c r="F515" s="7"/>
    </row>
    <row r="516" spans="4:6" ht="15.75" customHeight="1" x14ac:dyDescent="0.3">
      <c r="D516" s="22"/>
      <c r="F516" s="7"/>
    </row>
    <row r="517" spans="4:6" ht="15.75" customHeight="1" x14ac:dyDescent="0.3">
      <c r="D517" s="22"/>
      <c r="F517" s="7"/>
    </row>
    <row r="518" spans="4:6" ht="15.75" customHeight="1" x14ac:dyDescent="0.3">
      <c r="D518" s="22"/>
      <c r="F518" s="7"/>
    </row>
    <row r="519" spans="4:6" ht="15.75" customHeight="1" x14ac:dyDescent="0.3">
      <c r="D519" s="22"/>
      <c r="F519" s="7"/>
    </row>
    <row r="520" spans="4:6" ht="15.75" customHeight="1" x14ac:dyDescent="0.3">
      <c r="D520" s="22"/>
      <c r="F520" s="7"/>
    </row>
    <row r="521" spans="4:6" ht="15.75" customHeight="1" x14ac:dyDescent="0.3">
      <c r="D521" s="22"/>
      <c r="F521" s="7"/>
    </row>
    <row r="522" spans="4:6" ht="15.75" customHeight="1" x14ac:dyDescent="0.3">
      <c r="D522" s="22"/>
      <c r="F522" s="7"/>
    </row>
    <row r="523" spans="4:6" ht="15.75" customHeight="1" x14ac:dyDescent="0.3">
      <c r="D523" s="22"/>
      <c r="F523" s="7"/>
    </row>
    <row r="524" spans="4:6" ht="15.75" customHeight="1" x14ac:dyDescent="0.3">
      <c r="D524" s="22"/>
      <c r="F524" s="7"/>
    </row>
    <row r="525" spans="4:6" ht="15.75" customHeight="1" x14ac:dyDescent="0.3">
      <c r="D525" s="22"/>
      <c r="F525" s="7"/>
    </row>
    <row r="526" spans="4:6" ht="15.75" customHeight="1" x14ac:dyDescent="0.3">
      <c r="D526" s="22"/>
      <c r="F526" s="7"/>
    </row>
    <row r="527" spans="4:6" ht="15.75" customHeight="1" x14ac:dyDescent="0.3">
      <c r="D527" s="22"/>
      <c r="F527" s="7"/>
    </row>
    <row r="528" spans="4:6" ht="15.75" customHeight="1" x14ac:dyDescent="0.3">
      <c r="D528" s="22"/>
      <c r="F528" s="7"/>
    </row>
    <row r="529" spans="4:6" ht="15.75" customHeight="1" x14ac:dyDescent="0.3">
      <c r="D529" s="22"/>
      <c r="F529" s="7"/>
    </row>
    <row r="530" spans="4:6" ht="15.75" customHeight="1" x14ac:dyDescent="0.3">
      <c r="D530" s="22"/>
      <c r="F530" s="7"/>
    </row>
    <row r="531" spans="4:6" ht="15.75" customHeight="1" x14ac:dyDescent="0.3">
      <c r="D531" s="22"/>
      <c r="F531" s="7"/>
    </row>
    <row r="532" spans="4:6" ht="15.75" customHeight="1" x14ac:dyDescent="0.3">
      <c r="D532" s="22"/>
      <c r="F532" s="7"/>
    </row>
    <row r="533" spans="4:6" ht="15.75" customHeight="1" x14ac:dyDescent="0.3">
      <c r="D533" s="22"/>
      <c r="F533" s="7"/>
    </row>
    <row r="534" spans="4:6" ht="15.75" customHeight="1" x14ac:dyDescent="0.3">
      <c r="D534" s="22"/>
      <c r="F534" s="7"/>
    </row>
    <row r="535" spans="4:6" ht="15.75" customHeight="1" x14ac:dyDescent="0.3">
      <c r="D535" s="22"/>
      <c r="F535" s="7"/>
    </row>
    <row r="536" spans="4:6" ht="15.75" customHeight="1" x14ac:dyDescent="0.3">
      <c r="D536" s="22"/>
      <c r="F536" s="7"/>
    </row>
    <row r="537" spans="4:6" ht="15.75" customHeight="1" x14ac:dyDescent="0.3">
      <c r="D537" s="22"/>
      <c r="F537" s="7"/>
    </row>
    <row r="538" spans="4:6" ht="15.75" customHeight="1" x14ac:dyDescent="0.3">
      <c r="D538" s="22"/>
      <c r="F538" s="7"/>
    </row>
    <row r="539" spans="4:6" ht="15.75" customHeight="1" x14ac:dyDescent="0.3">
      <c r="D539" s="22"/>
      <c r="F539" s="7"/>
    </row>
    <row r="540" spans="4:6" ht="15.75" customHeight="1" x14ac:dyDescent="0.3">
      <c r="D540" s="22"/>
      <c r="F540" s="7"/>
    </row>
    <row r="541" spans="4:6" ht="15.75" customHeight="1" x14ac:dyDescent="0.3">
      <c r="D541" s="22"/>
      <c r="F541" s="7"/>
    </row>
    <row r="542" spans="4:6" ht="15.75" customHeight="1" x14ac:dyDescent="0.3">
      <c r="D542" s="22"/>
      <c r="F542" s="7"/>
    </row>
    <row r="543" spans="4:6" ht="15.75" customHeight="1" x14ac:dyDescent="0.3">
      <c r="D543" s="22"/>
      <c r="F543" s="7"/>
    </row>
    <row r="544" spans="4:6" ht="15.75" customHeight="1" x14ac:dyDescent="0.3">
      <c r="D544" s="22"/>
      <c r="F544" s="7"/>
    </row>
    <row r="545" spans="4:6" ht="15.75" customHeight="1" x14ac:dyDescent="0.3">
      <c r="D545" s="22"/>
      <c r="F545" s="7"/>
    </row>
    <row r="546" spans="4:6" ht="15.75" customHeight="1" x14ac:dyDescent="0.3">
      <c r="D546" s="22"/>
      <c r="F546" s="7"/>
    </row>
    <row r="547" spans="4:6" ht="15.75" customHeight="1" x14ac:dyDescent="0.3">
      <c r="D547" s="22"/>
      <c r="F547" s="7"/>
    </row>
    <row r="548" spans="4:6" ht="15.75" customHeight="1" x14ac:dyDescent="0.3">
      <c r="D548" s="22"/>
      <c r="F548" s="7"/>
    </row>
    <row r="549" spans="4:6" ht="15.75" customHeight="1" x14ac:dyDescent="0.3">
      <c r="D549" s="22"/>
      <c r="F549" s="7"/>
    </row>
    <row r="550" spans="4:6" ht="15.75" customHeight="1" x14ac:dyDescent="0.3">
      <c r="D550" s="22"/>
      <c r="F550" s="7"/>
    </row>
    <row r="551" spans="4:6" ht="15.75" customHeight="1" x14ac:dyDescent="0.3">
      <c r="D551" s="22"/>
      <c r="F551" s="7"/>
    </row>
    <row r="552" spans="4:6" ht="15.75" customHeight="1" x14ac:dyDescent="0.3">
      <c r="D552" s="22"/>
      <c r="F552" s="7"/>
    </row>
    <row r="553" spans="4:6" ht="15.75" customHeight="1" x14ac:dyDescent="0.3">
      <c r="D553" s="22"/>
      <c r="F553" s="7"/>
    </row>
    <row r="554" spans="4:6" ht="15.75" customHeight="1" x14ac:dyDescent="0.3">
      <c r="D554" s="22"/>
      <c r="F554" s="7"/>
    </row>
    <row r="555" spans="4:6" ht="15.75" customHeight="1" x14ac:dyDescent="0.3">
      <c r="D555" s="22"/>
      <c r="F555" s="7"/>
    </row>
    <row r="556" spans="4:6" ht="15.75" customHeight="1" x14ac:dyDescent="0.3">
      <c r="D556" s="22"/>
      <c r="F556" s="7"/>
    </row>
    <row r="557" spans="4:6" ht="15.75" customHeight="1" x14ac:dyDescent="0.3">
      <c r="D557" s="22"/>
      <c r="F557" s="7"/>
    </row>
    <row r="558" spans="4:6" ht="15.75" customHeight="1" x14ac:dyDescent="0.3">
      <c r="D558" s="22"/>
      <c r="F558" s="7"/>
    </row>
    <row r="559" spans="4:6" ht="15.75" customHeight="1" x14ac:dyDescent="0.3">
      <c r="D559" s="22"/>
      <c r="F559" s="7"/>
    </row>
    <row r="560" spans="4:6" ht="15.75" customHeight="1" x14ac:dyDescent="0.3">
      <c r="D560" s="22"/>
      <c r="F560" s="7"/>
    </row>
    <row r="561" spans="4:6" ht="15.75" customHeight="1" x14ac:dyDescent="0.3">
      <c r="D561" s="22"/>
      <c r="F561" s="7"/>
    </row>
    <row r="562" spans="4:6" ht="15.75" customHeight="1" x14ac:dyDescent="0.3">
      <c r="D562" s="22"/>
      <c r="F562" s="7"/>
    </row>
    <row r="563" spans="4:6" ht="15.75" customHeight="1" x14ac:dyDescent="0.3">
      <c r="D563" s="22"/>
      <c r="F563" s="7"/>
    </row>
    <row r="564" spans="4:6" ht="15.75" customHeight="1" x14ac:dyDescent="0.3">
      <c r="D564" s="22"/>
      <c r="F564" s="7"/>
    </row>
    <row r="565" spans="4:6" ht="15.75" customHeight="1" x14ac:dyDescent="0.3">
      <c r="D565" s="22"/>
      <c r="F565" s="7"/>
    </row>
    <row r="566" spans="4:6" ht="15.75" customHeight="1" x14ac:dyDescent="0.3">
      <c r="D566" s="22"/>
      <c r="F566" s="7"/>
    </row>
    <row r="567" spans="4:6" ht="15.75" customHeight="1" x14ac:dyDescent="0.3">
      <c r="D567" s="22"/>
      <c r="F567" s="7"/>
    </row>
    <row r="568" spans="4:6" ht="15.75" customHeight="1" x14ac:dyDescent="0.3">
      <c r="D568" s="22"/>
      <c r="F568" s="7"/>
    </row>
    <row r="569" spans="4:6" ht="15.75" customHeight="1" x14ac:dyDescent="0.3">
      <c r="D569" s="22"/>
      <c r="F569" s="7"/>
    </row>
    <row r="570" spans="4:6" ht="15.75" customHeight="1" x14ac:dyDescent="0.3">
      <c r="D570" s="22"/>
      <c r="F570" s="7"/>
    </row>
    <row r="571" spans="4:6" ht="15.75" customHeight="1" x14ac:dyDescent="0.3">
      <c r="D571" s="22"/>
      <c r="F571" s="7"/>
    </row>
    <row r="572" spans="4:6" ht="15.75" customHeight="1" x14ac:dyDescent="0.3">
      <c r="D572" s="22"/>
      <c r="F572" s="7"/>
    </row>
    <row r="573" spans="4:6" ht="15.75" customHeight="1" x14ac:dyDescent="0.3">
      <c r="D573" s="22"/>
      <c r="F573" s="7"/>
    </row>
    <row r="574" spans="4:6" ht="15.75" customHeight="1" x14ac:dyDescent="0.3">
      <c r="D574" s="22"/>
      <c r="F574" s="7"/>
    </row>
    <row r="575" spans="4:6" ht="15.75" customHeight="1" x14ac:dyDescent="0.3">
      <c r="D575" s="22"/>
      <c r="F575" s="7"/>
    </row>
    <row r="576" spans="4:6" ht="15.75" customHeight="1" x14ac:dyDescent="0.3">
      <c r="D576" s="22"/>
      <c r="F576" s="7"/>
    </row>
    <row r="577" spans="4:6" ht="15.75" customHeight="1" x14ac:dyDescent="0.3">
      <c r="D577" s="22"/>
      <c r="F577" s="7"/>
    </row>
    <row r="578" spans="4:6" ht="15.75" customHeight="1" x14ac:dyDescent="0.3">
      <c r="D578" s="22"/>
      <c r="F578" s="7"/>
    </row>
    <row r="579" spans="4:6" ht="15.75" customHeight="1" x14ac:dyDescent="0.3">
      <c r="D579" s="22"/>
      <c r="F579" s="7"/>
    </row>
    <row r="580" spans="4:6" ht="15.75" customHeight="1" x14ac:dyDescent="0.3">
      <c r="D580" s="22"/>
      <c r="F580" s="7"/>
    </row>
    <row r="581" spans="4:6" ht="15.75" customHeight="1" x14ac:dyDescent="0.3">
      <c r="D581" s="22"/>
      <c r="F581" s="7"/>
    </row>
    <row r="582" spans="4:6" ht="15.75" customHeight="1" x14ac:dyDescent="0.3">
      <c r="D582" s="22"/>
      <c r="F582" s="7"/>
    </row>
    <row r="583" spans="4:6" ht="15.75" customHeight="1" x14ac:dyDescent="0.3">
      <c r="D583" s="22"/>
      <c r="F583" s="7"/>
    </row>
    <row r="584" spans="4:6" ht="15.75" customHeight="1" x14ac:dyDescent="0.3">
      <c r="D584" s="22"/>
      <c r="F584" s="7"/>
    </row>
    <row r="585" spans="4:6" ht="15.75" customHeight="1" x14ac:dyDescent="0.3">
      <c r="D585" s="22"/>
      <c r="F585" s="7"/>
    </row>
    <row r="586" spans="4:6" ht="15.75" customHeight="1" x14ac:dyDescent="0.3">
      <c r="D586" s="22"/>
      <c r="F586" s="7"/>
    </row>
    <row r="587" spans="4:6" ht="15.75" customHeight="1" x14ac:dyDescent="0.3">
      <c r="D587" s="22"/>
      <c r="F587" s="7"/>
    </row>
    <row r="588" spans="4:6" ht="15.75" customHeight="1" x14ac:dyDescent="0.3">
      <c r="D588" s="22"/>
      <c r="F588" s="7"/>
    </row>
    <row r="589" spans="4:6" ht="15.75" customHeight="1" x14ac:dyDescent="0.3">
      <c r="D589" s="22"/>
      <c r="F589" s="7"/>
    </row>
    <row r="590" spans="4:6" ht="15.75" customHeight="1" x14ac:dyDescent="0.3">
      <c r="D590" s="22"/>
      <c r="F590" s="7"/>
    </row>
    <row r="591" spans="4:6" ht="15.75" customHeight="1" x14ac:dyDescent="0.3">
      <c r="D591" s="22"/>
      <c r="F591" s="7"/>
    </row>
    <row r="592" spans="4:6" ht="15.75" customHeight="1" x14ac:dyDescent="0.3">
      <c r="D592" s="22"/>
      <c r="F592" s="7"/>
    </row>
    <row r="593" spans="4:6" ht="15.75" customHeight="1" x14ac:dyDescent="0.3">
      <c r="D593" s="22"/>
      <c r="F593" s="7"/>
    </row>
    <row r="594" spans="4:6" ht="15.75" customHeight="1" x14ac:dyDescent="0.3">
      <c r="D594" s="22"/>
      <c r="F594" s="7"/>
    </row>
    <row r="595" spans="4:6" ht="15.75" customHeight="1" x14ac:dyDescent="0.3">
      <c r="D595" s="22"/>
      <c r="F595" s="7"/>
    </row>
    <row r="596" spans="4:6" ht="15.75" customHeight="1" x14ac:dyDescent="0.3">
      <c r="D596" s="22"/>
      <c r="F596" s="7"/>
    </row>
    <row r="597" spans="4:6" ht="15.75" customHeight="1" x14ac:dyDescent="0.3">
      <c r="D597" s="22"/>
      <c r="F597" s="7"/>
    </row>
    <row r="598" spans="4:6" ht="15.75" customHeight="1" x14ac:dyDescent="0.3">
      <c r="D598" s="22"/>
      <c r="F598" s="7"/>
    </row>
    <row r="599" spans="4:6" ht="15.75" customHeight="1" x14ac:dyDescent="0.3">
      <c r="D599" s="22"/>
      <c r="F599" s="7"/>
    </row>
    <row r="600" spans="4:6" ht="15.75" customHeight="1" x14ac:dyDescent="0.3">
      <c r="D600" s="22"/>
      <c r="F600" s="7"/>
    </row>
    <row r="601" spans="4:6" ht="15.75" customHeight="1" x14ac:dyDescent="0.3">
      <c r="D601" s="22"/>
      <c r="F601" s="7"/>
    </row>
    <row r="602" spans="4:6" ht="15.75" customHeight="1" x14ac:dyDescent="0.3">
      <c r="D602" s="22"/>
      <c r="F602" s="7"/>
    </row>
    <row r="603" spans="4:6" ht="15.75" customHeight="1" x14ac:dyDescent="0.3">
      <c r="D603" s="22"/>
      <c r="F603" s="7"/>
    </row>
    <row r="604" spans="4:6" ht="15.75" customHeight="1" x14ac:dyDescent="0.3">
      <c r="D604" s="22"/>
      <c r="F604" s="7"/>
    </row>
    <row r="605" spans="4:6" ht="15.75" customHeight="1" x14ac:dyDescent="0.3">
      <c r="D605" s="22"/>
      <c r="F605" s="7"/>
    </row>
    <row r="606" spans="4:6" ht="15.75" customHeight="1" x14ac:dyDescent="0.3">
      <c r="D606" s="22"/>
      <c r="F606" s="7"/>
    </row>
    <row r="607" spans="4:6" ht="15.75" customHeight="1" x14ac:dyDescent="0.3">
      <c r="D607" s="22"/>
      <c r="F607" s="7"/>
    </row>
    <row r="608" spans="4:6" ht="15.75" customHeight="1" x14ac:dyDescent="0.3">
      <c r="D608" s="22"/>
      <c r="F608" s="7"/>
    </row>
    <row r="609" spans="4:6" ht="15.75" customHeight="1" x14ac:dyDescent="0.3">
      <c r="D609" s="22"/>
      <c r="F609" s="7"/>
    </row>
    <row r="610" spans="4:6" ht="15.75" customHeight="1" x14ac:dyDescent="0.3">
      <c r="D610" s="22"/>
      <c r="F610" s="7"/>
    </row>
    <row r="611" spans="4:6" ht="15.75" customHeight="1" x14ac:dyDescent="0.3">
      <c r="D611" s="22"/>
      <c r="F611" s="7"/>
    </row>
    <row r="612" spans="4:6" ht="15.75" customHeight="1" x14ac:dyDescent="0.3">
      <c r="D612" s="22"/>
      <c r="F612" s="7"/>
    </row>
    <row r="613" spans="4:6" ht="15.75" customHeight="1" x14ac:dyDescent="0.3">
      <c r="D613" s="22"/>
      <c r="F613" s="7"/>
    </row>
    <row r="614" spans="4:6" ht="15.75" customHeight="1" x14ac:dyDescent="0.3">
      <c r="D614" s="22"/>
      <c r="F614" s="7"/>
    </row>
    <row r="615" spans="4:6" ht="15.75" customHeight="1" x14ac:dyDescent="0.3">
      <c r="D615" s="22"/>
      <c r="F615" s="7"/>
    </row>
    <row r="616" spans="4:6" ht="15.75" customHeight="1" x14ac:dyDescent="0.3">
      <c r="D616" s="22"/>
      <c r="F616" s="7"/>
    </row>
    <row r="617" spans="4:6" ht="15.75" customHeight="1" x14ac:dyDescent="0.3">
      <c r="D617" s="22"/>
      <c r="F617" s="7"/>
    </row>
    <row r="618" spans="4:6" ht="15.75" customHeight="1" x14ac:dyDescent="0.3">
      <c r="D618" s="22"/>
      <c r="F618" s="7"/>
    </row>
    <row r="619" spans="4:6" ht="15.75" customHeight="1" x14ac:dyDescent="0.3">
      <c r="D619" s="22"/>
      <c r="F619" s="7"/>
    </row>
    <row r="620" spans="4:6" ht="15.75" customHeight="1" x14ac:dyDescent="0.3">
      <c r="D620" s="22"/>
      <c r="F620" s="7"/>
    </row>
    <row r="621" spans="4:6" ht="15.75" customHeight="1" x14ac:dyDescent="0.3">
      <c r="D621" s="22"/>
      <c r="F621" s="7"/>
    </row>
    <row r="622" spans="4:6" ht="15.75" customHeight="1" x14ac:dyDescent="0.3">
      <c r="D622" s="22"/>
      <c r="F622" s="7"/>
    </row>
    <row r="623" spans="4:6" ht="15.75" customHeight="1" x14ac:dyDescent="0.3">
      <c r="D623" s="22"/>
      <c r="F623" s="7"/>
    </row>
    <row r="624" spans="4:6" ht="15.75" customHeight="1" x14ac:dyDescent="0.3">
      <c r="D624" s="22"/>
      <c r="F624" s="7"/>
    </row>
    <row r="625" spans="4:6" ht="15.75" customHeight="1" x14ac:dyDescent="0.3">
      <c r="D625" s="22"/>
      <c r="F625" s="7"/>
    </row>
    <row r="626" spans="4:6" ht="15.75" customHeight="1" x14ac:dyDescent="0.3">
      <c r="D626" s="22"/>
      <c r="F626" s="7"/>
    </row>
    <row r="627" spans="4:6" ht="15.75" customHeight="1" x14ac:dyDescent="0.3">
      <c r="D627" s="22"/>
      <c r="F627" s="7"/>
    </row>
    <row r="628" spans="4:6" ht="15.75" customHeight="1" x14ac:dyDescent="0.3">
      <c r="D628" s="22"/>
      <c r="F628" s="7"/>
    </row>
    <row r="629" spans="4:6" ht="15.75" customHeight="1" x14ac:dyDescent="0.3">
      <c r="D629" s="22"/>
      <c r="F629" s="7"/>
    </row>
    <row r="630" spans="4:6" ht="15.75" customHeight="1" x14ac:dyDescent="0.3">
      <c r="D630" s="22"/>
      <c r="F630" s="7"/>
    </row>
    <row r="631" spans="4:6" ht="15.75" customHeight="1" x14ac:dyDescent="0.3">
      <c r="D631" s="22"/>
      <c r="F631" s="7"/>
    </row>
    <row r="632" spans="4:6" ht="15.75" customHeight="1" x14ac:dyDescent="0.3">
      <c r="D632" s="22"/>
      <c r="F632" s="7"/>
    </row>
    <row r="633" spans="4:6" ht="15.75" customHeight="1" x14ac:dyDescent="0.3">
      <c r="D633" s="22"/>
      <c r="F633" s="7"/>
    </row>
    <row r="634" spans="4:6" ht="15.75" customHeight="1" x14ac:dyDescent="0.3">
      <c r="D634" s="22"/>
      <c r="F634" s="7"/>
    </row>
    <row r="635" spans="4:6" ht="15.75" customHeight="1" x14ac:dyDescent="0.3">
      <c r="D635" s="22"/>
      <c r="F635" s="7"/>
    </row>
    <row r="636" spans="4:6" ht="15.75" customHeight="1" x14ac:dyDescent="0.3">
      <c r="D636" s="22"/>
      <c r="F636" s="7"/>
    </row>
    <row r="637" spans="4:6" ht="15.75" customHeight="1" x14ac:dyDescent="0.3">
      <c r="D637" s="22"/>
      <c r="F637" s="7"/>
    </row>
    <row r="638" spans="4:6" ht="15.75" customHeight="1" x14ac:dyDescent="0.3">
      <c r="D638" s="22"/>
      <c r="F638" s="7"/>
    </row>
    <row r="639" spans="4:6" ht="15.75" customHeight="1" x14ac:dyDescent="0.3">
      <c r="D639" s="22"/>
      <c r="F639" s="7"/>
    </row>
    <row r="640" spans="4:6" ht="15.75" customHeight="1" x14ac:dyDescent="0.3">
      <c r="D640" s="22"/>
      <c r="F640" s="7"/>
    </row>
    <row r="641" spans="4:6" ht="15.75" customHeight="1" x14ac:dyDescent="0.3">
      <c r="D641" s="22"/>
      <c r="F641" s="7"/>
    </row>
    <row r="642" spans="4:6" ht="15.75" customHeight="1" x14ac:dyDescent="0.3">
      <c r="D642" s="22"/>
      <c r="F642" s="7"/>
    </row>
    <row r="643" spans="4:6" ht="15.75" customHeight="1" x14ac:dyDescent="0.3">
      <c r="D643" s="22"/>
      <c r="F643" s="7"/>
    </row>
    <row r="644" spans="4:6" ht="15.75" customHeight="1" x14ac:dyDescent="0.3">
      <c r="D644" s="22"/>
      <c r="F644" s="7"/>
    </row>
    <row r="645" spans="4:6" ht="15.75" customHeight="1" x14ac:dyDescent="0.3">
      <c r="D645" s="22"/>
      <c r="F645" s="7"/>
    </row>
    <row r="646" spans="4:6" ht="15.75" customHeight="1" x14ac:dyDescent="0.3">
      <c r="D646" s="22"/>
      <c r="F646" s="7"/>
    </row>
    <row r="647" spans="4:6" ht="15.75" customHeight="1" x14ac:dyDescent="0.3">
      <c r="D647" s="22"/>
      <c r="F647" s="7"/>
    </row>
    <row r="648" spans="4:6" ht="15.75" customHeight="1" x14ac:dyDescent="0.3">
      <c r="D648" s="22"/>
      <c r="F648" s="7"/>
    </row>
    <row r="649" spans="4:6" ht="15.75" customHeight="1" x14ac:dyDescent="0.3">
      <c r="D649" s="22"/>
      <c r="F649" s="7"/>
    </row>
    <row r="650" spans="4:6" ht="15.75" customHeight="1" x14ac:dyDescent="0.3">
      <c r="D650" s="22"/>
      <c r="F650" s="7"/>
    </row>
    <row r="651" spans="4:6" ht="15.75" customHeight="1" x14ac:dyDescent="0.3">
      <c r="D651" s="22"/>
      <c r="F651" s="7"/>
    </row>
    <row r="652" spans="4:6" ht="15.75" customHeight="1" x14ac:dyDescent="0.3">
      <c r="D652" s="22"/>
      <c r="F652" s="7"/>
    </row>
    <row r="653" spans="4:6" ht="15.75" customHeight="1" x14ac:dyDescent="0.3">
      <c r="D653" s="22"/>
      <c r="F653" s="7"/>
    </row>
    <row r="654" spans="4:6" ht="15.75" customHeight="1" x14ac:dyDescent="0.3">
      <c r="D654" s="22"/>
      <c r="F654" s="7"/>
    </row>
    <row r="655" spans="4:6" ht="15.75" customHeight="1" x14ac:dyDescent="0.3">
      <c r="D655" s="22"/>
      <c r="F655" s="7"/>
    </row>
    <row r="656" spans="4:6" ht="15.75" customHeight="1" x14ac:dyDescent="0.3">
      <c r="D656" s="22"/>
      <c r="F656" s="7"/>
    </row>
    <row r="657" spans="4:6" ht="15.75" customHeight="1" x14ac:dyDescent="0.3">
      <c r="D657" s="22"/>
      <c r="F657" s="7"/>
    </row>
    <row r="658" spans="4:6" ht="15.75" customHeight="1" x14ac:dyDescent="0.3">
      <c r="D658" s="22"/>
      <c r="F658" s="7"/>
    </row>
    <row r="659" spans="4:6" ht="15.75" customHeight="1" x14ac:dyDescent="0.3">
      <c r="D659" s="22"/>
      <c r="F659" s="7"/>
    </row>
    <row r="660" spans="4:6" ht="15.75" customHeight="1" x14ac:dyDescent="0.3">
      <c r="D660" s="22"/>
      <c r="F660" s="7"/>
    </row>
    <row r="661" spans="4:6" ht="15.75" customHeight="1" x14ac:dyDescent="0.3">
      <c r="D661" s="22"/>
      <c r="F661" s="7"/>
    </row>
    <row r="662" spans="4:6" ht="15.75" customHeight="1" x14ac:dyDescent="0.3">
      <c r="D662" s="22"/>
      <c r="F662" s="7"/>
    </row>
    <row r="663" spans="4:6" ht="15.75" customHeight="1" x14ac:dyDescent="0.3">
      <c r="D663" s="22"/>
      <c r="F663" s="7"/>
    </row>
    <row r="664" spans="4:6" ht="15.75" customHeight="1" x14ac:dyDescent="0.3">
      <c r="D664" s="22"/>
      <c r="F664" s="7"/>
    </row>
    <row r="665" spans="4:6" ht="15.75" customHeight="1" x14ac:dyDescent="0.3">
      <c r="D665" s="22"/>
      <c r="F665" s="7"/>
    </row>
    <row r="666" spans="4:6" ht="15.75" customHeight="1" x14ac:dyDescent="0.3">
      <c r="D666" s="22"/>
      <c r="F666" s="7"/>
    </row>
    <row r="667" spans="4:6" ht="15.75" customHeight="1" x14ac:dyDescent="0.3">
      <c r="D667" s="22"/>
      <c r="F667" s="7"/>
    </row>
    <row r="668" spans="4:6" ht="15.75" customHeight="1" x14ac:dyDescent="0.3">
      <c r="D668" s="22"/>
      <c r="F668" s="7"/>
    </row>
    <row r="669" spans="4:6" ht="15.75" customHeight="1" x14ac:dyDescent="0.3">
      <c r="D669" s="22"/>
      <c r="F669" s="7"/>
    </row>
    <row r="670" spans="4:6" ht="15.75" customHeight="1" x14ac:dyDescent="0.3">
      <c r="D670" s="22"/>
      <c r="F670" s="7"/>
    </row>
    <row r="671" spans="4:6" ht="15.75" customHeight="1" x14ac:dyDescent="0.3">
      <c r="D671" s="22"/>
      <c r="F671" s="7"/>
    </row>
    <row r="672" spans="4:6" ht="15.75" customHeight="1" x14ac:dyDescent="0.3">
      <c r="D672" s="22"/>
      <c r="F672" s="7"/>
    </row>
    <row r="673" spans="4:6" ht="15.75" customHeight="1" x14ac:dyDescent="0.3">
      <c r="D673" s="22"/>
      <c r="F673" s="7"/>
    </row>
    <row r="674" spans="4:6" ht="15.75" customHeight="1" x14ac:dyDescent="0.3">
      <c r="D674" s="22"/>
      <c r="F674" s="7"/>
    </row>
    <row r="675" spans="4:6" ht="15.75" customHeight="1" x14ac:dyDescent="0.3">
      <c r="D675" s="22"/>
      <c r="F675" s="7"/>
    </row>
    <row r="676" spans="4:6" ht="15.75" customHeight="1" x14ac:dyDescent="0.3">
      <c r="D676" s="22"/>
      <c r="F676" s="7"/>
    </row>
    <row r="677" spans="4:6" ht="15.75" customHeight="1" x14ac:dyDescent="0.3">
      <c r="D677" s="22"/>
      <c r="F677" s="7"/>
    </row>
    <row r="678" spans="4:6" ht="15.75" customHeight="1" x14ac:dyDescent="0.3">
      <c r="D678" s="22"/>
      <c r="F678" s="7"/>
    </row>
    <row r="679" spans="4:6" ht="15.75" customHeight="1" x14ac:dyDescent="0.3">
      <c r="D679" s="22"/>
      <c r="F679" s="7"/>
    </row>
    <row r="680" spans="4:6" ht="15.75" customHeight="1" x14ac:dyDescent="0.3">
      <c r="D680" s="22"/>
      <c r="F680" s="7"/>
    </row>
    <row r="681" spans="4:6" ht="15.75" customHeight="1" x14ac:dyDescent="0.3">
      <c r="D681" s="22"/>
      <c r="F681" s="7"/>
    </row>
    <row r="682" spans="4:6" ht="15.75" customHeight="1" x14ac:dyDescent="0.3">
      <c r="D682" s="22"/>
      <c r="F682" s="7"/>
    </row>
    <row r="683" spans="4:6" ht="15.75" customHeight="1" x14ac:dyDescent="0.3">
      <c r="D683" s="22"/>
      <c r="F683" s="7"/>
    </row>
    <row r="684" spans="4:6" ht="15.75" customHeight="1" x14ac:dyDescent="0.3">
      <c r="D684" s="22"/>
      <c r="F684" s="7"/>
    </row>
    <row r="685" spans="4:6" ht="15.75" customHeight="1" x14ac:dyDescent="0.3">
      <c r="D685" s="22"/>
      <c r="F685" s="7"/>
    </row>
    <row r="686" spans="4:6" ht="15.75" customHeight="1" x14ac:dyDescent="0.3">
      <c r="D686" s="22"/>
      <c r="F686" s="7"/>
    </row>
    <row r="687" spans="4:6" ht="15.75" customHeight="1" x14ac:dyDescent="0.3">
      <c r="D687" s="22"/>
      <c r="F687" s="7"/>
    </row>
    <row r="688" spans="4:6" ht="15.75" customHeight="1" x14ac:dyDescent="0.3">
      <c r="D688" s="22"/>
      <c r="F688" s="7"/>
    </row>
    <row r="689" spans="4:6" ht="15.75" customHeight="1" x14ac:dyDescent="0.3">
      <c r="D689" s="22"/>
      <c r="F689" s="7"/>
    </row>
    <row r="690" spans="4:6" ht="15.75" customHeight="1" x14ac:dyDescent="0.3">
      <c r="D690" s="22"/>
      <c r="F690" s="7"/>
    </row>
    <row r="691" spans="4:6" ht="15.75" customHeight="1" x14ac:dyDescent="0.3">
      <c r="D691" s="22"/>
      <c r="F691" s="7"/>
    </row>
    <row r="692" spans="4:6" ht="15.75" customHeight="1" x14ac:dyDescent="0.3">
      <c r="D692" s="22"/>
      <c r="F692" s="7"/>
    </row>
    <row r="693" spans="4:6" ht="15.75" customHeight="1" x14ac:dyDescent="0.3">
      <c r="D693" s="22"/>
      <c r="F693" s="7"/>
    </row>
    <row r="694" spans="4:6" ht="15.75" customHeight="1" x14ac:dyDescent="0.3">
      <c r="D694" s="22"/>
      <c r="F694" s="7"/>
    </row>
    <row r="695" spans="4:6" ht="15.75" customHeight="1" x14ac:dyDescent="0.3">
      <c r="D695" s="22"/>
      <c r="F695" s="7"/>
    </row>
    <row r="696" spans="4:6" ht="15.75" customHeight="1" x14ac:dyDescent="0.3">
      <c r="D696" s="22"/>
      <c r="F696" s="7"/>
    </row>
    <row r="697" spans="4:6" ht="15.75" customHeight="1" x14ac:dyDescent="0.3">
      <c r="D697" s="22"/>
      <c r="F697" s="7"/>
    </row>
    <row r="698" spans="4:6" ht="15.75" customHeight="1" x14ac:dyDescent="0.3">
      <c r="D698" s="22"/>
      <c r="F698" s="7"/>
    </row>
    <row r="699" spans="4:6" ht="15.75" customHeight="1" x14ac:dyDescent="0.3">
      <c r="D699" s="22"/>
      <c r="F699" s="7"/>
    </row>
    <row r="700" spans="4:6" ht="15.75" customHeight="1" x14ac:dyDescent="0.3">
      <c r="D700" s="22"/>
      <c r="F700" s="7"/>
    </row>
    <row r="701" spans="4:6" ht="15.75" customHeight="1" x14ac:dyDescent="0.3">
      <c r="D701" s="22"/>
      <c r="F701" s="7"/>
    </row>
    <row r="702" spans="4:6" ht="15.75" customHeight="1" x14ac:dyDescent="0.3">
      <c r="D702" s="22"/>
      <c r="F702" s="7"/>
    </row>
    <row r="703" spans="4:6" ht="15.75" customHeight="1" x14ac:dyDescent="0.3">
      <c r="D703" s="22"/>
      <c r="F703" s="7"/>
    </row>
    <row r="704" spans="4:6" ht="15.75" customHeight="1" x14ac:dyDescent="0.3">
      <c r="D704" s="22"/>
      <c r="F704" s="7"/>
    </row>
    <row r="705" spans="4:6" ht="15.75" customHeight="1" x14ac:dyDescent="0.3">
      <c r="D705" s="22"/>
      <c r="F705" s="7"/>
    </row>
    <row r="706" spans="4:6" ht="15.75" customHeight="1" x14ac:dyDescent="0.3">
      <c r="D706" s="22"/>
      <c r="F706" s="7"/>
    </row>
    <row r="707" spans="4:6" ht="15.75" customHeight="1" x14ac:dyDescent="0.3">
      <c r="D707" s="22"/>
      <c r="F707" s="7"/>
    </row>
    <row r="708" spans="4:6" ht="15.75" customHeight="1" x14ac:dyDescent="0.3">
      <c r="D708" s="22"/>
      <c r="F708" s="7"/>
    </row>
    <row r="709" spans="4:6" ht="15.75" customHeight="1" x14ac:dyDescent="0.3">
      <c r="D709" s="22"/>
      <c r="F709" s="7"/>
    </row>
    <row r="710" spans="4:6" ht="15.75" customHeight="1" x14ac:dyDescent="0.3">
      <c r="D710" s="22"/>
      <c r="F710" s="7"/>
    </row>
    <row r="711" spans="4:6" ht="15.75" customHeight="1" x14ac:dyDescent="0.3">
      <c r="D711" s="22"/>
      <c r="F711" s="7"/>
    </row>
    <row r="712" spans="4:6" ht="15.75" customHeight="1" x14ac:dyDescent="0.3">
      <c r="D712" s="22"/>
      <c r="F712" s="7"/>
    </row>
    <row r="713" spans="4:6" ht="15.75" customHeight="1" x14ac:dyDescent="0.3">
      <c r="D713" s="22"/>
      <c r="F713" s="7"/>
    </row>
    <row r="714" spans="4:6" ht="15.75" customHeight="1" x14ac:dyDescent="0.3">
      <c r="D714" s="22"/>
      <c r="F714" s="7"/>
    </row>
    <row r="715" spans="4:6" ht="15.75" customHeight="1" x14ac:dyDescent="0.3">
      <c r="D715" s="22"/>
      <c r="F715" s="7"/>
    </row>
    <row r="716" spans="4:6" ht="15.75" customHeight="1" x14ac:dyDescent="0.3">
      <c r="D716" s="22"/>
      <c r="F716" s="7"/>
    </row>
    <row r="717" spans="4:6" ht="15.75" customHeight="1" x14ac:dyDescent="0.3">
      <c r="D717" s="22"/>
      <c r="F717" s="7"/>
    </row>
    <row r="718" spans="4:6" ht="15.75" customHeight="1" x14ac:dyDescent="0.3">
      <c r="D718" s="22"/>
      <c r="F718" s="7"/>
    </row>
    <row r="719" spans="4:6" ht="15.75" customHeight="1" x14ac:dyDescent="0.3">
      <c r="D719" s="22"/>
      <c r="F719" s="7"/>
    </row>
    <row r="720" spans="4:6" ht="15.75" customHeight="1" x14ac:dyDescent="0.3">
      <c r="D720" s="22"/>
      <c r="F720" s="7"/>
    </row>
    <row r="721" spans="4:6" ht="15.75" customHeight="1" x14ac:dyDescent="0.3">
      <c r="D721" s="22"/>
      <c r="F721" s="7"/>
    </row>
    <row r="722" spans="4:6" ht="15.75" customHeight="1" x14ac:dyDescent="0.3">
      <c r="D722" s="22"/>
      <c r="F722" s="7"/>
    </row>
    <row r="723" spans="4:6" ht="15.75" customHeight="1" x14ac:dyDescent="0.3">
      <c r="D723" s="22"/>
      <c r="F723" s="7"/>
    </row>
    <row r="724" spans="4:6" ht="15.75" customHeight="1" x14ac:dyDescent="0.3">
      <c r="D724" s="22"/>
      <c r="F724" s="7"/>
    </row>
    <row r="725" spans="4:6" ht="15.75" customHeight="1" x14ac:dyDescent="0.3">
      <c r="D725" s="22"/>
      <c r="F725" s="7"/>
    </row>
    <row r="726" spans="4:6" ht="15.75" customHeight="1" x14ac:dyDescent="0.3">
      <c r="D726" s="22"/>
      <c r="F726" s="7"/>
    </row>
    <row r="727" spans="4:6" ht="15.75" customHeight="1" x14ac:dyDescent="0.3">
      <c r="D727" s="22"/>
      <c r="F727" s="7"/>
    </row>
    <row r="728" spans="4:6" ht="15.75" customHeight="1" x14ac:dyDescent="0.3">
      <c r="D728" s="22"/>
      <c r="F728" s="7"/>
    </row>
    <row r="729" spans="4:6" ht="15.75" customHeight="1" x14ac:dyDescent="0.3">
      <c r="D729" s="22"/>
      <c r="F729" s="7"/>
    </row>
    <row r="730" spans="4:6" ht="15.75" customHeight="1" x14ac:dyDescent="0.3">
      <c r="D730" s="22"/>
      <c r="F730" s="7"/>
    </row>
    <row r="731" spans="4:6" ht="15.75" customHeight="1" x14ac:dyDescent="0.3">
      <c r="D731" s="22"/>
      <c r="F731" s="7"/>
    </row>
    <row r="732" spans="4:6" ht="15.75" customHeight="1" x14ac:dyDescent="0.3">
      <c r="D732" s="22"/>
      <c r="F732" s="7"/>
    </row>
    <row r="733" spans="4:6" ht="15.75" customHeight="1" x14ac:dyDescent="0.3">
      <c r="D733" s="22"/>
      <c r="F733" s="7"/>
    </row>
    <row r="734" spans="4:6" ht="15.75" customHeight="1" x14ac:dyDescent="0.3">
      <c r="D734" s="22"/>
      <c r="F734" s="7"/>
    </row>
    <row r="735" spans="4:6" ht="15.75" customHeight="1" x14ac:dyDescent="0.3">
      <c r="D735" s="22"/>
      <c r="F735" s="7"/>
    </row>
    <row r="736" spans="4:6" ht="15.75" customHeight="1" x14ac:dyDescent="0.3">
      <c r="D736" s="22"/>
      <c r="F736" s="7"/>
    </row>
    <row r="737" spans="4:6" ht="15.75" customHeight="1" x14ac:dyDescent="0.3">
      <c r="D737" s="22"/>
      <c r="F737" s="7"/>
    </row>
    <row r="738" spans="4:6" ht="15.75" customHeight="1" x14ac:dyDescent="0.3">
      <c r="D738" s="22"/>
      <c r="F738" s="7"/>
    </row>
    <row r="739" spans="4:6" ht="15.75" customHeight="1" x14ac:dyDescent="0.3">
      <c r="D739" s="22"/>
      <c r="F739" s="7"/>
    </row>
    <row r="740" spans="4:6" ht="15.75" customHeight="1" x14ac:dyDescent="0.3">
      <c r="D740" s="22"/>
      <c r="F740" s="7"/>
    </row>
    <row r="741" spans="4:6" ht="15.75" customHeight="1" x14ac:dyDescent="0.3">
      <c r="D741" s="22"/>
      <c r="F741" s="7"/>
    </row>
    <row r="742" spans="4:6" ht="15.75" customHeight="1" x14ac:dyDescent="0.3">
      <c r="D742" s="22"/>
      <c r="F742" s="7"/>
    </row>
    <row r="743" spans="4:6" ht="15.75" customHeight="1" x14ac:dyDescent="0.3">
      <c r="D743" s="22"/>
      <c r="F743" s="7"/>
    </row>
    <row r="744" spans="4:6" ht="15.75" customHeight="1" x14ac:dyDescent="0.3">
      <c r="D744" s="22"/>
      <c r="F744" s="7"/>
    </row>
    <row r="745" spans="4:6" ht="15.75" customHeight="1" x14ac:dyDescent="0.3">
      <c r="D745" s="22"/>
      <c r="F745" s="7"/>
    </row>
    <row r="746" spans="4:6" ht="15.75" customHeight="1" x14ac:dyDescent="0.3">
      <c r="D746" s="22"/>
      <c r="F746" s="7"/>
    </row>
    <row r="747" spans="4:6" ht="15.75" customHeight="1" x14ac:dyDescent="0.3">
      <c r="D747" s="22"/>
      <c r="F747" s="7"/>
    </row>
    <row r="748" spans="4:6" ht="15.75" customHeight="1" x14ac:dyDescent="0.3">
      <c r="D748" s="22"/>
      <c r="F748" s="7"/>
    </row>
    <row r="749" spans="4:6" ht="15.75" customHeight="1" x14ac:dyDescent="0.3">
      <c r="D749" s="22"/>
      <c r="F749" s="7"/>
    </row>
    <row r="750" spans="4:6" ht="15.75" customHeight="1" x14ac:dyDescent="0.3">
      <c r="D750" s="22"/>
      <c r="F750" s="7"/>
    </row>
    <row r="751" spans="4:6" ht="15.75" customHeight="1" x14ac:dyDescent="0.3">
      <c r="D751" s="22"/>
      <c r="F751" s="7"/>
    </row>
    <row r="752" spans="4:6" ht="15.75" customHeight="1" x14ac:dyDescent="0.3">
      <c r="D752" s="22"/>
      <c r="F752" s="7"/>
    </row>
    <row r="753" spans="4:6" ht="15.75" customHeight="1" x14ac:dyDescent="0.3">
      <c r="D753" s="22"/>
      <c r="F753" s="7"/>
    </row>
    <row r="754" spans="4:6" ht="15.75" customHeight="1" x14ac:dyDescent="0.3">
      <c r="D754" s="22"/>
      <c r="F754" s="7"/>
    </row>
    <row r="755" spans="4:6" ht="15.75" customHeight="1" x14ac:dyDescent="0.3">
      <c r="D755" s="22"/>
      <c r="F755" s="7"/>
    </row>
    <row r="756" spans="4:6" ht="15.75" customHeight="1" x14ac:dyDescent="0.3">
      <c r="D756" s="22"/>
      <c r="F756" s="7"/>
    </row>
    <row r="757" spans="4:6" ht="15.75" customHeight="1" x14ac:dyDescent="0.3">
      <c r="D757" s="22"/>
      <c r="F757" s="7"/>
    </row>
    <row r="758" spans="4:6" ht="15.75" customHeight="1" x14ac:dyDescent="0.3">
      <c r="D758" s="22"/>
      <c r="F758" s="7"/>
    </row>
    <row r="759" spans="4:6" ht="15.75" customHeight="1" x14ac:dyDescent="0.3">
      <c r="D759" s="22"/>
      <c r="F759" s="7"/>
    </row>
    <row r="760" spans="4:6" ht="15.75" customHeight="1" x14ac:dyDescent="0.3">
      <c r="D760" s="22"/>
      <c r="F760" s="7"/>
    </row>
    <row r="761" spans="4:6" ht="15.75" customHeight="1" x14ac:dyDescent="0.3">
      <c r="D761" s="22"/>
      <c r="F761" s="7"/>
    </row>
    <row r="762" spans="4:6" ht="15.75" customHeight="1" x14ac:dyDescent="0.3">
      <c r="D762" s="22"/>
      <c r="F762" s="7"/>
    </row>
    <row r="763" spans="4:6" ht="15.75" customHeight="1" x14ac:dyDescent="0.3">
      <c r="D763" s="22"/>
      <c r="F763" s="7"/>
    </row>
    <row r="764" spans="4:6" ht="15.75" customHeight="1" x14ac:dyDescent="0.3">
      <c r="D764" s="22"/>
      <c r="F764" s="7"/>
    </row>
    <row r="765" spans="4:6" ht="15.75" customHeight="1" x14ac:dyDescent="0.3">
      <c r="D765" s="22"/>
      <c r="F765" s="7"/>
    </row>
    <row r="766" spans="4:6" ht="15.75" customHeight="1" x14ac:dyDescent="0.3">
      <c r="D766" s="22"/>
      <c r="F766" s="7"/>
    </row>
    <row r="767" spans="4:6" ht="15.75" customHeight="1" x14ac:dyDescent="0.3">
      <c r="D767" s="22"/>
      <c r="F767" s="7"/>
    </row>
    <row r="768" spans="4:6" ht="15.75" customHeight="1" x14ac:dyDescent="0.3">
      <c r="D768" s="22"/>
      <c r="F768" s="7"/>
    </row>
    <row r="769" spans="4:6" ht="15.75" customHeight="1" x14ac:dyDescent="0.3">
      <c r="D769" s="22"/>
      <c r="F769" s="7"/>
    </row>
    <row r="770" spans="4:6" ht="15.75" customHeight="1" x14ac:dyDescent="0.3">
      <c r="D770" s="22"/>
      <c r="F770" s="7"/>
    </row>
    <row r="771" spans="4:6" ht="15.75" customHeight="1" x14ac:dyDescent="0.3">
      <c r="D771" s="22"/>
      <c r="F771" s="7"/>
    </row>
    <row r="772" spans="4:6" ht="15.75" customHeight="1" x14ac:dyDescent="0.3">
      <c r="D772" s="22"/>
      <c r="F772" s="7"/>
    </row>
    <row r="773" spans="4:6" ht="15.75" customHeight="1" x14ac:dyDescent="0.3">
      <c r="D773" s="22"/>
      <c r="F773" s="7"/>
    </row>
    <row r="774" spans="4:6" ht="15.75" customHeight="1" x14ac:dyDescent="0.3">
      <c r="D774" s="22"/>
      <c r="F774" s="7"/>
    </row>
    <row r="775" spans="4:6" ht="15.75" customHeight="1" x14ac:dyDescent="0.3">
      <c r="D775" s="22"/>
      <c r="F775" s="7"/>
    </row>
    <row r="776" spans="4:6" ht="15.75" customHeight="1" x14ac:dyDescent="0.3">
      <c r="D776" s="22"/>
      <c r="F776" s="7"/>
    </row>
    <row r="777" spans="4:6" ht="15.75" customHeight="1" x14ac:dyDescent="0.3">
      <c r="D777" s="22"/>
      <c r="F777" s="7"/>
    </row>
    <row r="778" spans="4:6" ht="15.75" customHeight="1" x14ac:dyDescent="0.3">
      <c r="D778" s="22"/>
      <c r="F778" s="7"/>
    </row>
    <row r="779" spans="4:6" ht="15.75" customHeight="1" x14ac:dyDescent="0.3">
      <c r="D779" s="22"/>
      <c r="F779" s="7"/>
    </row>
    <row r="780" spans="4:6" ht="15.75" customHeight="1" x14ac:dyDescent="0.3">
      <c r="D780" s="22"/>
      <c r="F780" s="7"/>
    </row>
    <row r="781" spans="4:6" ht="15.75" customHeight="1" x14ac:dyDescent="0.3">
      <c r="D781" s="22"/>
      <c r="F781" s="7"/>
    </row>
    <row r="782" spans="4:6" ht="15.75" customHeight="1" x14ac:dyDescent="0.3">
      <c r="D782" s="22"/>
      <c r="F782" s="7"/>
    </row>
    <row r="783" spans="4:6" ht="15.75" customHeight="1" x14ac:dyDescent="0.3">
      <c r="D783" s="22"/>
      <c r="F783" s="7"/>
    </row>
    <row r="784" spans="4:6" ht="15.75" customHeight="1" x14ac:dyDescent="0.3">
      <c r="D784" s="22"/>
      <c r="F784" s="7"/>
    </row>
    <row r="785" spans="4:6" ht="15.75" customHeight="1" x14ac:dyDescent="0.3">
      <c r="D785" s="22"/>
      <c r="F785" s="7"/>
    </row>
    <row r="786" spans="4:6" ht="15.75" customHeight="1" x14ac:dyDescent="0.3">
      <c r="D786" s="22"/>
      <c r="F786" s="7"/>
    </row>
    <row r="787" spans="4:6" ht="15.75" customHeight="1" x14ac:dyDescent="0.3">
      <c r="D787" s="22"/>
      <c r="F787" s="7"/>
    </row>
    <row r="788" spans="4:6" ht="15.75" customHeight="1" x14ac:dyDescent="0.3">
      <c r="D788" s="22"/>
      <c r="F788" s="7"/>
    </row>
    <row r="789" spans="4:6" ht="15.75" customHeight="1" x14ac:dyDescent="0.3">
      <c r="D789" s="22"/>
      <c r="F789" s="7"/>
    </row>
    <row r="790" spans="4:6" ht="15.75" customHeight="1" x14ac:dyDescent="0.3">
      <c r="D790" s="22"/>
      <c r="F790" s="7"/>
    </row>
    <row r="791" spans="4:6" ht="15.75" customHeight="1" x14ac:dyDescent="0.3">
      <c r="D791" s="22"/>
      <c r="F791" s="7"/>
    </row>
    <row r="792" spans="4:6" ht="15.75" customHeight="1" x14ac:dyDescent="0.3">
      <c r="D792" s="22"/>
      <c r="F792" s="7"/>
    </row>
    <row r="793" spans="4:6" ht="15.75" customHeight="1" x14ac:dyDescent="0.3">
      <c r="D793" s="22"/>
      <c r="F793" s="7"/>
    </row>
    <row r="794" spans="4:6" ht="15.75" customHeight="1" x14ac:dyDescent="0.3">
      <c r="D794" s="22"/>
      <c r="F794" s="7"/>
    </row>
    <row r="795" spans="4:6" ht="15.75" customHeight="1" x14ac:dyDescent="0.3">
      <c r="D795" s="22"/>
      <c r="F795" s="7"/>
    </row>
    <row r="796" spans="4:6" ht="15.75" customHeight="1" x14ac:dyDescent="0.3">
      <c r="D796" s="22"/>
      <c r="F796" s="7"/>
    </row>
    <row r="797" spans="4:6" ht="15.75" customHeight="1" x14ac:dyDescent="0.3">
      <c r="D797" s="22"/>
      <c r="F797" s="7"/>
    </row>
    <row r="798" spans="4:6" ht="15.75" customHeight="1" x14ac:dyDescent="0.3">
      <c r="D798" s="22"/>
      <c r="F798" s="7"/>
    </row>
    <row r="799" spans="4:6" ht="15.75" customHeight="1" x14ac:dyDescent="0.3">
      <c r="D799" s="22"/>
      <c r="F799" s="7"/>
    </row>
    <row r="800" spans="4:6" ht="15.75" customHeight="1" x14ac:dyDescent="0.3">
      <c r="D800" s="22"/>
      <c r="F800" s="7"/>
    </row>
    <row r="801" spans="4:6" ht="15.75" customHeight="1" x14ac:dyDescent="0.3">
      <c r="D801" s="22"/>
      <c r="F801" s="7"/>
    </row>
    <row r="802" spans="4:6" ht="15.75" customHeight="1" x14ac:dyDescent="0.3">
      <c r="D802" s="22"/>
      <c r="F802" s="7"/>
    </row>
    <row r="803" spans="4:6" ht="15.75" customHeight="1" x14ac:dyDescent="0.3">
      <c r="D803" s="22"/>
      <c r="F803" s="7"/>
    </row>
    <row r="804" spans="4:6" ht="15.75" customHeight="1" x14ac:dyDescent="0.3">
      <c r="D804" s="22"/>
      <c r="F804" s="7"/>
    </row>
    <row r="805" spans="4:6" ht="15.75" customHeight="1" x14ac:dyDescent="0.3">
      <c r="D805" s="22"/>
      <c r="F805" s="7"/>
    </row>
    <row r="806" spans="4:6" ht="15.75" customHeight="1" x14ac:dyDescent="0.3">
      <c r="D806" s="22"/>
      <c r="F806" s="7"/>
    </row>
    <row r="807" spans="4:6" ht="15.75" customHeight="1" x14ac:dyDescent="0.3">
      <c r="D807" s="22"/>
      <c r="F807" s="7"/>
    </row>
    <row r="808" spans="4:6" ht="15.75" customHeight="1" x14ac:dyDescent="0.3">
      <c r="D808" s="22"/>
      <c r="F808" s="7"/>
    </row>
    <row r="809" spans="4:6" ht="15.75" customHeight="1" x14ac:dyDescent="0.3">
      <c r="D809" s="22"/>
      <c r="F809" s="7"/>
    </row>
    <row r="810" spans="4:6" ht="15.75" customHeight="1" x14ac:dyDescent="0.3">
      <c r="D810" s="22"/>
      <c r="F810" s="7"/>
    </row>
    <row r="811" spans="4:6" ht="15.75" customHeight="1" x14ac:dyDescent="0.3">
      <c r="D811" s="22"/>
      <c r="F811" s="7"/>
    </row>
    <row r="812" spans="4:6" ht="15.75" customHeight="1" x14ac:dyDescent="0.3">
      <c r="D812" s="22"/>
      <c r="F812" s="7"/>
    </row>
    <row r="813" spans="4:6" ht="15.75" customHeight="1" x14ac:dyDescent="0.3">
      <c r="D813" s="22"/>
      <c r="F813" s="7"/>
    </row>
    <row r="814" spans="4:6" ht="15.75" customHeight="1" x14ac:dyDescent="0.3">
      <c r="D814" s="22"/>
      <c r="F814" s="7"/>
    </row>
    <row r="815" spans="4:6" ht="15.75" customHeight="1" x14ac:dyDescent="0.3">
      <c r="D815" s="22"/>
      <c r="F815" s="7"/>
    </row>
    <row r="816" spans="4:6" ht="15.75" customHeight="1" x14ac:dyDescent="0.3">
      <c r="D816" s="22"/>
      <c r="F816" s="7"/>
    </row>
    <row r="817" spans="4:6" ht="15.75" customHeight="1" x14ac:dyDescent="0.3">
      <c r="D817" s="22"/>
      <c r="F817" s="7"/>
    </row>
    <row r="818" spans="4:6" ht="15.75" customHeight="1" x14ac:dyDescent="0.3">
      <c r="D818" s="22"/>
      <c r="F818" s="7"/>
    </row>
    <row r="819" spans="4:6" ht="15.75" customHeight="1" x14ac:dyDescent="0.3">
      <c r="D819" s="22"/>
      <c r="F819" s="7"/>
    </row>
    <row r="820" spans="4:6" ht="15.75" customHeight="1" x14ac:dyDescent="0.3">
      <c r="D820" s="22"/>
      <c r="F820" s="7"/>
    </row>
    <row r="821" spans="4:6" ht="15.75" customHeight="1" x14ac:dyDescent="0.3">
      <c r="D821" s="22"/>
      <c r="F821" s="7"/>
    </row>
    <row r="822" spans="4:6" ht="15.75" customHeight="1" x14ac:dyDescent="0.3">
      <c r="D822" s="22"/>
      <c r="F822" s="7"/>
    </row>
    <row r="823" spans="4:6" ht="15.75" customHeight="1" x14ac:dyDescent="0.3">
      <c r="D823" s="22"/>
      <c r="F823" s="7"/>
    </row>
    <row r="824" spans="4:6" ht="15.75" customHeight="1" x14ac:dyDescent="0.3">
      <c r="D824" s="22"/>
      <c r="F824" s="7"/>
    </row>
    <row r="825" spans="4:6" ht="15.75" customHeight="1" x14ac:dyDescent="0.3">
      <c r="D825" s="22"/>
      <c r="F825" s="7"/>
    </row>
    <row r="826" spans="4:6" ht="15.75" customHeight="1" x14ac:dyDescent="0.3">
      <c r="D826" s="22"/>
      <c r="F826" s="7"/>
    </row>
    <row r="827" spans="4:6" ht="15.75" customHeight="1" x14ac:dyDescent="0.3">
      <c r="D827" s="22"/>
      <c r="F827" s="7"/>
    </row>
    <row r="828" spans="4:6" ht="15.75" customHeight="1" x14ac:dyDescent="0.3">
      <c r="D828" s="22"/>
      <c r="F828" s="7"/>
    </row>
    <row r="829" spans="4:6" ht="15.75" customHeight="1" x14ac:dyDescent="0.3">
      <c r="D829" s="22"/>
      <c r="F829" s="7"/>
    </row>
    <row r="830" spans="4:6" ht="15.75" customHeight="1" x14ac:dyDescent="0.3">
      <c r="D830" s="22"/>
      <c r="F830" s="7"/>
    </row>
    <row r="831" spans="4:6" ht="15.75" customHeight="1" x14ac:dyDescent="0.3">
      <c r="D831" s="22"/>
      <c r="F831" s="7"/>
    </row>
    <row r="832" spans="4:6" ht="15.75" customHeight="1" x14ac:dyDescent="0.3">
      <c r="D832" s="22"/>
      <c r="F832" s="7"/>
    </row>
    <row r="833" spans="4:6" ht="15.75" customHeight="1" x14ac:dyDescent="0.3">
      <c r="D833" s="22"/>
      <c r="F833" s="7"/>
    </row>
    <row r="834" spans="4:6" ht="15.75" customHeight="1" x14ac:dyDescent="0.3">
      <c r="D834" s="22"/>
      <c r="F834" s="7"/>
    </row>
    <row r="835" spans="4:6" ht="15.75" customHeight="1" x14ac:dyDescent="0.3">
      <c r="D835" s="22"/>
      <c r="F835" s="7"/>
    </row>
    <row r="836" spans="4:6" ht="15.75" customHeight="1" x14ac:dyDescent="0.3">
      <c r="D836" s="22"/>
      <c r="F836" s="7"/>
    </row>
    <row r="837" spans="4:6" ht="15.75" customHeight="1" x14ac:dyDescent="0.3">
      <c r="D837" s="22"/>
      <c r="F837" s="7"/>
    </row>
    <row r="838" spans="4:6" ht="15.75" customHeight="1" x14ac:dyDescent="0.3">
      <c r="D838" s="22"/>
      <c r="F838" s="7"/>
    </row>
    <row r="839" spans="4:6" ht="15.75" customHeight="1" x14ac:dyDescent="0.3">
      <c r="D839" s="22"/>
      <c r="F839" s="7"/>
    </row>
    <row r="840" spans="4:6" ht="15.75" customHeight="1" x14ac:dyDescent="0.3">
      <c r="D840" s="22"/>
      <c r="F840" s="7"/>
    </row>
    <row r="841" spans="4:6" ht="15.75" customHeight="1" x14ac:dyDescent="0.3">
      <c r="D841" s="22"/>
      <c r="F841" s="7"/>
    </row>
    <row r="842" spans="4:6" ht="15.75" customHeight="1" x14ac:dyDescent="0.3">
      <c r="D842" s="22"/>
      <c r="F842" s="7"/>
    </row>
    <row r="843" spans="4:6" ht="15.75" customHeight="1" x14ac:dyDescent="0.3">
      <c r="D843" s="22"/>
      <c r="F843" s="7"/>
    </row>
    <row r="844" spans="4:6" ht="15.75" customHeight="1" x14ac:dyDescent="0.3">
      <c r="D844" s="22"/>
      <c r="F844" s="7"/>
    </row>
    <row r="845" spans="4:6" ht="15.75" customHeight="1" x14ac:dyDescent="0.3">
      <c r="D845" s="22"/>
      <c r="F845" s="7"/>
    </row>
    <row r="846" spans="4:6" ht="15.75" customHeight="1" x14ac:dyDescent="0.3">
      <c r="D846" s="22"/>
      <c r="F846" s="7"/>
    </row>
    <row r="847" spans="4:6" ht="15.75" customHeight="1" x14ac:dyDescent="0.3">
      <c r="D847" s="22"/>
      <c r="F847" s="7"/>
    </row>
    <row r="848" spans="4:6" ht="15.75" customHeight="1" x14ac:dyDescent="0.3">
      <c r="D848" s="22"/>
      <c r="F848" s="7"/>
    </row>
    <row r="849" spans="4:6" ht="15.75" customHeight="1" x14ac:dyDescent="0.3">
      <c r="D849" s="22"/>
      <c r="F849" s="7"/>
    </row>
    <row r="850" spans="4:6" ht="15.75" customHeight="1" x14ac:dyDescent="0.3">
      <c r="D850" s="22"/>
      <c r="F850" s="7"/>
    </row>
    <row r="851" spans="4:6" ht="15.75" customHeight="1" x14ac:dyDescent="0.3">
      <c r="D851" s="22"/>
      <c r="F851" s="7"/>
    </row>
    <row r="852" spans="4:6" ht="15.75" customHeight="1" x14ac:dyDescent="0.3">
      <c r="D852" s="22"/>
      <c r="F852" s="7"/>
    </row>
    <row r="853" spans="4:6" ht="15.75" customHeight="1" x14ac:dyDescent="0.3">
      <c r="D853" s="22"/>
      <c r="F853" s="7"/>
    </row>
    <row r="854" spans="4:6" ht="15.75" customHeight="1" x14ac:dyDescent="0.3">
      <c r="D854" s="22"/>
      <c r="F854" s="7"/>
    </row>
    <row r="855" spans="4:6" ht="15.75" customHeight="1" x14ac:dyDescent="0.3">
      <c r="D855" s="22"/>
      <c r="F855" s="7"/>
    </row>
    <row r="856" spans="4:6" ht="15.75" customHeight="1" x14ac:dyDescent="0.3">
      <c r="D856" s="22"/>
      <c r="F856" s="7"/>
    </row>
    <row r="857" spans="4:6" ht="15.75" customHeight="1" x14ac:dyDescent="0.3">
      <c r="D857" s="22"/>
      <c r="F857" s="7"/>
    </row>
    <row r="858" spans="4:6" ht="15.75" customHeight="1" x14ac:dyDescent="0.3">
      <c r="D858" s="22"/>
      <c r="F858" s="7"/>
    </row>
    <row r="859" spans="4:6" ht="15.75" customHeight="1" x14ac:dyDescent="0.3">
      <c r="D859" s="22"/>
      <c r="F859" s="7"/>
    </row>
    <row r="860" spans="4:6" ht="15.75" customHeight="1" x14ac:dyDescent="0.3">
      <c r="D860" s="22"/>
      <c r="F860" s="7"/>
    </row>
    <row r="861" spans="4:6" ht="15.75" customHeight="1" x14ac:dyDescent="0.3">
      <c r="D861" s="22"/>
      <c r="F861" s="7"/>
    </row>
    <row r="862" spans="4:6" ht="15.75" customHeight="1" x14ac:dyDescent="0.3">
      <c r="D862" s="22"/>
      <c r="F862" s="7"/>
    </row>
    <row r="863" spans="4:6" ht="15.75" customHeight="1" x14ac:dyDescent="0.3">
      <c r="D863" s="22"/>
      <c r="F863" s="7"/>
    </row>
    <row r="864" spans="4:6" ht="15.75" customHeight="1" x14ac:dyDescent="0.3">
      <c r="D864" s="22"/>
      <c r="F864" s="7"/>
    </row>
    <row r="865" spans="4:6" ht="15.75" customHeight="1" x14ac:dyDescent="0.3">
      <c r="D865" s="22"/>
      <c r="F865" s="7"/>
    </row>
    <row r="866" spans="4:6" ht="15.75" customHeight="1" x14ac:dyDescent="0.3">
      <c r="D866" s="22"/>
      <c r="F866" s="7"/>
    </row>
    <row r="867" spans="4:6" ht="15.75" customHeight="1" x14ac:dyDescent="0.3">
      <c r="D867" s="22"/>
      <c r="F867" s="7"/>
    </row>
    <row r="868" spans="4:6" ht="15.75" customHeight="1" x14ac:dyDescent="0.3">
      <c r="D868" s="22"/>
      <c r="F868" s="7"/>
    </row>
    <row r="869" spans="4:6" ht="15.75" customHeight="1" x14ac:dyDescent="0.3">
      <c r="D869" s="22"/>
      <c r="F869" s="7"/>
    </row>
    <row r="870" spans="4:6" ht="15.75" customHeight="1" x14ac:dyDescent="0.3">
      <c r="D870" s="22"/>
      <c r="F870" s="7"/>
    </row>
    <row r="871" spans="4:6" ht="15.75" customHeight="1" x14ac:dyDescent="0.3">
      <c r="D871" s="22"/>
      <c r="F871" s="7"/>
    </row>
    <row r="872" spans="4:6" ht="15.75" customHeight="1" x14ac:dyDescent="0.3">
      <c r="D872" s="22"/>
      <c r="F872" s="7"/>
    </row>
    <row r="873" spans="4:6" ht="15.75" customHeight="1" x14ac:dyDescent="0.3">
      <c r="D873" s="22"/>
      <c r="F873" s="7"/>
    </row>
    <row r="874" spans="4:6" ht="15.75" customHeight="1" x14ac:dyDescent="0.3">
      <c r="D874" s="22"/>
      <c r="F874" s="7"/>
    </row>
    <row r="875" spans="4:6" ht="15.75" customHeight="1" x14ac:dyDescent="0.3">
      <c r="D875" s="22"/>
      <c r="F875" s="7"/>
    </row>
    <row r="876" spans="4:6" ht="15.75" customHeight="1" x14ac:dyDescent="0.3">
      <c r="D876" s="22"/>
      <c r="F876" s="7"/>
    </row>
    <row r="877" spans="4:6" ht="15.75" customHeight="1" x14ac:dyDescent="0.3">
      <c r="D877" s="22"/>
      <c r="F877" s="7"/>
    </row>
    <row r="878" spans="4:6" ht="15.75" customHeight="1" x14ac:dyDescent="0.3">
      <c r="D878" s="22"/>
      <c r="F878" s="7"/>
    </row>
    <row r="879" spans="4:6" ht="15.75" customHeight="1" x14ac:dyDescent="0.3">
      <c r="D879" s="22"/>
      <c r="F879" s="7"/>
    </row>
    <row r="880" spans="4:6" ht="15.75" customHeight="1" x14ac:dyDescent="0.3">
      <c r="D880" s="22"/>
      <c r="F880" s="7"/>
    </row>
    <row r="881" spans="4:6" ht="15.75" customHeight="1" x14ac:dyDescent="0.3">
      <c r="D881" s="22"/>
      <c r="F881" s="7"/>
    </row>
    <row r="882" spans="4:6" ht="15.75" customHeight="1" x14ac:dyDescent="0.3">
      <c r="D882" s="22"/>
      <c r="F882" s="7"/>
    </row>
    <row r="883" spans="4:6" ht="15.75" customHeight="1" x14ac:dyDescent="0.3">
      <c r="D883" s="22"/>
      <c r="F883" s="7"/>
    </row>
    <row r="884" spans="4:6" ht="15.75" customHeight="1" x14ac:dyDescent="0.3">
      <c r="D884" s="22"/>
      <c r="F884" s="7"/>
    </row>
    <row r="885" spans="4:6" ht="15.75" customHeight="1" x14ac:dyDescent="0.3">
      <c r="D885" s="22"/>
      <c r="F885" s="7"/>
    </row>
    <row r="886" spans="4:6" ht="15.75" customHeight="1" x14ac:dyDescent="0.3">
      <c r="D886" s="22"/>
      <c r="F886" s="7"/>
    </row>
    <row r="887" spans="4:6" ht="15.75" customHeight="1" x14ac:dyDescent="0.3">
      <c r="D887" s="22"/>
      <c r="F887" s="7"/>
    </row>
    <row r="888" spans="4:6" ht="15.75" customHeight="1" x14ac:dyDescent="0.3">
      <c r="D888" s="22"/>
      <c r="F888" s="7"/>
    </row>
    <row r="889" spans="4:6" ht="15.75" customHeight="1" x14ac:dyDescent="0.3">
      <c r="D889" s="22"/>
      <c r="F889" s="7"/>
    </row>
    <row r="890" spans="4:6" ht="15.75" customHeight="1" x14ac:dyDescent="0.3">
      <c r="D890" s="22"/>
      <c r="F890" s="7"/>
    </row>
    <row r="891" spans="4:6" ht="15.75" customHeight="1" x14ac:dyDescent="0.3">
      <c r="D891" s="22"/>
      <c r="F891" s="7"/>
    </row>
    <row r="892" spans="4:6" ht="15.75" customHeight="1" x14ac:dyDescent="0.3">
      <c r="D892" s="22"/>
      <c r="F892" s="7"/>
    </row>
    <row r="893" spans="4:6" ht="15.75" customHeight="1" x14ac:dyDescent="0.3">
      <c r="D893" s="22"/>
      <c r="F893" s="7"/>
    </row>
    <row r="894" spans="4:6" ht="15.75" customHeight="1" x14ac:dyDescent="0.3">
      <c r="D894" s="22"/>
      <c r="F894" s="7"/>
    </row>
    <row r="895" spans="4:6" ht="15.75" customHeight="1" x14ac:dyDescent="0.3">
      <c r="D895" s="22"/>
      <c r="F895" s="7"/>
    </row>
    <row r="896" spans="4:6" ht="15.75" customHeight="1" x14ac:dyDescent="0.3">
      <c r="D896" s="22"/>
      <c r="F896" s="7"/>
    </row>
    <row r="897" spans="4:6" ht="15.75" customHeight="1" x14ac:dyDescent="0.3">
      <c r="D897" s="22"/>
      <c r="F897" s="7"/>
    </row>
    <row r="898" spans="4:6" ht="15.75" customHeight="1" x14ac:dyDescent="0.3">
      <c r="D898" s="22"/>
      <c r="F898" s="7"/>
    </row>
    <row r="899" spans="4:6" ht="15.75" customHeight="1" x14ac:dyDescent="0.3">
      <c r="D899" s="22"/>
      <c r="F899" s="7"/>
    </row>
    <row r="900" spans="4:6" ht="15.75" customHeight="1" x14ac:dyDescent="0.3">
      <c r="D900" s="22"/>
      <c r="F900" s="7"/>
    </row>
    <row r="901" spans="4:6" ht="15.75" customHeight="1" x14ac:dyDescent="0.3">
      <c r="D901" s="22"/>
      <c r="F901" s="7"/>
    </row>
    <row r="902" spans="4:6" ht="15.75" customHeight="1" x14ac:dyDescent="0.3">
      <c r="D902" s="22"/>
      <c r="F902" s="7"/>
    </row>
    <row r="903" spans="4:6" ht="15.75" customHeight="1" x14ac:dyDescent="0.3">
      <c r="D903" s="22"/>
      <c r="F903" s="7"/>
    </row>
    <row r="904" spans="4:6" ht="15.75" customHeight="1" x14ac:dyDescent="0.3">
      <c r="D904" s="22"/>
      <c r="F904" s="7"/>
    </row>
    <row r="905" spans="4:6" ht="15.75" customHeight="1" x14ac:dyDescent="0.3">
      <c r="D905" s="22"/>
      <c r="F905" s="7"/>
    </row>
    <row r="906" spans="4:6" ht="15.75" customHeight="1" x14ac:dyDescent="0.3">
      <c r="D906" s="22"/>
      <c r="F906" s="7"/>
    </row>
    <row r="907" spans="4:6" ht="15.75" customHeight="1" x14ac:dyDescent="0.3">
      <c r="D907" s="22"/>
      <c r="F907" s="7"/>
    </row>
    <row r="908" spans="4:6" ht="15.75" customHeight="1" x14ac:dyDescent="0.3">
      <c r="D908" s="22"/>
      <c r="F908" s="7"/>
    </row>
    <row r="909" spans="4:6" ht="15.75" customHeight="1" x14ac:dyDescent="0.3">
      <c r="D909" s="22"/>
      <c r="F909" s="7"/>
    </row>
    <row r="910" spans="4:6" ht="15.75" customHeight="1" x14ac:dyDescent="0.3">
      <c r="D910" s="22"/>
      <c r="F910" s="7"/>
    </row>
    <row r="911" spans="4:6" ht="15.75" customHeight="1" x14ac:dyDescent="0.3">
      <c r="D911" s="22"/>
      <c r="F911" s="7"/>
    </row>
    <row r="912" spans="4:6" ht="15.75" customHeight="1" x14ac:dyDescent="0.3">
      <c r="D912" s="22"/>
      <c r="F912" s="7"/>
    </row>
    <row r="913" spans="4:6" ht="15.75" customHeight="1" x14ac:dyDescent="0.3">
      <c r="D913" s="22"/>
      <c r="F913" s="7"/>
    </row>
    <row r="914" spans="4:6" ht="15.75" customHeight="1" x14ac:dyDescent="0.3">
      <c r="D914" s="22"/>
      <c r="F914" s="7"/>
    </row>
    <row r="915" spans="4:6" ht="15.75" customHeight="1" x14ac:dyDescent="0.3">
      <c r="D915" s="22"/>
      <c r="F915" s="7"/>
    </row>
    <row r="916" spans="4:6" ht="15.75" customHeight="1" x14ac:dyDescent="0.3">
      <c r="D916" s="22"/>
      <c r="F916" s="7"/>
    </row>
    <row r="917" spans="4:6" ht="15.75" customHeight="1" x14ac:dyDescent="0.3">
      <c r="D917" s="22"/>
      <c r="F917" s="7"/>
    </row>
    <row r="918" spans="4:6" ht="15.75" customHeight="1" x14ac:dyDescent="0.3">
      <c r="D918" s="22"/>
      <c r="F918" s="7"/>
    </row>
    <row r="919" spans="4:6" ht="15.75" customHeight="1" x14ac:dyDescent="0.3">
      <c r="D919" s="22"/>
      <c r="F919" s="7"/>
    </row>
    <row r="920" spans="4:6" ht="15.75" customHeight="1" x14ac:dyDescent="0.3">
      <c r="D920" s="22"/>
      <c r="F920" s="7"/>
    </row>
    <row r="921" spans="4:6" ht="15.75" customHeight="1" x14ac:dyDescent="0.3">
      <c r="D921" s="22"/>
      <c r="F921" s="7"/>
    </row>
    <row r="922" spans="4:6" ht="15.75" customHeight="1" x14ac:dyDescent="0.3">
      <c r="D922" s="22"/>
      <c r="F922" s="7"/>
    </row>
    <row r="923" spans="4:6" ht="15.75" customHeight="1" x14ac:dyDescent="0.3">
      <c r="D923" s="22"/>
      <c r="F923" s="7"/>
    </row>
    <row r="924" spans="4:6" ht="15.75" customHeight="1" x14ac:dyDescent="0.3">
      <c r="D924" s="22"/>
      <c r="F924" s="7"/>
    </row>
    <row r="925" spans="4:6" ht="15.75" customHeight="1" x14ac:dyDescent="0.3">
      <c r="D925" s="22"/>
      <c r="F925" s="7"/>
    </row>
    <row r="926" spans="4:6" ht="15.75" customHeight="1" x14ac:dyDescent="0.3">
      <c r="D926" s="22"/>
      <c r="F926" s="7"/>
    </row>
    <row r="927" spans="4:6" ht="15.75" customHeight="1" x14ac:dyDescent="0.3">
      <c r="D927" s="22"/>
      <c r="F927" s="7"/>
    </row>
    <row r="928" spans="4:6" ht="15.75" customHeight="1" x14ac:dyDescent="0.3">
      <c r="D928" s="22"/>
      <c r="F928" s="7"/>
    </row>
    <row r="929" spans="4:6" ht="15.75" customHeight="1" x14ac:dyDescent="0.3">
      <c r="D929" s="22"/>
      <c r="F929" s="7"/>
    </row>
    <row r="930" spans="4:6" ht="15.75" customHeight="1" x14ac:dyDescent="0.3">
      <c r="D930" s="22"/>
      <c r="F930" s="7"/>
    </row>
    <row r="931" spans="4:6" ht="15.75" customHeight="1" x14ac:dyDescent="0.3">
      <c r="D931" s="22"/>
      <c r="F931" s="7"/>
    </row>
    <row r="932" spans="4:6" ht="15.75" customHeight="1" x14ac:dyDescent="0.3">
      <c r="D932" s="22"/>
      <c r="F932" s="7"/>
    </row>
    <row r="933" spans="4:6" ht="15.75" customHeight="1" x14ac:dyDescent="0.3">
      <c r="D933" s="22"/>
      <c r="F933" s="7"/>
    </row>
    <row r="934" spans="4:6" ht="15.75" customHeight="1" x14ac:dyDescent="0.3">
      <c r="D934" s="22"/>
      <c r="F934" s="7"/>
    </row>
    <row r="935" spans="4:6" ht="15.75" customHeight="1" x14ac:dyDescent="0.3">
      <c r="D935" s="22"/>
      <c r="F935" s="7"/>
    </row>
    <row r="936" spans="4:6" ht="15.75" customHeight="1" x14ac:dyDescent="0.3">
      <c r="D936" s="22"/>
      <c r="F936" s="7"/>
    </row>
    <row r="937" spans="4:6" ht="15.75" customHeight="1" x14ac:dyDescent="0.3">
      <c r="D937" s="22"/>
      <c r="F937" s="7"/>
    </row>
    <row r="938" spans="4:6" ht="15.75" customHeight="1" x14ac:dyDescent="0.3">
      <c r="D938" s="22"/>
      <c r="F938" s="7"/>
    </row>
    <row r="939" spans="4:6" ht="15.75" customHeight="1" x14ac:dyDescent="0.3">
      <c r="D939" s="22"/>
      <c r="F939" s="7"/>
    </row>
    <row r="940" spans="4:6" ht="15.75" customHeight="1" x14ac:dyDescent="0.3">
      <c r="D940" s="22"/>
      <c r="F940" s="7"/>
    </row>
    <row r="941" spans="4:6" ht="15.75" customHeight="1" x14ac:dyDescent="0.3">
      <c r="D941" s="22"/>
      <c r="F941" s="7"/>
    </row>
    <row r="942" spans="4:6" ht="15.75" customHeight="1" x14ac:dyDescent="0.3">
      <c r="D942" s="22"/>
      <c r="F942" s="7"/>
    </row>
    <row r="943" spans="4:6" ht="15.75" customHeight="1" x14ac:dyDescent="0.3">
      <c r="D943" s="22"/>
      <c r="F943" s="7"/>
    </row>
    <row r="944" spans="4:6" ht="15.75" customHeight="1" x14ac:dyDescent="0.3">
      <c r="D944" s="22"/>
      <c r="F944" s="7"/>
    </row>
    <row r="945" spans="4:6" ht="15.75" customHeight="1" x14ac:dyDescent="0.3">
      <c r="D945" s="22"/>
      <c r="F945" s="7"/>
    </row>
    <row r="946" spans="4:6" ht="15.75" customHeight="1" x14ac:dyDescent="0.3">
      <c r="D946" s="22"/>
      <c r="F946" s="7"/>
    </row>
    <row r="947" spans="4:6" ht="15.75" customHeight="1" x14ac:dyDescent="0.3">
      <c r="D947" s="22"/>
      <c r="F947" s="7"/>
    </row>
    <row r="948" spans="4:6" ht="15.75" customHeight="1" x14ac:dyDescent="0.3">
      <c r="D948" s="22"/>
      <c r="F948" s="7"/>
    </row>
    <row r="949" spans="4:6" ht="15.75" customHeight="1" x14ac:dyDescent="0.3">
      <c r="D949" s="22"/>
      <c r="F949" s="7"/>
    </row>
    <row r="950" spans="4:6" ht="15.75" customHeight="1" x14ac:dyDescent="0.3">
      <c r="D950" s="22"/>
      <c r="F950" s="7"/>
    </row>
    <row r="951" spans="4:6" ht="15.75" customHeight="1" x14ac:dyDescent="0.3">
      <c r="D951" s="22"/>
      <c r="F951" s="7"/>
    </row>
    <row r="952" spans="4:6" ht="15.75" customHeight="1" x14ac:dyDescent="0.3">
      <c r="D952" s="22"/>
      <c r="F952" s="7"/>
    </row>
    <row r="953" spans="4:6" ht="15.75" customHeight="1" x14ac:dyDescent="0.3">
      <c r="D953" s="22"/>
      <c r="F953" s="7"/>
    </row>
    <row r="954" spans="4:6" ht="15.75" customHeight="1" x14ac:dyDescent="0.3">
      <c r="D954" s="22"/>
      <c r="F954" s="7"/>
    </row>
    <row r="955" spans="4:6" ht="15.75" customHeight="1" x14ac:dyDescent="0.3">
      <c r="D955" s="22"/>
      <c r="F955" s="7"/>
    </row>
    <row r="956" spans="4:6" ht="15.75" customHeight="1" x14ac:dyDescent="0.3">
      <c r="D956" s="22"/>
      <c r="F956" s="7"/>
    </row>
    <row r="957" spans="4:6" ht="15.75" customHeight="1" x14ac:dyDescent="0.3">
      <c r="D957" s="22"/>
      <c r="F957" s="7"/>
    </row>
    <row r="958" spans="4:6" ht="15.75" customHeight="1" x14ac:dyDescent="0.3">
      <c r="D958" s="22"/>
      <c r="F958" s="7"/>
    </row>
    <row r="959" spans="4:6" ht="15.75" customHeight="1" x14ac:dyDescent="0.3">
      <c r="D959" s="22"/>
      <c r="F959" s="7"/>
    </row>
    <row r="960" spans="4:6" ht="15.75" customHeight="1" x14ac:dyDescent="0.3">
      <c r="D960" s="22"/>
      <c r="F960" s="7"/>
    </row>
    <row r="961" spans="4:6" ht="15.75" customHeight="1" x14ac:dyDescent="0.3">
      <c r="D961" s="22"/>
      <c r="F961" s="7"/>
    </row>
    <row r="962" spans="4:6" ht="15.75" customHeight="1" x14ac:dyDescent="0.3">
      <c r="D962" s="22"/>
      <c r="F962" s="7"/>
    </row>
    <row r="963" spans="4:6" ht="15.75" customHeight="1" x14ac:dyDescent="0.3">
      <c r="D963" s="22"/>
      <c r="F963" s="7"/>
    </row>
    <row r="964" spans="4:6" ht="15.75" customHeight="1" x14ac:dyDescent="0.3">
      <c r="D964" s="22"/>
      <c r="F964" s="7"/>
    </row>
    <row r="965" spans="4:6" ht="15.75" customHeight="1" x14ac:dyDescent="0.3">
      <c r="D965" s="22"/>
      <c r="F965" s="7"/>
    </row>
    <row r="966" spans="4:6" ht="15.75" customHeight="1" x14ac:dyDescent="0.3">
      <c r="D966" s="22"/>
      <c r="F966" s="7"/>
    </row>
    <row r="967" spans="4:6" ht="15.75" customHeight="1" x14ac:dyDescent="0.3">
      <c r="D967" s="22"/>
      <c r="F967" s="7"/>
    </row>
    <row r="968" spans="4:6" ht="15.75" customHeight="1" x14ac:dyDescent="0.3">
      <c r="D968" s="22"/>
      <c r="F968" s="7"/>
    </row>
    <row r="969" spans="4:6" ht="15.75" customHeight="1" x14ac:dyDescent="0.3">
      <c r="D969" s="22"/>
      <c r="F969" s="7"/>
    </row>
    <row r="970" spans="4:6" ht="15.75" customHeight="1" x14ac:dyDescent="0.3">
      <c r="D970" s="22"/>
      <c r="F970" s="7"/>
    </row>
    <row r="971" spans="4:6" ht="15.75" customHeight="1" x14ac:dyDescent="0.3">
      <c r="D971" s="22"/>
      <c r="F971" s="7"/>
    </row>
    <row r="972" spans="4:6" ht="15.75" customHeight="1" x14ac:dyDescent="0.3">
      <c r="D972" s="22"/>
      <c r="F972" s="7"/>
    </row>
    <row r="973" spans="4:6" ht="15.75" customHeight="1" x14ac:dyDescent="0.3">
      <c r="D973" s="22"/>
      <c r="F973" s="7"/>
    </row>
    <row r="974" spans="4:6" ht="15.75" customHeight="1" x14ac:dyDescent="0.3">
      <c r="D974" s="22"/>
      <c r="F974" s="7"/>
    </row>
    <row r="975" spans="4:6" ht="15.75" customHeight="1" x14ac:dyDescent="0.3">
      <c r="D975" s="22"/>
      <c r="F975" s="7"/>
    </row>
    <row r="976" spans="4:6" ht="15.75" customHeight="1" x14ac:dyDescent="0.3">
      <c r="D976" s="22"/>
      <c r="F976" s="7"/>
    </row>
    <row r="977" spans="4:6" ht="15.75" customHeight="1" x14ac:dyDescent="0.3">
      <c r="D977" s="22"/>
      <c r="F977" s="7"/>
    </row>
    <row r="978" spans="4:6" ht="15.75" customHeight="1" x14ac:dyDescent="0.3">
      <c r="D978" s="22"/>
      <c r="F978" s="7"/>
    </row>
    <row r="979" spans="4:6" ht="15.75" customHeight="1" x14ac:dyDescent="0.3">
      <c r="D979" s="22"/>
      <c r="F979" s="7"/>
    </row>
    <row r="980" spans="4:6" ht="15.75" customHeight="1" x14ac:dyDescent="0.3">
      <c r="D980" s="22"/>
      <c r="F980" s="7"/>
    </row>
    <row r="981" spans="4:6" ht="15.75" customHeight="1" x14ac:dyDescent="0.3">
      <c r="D981" s="22"/>
      <c r="F981" s="7"/>
    </row>
    <row r="982" spans="4:6" ht="15.75" customHeight="1" x14ac:dyDescent="0.3">
      <c r="D982" s="22"/>
      <c r="F982" s="7"/>
    </row>
    <row r="983" spans="4:6" ht="15.75" customHeight="1" x14ac:dyDescent="0.3">
      <c r="D983" s="22"/>
      <c r="F983" s="7"/>
    </row>
    <row r="984" spans="4:6" ht="15.75" customHeight="1" x14ac:dyDescent="0.3">
      <c r="D984" s="22"/>
      <c r="F984" s="7"/>
    </row>
    <row r="985" spans="4:6" ht="15.75" customHeight="1" x14ac:dyDescent="0.3">
      <c r="D985" s="22"/>
      <c r="F985" s="7"/>
    </row>
    <row r="986" spans="4:6" ht="15.75" customHeight="1" x14ac:dyDescent="0.3">
      <c r="D986" s="22"/>
      <c r="F986" s="7"/>
    </row>
    <row r="987" spans="4:6" ht="15.75" customHeight="1" x14ac:dyDescent="0.3">
      <c r="D987" s="22"/>
      <c r="F987" s="7"/>
    </row>
    <row r="988" spans="4:6" ht="15.75" customHeight="1" x14ac:dyDescent="0.3">
      <c r="D988" s="22"/>
      <c r="F988" s="7"/>
    </row>
    <row r="989" spans="4:6" ht="15.75" customHeight="1" x14ac:dyDescent="0.3">
      <c r="D989" s="22"/>
      <c r="F989" s="7"/>
    </row>
    <row r="990" spans="4:6" ht="15.75" customHeight="1" x14ac:dyDescent="0.3">
      <c r="D990" s="22"/>
      <c r="F990" s="7"/>
    </row>
    <row r="991" spans="4:6" ht="15.75" customHeight="1" x14ac:dyDescent="0.3">
      <c r="D991" s="22"/>
      <c r="F991" s="7"/>
    </row>
    <row r="992" spans="4:6" ht="15.75" customHeight="1" x14ac:dyDescent="0.3">
      <c r="D992" s="22"/>
      <c r="F992" s="7"/>
    </row>
    <row r="993" spans="4:6" ht="15.75" customHeight="1" x14ac:dyDescent="0.3">
      <c r="D993" s="22"/>
      <c r="F993" s="7"/>
    </row>
    <row r="994" spans="4:6" ht="15.75" customHeight="1" x14ac:dyDescent="0.3">
      <c r="D994" s="22"/>
      <c r="F994" s="7"/>
    </row>
    <row r="995" spans="4:6" ht="15.75" customHeight="1" x14ac:dyDescent="0.3">
      <c r="D995" s="22"/>
      <c r="F995" s="7"/>
    </row>
    <row r="996" spans="4:6" ht="15.75" customHeight="1" x14ac:dyDescent="0.3">
      <c r="D996" s="22"/>
      <c r="F996" s="7"/>
    </row>
    <row r="997" spans="4:6" ht="15.75" customHeight="1" x14ac:dyDescent="0.3">
      <c r="D997" s="22"/>
      <c r="F997" s="7"/>
    </row>
    <row r="998" spans="4:6" ht="15.75" customHeight="1" x14ac:dyDescent="0.3">
      <c r="D998" s="22"/>
      <c r="F998" s="7"/>
    </row>
    <row r="999" spans="4:6" ht="15.75" customHeight="1" x14ac:dyDescent="0.3">
      <c r="D999" s="22"/>
      <c r="F999" s="7"/>
    </row>
    <row r="1000" spans="4:6" ht="15.75" customHeight="1" x14ac:dyDescent="0.3">
      <c r="D1000" s="22"/>
      <c r="F1000" s="7"/>
    </row>
    <row r="1001" spans="4:6" ht="15.75" customHeight="1" x14ac:dyDescent="0.3">
      <c r="D1001" s="22"/>
      <c r="F1001" s="7"/>
    </row>
    <row r="1002" spans="4:6" ht="15.75" customHeight="1" x14ac:dyDescent="0.3">
      <c r="D1002" s="22"/>
      <c r="F1002" s="7"/>
    </row>
    <row r="1003" spans="4:6" ht="15.75" customHeight="1" x14ac:dyDescent="0.3">
      <c r="D1003" s="22"/>
      <c r="F1003" s="7"/>
    </row>
    <row r="1004" spans="4:6" ht="15.75" customHeight="1" x14ac:dyDescent="0.3">
      <c r="D1004" s="22"/>
      <c r="F1004" s="7"/>
    </row>
    <row r="1005" spans="4:6" ht="15.75" customHeight="1" x14ac:dyDescent="0.3">
      <c r="D1005" s="22"/>
      <c r="F1005" s="7"/>
    </row>
    <row r="1006" spans="4:6" ht="15.75" customHeight="1" x14ac:dyDescent="0.3">
      <c r="D1006" s="22"/>
      <c r="F1006" s="7"/>
    </row>
    <row r="1007" spans="4:6" ht="15.75" customHeight="1" x14ac:dyDescent="0.3">
      <c r="D1007" s="22"/>
      <c r="F1007" s="7"/>
    </row>
    <row r="1008" spans="4:6" ht="15" customHeight="1" x14ac:dyDescent="0.3">
      <c r="D1008" s="22"/>
      <c r="F1008" s="7"/>
    </row>
    <row r="1009" spans="4:6" ht="15" customHeight="1" x14ac:dyDescent="0.3">
      <c r="D1009" s="22"/>
      <c r="F1009" s="7"/>
    </row>
    <row r="1010" spans="4:6" ht="15" customHeight="1" x14ac:dyDescent="0.3">
      <c r="D1010" s="22"/>
      <c r="F1010" s="7"/>
    </row>
    <row r="1011" spans="4:6" ht="15" customHeight="1" x14ac:dyDescent="0.3">
      <c r="F1011" s="7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BB578-A1D0-437C-8556-7E12BC9783C9}">
  <sheetPr>
    <tabColor rgb="FFC00000"/>
  </sheetPr>
  <dimension ref="A1:AD1011"/>
  <sheetViews>
    <sheetView zoomScale="80" zoomScaleNormal="80" workbookViewId="0">
      <selection activeCell="M2" sqref="M2"/>
    </sheetView>
  </sheetViews>
  <sheetFormatPr baseColWidth="10" defaultColWidth="12.59765625" defaultRowHeight="15" customHeight="1" x14ac:dyDescent="0.25"/>
  <cols>
    <col min="1" max="1" width="12.59765625" style="18"/>
    <col min="2" max="2" width="14.09765625" customWidth="1"/>
    <col min="3" max="3" width="9.3984375" customWidth="1"/>
    <col min="4" max="4" width="11.69921875" customWidth="1"/>
    <col min="5" max="5" width="21.09765625" customWidth="1"/>
    <col min="6" max="6" width="19.5" customWidth="1"/>
    <col min="7" max="9" width="18.3984375" customWidth="1"/>
    <col min="10" max="10" width="14.69921875" customWidth="1"/>
    <col min="11" max="11" width="9.3984375" customWidth="1"/>
    <col min="12" max="12" width="13.09765625" customWidth="1"/>
    <col min="13" max="13" width="19.69921875" customWidth="1"/>
    <col min="14" max="14" width="14.09765625" customWidth="1"/>
    <col min="15" max="15" width="16.8984375" customWidth="1"/>
    <col min="16" max="30" width="9.3984375" customWidth="1"/>
  </cols>
  <sheetData>
    <row r="1" spans="1:30" ht="60.75" customHeight="1" x14ac:dyDescent="0.25">
      <c r="A1" s="15" t="s">
        <v>306</v>
      </c>
      <c r="B1" s="16" t="s">
        <v>342</v>
      </c>
      <c r="C1" s="16" t="s">
        <v>343</v>
      </c>
      <c r="D1" s="16" t="s">
        <v>344</v>
      </c>
      <c r="E1" s="66" t="s">
        <v>475</v>
      </c>
      <c r="F1" s="67" t="s">
        <v>468</v>
      </c>
      <c r="G1" s="68" t="s">
        <v>470</v>
      </c>
      <c r="H1" s="69" t="s">
        <v>469</v>
      </c>
      <c r="I1" s="69" t="s">
        <v>471</v>
      </c>
      <c r="J1" s="48"/>
      <c r="K1" s="2"/>
      <c r="L1" s="69" t="s">
        <v>3</v>
      </c>
      <c r="M1" s="69" t="s">
        <v>473</v>
      </c>
      <c r="N1" s="69" t="s">
        <v>472</v>
      </c>
      <c r="O1" s="70" t="s">
        <v>474</v>
      </c>
      <c r="P1" s="49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4.4" x14ac:dyDescent="0.3">
      <c r="A2" s="36">
        <v>10101</v>
      </c>
      <c r="B2" s="17" t="s">
        <v>27</v>
      </c>
      <c r="C2" s="17" t="s">
        <v>345</v>
      </c>
      <c r="D2" s="17" t="s">
        <v>11</v>
      </c>
      <c r="E2" s="10">
        <f>(F2/G2)*1000</f>
        <v>7.1390953244777346</v>
      </c>
      <c r="F2" s="47">
        <v>122</v>
      </c>
      <c r="G2" s="57">
        <v>17089</v>
      </c>
      <c r="H2" s="11">
        <f>F2/5</f>
        <v>24.4</v>
      </c>
      <c r="I2" s="11">
        <f>G2/5</f>
        <v>3417.8</v>
      </c>
      <c r="J2" s="76"/>
      <c r="L2" s="14" t="s">
        <v>27</v>
      </c>
      <c r="M2" s="52">
        <f>SUM(F2:F30)</f>
        <v>330</v>
      </c>
      <c r="N2" s="52">
        <f>SUM(G2:G30)</f>
        <v>35806</v>
      </c>
      <c r="O2" s="61">
        <f>(M2/N2)*1000</f>
        <v>9.216332458247221</v>
      </c>
      <c r="P2" s="55"/>
    </row>
    <row r="3" spans="1:30" ht="14.4" x14ac:dyDescent="0.3">
      <c r="A3" s="36">
        <v>10102</v>
      </c>
      <c r="B3" s="17" t="s">
        <v>27</v>
      </c>
      <c r="C3" s="17" t="s">
        <v>345</v>
      </c>
      <c r="D3" s="17" t="s">
        <v>39</v>
      </c>
      <c r="E3" s="10">
        <f t="shared" ref="E3:E66" si="0">(F3/G3)*1000</f>
        <v>17.341040462427745</v>
      </c>
      <c r="F3" s="47">
        <v>9</v>
      </c>
      <c r="G3" s="57">
        <v>519</v>
      </c>
      <c r="H3" s="11">
        <f t="shared" ref="H3:H66" si="1">F3/5</f>
        <v>1.8</v>
      </c>
      <c r="I3" s="11">
        <f t="shared" ref="I3:I66" si="2">G3/5</f>
        <v>103.8</v>
      </c>
      <c r="J3" s="5"/>
      <c r="L3" s="14" t="s">
        <v>43</v>
      </c>
      <c r="M3" s="53">
        <f>+SUM(F31:F117)</f>
        <v>2288</v>
      </c>
      <c r="N3" s="53">
        <f>+SUM(G31:G117)</f>
        <v>175213</v>
      </c>
      <c r="O3" s="61">
        <f t="shared" ref="O3:O10" si="3">(M3/N3)*1000</f>
        <v>13.058391785997616</v>
      </c>
      <c r="P3" s="55"/>
    </row>
    <row r="4" spans="1:30" ht="14.4" x14ac:dyDescent="0.3">
      <c r="A4" s="36">
        <v>10103</v>
      </c>
      <c r="B4" s="17" t="s">
        <v>27</v>
      </c>
      <c r="C4" s="17" t="s">
        <v>345</v>
      </c>
      <c r="D4" s="17" t="s">
        <v>18</v>
      </c>
      <c r="E4" s="10">
        <f t="shared" si="0"/>
        <v>18.45444059976932</v>
      </c>
      <c r="F4" s="47">
        <v>16</v>
      </c>
      <c r="G4" s="57">
        <v>867</v>
      </c>
      <c r="H4" s="11">
        <f t="shared" si="1"/>
        <v>3.2</v>
      </c>
      <c r="I4" s="11">
        <f t="shared" si="2"/>
        <v>173.4</v>
      </c>
      <c r="J4" s="5"/>
      <c r="L4" s="14" t="s">
        <v>51</v>
      </c>
      <c r="M4" s="53">
        <f>+SUM(F118:F165)</f>
        <v>1317</v>
      </c>
      <c r="N4" s="53">
        <f>+SUM(G118:G165)</f>
        <v>128674</v>
      </c>
      <c r="O4" s="61">
        <f t="shared" si="3"/>
        <v>10.235167943795949</v>
      </c>
      <c r="P4" s="55"/>
    </row>
    <row r="5" spans="1:30" ht="14.4" x14ac:dyDescent="0.3">
      <c r="A5" s="36">
        <v>10201</v>
      </c>
      <c r="B5" s="17" t="s">
        <v>27</v>
      </c>
      <c r="C5" s="17" t="s">
        <v>31</v>
      </c>
      <c r="D5" s="17" t="s">
        <v>311</v>
      </c>
      <c r="E5" s="10">
        <f t="shared" si="0"/>
        <v>15.296367112810707</v>
      </c>
      <c r="F5" s="47">
        <v>8</v>
      </c>
      <c r="G5" s="57">
        <v>523</v>
      </c>
      <c r="H5" s="11">
        <f t="shared" si="1"/>
        <v>1.6</v>
      </c>
      <c r="I5" s="11">
        <f t="shared" si="2"/>
        <v>104.6</v>
      </c>
      <c r="J5" s="5"/>
      <c r="L5" s="14" t="s">
        <v>57</v>
      </c>
      <c r="M5" s="53">
        <f>+SUM(F166:F200)</f>
        <v>455</v>
      </c>
      <c r="N5" s="53">
        <f>+SUM(G166:G200)</f>
        <v>35024</v>
      </c>
      <c r="O5" s="61">
        <f t="shared" si="3"/>
        <v>12.991091822750114</v>
      </c>
      <c r="P5" s="55"/>
    </row>
    <row r="6" spans="1:30" ht="14.4" x14ac:dyDescent="0.3">
      <c r="A6" s="36">
        <v>10202</v>
      </c>
      <c r="B6" s="17" t="s">
        <v>27</v>
      </c>
      <c r="C6" s="17" t="s">
        <v>31</v>
      </c>
      <c r="D6" s="17" t="s">
        <v>65</v>
      </c>
      <c r="E6" s="10">
        <f t="shared" si="0"/>
        <v>10.587102983638113</v>
      </c>
      <c r="F6" s="47">
        <v>11</v>
      </c>
      <c r="G6" s="57">
        <v>1039</v>
      </c>
      <c r="H6" s="11">
        <f t="shared" si="1"/>
        <v>2.2000000000000002</v>
      </c>
      <c r="I6" s="11">
        <f t="shared" si="2"/>
        <v>207.8</v>
      </c>
      <c r="J6" s="5"/>
      <c r="L6" s="14" t="s">
        <v>68</v>
      </c>
      <c r="M6" s="53">
        <f>+SUM(F201:F242)</f>
        <v>979</v>
      </c>
      <c r="N6" s="53">
        <f>+SUM(G201:G242)</f>
        <v>57031</v>
      </c>
      <c r="O6" s="61">
        <f t="shared" si="3"/>
        <v>17.166102645929406</v>
      </c>
      <c r="P6" s="55"/>
    </row>
    <row r="7" spans="1:30" ht="14.4" x14ac:dyDescent="0.3">
      <c r="A7" s="36">
        <v>10301</v>
      </c>
      <c r="B7" s="17" t="s">
        <v>27</v>
      </c>
      <c r="C7" s="17" t="s">
        <v>346</v>
      </c>
      <c r="D7" s="17" t="s">
        <v>72</v>
      </c>
      <c r="E7" s="10">
        <f t="shared" si="0"/>
        <v>3.7313432835820897</v>
      </c>
      <c r="F7" s="47">
        <v>3</v>
      </c>
      <c r="G7" s="57">
        <v>804</v>
      </c>
      <c r="H7" s="11">
        <f t="shared" si="1"/>
        <v>0.6</v>
      </c>
      <c r="I7" s="11">
        <f t="shared" si="2"/>
        <v>160.80000000000001</v>
      </c>
      <c r="J7" s="5"/>
      <c r="L7" s="14" t="s">
        <v>76</v>
      </c>
      <c r="M7" s="53">
        <f>+SUM(F243:F253)</f>
        <v>201</v>
      </c>
      <c r="N7" s="53">
        <f>+SUM(G243:G253)</f>
        <v>31547</v>
      </c>
      <c r="O7" s="61">
        <f t="shared" si="3"/>
        <v>6.3714457793134054</v>
      </c>
      <c r="P7" s="55"/>
    </row>
    <row r="8" spans="1:30" ht="14.4" x14ac:dyDescent="0.3">
      <c r="A8" s="36">
        <v>10302</v>
      </c>
      <c r="B8" s="17" t="s">
        <v>27</v>
      </c>
      <c r="C8" s="17" t="s">
        <v>346</v>
      </c>
      <c r="D8" s="17" t="s">
        <v>80</v>
      </c>
      <c r="E8" s="10">
        <f t="shared" si="0"/>
        <v>10.269576379974325</v>
      </c>
      <c r="F8" s="47">
        <v>8</v>
      </c>
      <c r="G8" s="57">
        <v>779</v>
      </c>
      <c r="H8" s="11">
        <f t="shared" si="1"/>
        <v>1.6</v>
      </c>
      <c r="I8" s="11">
        <f t="shared" si="2"/>
        <v>155.80000000000001</v>
      </c>
      <c r="J8" s="5"/>
      <c r="L8" s="14" t="s">
        <v>85</v>
      </c>
      <c r="M8" s="53">
        <f>+SUM(F254:F309)</f>
        <v>1631</v>
      </c>
      <c r="N8" s="53">
        <f>+SUM(G254:G309)</f>
        <v>210592</v>
      </c>
      <c r="O8" s="61">
        <f t="shared" si="3"/>
        <v>7.7448336119130827</v>
      </c>
      <c r="P8" s="55"/>
    </row>
    <row r="9" spans="1:30" ht="14.4" x14ac:dyDescent="0.3">
      <c r="A9" s="36">
        <v>10303</v>
      </c>
      <c r="B9" s="17" t="s">
        <v>27</v>
      </c>
      <c r="C9" s="17" t="s">
        <v>346</v>
      </c>
      <c r="D9" s="17" t="s">
        <v>312</v>
      </c>
      <c r="E9" s="10">
        <f t="shared" si="0"/>
        <v>9.1407678244972583</v>
      </c>
      <c r="F9" s="47">
        <v>5</v>
      </c>
      <c r="G9" s="57">
        <v>547</v>
      </c>
      <c r="H9" s="11">
        <f t="shared" si="1"/>
        <v>1</v>
      </c>
      <c r="I9" s="11">
        <f t="shared" si="2"/>
        <v>109.4</v>
      </c>
      <c r="J9" s="5"/>
      <c r="L9" s="14" t="s">
        <v>92</v>
      </c>
      <c r="M9" s="53">
        <f>+SUM(F310:F329)</f>
        <v>336</v>
      </c>
      <c r="N9" s="53">
        <f>+SUM(G310:G329)</f>
        <v>36199</v>
      </c>
      <c r="O9" s="61">
        <f t="shared" si="3"/>
        <v>9.2820243653139602</v>
      </c>
      <c r="P9" s="55"/>
    </row>
    <row r="10" spans="1:30" ht="14.4" x14ac:dyDescent="0.3">
      <c r="A10" s="36">
        <v>10304</v>
      </c>
      <c r="B10" s="17" t="s">
        <v>27</v>
      </c>
      <c r="C10" s="17" t="s">
        <v>346</v>
      </c>
      <c r="D10" s="17" t="s">
        <v>99</v>
      </c>
      <c r="E10" s="10">
        <f t="shared" si="0"/>
        <v>9.6339113680154131</v>
      </c>
      <c r="F10" s="47">
        <v>5</v>
      </c>
      <c r="G10" s="57">
        <v>519</v>
      </c>
      <c r="H10" s="11">
        <f t="shared" si="1"/>
        <v>1</v>
      </c>
      <c r="I10" s="11">
        <f t="shared" si="2"/>
        <v>103.8</v>
      </c>
      <c r="J10" s="5"/>
      <c r="L10" s="14" t="s">
        <v>102</v>
      </c>
      <c r="M10" s="53">
        <f>+SUM(F330:F344)</f>
        <v>71</v>
      </c>
      <c r="N10" s="53">
        <f>+SUM(G330:G344)</f>
        <v>9512</v>
      </c>
      <c r="O10" s="61">
        <f t="shared" si="3"/>
        <v>7.464255677039529</v>
      </c>
      <c r="P10" s="55"/>
    </row>
    <row r="11" spans="1:30" ht="14.4" x14ac:dyDescent="0.3">
      <c r="A11" s="36">
        <v>10401</v>
      </c>
      <c r="B11" s="17" t="s">
        <v>27</v>
      </c>
      <c r="C11" s="17" t="s">
        <v>117</v>
      </c>
      <c r="D11" s="17" t="s">
        <v>106</v>
      </c>
      <c r="E11" s="10">
        <f t="shared" si="0"/>
        <v>5.1369863013698627</v>
      </c>
      <c r="F11" s="47">
        <v>3</v>
      </c>
      <c r="G11" s="57">
        <v>584</v>
      </c>
      <c r="H11" s="11">
        <f t="shared" si="1"/>
        <v>0.6</v>
      </c>
      <c r="I11" s="11">
        <f t="shared" si="2"/>
        <v>116.8</v>
      </c>
      <c r="J11" s="5"/>
      <c r="L11" s="14" t="s">
        <v>109</v>
      </c>
      <c r="M11" s="43">
        <f>SUM(M2:M10)</f>
        <v>7608</v>
      </c>
      <c r="N11" s="11">
        <f>SUM(N2:N10)</f>
        <v>719598</v>
      </c>
      <c r="O11" s="61">
        <f>(M11/N11)*1000</f>
        <v>10.572569684740646</v>
      </c>
      <c r="P11" s="55"/>
    </row>
    <row r="12" spans="1:30" ht="14.4" x14ac:dyDescent="0.3">
      <c r="A12" s="36">
        <v>10402</v>
      </c>
      <c r="B12" s="17" t="s">
        <v>27</v>
      </c>
      <c r="C12" s="17" t="s">
        <v>117</v>
      </c>
      <c r="D12" s="17" t="s">
        <v>117</v>
      </c>
      <c r="E12" s="10">
        <f t="shared" si="0"/>
        <v>5.5045871559633035</v>
      </c>
      <c r="F12" s="47">
        <v>3</v>
      </c>
      <c r="G12" s="57">
        <v>545</v>
      </c>
      <c r="H12" s="11">
        <f t="shared" si="1"/>
        <v>0.6</v>
      </c>
      <c r="I12" s="11">
        <f t="shared" si="2"/>
        <v>109</v>
      </c>
      <c r="J12" s="5"/>
    </row>
    <row r="13" spans="1:30" ht="14.4" x14ac:dyDescent="0.3">
      <c r="A13" s="36">
        <v>10403</v>
      </c>
      <c r="B13" s="17" t="s">
        <v>27</v>
      </c>
      <c r="C13" s="17" t="s">
        <v>117</v>
      </c>
      <c r="D13" s="17" t="s">
        <v>121</v>
      </c>
      <c r="E13" s="10">
        <f t="shared" si="0"/>
        <v>2.3364485981308412</v>
      </c>
      <c r="F13" s="47">
        <v>1</v>
      </c>
      <c r="G13" s="57">
        <v>428</v>
      </c>
      <c r="H13" s="11">
        <f t="shared" si="1"/>
        <v>0.2</v>
      </c>
      <c r="I13" s="11">
        <f t="shared" si="2"/>
        <v>85.6</v>
      </c>
      <c r="J13" s="5"/>
    </row>
    <row r="14" spans="1:30" ht="14.4" x14ac:dyDescent="0.3">
      <c r="A14" s="36">
        <v>10404</v>
      </c>
      <c r="B14" s="17" t="s">
        <v>27</v>
      </c>
      <c r="C14" s="17" t="s">
        <v>117</v>
      </c>
      <c r="D14" s="17" t="s">
        <v>84</v>
      </c>
      <c r="E14" s="10">
        <f t="shared" si="0"/>
        <v>4.9019607843137258</v>
      </c>
      <c r="F14" s="47">
        <v>1</v>
      </c>
      <c r="G14" s="57">
        <v>204</v>
      </c>
      <c r="H14" s="11">
        <f t="shared" si="1"/>
        <v>0.2</v>
      </c>
      <c r="I14" s="11">
        <f t="shared" si="2"/>
        <v>40.799999999999997</v>
      </c>
      <c r="J14" s="5"/>
    </row>
    <row r="15" spans="1:30" ht="14.4" x14ac:dyDescent="0.3">
      <c r="A15" s="36">
        <v>10405</v>
      </c>
      <c r="B15" s="17" t="s">
        <v>27</v>
      </c>
      <c r="C15" s="17" t="s">
        <v>117</v>
      </c>
      <c r="D15" s="17" t="s">
        <v>126</v>
      </c>
      <c r="E15" s="10">
        <f t="shared" si="0"/>
        <v>11.834319526627219</v>
      </c>
      <c r="F15" s="47">
        <v>4</v>
      </c>
      <c r="G15" s="57">
        <v>338</v>
      </c>
      <c r="H15" s="11">
        <f t="shared" si="1"/>
        <v>0.8</v>
      </c>
      <c r="I15" s="11">
        <f t="shared" si="2"/>
        <v>67.599999999999994</v>
      </c>
      <c r="J15" s="5"/>
    </row>
    <row r="16" spans="1:30" ht="14.4" x14ac:dyDescent="0.3">
      <c r="A16" s="36">
        <v>10501</v>
      </c>
      <c r="B16" s="17" t="s">
        <v>27</v>
      </c>
      <c r="C16" s="17" t="s">
        <v>347</v>
      </c>
      <c r="D16" s="17" t="s">
        <v>129</v>
      </c>
      <c r="E16" s="10">
        <f t="shared" si="0"/>
        <v>6.4102564102564097</v>
      </c>
      <c r="F16" s="47">
        <v>9</v>
      </c>
      <c r="G16" s="57">
        <v>1404</v>
      </c>
      <c r="H16" s="11">
        <f t="shared" si="1"/>
        <v>1.8</v>
      </c>
      <c r="I16" s="11">
        <f t="shared" si="2"/>
        <v>280.8</v>
      </c>
      <c r="J16" s="5"/>
    </row>
    <row r="17" spans="1:10" ht="14.4" x14ac:dyDescent="0.3">
      <c r="A17" s="36">
        <v>10502</v>
      </c>
      <c r="B17" s="17" t="s">
        <v>27</v>
      </c>
      <c r="C17" s="17" t="s">
        <v>347</v>
      </c>
      <c r="D17" s="17" t="s">
        <v>313</v>
      </c>
      <c r="E17" s="10">
        <f t="shared" si="0"/>
        <v>8.5287846481876333</v>
      </c>
      <c r="F17" s="47">
        <v>4</v>
      </c>
      <c r="G17" s="57">
        <v>469</v>
      </c>
      <c r="H17" s="11">
        <f t="shared" si="1"/>
        <v>0.8</v>
      </c>
      <c r="I17" s="11">
        <f t="shared" si="2"/>
        <v>93.8</v>
      </c>
      <c r="J17" s="5"/>
    </row>
    <row r="18" spans="1:10" ht="14.4" x14ac:dyDescent="0.3">
      <c r="A18" s="36">
        <v>10601</v>
      </c>
      <c r="B18" s="17" t="s">
        <v>27</v>
      </c>
      <c r="C18" s="17" t="s">
        <v>139</v>
      </c>
      <c r="D18" s="17" t="s">
        <v>136</v>
      </c>
      <c r="E18" s="10">
        <f t="shared" si="0"/>
        <v>18.232819074333801</v>
      </c>
      <c r="F18" s="47">
        <v>13</v>
      </c>
      <c r="G18" s="57">
        <v>713</v>
      </c>
      <c r="H18" s="11">
        <f t="shared" si="1"/>
        <v>2.6</v>
      </c>
      <c r="I18" s="11">
        <f t="shared" si="2"/>
        <v>142.6</v>
      </c>
      <c r="J18" s="5"/>
    </row>
    <row r="19" spans="1:10" ht="14.4" x14ac:dyDescent="0.3">
      <c r="A19" s="36">
        <v>10602</v>
      </c>
      <c r="B19" s="17" t="s">
        <v>27</v>
      </c>
      <c r="C19" s="17" t="s">
        <v>139</v>
      </c>
      <c r="D19" s="17" t="s">
        <v>139</v>
      </c>
      <c r="E19" s="10">
        <f t="shared" si="0"/>
        <v>6.5217391304347823</v>
      </c>
      <c r="F19" s="47">
        <v>3</v>
      </c>
      <c r="G19" s="57">
        <v>460</v>
      </c>
      <c r="H19" s="11">
        <f t="shared" si="1"/>
        <v>0.6</v>
      </c>
      <c r="I19" s="11">
        <f t="shared" si="2"/>
        <v>92</v>
      </c>
      <c r="J19" s="5"/>
    </row>
    <row r="20" spans="1:10" ht="14.4" x14ac:dyDescent="0.3">
      <c r="A20" s="36">
        <v>10701</v>
      </c>
      <c r="B20" s="17" t="s">
        <v>27</v>
      </c>
      <c r="C20" s="17" t="s">
        <v>348</v>
      </c>
      <c r="D20" s="17" t="s">
        <v>143</v>
      </c>
      <c r="E20" s="10">
        <f t="shared" si="0"/>
        <v>13.414634146341463</v>
      </c>
      <c r="F20" s="47">
        <v>11</v>
      </c>
      <c r="G20" s="57">
        <v>820</v>
      </c>
      <c r="H20" s="11">
        <f t="shared" si="1"/>
        <v>2.2000000000000002</v>
      </c>
      <c r="I20" s="11">
        <f t="shared" si="2"/>
        <v>164</v>
      </c>
      <c r="J20" s="5"/>
    </row>
    <row r="21" spans="1:10" ht="15.75" customHeight="1" x14ac:dyDescent="0.3">
      <c r="A21" s="36">
        <v>10702</v>
      </c>
      <c r="B21" s="17" t="s">
        <v>27</v>
      </c>
      <c r="C21" s="17" t="s">
        <v>348</v>
      </c>
      <c r="D21" s="17" t="s">
        <v>147</v>
      </c>
      <c r="E21" s="10">
        <f t="shared" si="0"/>
        <v>15.960374243258117</v>
      </c>
      <c r="F21" s="47">
        <v>29</v>
      </c>
      <c r="G21" s="57">
        <v>1817</v>
      </c>
      <c r="H21" s="11">
        <f t="shared" si="1"/>
        <v>5.8</v>
      </c>
      <c r="I21" s="11">
        <f t="shared" si="2"/>
        <v>363.4</v>
      </c>
      <c r="J21" s="5"/>
    </row>
    <row r="22" spans="1:10" ht="15.75" customHeight="1" x14ac:dyDescent="0.3">
      <c r="A22" s="36">
        <v>10703</v>
      </c>
      <c r="B22" s="17" t="s">
        <v>27</v>
      </c>
      <c r="C22" s="17" t="s">
        <v>348</v>
      </c>
      <c r="D22" s="17" t="s">
        <v>87</v>
      </c>
      <c r="E22" s="10">
        <f t="shared" si="0"/>
        <v>15.355086372360844</v>
      </c>
      <c r="F22" s="47">
        <v>16</v>
      </c>
      <c r="G22" s="57">
        <v>1042</v>
      </c>
      <c r="H22" s="11">
        <f t="shared" si="1"/>
        <v>3.2</v>
      </c>
      <c r="I22" s="11">
        <f t="shared" si="2"/>
        <v>208.4</v>
      </c>
      <c r="J22" s="5"/>
    </row>
    <row r="23" spans="1:10" ht="15.75" customHeight="1" x14ac:dyDescent="0.3">
      <c r="A23" s="36">
        <v>10704</v>
      </c>
      <c r="B23" s="17" t="s">
        <v>27</v>
      </c>
      <c r="C23" s="17" t="s">
        <v>348</v>
      </c>
      <c r="D23" s="17" t="s">
        <v>150</v>
      </c>
      <c r="E23" s="10">
        <f t="shared" si="0"/>
        <v>8.8932806324110683</v>
      </c>
      <c r="F23" s="47">
        <v>9</v>
      </c>
      <c r="G23" s="57">
        <v>1012</v>
      </c>
      <c r="H23" s="11">
        <f t="shared" si="1"/>
        <v>1.8</v>
      </c>
      <c r="I23" s="11">
        <f t="shared" si="2"/>
        <v>202.4</v>
      </c>
      <c r="J23" s="5"/>
    </row>
    <row r="24" spans="1:10" ht="15.75" customHeight="1" x14ac:dyDescent="0.3">
      <c r="A24" s="36">
        <v>10801</v>
      </c>
      <c r="B24" s="17" t="s">
        <v>27</v>
      </c>
      <c r="C24" s="17" t="s">
        <v>349</v>
      </c>
      <c r="D24" s="17" t="s">
        <v>154</v>
      </c>
      <c r="E24" s="10">
        <f t="shared" si="0"/>
        <v>9.8231827111984273</v>
      </c>
      <c r="F24" s="47">
        <v>5</v>
      </c>
      <c r="G24" s="57">
        <v>509</v>
      </c>
      <c r="H24" s="11">
        <f t="shared" si="1"/>
        <v>1</v>
      </c>
      <c r="I24" s="11">
        <f t="shared" si="2"/>
        <v>101.8</v>
      </c>
      <c r="J24" s="5"/>
    </row>
    <row r="25" spans="1:10" ht="15.75" customHeight="1" x14ac:dyDescent="0.3">
      <c r="A25" s="36">
        <v>10901</v>
      </c>
      <c r="B25" s="17" t="s">
        <v>27</v>
      </c>
      <c r="C25" s="17" t="s">
        <v>350</v>
      </c>
      <c r="D25" s="17" t="s">
        <v>71</v>
      </c>
      <c r="E25" s="10">
        <f t="shared" si="0"/>
        <v>3.3003300330033003</v>
      </c>
      <c r="F25" s="47">
        <v>1</v>
      </c>
      <c r="G25" s="57">
        <v>303</v>
      </c>
      <c r="H25" s="11">
        <f t="shared" si="1"/>
        <v>0.2</v>
      </c>
      <c r="I25" s="11">
        <f t="shared" si="2"/>
        <v>60.6</v>
      </c>
      <c r="J25" s="5"/>
    </row>
    <row r="26" spans="1:10" ht="15.75" customHeight="1" x14ac:dyDescent="0.3">
      <c r="A26" s="36">
        <v>10902</v>
      </c>
      <c r="B26" s="17" t="s">
        <v>27</v>
      </c>
      <c r="C26" s="17" t="s">
        <v>350</v>
      </c>
      <c r="D26" s="17" t="s">
        <v>157</v>
      </c>
      <c r="E26" s="10">
        <f t="shared" si="0"/>
        <v>15.015015015015015</v>
      </c>
      <c r="F26" s="47">
        <v>15</v>
      </c>
      <c r="G26" s="57">
        <v>999</v>
      </c>
      <c r="H26" s="11">
        <f t="shared" si="1"/>
        <v>3</v>
      </c>
      <c r="I26" s="11">
        <f t="shared" si="2"/>
        <v>199.8</v>
      </c>
      <c r="J26" s="5"/>
    </row>
    <row r="27" spans="1:10" ht="15.75" customHeight="1" x14ac:dyDescent="0.3">
      <c r="A27" s="36">
        <v>10903</v>
      </c>
      <c r="B27" s="17" t="s">
        <v>27</v>
      </c>
      <c r="C27" s="17" t="s">
        <v>350</v>
      </c>
      <c r="D27" s="17" t="s">
        <v>89</v>
      </c>
      <c r="E27" s="10">
        <f t="shared" si="0"/>
        <v>4.166666666666667</v>
      </c>
      <c r="F27" s="47">
        <v>1</v>
      </c>
      <c r="G27" s="57">
        <v>240</v>
      </c>
      <c r="H27" s="11">
        <f t="shared" si="1"/>
        <v>0.2</v>
      </c>
      <c r="I27" s="11">
        <f t="shared" si="2"/>
        <v>48</v>
      </c>
      <c r="J27" s="5"/>
    </row>
    <row r="28" spans="1:10" ht="15.75" customHeight="1" x14ac:dyDescent="0.3">
      <c r="A28" s="36">
        <v>11001</v>
      </c>
      <c r="B28" s="17" t="s">
        <v>27</v>
      </c>
      <c r="C28" s="17" t="s">
        <v>351</v>
      </c>
      <c r="D28" s="17" t="s">
        <v>352</v>
      </c>
      <c r="E28" s="10">
        <f t="shared" si="0"/>
        <v>6.2992125984251963</v>
      </c>
      <c r="F28" s="47">
        <v>4</v>
      </c>
      <c r="G28" s="57">
        <v>635</v>
      </c>
      <c r="H28" s="11">
        <f t="shared" si="1"/>
        <v>0.8</v>
      </c>
      <c r="I28" s="11">
        <f t="shared" si="2"/>
        <v>127</v>
      </c>
      <c r="J28" s="5"/>
    </row>
    <row r="29" spans="1:10" ht="15.75" customHeight="1" x14ac:dyDescent="0.3">
      <c r="A29" s="36">
        <v>11002</v>
      </c>
      <c r="B29" s="17" t="s">
        <v>27</v>
      </c>
      <c r="C29" s="17" t="s">
        <v>351</v>
      </c>
      <c r="D29" s="17" t="s">
        <v>33</v>
      </c>
      <c r="E29" s="10">
        <f t="shared" si="0"/>
        <v>17.964071856287426</v>
      </c>
      <c r="F29" s="47">
        <v>3</v>
      </c>
      <c r="G29" s="57">
        <v>167</v>
      </c>
      <c r="H29" s="11">
        <f t="shared" si="1"/>
        <v>0.6</v>
      </c>
      <c r="I29" s="11">
        <f t="shared" si="2"/>
        <v>33.4</v>
      </c>
      <c r="J29" s="5"/>
    </row>
    <row r="30" spans="1:10" ht="15.75" customHeight="1" x14ac:dyDescent="0.3">
      <c r="A30" s="36">
        <v>11003</v>
      </c>
      <c r="B30" s="17" t="s">
        <v>27</v>
      </c>
      <c r="C30" s="17" t="s">
        <v>351</v>
      </c>
      <c r="D30" s="17" t="s">
        <v>146</v>
      </c>
      <c r="E30" s="10">
        <f t="shared" si="0"/>
        <v>18.561484918793504</v>
      </c>
      <c r="F30" s="47">
        <v>8</v>
      </c>
      <c r="G30" s="57">
        <v>431</v>
      </c>
      <c r="H30" s="11">
        <f t="shared" si="1"/>
        <v>1.6</v>
      </c>
      <c r="I30" s="11">
        <f t="shared" si="2"/>
        <v>86.2</v>
      </c>
      <c r="J30" s="5"/>
    </row>
    <row r="31" spans="1:10" ht="15.75" customHeight="1" x14ac:dyDescent="0.3">
      <c r="A31" s="36">
        <v>20101</v>
      </c>
      <c r="B31" s="17" t="s">
        <v>43</v>
      </c>
      <c r="C31" s="17" t="s">
        <v>353</v>
      </c>
      <c r="D31" s="17" t="s">
        <v>314</v>
      </c>
      <c r="E31" s="10">
        <f t="shared" si="0"/>
        <v>10.194624652455978</v>
      </c>
      <c r="F31" s="47">
        <v>352</v>
      </c>
      <c r="G31" s="57">
        <v>34528</v>
      </c>
      <c r="H31" s="11">
        <f t="shared" si="1"/>
        <v>70.400000000000006</v>
      </c>
      <c r="I31" s="11">
        <f t="shared" si="2"/>
        <v>6905.6</v>
      </c>
      <c r="J31" s="5"/>
    </row>
    <row r="32" spans="1:10" ht="15.75" customHeight="1" x14ac:dyDescent="0.3">
      <c r="A32" s="36">
        <v>20102</v>
      </c>
      <c r="B32" s="17" t="s">
        <v>43</v>
      </c>
      <c r="C32" s="17" t="s">
        <v>353</v>
      </c>
      <c r="D32" s="17" t="s">
        <v>168</v>
      </c>
      <c r="E32" s="10">
        <f t="shared" si="0"/>
        <v>17.275747508305649</v>
      </c>
      <c r="F32" s="47">
        <v>26</v>
      </c>
      <c r="G32" s="57">
        <v>1505</v>
      </c>
      <c r="H32" s="11">
        <f t="shared" si="1"/>
        <v>5.2</v>
      </c>
      <c r="I32" s="11">
        <f t="shared" si="2"/>
        <v>301</v>
      </c>
      <c r="J32" s="5"/>
    </row>
    <row r="33" spans="1:10" ht="15.75" customHeight="1" x14ac:dyDescent="0.3">
      <c r="A33" s="36">
        <v>20103</v>
      </c>
      <c r="B33" s="17" t="s">
        <v>43</v>
      </c>
      <c r="C33" s="17" t="s">
        <v>353</v>
      </c>
      <c r="D33" s="17" t="s">
        <v>170</v>
      </c>
      <c r="E33" s="10">
        <f t="shared" si="0"/>
        <v>12.100259291270527</v>
      </c>
      <c r="F33" s="47">
        <v>14</v>
      </c>
      <c r="G33" s="57">
        <v>1157</v>
      </c>
      <c r="H33" s="11">
        <f t="shared" si="1"/>
        <v>2.8</v>
      </c>
      <c r="I33" s="11">
        <f t="shared" si="2"/>
        <v>231.4</v>
      </c>
      <c r="J33" s="5"/>
    </row>
    <row r="34" spans="1:10" ht="15.75" customHeight="1" x14ac:dyDescent="0.3">
      <c r="A34" s="36">
        <v>20104</v>
      </c>
      <c r="B34" s="17" t="s">
        <v>43</v>
      </c>
      <c r="C34" s="17" t="s">
        <v>353</v>
      </c>
      <c r="D34" s="17" t="s">
        <v>174</v>
      </c>
      <c r="E34" s="10">
        <f t="shared" si="0"/>
        <v>13.062908215881746</v>
      </c>
      <c r="F34" s="47">
        <v>38</v>
      </c>
      <c r="G34" s="57">
        <v>2909</v>
      </c>
      <c r="H34" s="11">
        <f t="shared" si="1"/>
        <v>7.6</v>
      </c>
      <c r="I34" s="11">
        <f t="shared" si="2"/>
        <v>581.79999999999995</v>
      </c>
      <c r="J34" s="5"/>
    </row>
    <row r="35" spans="1:10" ht="15.75" customHeight="1" x14ac:dyDescent="0.3">
      <c r="A35" s="36">
        <v>20105</v>
      </c>
      <c r="B35" s="17" t="s">
        <v>43</v>
      </c>
      <c r="C35" s="17" t="s">
        <v>353</v>
      </c>
      <c r="D35" s="17" t="s">
        <v>178</v>
      </c>
      <c r="E35" s="10">
        <f t="shared" si="0"/>
        <v>13.186079994381432</v>
      </c>
      <c r="F35" s="47">
        <v>751</v>
      </c>
      <c r="G35" s="57">
        <v>56954</v>
      </c>
      <c r="H35" s="11">
        <f t="shared" si="1"/>
        <v>150.19999999999999</v>
      </c>
      <c r="I35" s="11">
        <f t="shared" si="2"/>
        <v>11390.8</v>
      </c>
      <c r="J35" s="5"/>
    </row>
    <row r="36" spans="1:10" ht="15.75" customHeight="1" x14ac:dyDescent="0.3">
      <c r="A36" s="36">
        <v>20201</v>
      </c>
      <c r="B36" s="17" t="s">
        <v>43</v>
      </c>
      <c r="C36" s="17" t="s">
        <v>354</v>
      </c>
      <c r="D36" s="17" t="s">
        <v>181</v>
      </c>
      <c r="E36" s="10">
        <f t="shared" si="0"/>
        <v>16.406562625050022</v>
      </c>
      <c r="F36" s="47">
        <v>41</v>
      </c>
      <c r="G36" s="57">
        <v>2499</v>
      </c>
      <c r="H36" s="11">
        <f t="shared" si="1"/>
        <v>8.1999999999999993</v>
      </c>
      <c r="I36" s="11">
        <f t="shared" si="2"/>
        <v>499.8</v>
      </c>
      <c r="J36" s="5"/>
    </row>
    <row r="37" spans="1:10" ht="15.75" customHeight="1" x14ac:dyDescent="0.3">
      <c r="A37" s="36">
        <v>20202</v>
      </c>
      <c r="B37" s="17" t="s">
        <v>43</v>
      </c>
      <c r="C37" s="17" t="s">
        <v>354</v>
      </c>
      <c r="D37" s="17" t="s">
        <v>183</v>
      </c>
      <c r="E37" s="10">
        <f t="shared" si="0"/>
        <v>13.398294762484774</v>
      </c>
      <c r="F37" s="47">
        <v>11</v>
      </c>
      <c r="G37" s="57">
        <v>821</v>
      </c>
      <c r="H37" s="11">
        <f t="shared" si="1"/>
        <v>2.2000000000000002</v>
      </c>
      <c r="I37" s="11">
        <f t="shared" si="2"/>
        <v>164.2</v>
      </c>
      <c r="J37" s="5"/>
    </row>
    <row r="38" spans="1:10" ht="15.75" customHeight="1" x14ac:dyDescent="0.3">
      <c r="A38" s="36">
        <v>20203</v>
      </c>
      <c r="B38" s="17" t="s">
        <v>43</v>
      </c>
      <c r="C38" s="17" t="s">
        <v>354</v>
      </c>
      <c r="D38" s="17" t="s">
        <v>159</v>
      </c>
      <c r="E38" s="10">
        <f t="shared" si="0"/>
        <v>18.018018018018019</v>
      </c>
      <c r="F38" s="47">
        <v>6</v>
      </c>
      <c r="G38" s="57">
        <v>333</v>
      </c>
      <c r="H38" s="11">
        <f t="shared" si="1"/>
        <v>1.2</v>
      </c>
      <c r="I38" s="11">
        <f t="shared" si="2"/>
        <v>66.599999999999994</v>
      </c>
      <c r="J38" s="5"/>
    </row>
    <row r="39" spans="1:10" ht="15.75" customHeight="1" x14ac:dyDescent="0.3">
      <c r="A39" s="36">
        <v>20204</v>
      </c>
      <c r="B39" s="17" t="s">
        <v>43</v>
      </c>
      <c r="C39" s="17" t="s">
        <v>354</v>
      </c>
      <c r="D39" s="17" t="s">
        <v>187</v>
      </c>
      <c r="E39" s="10">
        <f t="shared" si="0"/>
        <v>14.354066985645934</v>
      </c>
      <c r="F39" s="47">
        <v>6</v>
      </c>
      <c r="G39" s="57">
        <v>418</v>
      </c>
      <c r="H39" s="11">
        <f t="shared" si="1"/>
        <v>1.2</v>
      </c>
      <c r="I39" s="11">
        <f t="shared" si="2"/>
        <v>83.6</v>
      </c>
      <c r="J39" s="5"/>
    </row>
    <row r="40" spans="1:10" ht="15.75" customHeight="1" x14ac:dyDescent="0.3">
      <c r="A40" s="36">
        <v>20205</v>
      </c>
      <c r="B40" s="17" t="s">
        <v>43</v>
      </c>
      <c r="C40" s="17" t="s">
        <v>354</v>
      </c>
      <c r="D40" s="17" t="s">
        <v>189</v>
      </c>
      <c r="E40" s="10">
        <f t="shared" si="0"/>
        <v>7.2463768115942031</v>
      </c>
      <c r="F40" s="47">
        <v>3</v>
      </c>
      <c r="G40" s="57">
        <v>414</v>
      </c>
      <c r="H40" s="11">
        <f t="shared" si="1"/>
        <v>0.6</v>
      </c>
      <c r="I40" s="11">
        <f t="shared" si="2"/>
        <v>82.8</v>
      </c>
      <c r="J40" s="5"/>
    </row>
    <row r="41" spans="1:10" ht="15.75" customHeight="1" x14ac:dyDescent="0.3">
      <c r="A41" s="36">
        <v>20206</v>
      </c>
      <c r="B41" s="17" t="s">
        <v>43</v>
      </c>
      <c r="C41" s="17" t="s">
        <v>354</v>
      </c>
      <c r="D41" s="17" t="s">
        <v>103</v>
      </c>
      <c r="E41" s="10">
        <f t="shared" si="0"/>
        <v>37.234042553191486</v>
      </c>
      <c r="F41" s="47">
        <v>7</v>
      </c>
      <c r="G41" s="57">
        <v>188</v>
      </c>
      <c r="H41" s="11">
        <f t="shared" si="1"/>
        <v>1.4</v>
      </c>
      <c r="I41" s="11">
        <f t="shared" si="2"/>
        <v>37.6</v>
      </c>
      <c r="J41" s="5"/>
    </row>
    <row r="42" spans="1:10" ht="15.75" customHeight="1" x14ac:dyDescent="0.3">
      <c r="A42" s="36">
        <v>20301</v>
      </c>
      <c r="B42" s="17" t="s">
        <v>43</v>
      </c>
      <c r="C42" s="17" t="s">
        <v>355</v>
      </c>
      <c r="D42" s="17" t="s">
        <v>196</v>
      </c>
      <c r="E42" s="10">
        <f t="shared" si="0"/>
        <v>22.900763358778626</v>
      </c>
      <c r="F42" s="47">
        <v>15</v>
      </c>
      <c r="G42" s="57">
        <v>655</v>
      </c>
      <c r="H42" s="11">
        <f t="shared" si="1"/>
        <v>3</v>
      </c>
      <c r="I42" s="11">
        <f t="shared" si="2"/>
        <v>131</v>
      </c>
      <c r="J42" s="5"/>
    </row>
    <row r="43" spans="1:10" ht="15.75" customHeight="1" x14ac:dyDescent="0.3">
      <c r="A43" s="36">
        <v>20302</v>
      </c>
      <c r="B43" s="17" t="s">
        <v>43</v>
      </c>
      <c r="C43" s="17" t="s">
        <v>355</v>
      </c>
      <c r="D43" s="17" t="s">
        <v>82</v>
      </c>
      <c r="E43" s="10">
        <f t="shared" si="0"/>
        <v>14.824797843665769</v>
      </c>
      <c r="F43" s="47">
        <v>11</v>
      </c>
      <c r="G43" s="57">
        <v>742</v>
      </c>
      <c r="H43" s="11">
        <f t="shared" si="1"/>
        <v>2.2000000000000002</v>
      </c>
      <c r="I43" s="11">
        <f t="shared" si="2"/>
        <v>148.4</v>
      </c>
      <c r="J43" s="5"/>
    </row>
    <row r="44" spans="1:10" ht="15.75" customHeight="1" x14ac:dyDescent="0.3">
      <c r="A44" s="36">
        <v>20303</v>
      </c>
      <c r="B44" s="17" t="s">
        <v>43</v>
      </c>
      <c r="C44" s="17" t="s">
        <v>355</v>
      </c>
      <c r="D44" s="17" t="s">
        <v>30</v>
      </c>
      <c r="E44" s="10">
        <f t="shared" si="0"/>
        <v>19.298245614035089</v>
      </c>
      <c r="F44" s="47">
        <v>11</v>
      </c>
      <c r="G44" s="57">
        <v>570</v>
      </c>
      <c r="H44" s="11">
        <f t="shared" si="1"/>
        <v>2.2000000000000002</v>
      </c>
      <c r="I44" s="11">
        <f t="shared" si="2"/>
        <v>114</v>
      </c>
      <c r="J44" s="5"/>
    </row>
    <row r="45" spans="1:10" ht="15.75" customHeight="1" x14ac:dyDescent="0.3">
      <c r="A45" s="36">
        <v>20304</v>
      </c>
      <c r="B45" s="17" t="s">
        <v>43</v>
      </c>
      <c r="C45" s="17" t="s">
        <v>355</v>
      </c>
      <c r="D45" s="17" t="s">
        <v>148</v>
      </c>
      <c r="E45" s="10">
        <f t="shared" si="0"/>
        <v>12.903225806451612</v>
      </c>
      <c r="F45" s="47">
        <v>4</v>
      </c>
      <c r="G45" s="57">
        <v>310</v>
      </c>
      <c r="H45" s="11">
        <f t="shared" si="1"/>
        <v>0.8</v>
      </c>
      <c r="I45" s="11">
        <f t="shared" si="2"/>
        <v>62</v>
      </c>
      <c r="J45" s="5"/>
    </row>
    <row r="46" spans="1:10" ht="15.75" customHeight="1" x14ac:dyDescent="0.3">
      <c r="A46" s="36">
        <v>20305</v>
      </c>
      <c r="B46" s="17" t="s">
        <v>43</v>
      </c>
      <c r="C46" s="17" t="s">
        <v>355</v>
      </c>
      <c r="D46" s="17" t="s">
        <v>93</v>
      </c>
      <c r="E46" s="10">
        <f t="shared" si="0"/>
        <v>25.751072961373392</v>
      </c>
      <c r="F46" s="47">
        <v>6</v>
      </c>
      <c r="G46" s="57">
        <v>233</v>
      </c>
      <c r="H46" s="11">
        <f t="shared" si="1"/>
        <v>1.2</v>
      </c>
      <c r="I46" s="11">
        <f t="shared" si="2"/>
        <v>46.6</v>
      </c>
      <c r="J46" s="5"/>
    </row>
    <row r="47" spans="1:10" ht="15.75" customHeight="1" x14ac:dyDescent="0.3">
      <c r="A47" s="36">
        <v>20306</v>
      </c>
      <c r="B47" s="17" t="s">
        <v>43</v>
      </c>
      <c r="C47" s="17" t="s">
        <v>355</v>
      </c>
      <c r="D47" s="17" t="s">
        <v>97</v>
      </c>
      <c r="E47" s="10">
        <f t="shared" si="0"/>
        <v>31.818181818181817</v>
      </c>
      <c r="F47" s="47">
        <v>7</v>
      </c>
      <c r="G47" s="57">
        <v>220</v>
      </c>
      <c r="H47" s="11">
        <f t="shared" si="1"/>
        <v>1.4</v>
      </c>
      <c r="I47" s="11">
        <f t="shared" si="2"/>
        <v>44</v>
      </c>
      <c r="J47" s="5"/>
    </row>
    <row r="48" spans="1:10" ht="15.75" customHeight="1" x14ac:dyDescent="0.3">
      <c r="A48" s="36">
        <v>20307</v>
      </c>
      <c r="B48" s="17" t="s">
        <v>43</v>
      </c>
      <c r="C48" s="17" t="s">
        <v>355</v>
      </c>
      <c r="D48" s="17" t="s">
        <v>12</v>
      </c>
      <c r="E48" s="10">
        <f t="shared" si="0"/>
        <v>4.4642857142857144</v>
      </c>
      <c r="F48" s="47">
        <v>1</v>
      </c>
      <c r="G48" s="57">
        <v>224</v>
      </c>
      <c r="H48" s="11">
        <f t="shared" si="1"/>
        <v>0.2</v>
      </c>
      <c r="I48" s="11">
        <f t="shared" si="2"/>
        <v>44.8</v>
      </c>
      <c r="J48" s="5"/>
    </row>
    <row r="49" spans="1:10" ht="15.75" customHeight="1" x14ac:dyDescent="0.3">
      <c r="A49" s="36">
        <v>20308</v>
      </c>
      <c r="B49" s="17" t="s">
        <v>43</v>
      </c>
      <c r="C49" s="17" t="s">
        <v>355</v>
      </c>
      <c r="D49" s="17" t="s">
        <v>315</v>
      </c>
      <c r="E49" s="10">
        <f t="shared" si="0"/>
        <v>8.5714285714285712</v>
      </c>
      <c r="F49" s="47">
        <v>3</v>
      </c>
      <c r="G49" s="57">
        <v>350</v>
      </c>
      <c r="H49" s="11">
        <f t="shared" si="1"/>
        <v>0.6</v>
      </c>
      <c r="I49" s="11">
        <f t="shared" si="2"/>
        <v>70</v>
      </c>
      <c r="J49" s="5"/>
    </row>
    <row r="50" spans="1:10" ht="15.75" customHeight="1" x14ac:dyDescent="0.3">
      <c r="A50" s="36">
        <v>20401</v>
      </c>
      <c r="B50" s="17" t="s">
        <v>43</v>
      </c>
      <c r="C50" s="17" t="s">
        <v>356</v>
      </c>
      <c r="D50" s="17" t="s">
        <v>124</v>
      </c>
      <c r="E50" s="10">
        <f t="shared" si="0"/>
        <v>12.820512820512819</v>
      </c>
      <c r="F50" s="47">
        <v>8</v>
      </c>
      <c r="G50" s="57">
        <v>624</v>
      </c>
      <c r="H50" s="11">
        <f t="shared" si="1"/>
        <v>1.6</v>
      </c>
      <c r="I50" s="11">
        <f t="shared" si="2"/>
        <v>124.8</v>
      </c>
      <c r="J50" s="5"/>
    </row>
    <row r="51" spans="1:10" ht="15.75" customHeight="1" x14ac:dyDescent="0.3">
      <c r="A51" s="36">
        <v>20402</v>
      </c>
      <c r="B51" s="17" t="s">
        <v>43</v>
      </c>
      <c r="C51" s="17" t="s">
        <v>356</v>
      </c>
      <c r="D51" s="17" t="s">
        <v>112</v>
      </c>
      <c r="E51" s="10">
        <f t="shared" si="0"/>
        <v>14.012738853503185</v>
      </c>
      <c r="F51" s="47">
        <v>11</v>
      </c>
      <c r="G51" s="57">
        <v>785</v>
      </c>
      <c r="H51" s="11">
        <f t="shared" si="1"/>
        <v>2.2000000000000002</v>
      </c>
      <c r="I51" s="11">
        <f t="shared" si="2"/>
        <v>157</v>
      </c>
      <c r="J51" s="5"/>
    </row>
    <row r="52" spans="1:10" ht="15.75" customHeight="1" x14ac:dyDescent="0.3">
      <c r="A52" s="36">
        <v>20403</v>
      </c>
      <c r="B52" s="17" t="s">
        <v>43</v>
      </c>
      <c r="C52" s="17" t="s">
        <v>356</v>
      </c>
      <c r="D52" s="17" t="s">
        <v>316</v>
      </c>
      <c r="E52" s="10">
        <f t="shared" si="0"/>
        <v>20.38369304556355</v>
      </c>
      <c r="F52" s="47">
        <v>17</v>
      </c>
      <c r="G52" s="57">
        <v>834</v>
      </c>
      <c r="H52" s="11">
        <f t="shared" si="1"/>
        <v>3.4</v>
      </c>
      <c r="I52" s="11">
        <f t="shared" si="2"/>
        <v>166.8</v>
      </c>
      <c r="J52" s="5"/>
    </row>
    <row r="53" spans="1:10" ht="15.75" customHeight="1" x14ac:dyDescent="0.3">
      <c r="A53" s="36">
        <v>20404</v>
      </c>
      <c r="B53" s="17" t="s">
        <v>43</v>
      </c>
      <c r="C53" s="17" t="s">
        <v>356</v>
      </c>
      <c r="D53" s="17" t="s">
        <v>116</v>
      </c>
      <c r="E53" s="10">
        <f t="shared" si="0"/>
        <v>7.2463768115942031</v>
      </c>
      <c r="F53" s="47">
        <v>2</v>
      </c>
      <c r="G53" s="57">
        <v>276</v>
      </c>
      <c r="H53" s="11">
        <f t="shared" si="1"/>
        <v>0.4</v>
      </c>
      <c r="I53" s="11">
        <f t="shared" si="2"/>
        <v>55.2</v>
      </c>
      <c r="J53" s="5"/>
    </row>
    <row r="54" spans="1:10" ht="15.75" customHeight="1" x14ac:dyDescent="0.3">
      <c r="A54" s="36">
        <v>20405</v>
      </c>
      <c r="B54" s="17" t="s">
        <v>43</v>
      </c>
      <c r="C54" s="17" t="s">
        <v>356</v>
      </c>
      <c r="D54" s="17" t="s">
        <v>222</v>
      </c>
      <c r="E54" s="10">
        <f t="shared" si="0"/>
        <v>15.625</v>
      </c>
      <c r="F54" s="47">
        <v>6</v>
      </c>
      <c r="G54" s="57">
        <v>384</v>
      </c>
      <c r="H54" s="11">
        <f t="shared" si="1"/>
        <v>1.2</v>
      </c>
      <c r="I54" s="11">
        <f t="shared" si="2"/>
        <v>76.8</v>
      </c>
      <c r="J54" s="5"/>
    </row>
    <row r="55" spans="1:10" ht="15.75" customHeight="1" x14ac:dyDescent="0.3">
      <c r="A55" s="36">
        <v>20501</v>
      </c>
      <c r="B55" s="17" t="s">
        <v>43</v>
      </c>
      <c r="C55" s="17" t="s">
        <v>357</v>
      </c>
      <c r="D55" s="17" t="s">
        <v>226</v>
      </c>
      <c r="E55" s="10">
        <f t="shared" si="0"/>
        <v>8.8105726872246706</v>
      </c>
      <c r="F55" s="47">
        <v>8</v>
      </c>
      <c r="G55" s="57">
        <v>908</v>
      </c>
      <c r="H55" s="11">
        <f t="shared" si="1"/>
        <v>1.6</v>
      </c>
      <c r="I55" s="11">
        <f t="shared" si="2"/>
        <v>181.6</v>
      </c>
      <c r="J55" s="5"/>
    </row>
    <row r="56" spans="1:10" ht="15.75" customHeight="1" x14ac:dyDescent="0.3">
      <c r="A56" s="36">
        <v>20502</v>
      </c>
      <c r="B56" s="17" t="s">
        <v>43</v>
      </c>
      <c r="C56" s="17" t="s">
        <v>357</v>
      </c>
      <c r="D56" s="17" t="s">
        <v>101</v>
      </c>
      <c r="E56" s="10">
        <f t="shared" si="0"/>
        <v>6.6225165562913908</v>
      </c>
      <c r="F56" s="47">
        <v>3</v>
      </c>
      <c r="G56" s="57">
        <v>453</v>
      </c>
      <c r="H56" s="11">
        <f t="shared" si="1"/>
        <v>0.6</v>
      </c>
      <c r="I56" s="11">
        <f t="shared" si="2"/>
        <v>90.6</v>
      </c>
      <c r="J56" s="5"/>
    </row>
    <row r="57" spans="1:10" ht="15.75" customHeight="1" x14ac:dyDescent="0.3">
      <c r="A57" s="36">
        <v>20503</v>
      </c>
      <c r="B57" s="17" t="s">
        <v>43</v>
      </c>
      <c r="C57" s="17" t="s">
        <v>357</v>
      </c>
      <c r="D57" s="17" t="s">
        <v>182</v>
      </c>
      <c r="E57" s="10">
        <f t="shared" si="0"/>
        <v>8.9887640449438209</v>
      </c>
      <c r="F57" s="47">
        <v>4</v>
      </c>
      <c r="G57" s="57">
        <v>445</v>
      </c>
      <c r="H57" s="11">
        <f t="shared" si="1"/>
        <v>0.8</v>
      </c>
      <c r="I57" s="11">
        <f t="shared" si="2"/>
        <v>89</v>
      </c>
      <c r="J57" s="5"/>
    </row>
    <row r="58" spans="1:10" ht="15.75" customHeight="1" x14ac:dyDescent="0.3">
      <c r="A58" s="36">
        <v>20601</v>
      </c>
      <c r="B58" s="17" t="s">
        <v>43</v>
      </c>
      <c r="C58" s="17" t="s">
        <v>358</v>
      </c>
      <c r="D58" s="17" t="s">
        <v>233</v>
      </c>
      <c r="E58" s="10">
        <f t="shared" si="0"/>
        <v>11.702127659574467</v>
      </c>
      <c r="F58" s="47">
        <v>22</v>
      </c>
      <c r="G58" s="57">
        <v>1880</v>
      </c>
      <c r="H58" s="11">
        <f t="shared" si="1"/>
        <v>4.4000000000000004</v>
      </c>
      <c r="I58" s="11">
        <f t="shared" si="2"/>
        <v>376</v>
      </c>
      <c r="J58" s="5"/>
    </row>
    <row r="59" spans="1:10" ht="15.75" customHeight="1" x14ac:dyDescent="0.3">
      <c r="A59" s="36">
        <v>20602</v>
      </c>
      <c r="B59" s="17" t="s">
        <v>43</v>
      </c>
      <c r="C59" s="17" t="s">
        <v>358</v>
      </c>
      <c r="D59" s="17" t="s">
        <v>236</v>
      </c>
      <c r="E59" s="10">
        <f t="shared" si="0"/>
        <v>18.549747048903878</v>
      </c>
      <c r="F59" s="47">
        <v>22</v>
      </c>
      <c r="G59" s="57">
        <v>1186</v>
      </c>
      <c r="H59" s="11">
        <f t="shared" si="1"/>
        <v>4.4000000000000004</v>
      </c>
      <c r="I59" s="11">
        <f t="shared" si="2"/>
        <v>237.2</v>
      </c>
      <c r="J59" s="5"/>
    </row>
    <row r="60" spans="1:10" ht="15.75" customHeight="1" x14ac:dyDescent="0.3">
      <c r="A60" s="36">
        <v>20603</v>
      </c>
      <c r="B60" s="17" t="s">
        <v>43</v>
      </c>
      <c r="C60" s="17" t="s">
        <v>358</v>
      </c>
      <c r="D60" s="17" t="s">
        <v>203</v>
      </c>
      <c r="E60" s="10">
        <f t="shared" si="0"/>
        <v>0</v>
      </c>
      <c r="F60" s="47">
        <v>0</v>
      </c>
      <c r="G60" s="57">
        <v>645</v>
      </c>
      <c r="H60" s="11">
        <f t="shared" si="1"/>
        <v>0</v>
      </c>
      <c r="I60" s="11">
        <f t="shared" si="2"/>
        <v>129</v>
      </c>
      <c r="J60" s="5"/>
    </row>
    <row r="61" spans="1:10" ht="15.75" customHeight="1" x14ac:dyDescent="0.3">
      <c r="A61" s="36">
        <v>20604</v>
      </c>
      <c r="B61" s="17" t="s">
        <v>43</v>
      </c>
      <c r="C61" s="17" t="s">
        <v>358</v>
      </c>
      <c r="D61" s="17" t="s">
        <v>54</v>
      </c>
      <c r="E61" s="10">
        <f t="shared" si="0"/>
        <v>27.972027972027973</v>
      </c>
      <c r="F61" s="47">
        <v>8</v>
      </c>
      <c r="G61" s="57">
        <v>286</v>
      </c>
      <c r="H61" s="11">
        <f t="shared" si="1"/>
        <v>1.6</v>
      </c>
      <c r="I61" s="11">
        <f t="shared" si="2"/>
        <v>57.2</v>
      </c>
      <c r="J61" s="5"/>
    </row>
    <row r="62" spans="1:10" ht="15.75" customHeight="1" x14ac:dyDescent="0.3">
      <c r="A62" s="36">
        <v>20605</v>
      </c>
      <c r="B62" s="17" t="s">
        <v>43</v>
      </c>
      <c r="C62" s="17" t="s">
        <v>358</v>
      </c>
      <c r="D62" s="17" t="s">
        <v>62</v>
      </c>
      <c r="E62" s="10">
        <f t="shared" si="0"/>
        <v>15.151515151515152</v>
      </c>
      <c r="F62" s="47">
        <v>2</v>
      </c>
      <c r="G62" s="57">
        <v>132</v>
      </c>
      <c r="H62" s="11">
        <f t="shared" si="1"/>
        <v>0.4</v>
      </c>
      <c r="I62" s="11">
        <f t="shared" si="2"/>
        <v>26.4</v>
      </c>
      <c r="J62" s="5"/>
    </row>
    <row r="63" spans="1:10" ht="15.75" customHeight="1" x14ac:dyDescent="0.3">
      <c r="A63" s="36">
        <v>20606</v>
      </c>
      <c r="B63" s="17" t="s">
        <v>43</v>
      </c>
      <c r="C63" s="17" t="s">
        <v>358</v>
      </c>
      <c r="D63" s="17" t="s">
        <v>140</v>
      </c>
      <c r="E63" s="10">
        <f t="shared" si="0"/>
        <v>20.522388059701491</v>
      </c>
      <c r="F63" s="47">
        <v>11</v>
      </c>
      <c r="G63" s="57">
        <v>536</v>
      </c>
      <c r="H63" s="11">
        <f t="shared" si="1"/>
        <v>2.2000000000000002</v>
      </c>
      <c r="I63" s="11">
        <f t="shared" si="2"/>
        <v>107.2</v>
      </c>
      <c r="J63" s="5"/>
    </row>
    <row r="64" spans="1:10" ht="15.75" customHeight="1" x14ac:dyDescent="0.3">
      <c r="A64" s="36">
        <v>20607</v>
      </c>
      <c r="B64" s="17" t="s">
        <v>43</v>
      </c>
      <c r="C64" s="17" t="s">
        <v>358</v>
      </c>
      <c r="D64" s="17" t="s">
        <v>167</v>
      </c>
      <c r="E64" s="10">
        <f t="shared" si="0"/>
        <v>12.698412698412698</v>
      </c>
      <c r="F64" s="47">
        <v>24</v>
      </c>
      <c r="G64" s="57">
        <v>1890</v>
      </c>
      <c r="H64" s="11">
        <f t="shared" si="1"/>
        <v>4.8</v>
      </c>
      <c r="I64" s="11">
        <f t="shared" si="2"/>
        <v>378</v>
      </c>
      <c r="J64" s="5"/>
    </row>
    <row r="65" spans="1:10" ht="15.75" customHeight="1" x14ac:dyDescent="0.3">
      <c r="A65" s="36">
        <v>20608</v>
      </c>
      <c r="B65" s="17" t="s">
        <v>43</v>
      </c>
      <c r="C65" s="17" t="s">
        <v>358</v>
      </c>
      <c r="D65" s="17" t="s">
        <v>200</v>
      </c>
      <c r="E65" s="10">
        <f t="shared" si="0"/>
        <v>16.163793103448278</v>
      </c>
      <c r="F65" s="47">
        <v>15</v>
      </c>
      <c r="G65" s="57">
        <v>928</v>
      </c>
      <c r="H65" s="11">
        <f t="shared" si="1"/>
        <v>3</v>
      </c>
      <c r="I65" s="11">
        <f t="shared" si="2"/>
        <v>185.6</v>
      </c>
      <c r="J65" s="5"/>
    </row>
    <row r="66" spans="1:10" ht="15.75" customHeight="1" x14ac:dyDescent="0.3">
      <c r="A66" s="36">
        <v>20701</v>
      </c>
      <c r="B66" s="17" t="s">
        <v>43</v>
      </c>
      <c r="C66" s="17" t="s">
        <v>359</v>
      </c>
      <c r="D66" s="17" t="s">
        <v>241</v>
      </c>
      <c r="E66" s="10">
        <f t="shared" si="0"/>
        <v>17.567567567567568</v>
      </c>
      <c r="F66" s="47">
        <v>26</v>
      </c>
      <c r="G66" s="57">
        <v>1480</v>
      </c>
      <c r="H66" s="11">
        <f t="shared" si="1"/>
        <v>5.2</v>
      </c>
      <c r="I66" s="11">
        <f t="shared" si="2"/>
        <v>296</v>
      </c>
      <c r="J66" s="5"/>
    </row>
    <row r="67" spans="1:10" ht="15.75" customHeight="1" x14ac:dyDescent="0.3">
      <c r="A67" s="36">
        <v>20702</v>
      </c>
      <c r="B67" s="17" t="s">
        <v>43</v>
      </c>
      <c r="C67" s="17" t="s">
        <v>359</v>
      </c>
      <c r="D67" s="17" t="s">
        <v>41</v>
      </c>
      <c r="E67" s="10">
        <f t="shared" ref="E67:E130" si="4">(F67/G67)*1000</f>
        <v>10.101010101010102</v>
      </c>
      <c r="F67" s="47">
        <v>6</v>
      </c>
      <c r="G67" s="57">
        <v>594</v>
      </c>
      <c r="H67" s="11">
        <f t="shared" ref="H67:H130" si="5">F67/5</f>
        <v>1.2</v>
      </c>
      <c r="I67" s="11">
        <f t="shared" ref="I67:I130" si="6">G67/5</f>
        <v>118.8</v>
      </c>
      <c r="J67" s="5"/>
    </row>
    <row r="68" spans="1:10" ht="15.75" customHeight="1" x14ac:dyDescent="0.3">
      <c r="A68" s="36">
        <v>20801</v>
      </c>
      <c r="B68" s="17" t="s">
        <v>43</v>
      </c>
      <c r="C68" s="17" t="s">
        <v>14</v>
      </c>
      <c r="D68" s="17" t="s">
        <v>244</v>
      </c>
      <c r="E68" s="10">
        <f t="shared" si="4"/>
        <v>13.896532746285086</v>
      </c>
      <c r="F68" s="47">
        <v>101</v>
      </c>
      <c r="G68" s="57">
        <v>7268</v>
      </c>
      <c r="H68" s="11">
        <f t="shared" si="5"/>
        <v>20.2</v>
      </c>
      <c r="I68" s="11">
        <f t="shared" si="6"/>
        <v>1453.6</v>
      </c>
      <c r="J68" s="5"/>
    </row>
    <row r="69" spans="1:10" ht="15.75" customHeight="1" x14ac:dyDescent="0.3">
      <c r="A69" s="36">
        <v>20802</v>
      </c>
      <c r="B69" s="17" t="s">
        <v>43</v>
      </c>
      <c r="C69" s="17" t="s">
        <v>14</v>
      </c>
      <c r="D69" s="17" t="s">
        <v>186</v>
      </c>
      <c r="E69" s="10">
        <f t="shared" si="4"/>
        <v>23.419203747072601</v>
      </c>
      <c r="F69" s="47">
        <v>10</v>
      </c>
      <c r="G69" s="57">
        <v>427</v>
      </c>
      <c r="H69" s="11">
        <f t="shared" si="5"/>
        <v>2</v>
      </c>
      <c r="I69" s="11">
        <f t="shared" si="6"/>
        <v>85.4</v>
      </c>
      <c r="J69" s="5"/>
    </row>
    <row r="70" spans="1:10" ht="15.75" customHeight="1" x14ac:dyDescent="0.3">
      <c r="A70" s="36">
        <v>20803</v>
      </c>
      <c r="B70" s="17" t="s">
        <v>43</v>
      </c>
      <c r="C70" s="17" t="s">
        <v>14</v>
      </c>
      <c r="D70" s="17" t="s">
        <v>217</v>
      </c>
      <c r="E70" s="10">
        <f t="shared" si="4"/>
        <v>8.9171974522292992</v>
      </c>
      <c r="F70" s="47">
        <v>7</v>
      </c>
      <c r="G70" s="57">
        <v>785</v>
      </c>
      <c r="H70" s="11">
        <f t="shared" si="5"/>
        <v>1.4</v>
      </c>
      <c r="I70" s="11">
        <f t="shared" si="6"/>
        <v>157</v>
      </c>
      <c r="J70" s="5"/>
    </row>
    <row r="71" spans="1:10" ht="15.75" customHeight="1" x14ac:dyDescent="0.3">
      <c r="A71" s="36">
        <v>20804</v>
      </c>
      <c r="B71" s="17" t="s">
        <v>43</v>
      </c>
      <c r="C71" s="17" t="s">
        <v>14</v>
      </c>
      <c r="D71" s="17" t="s">
        <v>113</v>
      </c>
      <c r="E71" s="10">
        <f t="shared" si="4"/>
        <v>16.460905349794238</v>
      </c>
      <c r="F71" s="47">
        <v>8</v>
      </c>
      <c r="G71" s="57">
        <v>486</v>
      </c>
      <c r="H71" s="11">
        <f t="shared" si="5"/>
        <v>1.6</v>
      </c>
      <c r="I71" s="11">
        <f t="shared" si="6"/>
        <v>97.2</v>
      </c>
      <c r="J71" s="5"/>
    </row>
    <row r="72" spans="1:10" ht="15.75" customHeight="1" x14ac:dyDescent="0.3">
      <c r="A72" s="36">
        <v>20805</v>
      </c>
      <c r="B72" s="17" t="s">
        <v>43</v>
      </c>
      <c r="C72" s="17" t="s">
        <v>14</v>
      </c>
      <c r="D72" s="17" t="s">
        <v>90</v>
      </c>
      <c r="E72" s="10">
        <f t="shared" si="4"/>
        <v>13.513513513513514</v>
      </c>
      <c r="F72" s="47">
        <v>5</v>
      </c>
      <c r="G72" s="57">
        <v>370</v>
      </c>
      <c r="H72" s="11">
        <f t="shared" si="5"/>
        <v>1</v>
      </c>
      <c r="I72" s="11">
        <f t="shared" si="6"/>
        <v>74</v>
      </c>
      <c r="J72" s="5"/>
    </row>
    <row r="73" spans="1:10" ht="15.75" customHeight="1" x14ac:dyDescent="0.3">
      <c r="A73" s="36">
        <v>20806</v>
      </c>
      <c r="B73" s="17" t="s">
        <v>43</v>
      </c>
      <c r="C73" s="17" t="s">
        <v>14</v>
      </c>
      <c r="D73" s="17" t="s">
        <v>210</v>
      </c>
      <c r="E73" s="10">
        <f t="shared" si="4"/>
        <v>6.0827250608272507</v>
      </c>
      <c r="F73" s="47">
        <v>5</v>
      </c>
      <c r="G73" s="57">
        <v>822</v>
      </c>
      <c r="H73" s="11">
        <f t="shared" si="5"/>
        <v>1</v>
      </c>
      <c r="I73" s="11">
        <f t="shared" si="6"/>
        <v>164.4</v>
      </c>
      <c r="J73" s="5"/>
    </row>
    <row r="74" spans="1:10" ht="15.75" customHeight="1" x14ac:dyDescent="0.3">
      <c r="A74" s="36">
        <v>20807</v>
      </c>
      <c r="B74" s="17" t="s">
        <v>43</v>
      </c>
      <c r="C74" s="17" t="s">
        <v>14</v>
      </c>
      <c r="D74" s="17" t="s">
        <v>123</v>
      </c>
      <c r="E74" s="10">
        <f t="shared" si="4"/>
        <v>5.0377833753148611</v>
      </c>
      <c r="F74" s="47">
        <v>2</v>
      </c>
      <c r="G74" s="57">
        <v>397</v>
      </c>
      <c r="H74" s="11">
        <f t="shared" si="5"/>
        <v>0.4</v>
      </c>
      <c r="I74" s="11">
        <f t="shared" si="6"/>
        <v>79.400000000000006</v>
      </c>
      <c r="J74" s="5"/>
    </row>
    <row r="75" spans="1:10" ht="15.75" customHeight="1" x14ac:dyDescent="0.3">
      <c r="A75" s="36">
        <v>20901</v>
      </c>
      <c r="B75" s="17" t="s">
        <v>43</v>
      </c>
      <c r="C75" s="17" t="s">
        <v>360</v>
      </c>
      <c r="D75" s="17" t="s">
        <v>253</v>
      </c>
      <c r="E75" s="10">
        <f t="shared" si="4"/>
        <v>5.0083472454090145</v>
      </c>
      <c r="F75" s="47">
        <v>3</v>
      </c>
      <c r="G75" s="57">
        <v>599</v>
      </c>
      <c r="H75" s="11">
        <f t="shared" si="5"/>
        <v>0.6</v>
      </c>
      <c r="I75" s="11">
        <f t="shared" si="6"/>
        <v>119.8</v>
      </c>
      <c r="J75" s="5"/>
    </row>
    <row r="76" spans="1:10" ht="15.75" customHeight="1" x14ac:dyDescent="0.3">
      <c r="A76" s="36">
        <v>20902</v>
      </c>
      <c r="B76" s="17" t="s">
        <v>43</v>
      </c>
      <c r="C76" s="17" t="s">
        <v>360</v>
      </c>
      <c r="D76" s="17" t="s">
        <v>172</v>
      </c>
      <c r="E76" s="10">
        <f t="shared" si="4"/>
        <v>21.208907741251327</v>
      </c>
      <c r="F76" s="47">
        <v>20</v>
      </c>
      <c r="G76" s="57">
        <v>943</v>
      </c>
      <c r="H76" s="11">
        <f t="shared" si="5"/>
        <v>4</v>
      </c>
      <c r="I76" s="11">
        <f t="shared" si="6"/>
        <v>188.6</v>
      </c>
      <c r="J76" s="5"/>
    </row>
    <row r="77" spans="1:10" ht="15.75" customHeight="1" x14ac:dyDescent="0.3">
      <c r="A77" s="36">
        <v>20903</v>
      </c>
      <c r="B77" s="17" t="s">
        <v>43</v>
      </c>
      <c r="C77" s="17" t="s">
        <v>360</v>
      </c>
      <c r="D77" s="17" t="s">
        <v>198</v>
      </c>
      <c r="E77" s="10">
        <f t="shared" si="4"/>
        <v>13.636363636363635</v>
      </c>
      <c r="F77" s="47">
        <v>9</v>
      </c>
      <c r="G77" s="57">
        <v>660</v>
      </c>
      <c r="H77" s="11">
        <f t="shared" si="5"/>
        <v>1.8</v>
      </c>
      <c r="I77" s="11">
        <f t="shared" si="6"/>
        <v>132</v>
      </c>
      <c r="J77" s="5"/>
    </row>
    <row r="78" spans="1:10" ht="15.75" customHeight="1" x14ac:dyDescent="0.3">
      <c r="A78" s="36">
        <v>20904</v>
      </c>
      <c r="B78" s="17" t="s">
        <v>43</v>
      </c>
      <c r="C78" s="17" t="s">
        <v>360</v>
      </c>
      <c r="D78" s="17" t="s">
        <v>107</v>
      </c>
      <c r="E78" s="10">
        <f t="shared" si="4"/>
        <v>2.8901734104046239</v>
      </c>
      <c r="F78" s="47">
        <v>1</v>
      </c>
      <c r="G78" s="57">
        <v>346</v>
      </c>
      <c r="H78" s="11">
        <f t="shared" si="5"/>
        <v>0.2</v>
      </c>
      <c r="I78" s="11">
        <f t="shared" si="6"/>
        <v>69.2</v>
      </c>
      <c r="J78" s="5"/>
    </row>
    <row r="79" spans="1:10" ht="15.75" customHeight="1" x14ac:dyDescent="0.3">
      <c r="A79" s="36">
        <v>20905</v>
      </c>
      <c r="B79" s="17" t="s">
        <v>43</v>
      </c>
      <c r="C79" s="17" t="s">
        <v>360</v>
      </c>
      <c r="D79" s="17" t="s">
        <v>191</v>
      </c>
      <c r="E79" s="10">
        <f t="shared" si="4"/>
        <v>9.8901098901098905</v>
      </c>
      <c r="F79" s="47">
        <v>9</v>
      </c>
      <c r="G79" s="57">
        <v>910</v>
      </c>
      <c r="H79" s="11">
        <f t="shared" si="5"/>
        <v>1.8</v>
      </c>
      <c r="I79" s="11">
        <f t="shared" si="6"/>
        <v>182</v>
      </c>
      <c r="J79" s="5"/>
    </row>
    <row r="80" spans="1:10" ht="15.75" customHeight="1" x14ac:dyDescent="0.3">
      <c r="A80" s="36">
        <v>21001</v>
      </c>
      <c r="B80" s="17" t="s">
        <v>43</v>
      </c>
      <c r="C80" s="17" t="s">
        <v>138</v>
      </c>
      <c r="D80" s="17" t="s">
        <v>138</v>
      </c>
      <c r="E80" s="10">
        <f t="shared" si="4"/>
        <v>9.2514718250630779</v>
      </c>
      <c r="F80" s="47">
        <v>11</v>
      </c>
      <c r="G80" s="57">
        <v>1189</v>
      </c>
      <c r="H80" s="11">
        <f t="shared" si="5"/>
        <v>2.2000000000000002</v>
      </c>
      <c r="I80" s="11">
        <f t="shared" si="6"/>
        <v>237.8</v>
      </c>
      <c r="J80" s="5"/>
    </row>
    <row r="81" spans="1:10" ht="15.75" customHeight="1" x14ac:dyDescent="0.3">
      <c r="A81" s="36">
        <v>21002</v>
      </c>
      <c r="B81" s="17" t="s">
        <v>43</v>
      </c>
      <c r="C81" s="17" t="s">
        <v>138</v>
      </c>
      <c r="D81" s="17" t="s">
        <v>231</v>
      </c>
      <c r="E81" s="10">
        <f t="shared" si="4"/>
        <v>23.734177215189874</v>
      </c>
      <c r="F81" s="47">
        <v>15</v>
      </c>
      <c r="G81" s="57">
        <v>632</v>
      </c>
      <c r="H81" s="11">
        <f t="shared" si="5"/>
        <v>3</v>
      </c>
      <c r="I81" s="11">
        <f t="shared" si="6"/>
        <v>126.4</v>
      </c>
      <c r="J81" s="5"/>
    </row>
    <row r="82" spans="1:10" ht="15.75" customHeight="1" x14ac:dyDescent="0.3">
      <c r="A82" s="36">
        <v>21003</v>
      </c>
      <c r="B82" s="17" t="s">
        <v>43</v>
      </c>
      <c r="C82" s="17" t="s">
        <v>138</v>
      </c>
      <c r="D82" s="17" t="s">
        <v>149</v>
      </c>
      <c r="E82" s="10">
        <f t="shared" si="4"/>
        <v>12.295081967213115</v>
      </c>
      <c r="F82" s="47">
        <v>15</v>
      </c>
      <c r="G82" s="57">
        <v>1220</v>
      </c>
      <c r="H82" s="11">
        <f t="shared" si="5"/>
        <v>3</v>
      </c>
      <c r="I82" s="11">
        <f t="shared" si="6"/>
        <v>244</v>
      </c>
      <c r="J82" s="5"/>
    </row>
    <row r="83" spans="1:10" ht="15.75" customHeight="1" x14ac:dyDescent="0.3">
      <c r="A83" s="36">
        <v>21004</v>
      </c>
      <c r="B83" s="17" t="s">
        <v>43</v>
      </c>
      <c r="C83" s="17" t="s">
        <v>138</v>
      </c>
      <c r="D83" s="17" t="s">
        <v>268</v>
      </c>
      <c r="E83" s="10">
        <f t="shared" si="4"/>
        <v>17.034700315457414</v>
      </c>
      <c r="F83" s="47">
        <v>27</v>
      </c>
      <c r="G83" s="57">
        <v>1585</v>
      </c>
      <c r="H83" s="11">
        <f t="shared" si="5"/>
        <v>5.4</v>
      </c>
      <c r="I83" s="11">
        <f t="shared" si="6"/>
        <v>317</v>
      </c>
      <c r="J83" s="5"/>
    </row>
    <row r="84" spans="1:10" ht="15.75" customHeight="1" x14ac:dyDescent="0.3">
      <c r="A84" s="36">
        <v>21005</v>
      </c>
      <c r="B84" s="17" t="s">
        <v>43</v>
      </c>
      <c r="C84" s="17" t="s">
        <v>138</v>
      </c>
      <c r="D84" s="17" t="s">
        <v>132</v>
      </c>
      <c r="E84" s="10">
        <f t="shared" si="4"/>
        <v>10.59322033898305</v>
      </c>
      <c r="F84" s="47">
        <v>5</v>
      </c>
      <c r="G84" s="57">
        <v>472</v>
      </c>
      <c r="H84" s="11">
        <f t="shared" si="5"/>
        <v>1</v>
      </c>
      <c r="I84" s="11">
        <f t="shared" si="6"/>
        <v>94.4</v>
      </c>
      <c r="J84" s="5"/>
    </row>
    <row r="85" spans="1:10" ht="15.75" customHeight="1" x14ac:dyDescent="0.3">
      <c r="A85" s="36">
        <v>21006</v>
      </c>
      <c r="B85" s="17" t="s">
        <v>43</v>
      </c>
      <c r="C85" s="17" t="s">
        <v>138</v>
      </c>
      <c r="D85" s="17" t="s">
        <v>67</v>
      </c>
      <c r="E85" s="10">
        <f t="shared" si="4"/>
        <v>8.1632653061224492</v>
      </c>
      <c r="F85" s="47">
        <v>4</v>
      </c>
      <c r="G85" s="57">
        <v>490</v>
      </c>
      <c r="H85" s="11">
        <f t="shared" si="5"/>
        <v>0.8</v>
      </c>
      <c r="I85" s="11">
        <f t="shared" si="6"/>
        <v>98</v>
      </c>
      <c r="J85" s="5"/>
    </row>
    <row r="86" spans="1:10" ht="15.75" customHeight="1" x14ac:dyDescent="0.3">
      <c r="A86" s="36">
        <v>21101</v>
      </c>
      <c r="B86" s="17" t="s">
        <v>43</v>
      </c>
      <c r="C86" s="17" t="s">
        <v>361</v>
      </c>
      <c r="D86" s="17" t="s">
        <v>245</v>
      </c>
      <c r="E86" s="10">
        <f t="shared" si="4"/>
        <v>22.314049586776857</v>
      </c>
      <c r="F86" s="47">
        <v>27</v>
      </c>
      <c r="G86" s="57">
        <v>1210</v>
      </c>
      <c r="H86" s="11">
        <f t="shared" si="5"/>
        <v>5.4</v>
      </c>
      <c r="I86" s="11">
        <f t="shared" si="6"/>
        <v>242</v>
      </c>
      <c r="J86" s="5"/>
    </row>
    <row r="87" spans="1:10" ht="15.75" customHeight="1" x14ac:dyDescent="0.3">
      <c r="A87" s="36">
        <v>21102</v>
      </c>
      <c r="B87" s="17" t="s">
        <v>43</v>
      </c>
      <c r="C87" s="17" t="s">
        <v>361</v>
      </c>
      <c r="D87" s="17" t="s">
        <v>273</v>
      </c>
      <c r="E87" s="10">
        <f t="shared" si="4"/>
        <v>15.56970983722576</v>
      </c>
      <c r="F87" s="47">
        <v>22</v>
      </c>
      <c r="G87" s="57">
        <v>1413</v>
      </c>
      <c r="H87" s="11">
        <f t="shared" si="5"/>
        <v>4.4000000000000004</v>
      </c>
      <c r="I87" s="11">
        <f t="shared" si="6"/>
        <v>282.60000000000002</v>
      </c>
      <c r="J87" s="5"/>
    </row>
    <row r="88" spans="1:10" ht="15.75" customHeight="1" x14ac:dyDescent="0.3">
      <c r="A88" s="36">
        <v>21103</v>
      </c>
      <c r="B88" s="17" t="s">
        <v>43</v>
      </c>
      <c r="C88" s="17" t="s">
        <v>361</v>
      </c>
      <c r="D88" s="17" t="s">
        <v>94</v>
      </c>
      <c r="E88" s="10">
        <f t="shared" si="4"/>
        <v>7.1770334928229671</v>
      </c>
      <c r="F88" s="47">
        <v>3</v>
      </c>
      <c r="G88" s="57">
        <v>418</v>
      </c>
      <c r="H88" s="11">
        <f t="shared" si="5"/>
        <v>0.6</v>
      </c>
      <c r="I88" s="11">
        <f t="shared" si="6"/>
        <v>83.6</v>
      </c>
      <c r="J88" s="5"/>
    </row>
    <row r="89" spans="1:10" ht="15.75" customHeight="1" x14ac:dyDescent="0.3">
      <c r="A89" s="36">
        <v>21104</v>
      </c>
      <c r="B89" s="17" t="s">
        <v>43</v>
      </c>
      <c r="C89" s="17" t="s">
        <v>361</v>
      </c>
      <c r="D89" s="17" t="s">
        <v>258</v>
      </c>
      <c r="E89" s="10">
        <f t="shared" si="4"/>
        <v>14.742014742014742</v>
      </c>
      <c r="F89" s="47">
        <v>30</v>
      </c>
      <c r="G89" s="57">
        <v>2035</v>
      </c>
      <c r="H89" s="11">
        <f t="shared" si="5"/>
        <v>6</v>
      </c>
      <c r="I89" s="11">
        <f t="shared" si="6"/>
        <v>407</v>
      </c>
      <c r="J89" s="5"/>
    </row>
    <row r="90" spans="1:10" ht="15.75" customHeight="1" x14ac:dyDescent="0.3">
      <c r="A90" s="36">
        <v>21105</v>
      </c>
      <c r="B90" s="17" t="s">
        <v>43</v>
      </c>
      <c r="C90" s="17" t="s">
        <v>361</v>
      </c>
      <c r="D90" s="17" t="s">
        <v>70</v>
      </c>
      <c r="E90" s="10">
        <f t="shared" si="4"/>
        <v>16.166281755196305</v>
      </c>
      <c r="F90" s="47">
        <v>56</v>
      </c>
      <c r="G90" s="57">
        <v>3464</v>
      </c>
      <c r="H90" s="11">
        <f t="shared" si="5"/>
        <v>11.2</v>
      </c>
      <c r="I90" s="11">
        <f t="shared" si="6"/>
        <v>692.8</v>
      </c>
      <c r="J90" s="5"/>
    </row>
    <row r="91" spans="1:10" ht="15.75" customHeight="1" x14ac:dyDescent="0.3">
      <c r="A91" s="36">
        <v>21201</v>
      </c>
      <c r="B91" s="17" t="s">
        <v>43</v>
      </c>
      <c r="C91" s="17" t="s">
        <v>362</v>
      </c>
      <c r="D91" s="17" t="s">
        <v>255</v>
      </c>
      <c r="E91" s="10">
        <f t="shared" si="4"/>
        <v>13.685847589424572</v>
      </c>
      <c r="F91" s="47">
        <v>44</v>
      </c>
      <c r="G91" s="57">
        <v>3215</v>
      </c>
      <c r="H91" s="11">
        <f t="shared" si="5"/>
        <v>8.8000000000000007</v>
      </c>
      <c r="I91" s="11">
        <f t="shared" si="6"/>
        <v>643</v>
      </c>
      <c r="J91" s="5"/>
    </row>
    <row r="92" spans="1:10" ht="15.75" customHeight="1" x14ac:dyDescent="0.3">
      <c r="A92" s="36">
        <v>21202</v>
      </c>
      <c r="B92" s="17" t="s">
        <v>43</v>
      </c>
      <c r="C92" s="17" t="s">
        <v>362</v>
      </c>
      <c r="D92" s="17" t="s">
        <v>267</v>
      </c>
      <c r="E92" s="10">
        <f t="shared" si="4"/>
        <v>11.919965942954448</v>
      </c>
      <c r="F92" s="47">
        <v>28</v>
      </c>
      <c r="G92" s="57">
        <v>2349</v>
      </c>
      <c r="H92" s="11">
        <f t="shared" si="5"/>
        <v>5.6</v>
      </c>
      <c r="I92" s="11">
        <f t="shared" si="6"/>
        <v>469.8</v>
      </c>
      <c r="J92" s="5"/>
    </row>
    <row r="93" spans="1:10" ht="15.75" customHeight="1" x14ac:dyDescent="0.3">
      <c r="A93" s="36">
        <v>21203</v>
      </c>
      <c r="B93" s="17" t="s">
        <v>43</v>
      </c>
      <c r="C93" s="17" t="s">
        <v>362</v>
      </c>
      <c r="D93" s="17" t="s">
        <v>277</v>
      </c>
      <c r="E93" s="10">
        <f t="shared" si="4"/>
        <v>15.676567656765675</v>
      </c>
      <c r="F93" s="47">
        <v>19</v>
      </c>
      <c r="G93" s="57">
        <v>1212</v>
      </c>
      <c r="H93" s="11">
        <f t="shared" si="5"/>
        <v>3.8</v>
      </c>
      <c r="I93" s="11">
        <f t="shared" si="6"/>
        <v>242.4</v>
      </c>
      <c r="J93" s="5"/>
    </row>
    <row r="94" spans="1:10" ht="15.75" customHeight="1" x14ac:dyDescent="0.3">
      <c r="A94" s="36">
        <v>21204</v>
      </c>
      <c r="B94" s="17" t="s">
        <v>43</v>
      </c>
      <c r="C94" s="17" t="s">
        <v>362</v>
      </c>
      <c r="D94" s="17" t="s">
        <v>199</v>
      </c>
      <c r="E94" s="10">
        <f t="shared" si="4"/>
        <v>8.064516129032258</v>
      </c>
      <c r="F94" s="47">
        <v>3</v>
      </c>
      <c r="G94" s="57">
        <v>372</v>
      </c>
      <c r="H94" s="11">
        <f t="shared" si="5"/>
        <v>0.6</v>
      </c>
      <c r="I94" s="11">
        <f t="shared" si="6"/>
        <v>74.400000000000006</v>
      </c>
      <c r="J94" s="5"/>
    </row>
    <row r="95" spans="1:10" ht="15.75" customHeight="1" x14ac:dyDescent="0.3">
      <c r="A95" s="36">
        <v>21301</v>
      </c>
      <c r="B95" s="17" t="s">
        <v>43</v>
      </c>
      <c r="C95" s="17" t="s">
        <v>363</v>
      </c>
      <c r="D95" s="17" t="s">
        <v>261</v>
      </c>
      <c r="E95" s="10">
        <f t="shared" si="4"/>
        <v>15.225933202357563</v>
      </c>
      <c r="F95" s="47">
        <v>31</v>
      </c>
      <c r="G95" s="57">
        <v>2036</v>
      </c>
      <c r="H95" s="11">
        <f t="shared" si="5"/>
        <v>6.2</v>
      </c>
      <c r="I95" s="11">
        <f t="shared" si="6"/>
        <v>407.2</v>
      </c>
      <c r="J95" s="5"/>
    </row>
    <row r="96" spans="1:10" ht="15.75" customHeight="1" x14ac:dyDescent="0.3">
      <c r="A96" s="36">
        <v>21302</v>
      </c>
      <c r="B96" s="17" t="s">
        <v>43</v>
      </c>
      <c r="C96" s="17" t="s">
        <v>363</v>
      </c>
      <c r="D96" s="17" t="s">
        <v>232</v>
      </c>
      <c r="E96" s="10">
        <f t="shared" si="4"/>
        <v>11.441647597254004</v>
      </c>
      <c r="F96" s="47">
        <v>5</v>
      </c>
      <c r="G96" s="57">
        <v>437</v>
      </c>
      <c r="H96" s="11">
        <f t="shared" si="5"/>
        <v>1</v>
      </c>
      <c r="I96" s="11">
        <f t="shared" si="6"/>
        <v>87.4</v>
      </c>
      <c r="J96" s="5"/>
    </row>
    <row r="97" spans="1:10" ht="15.75" customHeight="1" x14ac:dyDescent="0.3">
      <c r="A97" s="36">
        <v>21303</v>
      </c>
      <c r="B97" s="17" t="s">
        <v>43</v>
      </c>
      <c r="C97" s="17" t="s">
        <v>363</v>
      </c>
      <c r="D97" s="17" t="s">
        <v>218</v>
      </c>
      <c r="E97" s="10">
        <f t="shared" si="4"/>
        <v>30.303030303030305</v>
      </c>
      <c r="F97" s="47">
        <v>20</v>
      </c>
      <c r="G97" s="57">
        <v>660</v>
      </c>
      <c r="H97" s="11">
        <f t="shared" si="5"/>
        <v>4</v>
      </c>
      <c r="I97" s="11">
        <f t="shared" si="6"/>
        <v>132</v>
      </c>
      <c r="J97" s="5"/>
    </row>
    <row r="98" spans="1:10" ht="15.75" customHeight="1" x14ac:dyDescent="0.3">
      <c r="A98" s="36">
        <v>21304</v>
      </c>
      <c r="B98" s="17" t="s">
        <v>43</v>
      </c>
      <c r="C98" s="17" t="s">
        <v>363</v>
      </c>
      <c r="D98" s="17" t="s">
        <v>249</v>
      </c>
      <c r="E98" s="10">
        <f t="shared" si="4"/>
        <v>7.6586433260393871</v>
      </c>
      <c r="F98" s="47">
        <v>7</v>
      </c>
      <c r="G98" s="57">
        <v>914</v>
      </c>
      <c r="H98" s="11">
        <f t="shared" si="5"/>
        <v>1.4</v>
      </c>
      <c r="I98" s="11">
        <f t="shared" si="6"/>
        <v>182.8</v>
      </c>
      <c r="J98" s="5"/>
    </row>
    <row r="99" spans="1:10" ht="15.75" customHeight="1" x14ac:dyDescent="0.3">
      <c r="A99" s="36">
        <v>21305</v>
      </c>
      <c r="B99" s="17" t="s">
        <v>43</v>
      </c>
      <c r="C99" s="17" t="s">
        <v>363</v>
      </c>
      <c r="D99" s="17" t="s">
        <v>280</v>
      </c>
      <c r="E99" s="10">
        <f t="shared" si="4"/>
        <v>17.783046828689983</v>
      </c>
      <c r="F99" s="47">
        <v>30</v>
      </c>
      <c r="G99" s="57">
        <v>1687</v>
      </c>
      <c r="H99" s="11">
        <f t="shared" si="5"/>
        <v>6</v>
      </c>
      <c r="I99" s="11">
        <f t="shared" si="6"/>
        <v>337.4</v>
      </c>
      <c r="J99" s="5"/>
    </row>
    <row r="100" spans="1:10" ht="15.75" customHeight="1" x14ac:dyDescent="0.3">
      <c r="A100" s="36">
        <v>21306</v>
      </c>
      <c r="B100" s="17" t="s">
        <v>43</v>
      </c>
      <c r="C100" s="17" t="s">
        <v>363</v>
      </c>
      <c r="D100" s="17" t="s">
        <v>229</v>
      </c>
      <c r="E100" s="10">
        <f t="shared" si="4"/>
        <v>19.070321811680571</v>
      </c>
      <c r="F100" s="47">
        <v>16</v>
      </c>
      <c r="G100" s="57">
        <v>839</v>
      </c>
      <c r="H100" s="11">
        <f t="shared" si="5"/>
        <v>3.2</v>
      </c>
      <c r="I100" s="11">
        <f t="shared" si="6"/>
        <v>167.8</v>
      </c>
      <c r="J100" s="5"/>
    </row>
    <row r="101" spans="1:10" ht="15.75" customHeight="1" x14ac:dyDescent="0.3">
      <c r="A101" s="36">
        <v>21307</v>
      </c>
      <c r="B101" s="17" t="s">
        <v>43</v>
      </c>
      <c r="C101" s="17" t="s">
        <v>363</v>
      </c>
      <c r="D101" s="17" t="s">
        <v>100</v>
      </c>
      <c r="E101" s="10">
        <f t="shared" si="4"/>
        <v>17.667844522968199</v>
      </c>
      <c r="F101" s="47">
        <v>5</v>
      </c>
      <c r="G101" s="57">
        <v>283</v>
      </c>
      <c r="H101" s="11">
        <f t="shared" si="5"/>
        <v>1</v>
      </c>
      <c r="I101" s="11">
        <f t="shared" si="6"/>
        <v>56.6</v>
      </c>
      <c r="J101" s="5"/>
    </row>
    <row r="102" spans="1:10" ht="15.75" customHeight="1" x14ac:dyDescent="0.3">
      <c r="A102" s="36">
        <v>21401</v>
      </c>
      <c r="B102" s="17" t="s">
        <v>43</v>
      </c>
      <c r="C102" s="17" t="s">
        <v>364</v>
      </c>
      <c r="D102" s="17" t="s">
        <v>284</v>
      </c>
      <c r="E102" s="10">
        <f t="shared" si="4"/>
        <v>12.322858903265557</v>
      </c>
      <c r="F102" s="47">
        <v>20</v>
      </c>
      <c r="G102" s="57">
        <v>1623</v>
      </c>
      <c r="H102" s="11">
        <f t="shared" si="5"/>
        <v>4</v>
      </c>
      <c r="I102" s="11">
        <f t="shared" si="6"/>
        <v>324.60000000000002</v>
      </c>
      <c r="J102" s="5"/>
    </row>
    <row r="103" spans="1:10" ht="15.75" customHeight="1" x14ac:dyDescent="0.3">
      <c r="A103" s="36">
        <v>21402</v>
      </c>
      <c r="B103" s="17" t="s">
        <v>43</v>
      </c>
      <c r="C103" s="17" t="s">
        <v>364</v>
      </c>
      <c r="D103" s="17" t="s">
        <v>220</v>
      </c>
      <c r="E103" s="10">
        <f t="shared" si="4"/>
        <v>10.403120936280885</v>
      </c>
      <c r="F103" s="47">
        <v>16</v>
      </c>
      <c r="G103" s="57">
        <v>1538</v>
      </c>
      <c r="H103" s="11">
        <f t="shared" si="5"/>
        <v>3.2</v>
      </c>
      <c r="I103" s="11">
        <f t="shared" si="6"/>
        <v>307.60000000000002</v>
      </c>
      <c r="J103" s="5"/>
    </row>
    <row r="104" spans="1:10" ht="15.75" customHeight="1" x14ac:dyDescent="0.3">
      <c r="A104" s="36">
        <v>21501</v>
      </c>
      <c r="B104" s="17" t="s">
        <v>43</v>
      </c>
      <c r="C104" s="17" t="s">
        <v>365</v>
      </c>
      <c r="D104" s="17" t="s">
        <v>194</v>
      </c>
      <c r="E104" s="10">
        <f t="shared" si="4"/>
        <v>15.592515592515593</v>
      </c>
      <c r="F104" s="47">
        <v>15</v>
      </c>
      <c r="G104" s="57">
        <v>962</v>
      </c>
      <c r="H104" s="11">
        <f t="shared" si="5"/>
        <v>3</v>
      </c>
      <c r="I104" s="11">
        <f t="shared" si="6"/>
        <v>192.4</v>
      </c>
      <c r="J104" s="5"/>
    </row>
    <row r="105" spans="1:10" ht="15.75" customHeight="1" x14ac:dyDescent="0.3">
      <c r="A105" s="36">
        <v>21502</v>
      </c>
      <c r="B105" s="17" t="s">
        <v>43</v>
      </c>
      <c r="C105" s="17" t="s">
        <v>365</v>
      </c>
      <c r="D105" s="17" t="s">
        <v>133</v>
      </c>
      <c r="E105" s="10">
        <f t="shared" si="4"/>
        <v>22.5</v>
      </c>
      <c r="F105" s="47">
        <v>18</v>
      </c>
      <c r="G105" s="57">
        <v>800</v>
      </c>
      <c r="H105" s="11">
        <f t="shared" si="5"/>
        <v>3.6</v>
      </c>
      <c r="I105" s="11">
        <f t="shared" si="6"/>
        <v>160</v>
      </c>
      <c r="J105" s="5"/>
    </row>
    <row r="106" spans="1:10" ht="15.75" customHeight="1" x14ac:dyDescent="0.3">
      <c r="A106" s="36">
        <v>21601</v>
      </c>
      <c r="B106" s="17" t="s">
        <v>43</v>
      </c>
      <c r="C106" s="17" t="s">
        <v>366</v>
      </c>
      <c r="D106" s="17" t="s">
        <v>317</v>
      </c>
      <c r="E106" s="10">
        <f t="shared" si="4"/>
        <v>10.309278350515465</v>
      </c>
      <c r="F106" s="47">
        <v>10</v>
      </c>
      <c r="G106" s="57">
        <v>970</v>
      </c>
      <c r="H106" s="11">
        <f t="shared" si="5"/>
        <v>2</v>
      </c>
      <c r="I106" s="11">
        <f t="shared" si="6"/>
        <v>194</v>
      </c>
      <c r="J106" s="5"/>
    </row>
    <row r="107" spans="1:10" ht="15.75" customHeight="1" x14ac:dyDescent="0.3">
      <c r="A107" s="36">
        <v>21602</v>
      </c>
      <c r="B107" s="17" t="s">
        <v>43</v>
      </c>
      <c r="C107" s="17" t="s">
        <v>366</v>
      </c>
      <c r="D107" s="17" t="s">
        <v>108</v>
      </c>
      <c r="E107" s="10">
        <f t="shared" si="4"/>
        <v>10.38961038961039</v>
      </c>
      <c r="F107" s="47">
        <v>4</v>
      </c>
      <c r="G107" s="57">
        <v>385</v>
      </c>
      <c r="H107" s="11">
        <f t="shared" si="5"/>
        <v>0.8</v>
      </c>
      <c r="I107" s="11">
        <f t="shared" si="6"/>
        <v>77</v>
      </c>
      <c r="J107" s="5"/>
    </row>
    <row r="108" spans="1:10" ht="15.75" customHeight="1" x14ac:dyDescent="0.3">
      <c r="A108" s="36">
        <v>21701</v>
      </c>
      <c r="B108" s="17" t="s">
        <v>43</v>
      </c>
      <c r="C108" s="17" t="s">
        <v>367</v>
      </c>
      <c r="D108" s="17" t="s">
        <v>251</v>
      </c>
      <c r="E108" s="10">
        <f t="shared" si="4"/>
        <v>8.9887640449438209</v>
      </c>
      <c r="F108" s="47">
        <v>8</v>
      </c>
      <c r="G108" s="57">
        <v>890</v>
      </c>
      <c r="H108" s="11">
        <f t="shared" si="5"/>
        <v>1.6</v>
      </c>
      <c r="I108" s="11">
        <f t="shared" si="6"/>
        <v>178</v>
      </c>
      <c r="J108" s="5"/>
    </row>
    <row r="109" spans="1:10" ht="15.75" customHeight="1" x14ac:dyDescent="0.3">
      <c r="A109" s="36">
        <v>21702</v>
      </c>
      <c r="B109" s="17" t="s">
        <v>43</v>
      </c>
      <c r="C109" s="17" t="s">
        <v>367</v>
      </c>
      <c r="D109" s="17" t="s">
        <v>184</v>
      </c>
      <c r="E109" s="10">
        <f t="shared" si="4"/>
        <v>25.316455696202532</v>
      </c>
      <c r="F109" s="47">
        <v>10</v>
      </c>
      <c r="G109" s="57">
        <v>395</v>
      </c>
      <c r="H109" s="11">
        <f t="shared" si="5"/>
        <v>2</v>
      </c>
      <c r="I109" s="11">
        <f t="shared" si="6"/>
        <v>79</v>
      </c>
      <c r="J109" s="5"/>
    </row>
    <row r="110" spans="1:10" ht="15.75" customHeight="1" x14ac:dyDescent="0.3">
      <c r="A110" s="36">
        <v>21703</v>
      </c>
      <c r="B110" s="17" t="s">
        <v>43</v>
      </c>
      <c r="C110" s="17" t="s">
        <v>367</v>
      </c>
      <c r="D110" s="17" t="s">
        <v>135</v>
      </c>
      <c r="E110" s="10">
        <f t="shared" si="4"/>
        <v>0</v>
      </c>
      <c r="F110" s="47">
        <v>0</v>
      </c>
      <c r="G110" s="57">
        <v>188</v>
      </c>
      <c r="H110" s="11">
        <f t="shared" si="5"/>
        <v>0</v>
      </c>
      <c r="I110" s="11">
        <f t="shared" si="6"/>
        <v>37.6</v>
      </c>
      <c r="J110" s="5"/>
    </row>
    <row r="111" spans="1:10" ht="15.75" customHeight="1" x14ac:dyDescent="0.3">
      <c r="A111" s="36">
        <v>21801</v>
      </c>
      <c r="B111" s="17" t="s">
        <v>43</v>
      </c>
      <c r="C111" s="17" t="s">
        <v>368</v>
      </c>
      <c r="D111" s="17" t="s">
        <v>318</v>
      </c>
      <c r="E111" s="10">
        <f t="shared" si="4"/>
        <v>15.521064301552107</v>
      </c>
      <c r="F111" s="47">
        <v>7</v>
      </c>
      <c r="G111" s="57">
        <v>451</v>
      </c>
      <c r="H111" s="11">
        <f t="shared" si="5"/>
        <v>1.4</v>
      </c>
      <c r="I111" s="11">
        <f t="shared" si="6"/>
        <v>90.2</v>
      </c>
      <c r="J111" s="5"/>
    </row>
    <row r="112" spans="1:10" ht="15.75" customHeight="1" x14ac:dyDescent="0.3">
      <c r="A112" s="36">
        <v>21802</v>
      </c>
      <c r="B112" s="17" t="s">
        <v>43</v>
      </c>
      <c r="C112" s="17" t="s">
        <v>369</v>
      </c>
      <c r="D112" s="17" t="s">
        <v>197</v>
      </c>
      <c r="E112" s="10">
        <f t="shared" si="4"/>
        <v>14.534883720930232</v>
      </c>
      <c r="F112" s="47">
        <v>5</v>
      </c>
      <c r="G112" s="57">
        <v>344</v>
      </c>
      <c r="H112" s="11">
        <f t="shared" si="5"/>
        <v>1</v>
      </c>
      <c r="I112" s="11">
        <f t="shared" si="6"/>
        <v>68.8</v>
      </c>
      <c r="J112" s="5"/>
    </row>
    <row r="113" spans="1:10" ht="15.75" customHeight="1" x14ac:dyDescent="0.3">
      <c r="A113" s="36">
        <v>21803</v>
      </c>
      <c r="B113" s="17" t="s">
        <v>43</v>
      </c>
      <c r="C113" s="17" t="s">
        <v>369</v>
      </c>
      <c r="D113" s="17" t="s">
        <v>49</v>
      </c>
      <c r="E113" s="10">
        <f t="shared" si="4"/>
        <v>0</v>
      </c>
      <c r="F113" s="47">
        <v>0</v>
      </c>
      <c r="G113" s="57">
        <v>120</v>
      </c>
      <c r="H113" s="11">
        <f t="shared" si="5"/>
        <v>0</v>
      </c>
      <c r="I113" s="11">
        <f t="shared" si="6"/>
        <v>24</v>
      </c>
      <c r="J113" s="5"/>
    </row>
    <row r="114" spans="1:10" ht="15.75" customHeight="1" x14ac:dyDescent="0.3">
      <c r="A114" s="36">
        <v>21901</v>
      </c>
      <c r="B114" s="17" t="s">
        <v>43</v>
      </c>
      <c r="C114" s="17" t="s">
        <v>370</v>
      </c>
      <c r="D114" s="17" t="s">
        <v>50</v>
      </c>
      <c r="E114" s="10">
        <f t="shared" si="4"/>
        <v>33.63914373088685</v>
      </c>
      <c r="F114" s="47">
        <v>11</v>
      </c>
      <c r="G114" s="57">
        <v>327</v>
      </c>
      <c r="H114" s="11">
        <f t="shared" si="5"/>
        <v>2.2000000000000002</v>
      </c>
      <c r="I114" s="11">
        <f t="shared" si="6"/>
        <v>65.400000000000006</v>
      </c>
      <c r="J114" s="5"/>
    </row>
    <row r="115" spans="1:10" ht="15.75" customHeight="1" x14ac:dyDescent="0.3">
      <c r="A115" s="36">
        <v>21902</v>
      </c>
      <c r="B115" s="17" t="s">
        <v>43</v>
      </c>
      <c r="C115" s="17" t="s">
        <v>370</v>
      </c>
      <c r="D115" s="17" t="s">
        <v>28</v>
      </c>
      <c r="E115" s="10">
        <f t="shared" si="4"/>
        <v>3.0674846625766872</v>
      </c>
      <c r="F115" s="47">
        <v>1</v>
      </c>
      <c r="G115" s="57">
        <v>326</v>
      </c>
      <c r="H115" s="11">
        <f t="shared" si="5"/>
        <v>0.2</v>
      </c>
      <c r="I115" s="11">
        <f t="shared" si="6"/>
        <v>65.2</v>
      </c>
      <c r="J115" s="5"/>
    </row>
    <row r="116" spans="1:10" ht="15.75" customHeight="1" x14ac:dyDescent="0.3">
      <c r="A116" s="36">
        <v>22001</v>
      </c>
      <c r="B116" s="17" t="s">
        <v>43</v>
      </c>
      <c r="C116" s="17" t="s">
        <v>260</v>
      </c>
      <c r="D116" s="17" t="s">
        <v>260</v>
      </c>
      <c r="E116" s="10">
        <f t="shared" si="4"/>
        <v>10.612894667020429</v>
      </c>
      <c r="F116" s="47">
        <v>40</v>
      </c>
      <c r="G116" s="57">
        <v>3769</v>
      </c>
      <c r="H116" s="11">
        <f t="shared" si="5"/>
        <v>8</v>
      </c>
      <c r="I116" s="11">
        <f t="shared" si="6"/>
        <v>753.8</v>
      </c>
      <c r="J116" s="5"/>
    </row>
    <row r="117" spans="1:10" ht="15.75" customHeight="1" x14ac:dyDescent="0.3">
      <c r="A117" s="36">
        <v>22002</v>
      </c>
      <c r="B117" s="17" t="s">
        <v>43</v>
      </c>
      <c r="C117" s="17" t="s">
        <v>260</v>
      </c>
      <c r="D117" s="17" t="s">
        <v>185</v>
      </c>
      <c r="E117" s="10">
        <f t="shared" si="4"/>
        <v>17.543859649122805</v>
      </c>
      <c r="F117" s="47">
        <v>12</v>
      </c>
      <c r="G117" s="57">
        <v>684</v>
      </c>
      <c r="H117" s="11">
        <f t="shared" si="5"/>
        <v>2.4</v>
      </c>
      <c r="I117" s="11">
        <f t="shared" si="6"/>
        <v>136.80000000000001</v>
      </c>
      <c r="J117" s="5"/>
    </row>
    <row r="118" spans="1:10" ht="15.75" customHeight="1" x14ac:dyDescent="0.3">
      <c r="A118" s="36">
        <v>30101</v>
      </c>
      <c r="B118" s="17" t="s">
        <v>51</v>
      </c>
      <c r="C118" s="17" t="s">
        <v>371</v>
      </c>
      <c r="D118" s="17" t="s">
        <v>51</v>
      </c>
      <c r="E118" s="10">
        <f t="shared" si="4"/>
        <v>7.9390366948117466</v>
      </c>
      <c r="F118" s="47">
        <v>299</v>
      </c>
      <c r="G118" s="57">
        <v>37662</v>
      </c>
      <c r="H118" s="11">
        <f t="shared" si="5"/>
        <v>59.8</v>
      </c>
      <c r="I118" s="11">
        <f t="shared" si="6"/>
        <v>7532.4</v>
      </c>
      <c r="J118" s="5"/>
    </row>
    <row r="119" spans="1:10" ht="15.75" customHeight="1" x14ac:dyDescent="0.3">
      <c r="A119" s="36">
        <v>30201</v>
      </c>
      <c r="B119" s="17" t="s">
        <v>51</v>
      </c>
      <c r="C119" s="17" t="s">
        <v>372</v>
      </c>
      <c r="D119" s="17" t="s">
        <v>252</v>
      </c>
      <c r="E119" s="10">
        <f t="shared" si="4"/>
        <v>5.043227665706052</v>
      </c>
      <c r="F119" s="47">
        <v>7</v>
      </c>
      <c r="G119" s="57">
        <v>1388</v>
      </c>
      <c r="H119" s="11">
        <f t="shared" si="5"/>
        <v>1.4</v>
      </c>
      <c r="I119" s="11">
        <f t="shared" si="6"/>
        <v>277.60000000000002</v>
      </c>
      <c r="J119" s="5"/>
    </row>
    <row r="120" spans="1:10" ht="15.75" customHeight="1" x14ac:dyDescent="0.3">
      <c r="A120" s="36">
        <v>30202</v>
      </c>
      <c r="B120" s="17" t="s">
        <v>51</v>
      </c>
      <c r="C120" s="17" t="s">
        <v>372</v>
      </c>
      <c r="D120" s="17" t="s">
        <v>145</v>
      </c>
      <c r="E120" s="10">
        <f t="shared" si="4"/>
        <v>3.1446540880503147</v>
      </c>
      <c r="F120" s="47">
        <v>1</v>
      </c>
      <c r="G120" s="57">
        <v>318</v>
      </c>
      <c r="H120" s="11">
        <f t="shared" si="5"/>
        <v>0.2</v>
      </c>
      <c r="I120" s="11">
        <f t="shared" si="6"/>
        <v>63.6</v>
      </c>
      <c r="J120" s="5"/>
    </row>
    <row r="121" spans="1:10" ht="15.75" customHeight="1" x14ac:dyDescent="0.3">
      <c r="A121" s="36">
        <v>30203</v>
      </c>
      <c r="B121" s="17" t="s">
        <v>51</v>
      </c>
      <c r="C121" s="17" t="s">
        <v>372</v>
      </c>
      <c r="D121" s="17" t="s">
        <v>56</v>
      </c>
      <c r="E121" s="10">
        <f t="shared" si="4"/>
        <v>2.150537634408602</v>
      </c>
      <c r="F121" s="47">
        <v>1</v>
      </c>
      <c r="G121" s="57">
        <v>465</v>
      </c>
      <c r="H121" s="11">
        <f t="shared" si="5"/>
        <v>0.2</v>
      </c>
      <c r="I121" s="11">
        <f t="shared" si="6"/>
        <v>93</v>
      </c>
      <c r="J121" s="5"/>
    </row>
    <row r="122" spans="1:10" ht="15.75" customHeight="1" x14ac:dyDescent="0.3">
      <c r="A122" s="36">
        <v>30301</v>
      </c>
      <c r="B122" s="17" t="s">
        <v>51</v>
      </c>
      <c r="C122" s="17" t="s">
        <v>373</v>
      </c>
      <c r="D122" s="17" t="s">
        <v>211</v>
      </c>
      <c r="E122" s="10">
        <f t="shared" si="4"/>
        <v>17.264276228419654</v>
      </c>
      <c r="F122" s="47">
        <v>26</v>
      </c>
      <c r="G122" s="57">
        <v>1506</v>
      </c>
      <c r="H122" s="11">
        <f t="shared" si="5"/>
        <v>5.2</v>
      </c>
      <c r="I122" s="11">
        <f t="shared" si="6"/>
        <v>301.2</v>
      </c>
      <c r="J122" s="5"/>
    </row>
    <row r="123" spans="1:10" ht="15.75" customHeight="1" x14ac:dyDescent="0.3">
      <c r="A123" s="36">
        <v>30302</v>
      </c>
      <c r="B123" s="17" t="s">
        <v>51</v>
      </c>
      <c r="C123" s="17" t="s">
        <v>373</v>
      </c>
      <c r="D123" s="17" t="s">
        <v>177</v>
      </c>
      <c r="E123" s="10">
        <f t="shared" si="4"/>
        <v>13.071895424836601</v>
      </c>
      <c r="F123" s="47">
        <v>12</v>
      </c>
      <c r="G123" s="57">
        <v>918</v>
      </c>
      <c r="H123" s="11">
        <f t="shared" si="5"/>
        <v>2.4</v>
      </c>
      <c r="I123" s="11">
        <f t="shared" si="6"/>
        <v>183.6</v>
      </c>
      <c r="J123" s="5"/>
    </row>
    <row r="124" spans="1:10" ht="15.75" customHeight="1" x14ac:dyDescent="0.3">
      <c r="A124" s="36">
        <v>30303</v>
      </c>
      <c r="B124" s="17" t="s">
        <v>51</v>
      </c>
      <c r="C124" s="17" t="s">
        <v>373</v>
      </c>
      <c r="D124" s="17" t="s">
        <v>66</v>
      </c>
      <c r="E124" s="10">
        <f t="shared" si="4"/>
        <v>26.867627785058978</v>
      </c>
      <c r="F124" s="47">
        <v>41</v>
      </c>
      <c r="G124" s="57">
        <v>1526</v>
      </c>
      <c r="H124" s="11">
        <f t="shared" si="5"/>
        <v>8.1999999999999993</v>
      </c>
      <c r="I124" s="11">
        <f t="shared" si="6"/>
        <v>305.2</v>
      </c>
      <c r="J124" s="5"/>
    </row>
    <row r="125" spans="1:10" ht="15.75" customHeight="1" x14ac:dyDescent="0.3">
      <c r="A125" s="36">
        <v>30401</v>
      </c>
      <c r="B125" s="17" t="s">
        <v>51</v>
      </c>
      <c r="C125" s="17" t="s">
        <v>374</v>
      </c>
      <c r="D125" s="17" t="s">
        <v>171</v>
      </c>
      <c r="E125" s="10">
        <f t="shared" si="4"/>
        <v>15.895953757225433</v>
      </c>
      <c r="F125" s="47">
        <v>11</v>
      </c>
      <c r="G125" s="57">
        <v>692</v>
      </c>
      <c r="H125" s="11">
        <f t="shared" si="5"/>
        <v>2.2000000000000002</v>
      </c>
      <c r="I125" s="11">
        <f t="shared" si="6"/>
        <v>138.4</v>
      </c>
      <c r="J125" s="5"/>
    </row>
    <row r="126" spans="1:10" ht="15.75" customHeight="1" x14ac:dyDescent="0.3">
      <c r="A126" s="36">
        <v>30402</v>
      </c>
      <c r="B126" s="17" t="s">
        <v>51</v>
      </c>
      <c r="C126" s="17" t="s">
        <v>374</v>
      </c>
      <c r="D126" s="17" t="s">
        <v>153</v>
      </c>
      <c r="E126" s="10">
        <f t="shared" si="4"/>
        <v>20</v>
      </c>
      <c r="F126" s="47">
        <v>8</v>
      </c>
      <c r="G126" s="57">
        <v>400</v>
      </c>
      <c r="H126" s="11">
        <f t="shared" si="5"/>
        <v>1.6</v>
      </c>
      <c r="I126" s="11">
        <f t="shared" si="6"/>
        <v>80</v>
      </c>
      <c r="J126" s="5"/>
    </row>
    <row r="127" spans="1:10" ht="15.75" customHeight="1" x14ac:dyDescent="0.3">
      <c r="A127" s="36">
        <v>30403</v>
      </c>
      <c r="B127" s="17" t="s">
        <v>51</v>
      </c>
      <c r="C127" s="17" t="s">
        <v>374</v>
      </c>
      <c r="D127" s="17" t="s">
        <v>259</v>
      </c>
      <c r="E127" s="10">
        <f t="shared" si="4"/>
        <v>9.4542329179200681</v>
      </c>
      <c r="F127" s="47">
        <v>22</v>
      </c>
      <c r="G127" s="57">
        <v>2327</v>
      </c>
      <c r="H127" s="11">
        <f t="shared" si="5"/>
        <v>4.4000000000000004</v>
      </c>
      <c r="I127" s="11">
        <f t="shared" si="6"/>
        <v>465.4</v>
      </c>
      <c r="J127" s="5"/>
    </row>
    <row r="128" spans="1:10" ht="15.75" customHeight="1" x14ac:dyDescent="0.3">
      <c r="A128" s="36">
        <v>30404</v>
      </c>
      <c r="B128" s="17" t="s">
        <v>51</v>
      </c>
      <c r="C128" s="17" t="s">
        <v>374</v>
      </c>
      <c r="D128" s="17" t="s">
        <v>155</v>
      </c>
      <c r="E128" s="10">
        <f t="shared" si="4"/>
        <v>24.822695035460995</v>
      </c>
      <c r="F128" s="47">
        <v>7</v>
      </c>
      <c r="G128" s="57">
        <v>282</v>
      </c>
      <c r="H128" s="11">
        <f t="shared" si="5"/>
        <v>1.4</v>
      </c>
      <c r="I128" s="11">
        <f t="shared" si="6"/>
        <v>56.4</v>
      </c>
      <c r="J128" s="5"/>
    </row>
    <row r="129" spans="1:10" ht="15.75" customHeight="1" x14ac:dyDescent="0.3">
      <c r="A129" s="36">
        <v>30501</v>
      </c>
      <c r="B129" s="17" t="s">
        <v>51</v>
      </c>
      <c r="C129" s="17" t="s">
        <v>179</v>
      </c>
      <c r="D129" s="17" t="s">
        <v>179</v>
      </c>
      <c r="E129" s="10">
        <f t="shared" si="4"/>
        <v>16.051364365971107</v>
      </c>
      <c r="F129" s="47">
        <v>10</v>
      </c>
      <c r="G129" s="57">
        <v>623</v>
      </c>
      <c r="H129" s="11">
        <f t="shared" si="5"/>
        <v>2</v>
      </c>
      <c r="I129" s="11">
        <f t="shared" si="6"/>
        <v>124.6</v>
      </c>
      <c r="J129" s="5"/>
    </row>
    <row r="130" spans="1:10" ht="15.75" customHeight="1" x14ac:dyDescent="0.3">
      <c r="A130" s="36">
        <v>30502</v>
      </c>
      <c r="B130" s="17" t="s">
        <v>51</v>
      </c>
      <c r="C130" s="17" t="s">
        <v>179</v>
      </c>
      <c r="D130" s="17" t="s">
        <v>238</v>
      </c>
      <c r="E130" s="10">
        <f t="shared" si="4"/>
        <v>18.348623853211009</v>
      </c>
      <c r="F130" s="47">
        <v>8</v>
      </c>
      <c r="G130" s="57">
        <v>436</v>
      </c>
      <c r="H130" s="11">
        <f t="shared" si="5"/>
        <v>1.6</v>
      </c>
      <c r="I130" s="11">
        <f t="shared" si="6"/>
        <v>87.2</v>
      </c>
      <c r="J130" s="5"/>
    </row>
    <row r="131" spans="1:10" ht="15.75" customHeight="1" x14ac:dyDescent="0.3">
      <c r="A131" s="36">
        <v>30601</v>
      </c>
      <c r="B131" s="17" t="s">
        <v>51</v>
      </c>
      <c r="C131" s="17" t="s">
        <v>128</v>
      </c>
      <c r="D131" s="17" t="s">
        <v>128</v>
      </c>
      <c r="E131" s="10">
        <f t="shared" ref="E131:E194" si="7">(F131/G131)*1000</f>
        <v>25.815217391304348</v>
      </c>
      <c r="F131" s="47">
        <v>19</v>
      </c>
      <c r="G131" s="57">
        <v>736</v>
      </c>
      <c r="H131" s="11">
        <f t="shared" ref="H131:H194" si="8">F131/5</f>
        <v>3.8</v>
      </c>
      <c r="I131" s="11">
        <f t="shared" ref="I131:I194" si="9">G131/5</f>
        <v>147.19999999999999</v>
      </c>
      <c r="J131" s="5"/>
    </row>
    <row r="132" spans="1:10" ht="15.75" customHeight="1" x14ac:dyDescent="0.3">
      <c r="A132" s="36">
        <v>30602</v>
      </c>
      <c r="B132" s="17" t="s">
        <v>51</v>
      </c>
      <c r="C132" s="17" t="s">
        <v>128</v>
      </c>
      <c r="D132" s="17" t="s">
        <v>48</v>
      </c>
      <c r="E132" s="10">
        <f t="shared" si="7"/>
        <v>20.446096654275092</v>
      </c>
      <c r="F132" s="47">
        <v>11</v>
      </c>
      <c r="G132" s="57">
        <v>538</v>
      </c>
      <c r="H132" s="11">
        <f t="shared" si="8"/>
        <v>2.2000000000000002</v>
      </c>
      <c r="I132" s="11">
        <f t="shared" si="9"/>
        <v>107.6</v>
      </c>
      <c r="J132" s="5"/>
    </row>
    <row r="133" spans="1:10" ht="15.75" customHeight="1" x14ac:dyDescent="0.3">
      <c r="A133" s="36">
        <v>30701</v>
      </c>
      <c r="B133" s="17" t="s">
        <v>51</v>
      </c>
      <c r="C133" s="17" t="s">
        <v>269</v>
      </c>
      <c r="D133" s="17" t="s">
        <v>269</v>
      </c>
      <c r="E133" s="10">
        <f t="shared" si="7"/>
        <v>14.296463506395787</v>
      </c>
      <c r="F133" s="47">
        <v>19</v>
      </c>
      <c r="G133" s="57">
        <v>1329</v>
      </c>
      <c r="H133" s="11">
        <f t="shared" si="8"/>
        <v>3.8</v>
      </c>
      <c r="I133" s="11">
        <f t="shared" si="9"/>
        <v>265.8</v>
      </c>
      <c r="J133" s="5"/>
    </row>
    <row r="134" spans="1:10" ht="15.75" customHeight="1" x14ac:dyDescent="0.3">
      <c r="A134" s="36">
        <v>30702</v>
      </c>
      <c r="B134" s="17" t="s">
        <v>51</v>
      </c>
      <c r="C134" s="17" t="s">
        <v>269</v>
      </c>
      <c r="D134" s="17" t="s">
        <v>176</v>
      </c>
      <c r="E134" s="10">
        <f t="shared" si="7"/>
        <v>8.0321285140562235</v>
      </c>
      <c r="F134" s="47">
        <v>4</v>
      </c>
      <c r="G134" s="57">
        <v>498</v>
      </c>
      <c r="H134" s="11">
        <f t="shared" si="8"/>
        <v>0.8</v>
      </c>
      <c r="I134" s="11">
        <f t="shared" si="9"/>
        <v>99.6</v>
      </c>
      <c r="J134" s="5"/>
    </row>
    <row r="135" spans="1:10" ht="15.75" customHeight="1" x14ac:dyDescent="0.3">
      <c r="A135" s="36">
        <v>30703</v>
      </c>
      <c r="B135" s="17" t="s">
        <v>51</v>
      </c>
      <c r="C135" s="17" t="s">
        <v>269</v>
      </c>
      <c r="D135" s="17" t="s">
        <v>96</v>
      </c>
      <c r="E135" s="10">
        <f t="shared" si="7"/>
        <v>0</v>
      </c>
      <c r="F135" s="47">
        <v>0</v>
      </c>
      <c r="G135" s="57">
        <v>288</v>
      </c>
      <c r="H135" s="11">
        <f t="shared" si="8"/>
        <v>0</v>
      </c>
      <c r="I135" s="11">
        <f t="shared" si="9"/>
        <v>57.6</v>
      </c>
      <c r="J135" s="5"/>
    </row>
    <row r="136" spans="1:10" ht="15.75" customHeight="1" x14ac:dyDescent="0.3">
      <c r="A136" s="36">
        <v>30801</v>
      </c>
      <c r="B136" s="17" t="s">
        <v>51</v>
      </c>
      <c r="C136" s="17" t="s">
        <v>375</v>
      </c>
      <c r="D136" s="17" t="s">
        <v>202</v>
      </c>
      <c r="E136" s="10">
        <f t="shared" si="7"/>
        <v>4.8701298701298699</v>
      </c>
      <c r="F136" s="47">
        <v>6</v>
      </c>
      <c r="G136" s="57">
        <v>1232</v>
      </c>
      <c r="H136" s="11">
        <f t="shared" si="8"/>
        <v>1.2</v>
      </c>
      <c r="I136" s="11">
        <f t="shared" si="9"/>
        <v>246.4</v>
      </c>
      <c r="J136" s="5"/>
    </row>
    <row r="137" spans="1:10" ht="15.75" customHeight="1" x14ac:dyDescent="0.3">
      <c r="A137" s="36">
        <v>30802</v>
      </c>
      <c r="B137" s="17" t="s">
        <v>51</v>
      </c>
      <c r="C137" s="17" t="s">
        <v>375</v>
      </c>
      <c r="D137" s="17" t="s">
        <v>319</v>
      </c>
      <c r="E137" s="10">
        <f t="shared" si="7"/>
        <v>18.087855297157621</v>
      </c>
      <c r="F137" s="47">
        <v>7</v>
      </c>
      <c r="G137" s="57">
        <v>387</v>
      </c>
      <c r="H137" s="11">
        <f t="shared" si="8"/>
        <v>1.4</v>
      </c>
      <c r="I137" s="11">
        <f t="shared" si="9"/>
        <v>77.400000000000006</v>
      </c>
      <c r="J137" s="5"/>
    </row>
    <row r="138" spans="1:10" ht="15.75" customHeight="1" x14ac:dyDescent="0.3">
      <c r="A138" s="36">
        <v>30803</v>
      </c>
      <c r="B138" s="17" t="s">
        <v>51</v>
      </c>
      <c r="C138" s="17" t="s">
        <v>375</v>
      </c>
      <c r="D138" s="17" t="s">
        <v>19</v>
      </c>
      <c r="E138" s="10">
        <f t="shared" si="7"/>
        <v>18.903591682419659</v>
      </c>
      <c r="F138" s="47">
        <v>10</v>
      </c>
      <c r="G138" s="57">
        <v>529</v>
      </c>
      <c r="H138" s="11">
        <f t="shared" si="8"/>
        <v>2</v>
      </c>
      <c r="I138" s="11">
        <f t="shared" si="9"/>
        <v>105.8</v>
      </c>
      <c r="J138" s="5"/>
    </row>
    <row r="139" spans="1:10" ht="15.75" customHeight="1" x14ac:dyDescent="0.3">
      <c r="A139" s="36">
        <v>30901</v>
      </c>
      <c r="B139" s="17" t="s">
        <v>51</v>
      </c>
      <c r="C139" s="17" t="s">
        <v>299</v>
      </c>
      <c r="D139" s="17" t="s">
        <v>299</v>
      </c>
      <c r="E139" s="10">
        <f t="shared" si="7"/>
        <v>6.7809380297607831</v>
      </c>
      <c r="F139" s="47">
        <v>72</v>
      </c>
      <c r="G139" s="57">
        <v>10618</v>
      </c>
      <c r="H139" s="11">
        <f t="shared" si="8"/>
        <v>14.4</v>
      </c>
      <c r="I139" s="11">
        <f t="shared" si="9"/>
        <v>2123.6</v>
      </c>
      <c r="J139" s="5"/>
    </row>
    <row r="140" spans="1:10" ht="15.75" customHeight="1" x14ac:dyDescent="0.3">
      <c r="A140" s="36">
        <v>30902</v>
      </c>
      <c r="B140" s="17" t="s">
        <v>51</v>
      </c>
      <c r="C140" s="17" t="s">
        <v>299</v>
      </c>
      <c r="D140" s="17" t="s">
        <v>292</v>
      </c>
      <c r="E140" s="10">
        <f t="shared" si="7"/>
        <v>10.658016682113068</v>
      </c>
      <c r="F140" s="47">
        <v>46</v>
      </c>
      <c r="G140" s="57">
        <v>4316</v>
      </c>
      <c r="H140" s="11">
        <f t="shared" si="8"/>
        <v>9.1999999999999993</v>
      </c>
      <c r="I140" s="11">
        <f t="shared" si="9"/>
        <v>863.2</v>
      </c>
      <c r="J140" s="5"/>
    </row>
    <row r="141" spans="1:10" ht="15.75" customHeight="1" x14ac:dyDescent="0.3">
      <c r="A141" s="36">
        <v>30903</v>
      </c>
      <c r="B141" s="17" t="s">
        <v>51</v>
      </c>
      <c r="C141" s="17" t="s">
        <v>299</v>
      </c>
      <c r="D141" s="17" t="s">
        <v>283</v>
      </c>
      <c r="E141" s="10">
        <f t="shared" si="7"/>
        <v>7.8697421981004068</v>
      </c>
      <c r="F141" s="47">
        <v>29</v>
      </c>
      <c r="G141" s="57">
        <v>3685</v>
      </c>
      <c r="H141" s="11">
        <f t="shared" si="8"/>
        <v>5.8</v>
      </c>
      <c r="I141" s="11">
        <f t="shared" si="9"/>
        <v>737</v>
      </c>
      <c r="J141" s="5"/>
    </row>
    <row r="142" spans="1:10" ht="15.75" customHeight="1" x14ac:dyDescent="0.3">
      <c r="A142" s="36">
        <v>30904</v>
      </c>
      <c r="B142" s="17" t="s">
        <v>51</v>
      </c>
      <c r="C142" s="17" t="s">
        <v>299</v>
      </c>
      <c r="D142" s="17" t="s">
        <v>288</v>
      </c>
      <c r="E142" s="10">
        <f t="shared" si="7"/>
        <v>6.7514931186704752</v>
      </c>
      <c r="F142" s="47">
        <v>26</v>
      </c>
      <c r="G142" s="57">
        <v>3851</v>
      </c>
      <c r="H142" s="11">
        <f t="shared" si="8"/>
        <v>5.2</v>
      </c>
      <c r="I142" s="11">
        <f t="shared" si="9"/>
        <v>770.2</v>
      </c>
      <c r="J142" s="5"/>
    </row>
    <row r="143" spans="1:10" ht="15.75" customHeight="1" x14ac:dyDescent="0.3">
      <c r="A143" s="36">
        <v>30905</v>
      </c>
      <c r="B143" s="17" t="s">
        <v>51</v>
      </c>
      <c r="C143" s="17" t="s">
        <v>299</v>
      </c>
      <c r="D143" s="17" t="s">
        <v>213</v>
      </c>
      <c r="E143" s="10">
        <f t="shared" si="7"/>
        <v>6.6934404283801872</v>
      </c>
      <c r="F143" s="47">
        <v>25</v>
      </c>
      <c r="G143" s="57">
        <v>3735</v>
      </c>
      <c r="H143" s="11">
        <f t="shared" si="8"/>
        <v>5</v>
      </c>
      <c r="I143" s="11">
        <f t="shared" si="9"/>
        <v>747</v>
      </c>
      <c r="J143" s="5"/>
    </row>
    <row r="144" spans="1:10" ht="15.75" customHeight="1" x14ac:dyDescent="0.3">
      <c r="A144" s="36">
        <v>31001</v>
      </c>
      <c r="B144" s="17" t="s">
        <v>51</v>
      </c>
      <c r="C144" s="17" t="s">
        <v>376</v>
      </c>
      <c r="D144" s="17" t="s">
        <v>303</v>
      </c>
      <c r="E144" s="10">
        <f t="shared" si="7"/>
        <v>7.9400088222320235</v>
      </c>
      <c r="F144" s="47">
        <v>108</v>
      </c>
      <c r="G144" s="57">
        <v>13602</v>
      </c>
      <c r="H144" s="11">
        <f t="shared" si="8"/>
        <v>21.6</v>
      </c>
      <c r="I144" s="11">
        <f t="shared" si="9"/>
        <v>2720.4</v>
      </c>
      <c r="J144" s="5"/>
    </row>
    <row r="145" spans="1:10" ht="15.75" customHeight="1" x14ac:dyDescent="0.3">
      <c r="A145" s="36">
        <v>31002</v>
      </c>
      <c r="B145" s="17" t="s">
        <v>51</v>
      </c>
      <c r="C145" s="17" t="s">
        <v>376</v>
      </c>
      <c r="D145" s="17" t="s">
        <v>275</v>
      </c>
      <c r="E145" s="10">
        <f t="shared" si="7"/>
        <v>14.78743068391867</v>
      </c>
      <c r="F145" s="47">
        <v>24</v>
      </c>
      <c r="G145" s="57">
        <v>1623</v>
      </c>
      <c r="H145" s="11">
        <f t="shared" si="8"/>
        <v>4.8</v>
      </c>
      <c r="I145" s="11">
        <f t="shared" si="9"/>
        <v>324.60000000000002</v>
      </c>
      <c r="J145" s="5"/>
    </row>
    <row r="146" spans="1:10" ht="15.75" customHeight="1" x14ac:dyDescent="0.3">
      <c r="A146" s="36">
        <v>31003</v>
      </c>
      <c r="B146" s="17" t="s">
        <v>51</v>
      </c>
      <c r="C146" s="17" t="s">
        <v>376</v>
      </c>
      <c r="D146" s="17" t="s">
        <v>195</v>
      </c>
      <c r="E146" s="10">
        <f t="shared" si="7"/>
        <v>15.521358450517379</v>
      </c>
      <c r="F146" s="47">
        <v>117</v>
      </c>
      <c r="G146" s="57">
        <v>7538</v>
      </c>
      <c r="H146" s="11">
        <f t="shared" si="8"/>
        <v>23.4</v>
      </c>
      <c r="I146" s="11">
        <f t="shared" si="9"/>
        <v>1507.6</v>
      </c>
      <c r="J146" s="5"/>
    </row>
    <row r="147" spans="1:10" ht="15.75" customHeight="1" x14ac:dyDescent="0.3">
      <c r="A147" s="36">
        <v>31101</v>
      </c>
      <c r="B147" s="17" t="s">
        <v>51</v>
      </c>
      <c r="C147" s="17" t="s">
        <v>63</v>
      </c>
      <c r="D147" s="17" t="s">
        <v>63</v>
      </c>
      <c r="E147" s="10">
        <f t="shared" si="7"/>
        <v>29.258777633289988</v>
      </c>
      <c r="F147" s="47">
        <v>45</v>
      </c>
      <c r="G147" s="57">
        <v>1538</v>
      </c>
      <c r="H147" s="11">
        <f t="shared" si="8"/>
        <v>9</v>
      </c>
      <c r="I147" s="11">
        <f t="shared" si="9"/>
        <v>307.60000000000002</v>
      </c>
      <c r="J147" s="5"/>
    </row>
    <row r="148" spans="1:10" ht="15.75" customHeight="1" x14ac:dyDescent="0.3">
      <c r="A148" s="36">
        <v>31201</v>
      </c>
      <c r="B148" s="17" t="s">
        <v>51</v>
      </c>
      <c r="C148" s="17" t="s">
        <v>377</v>
      </c>
      <c r="D148" s="17" t="s">
        <v>180</v>
      </c>
      <c r="E148" s="10">
        <f t="shared" si="7"/>
        <v>11.952191235059761</v>
      </c>
      <c r="F148" s="47">
        <v>15</v>
      </c>
      <c r="G148" s="57">
        <v>1255</v>
      </c>
      <c r="H148" s="11">
        <f t="shared" si="8"/>
        <v>3</v>
      </c>
      <c r="I148" s="11">
        <f t="shared" si="9"/>
        <v>251</v>
      </c>
      <c r="J148" s="5"/>
    </row>
    <row r="149" spans="1:10" ht="15.75" customHeight="1" x14ac:dyDescent="0.3">
      <c r="A149" s="36">
        <v>31202</v>
      </c>
      <c r="B149" s="17" t="s">
        <v>51</v>
      </c>
      <c r="C149" s="17" t="s">
        <v>377</v>
      </c>
      <c r="D149" s="17" t="s">
        <v>205</v>
      </c>
      <c r="E149" s="10">
        <f t="shared" si="7"/>
        <v>8.8202866593164284</v>
      </c>
      <c r="F149" s="47">
        <v>8</v>
      </c>
      <c r="G149" s="57">
        <v>907</v>
      </c>
      <c r="H149" s="11">
        <f t="shared" si="8"/>
        <v>1.6</v>
      </c>
      <c r="I149" s="11">
        <f t="shared" si="9"/>
        <v>181.4</v>
      </c>
      <c r="J149" s="5"/>
    </row>
    <row r="150" spans="1:10" ht="15.75" customHeight="1" x14ac:dyDescent="0.3">
      <c r="A150" s="36">
        <v>31203</v>
      </c>
      <c r="B150" s="17" t="s">
        <v>51</v>
      </c>
      <c r="C150" s="17" t="s">
        <v>377</v>
      </c>
      <c r="D150" s="17" t="s">
        <v>242</v>
      </c>
      <c r="E150" s="10">
        <f t="shared" si="7"/>
        <v>13.003901170351105</v>
      </c>
      <c r="F150" s="47">
        <v>10</v>
      </c>
      <c r="G150" s="57">
        <v>769</v>
      </c>
      <c r="H150" s="11">
        <f t="shared" si="8"/>
        <v>2</v>
      </c>
      <c r="I150" s="11">
        <f t="shared" si="9"/>
        <v>153.80000000000001</v>
      </c>
      <c r="J150" s="5"/>
    </row>
    <row r="151" spans="1:10" ht="15.75" customHeight="1" x14ac:dyDescent="0.3">
      <c r="A151" s="36">
        <v>31204</v>
      </c>
      <c r="B151" s="17" t="s">
        <v>51</v>
      </c>
      <c r="C151" s="17" t="s">
        <v>377</v>
      </c>
      <c r="D151" s="17" t="s">
        <v>237</v>
      </c>
      <c r="E151" s="10">
        <f t="shared" si="7"/>
        <v>14.331946370781322</v>
      </c>
      <c r="F151" s="47">
        <v>31</v>
      </c>
      <c r="G151" s="57">
        <v>2163</v>
      </c>
      <c r="H151" s="11">
        <f t="shared" si="8"/>
        <v>6.2</v>
      </c>
      <c r="I151" s="11">
        <f t="shared" si="9"/>
        <v>432.6</v>
      </c>
      <c r="J151" s="5"/>
    </row>
    <row r="152" spans="1:10" ht="15.75" customHeight="1" x14ac:dyDescent="0.3">
      <c r="A152" s="36">
        <v>31205</v>
      </c>
      <c r="B152" s="17" t="s">
        <v>51</v>
      </c>
      <c r="C152" s="17" t="s">
        <v>377</v>
      </c>
      <c r="D152" s="17" t="s">
        <v>270</v>
      </c>
      <c r="E152" s="10">
        <f t="shared" si="7"/>
        <v>10.830999066293183</v>
      </c>
      <c r="F152" s="47">
        <v>58</v>
      </c>
      <c r="G152" s="57">
        <v>5355</v>
      </c>
      <c r="H152" s="11">
        <f t="shared" si="8"/>
        <v>11.6</v>
      </c>
      <c r="I152" s="11">
        <f t="shared" si="9"/>
        <v>1071</v>
      </c>
      <c r="J152" s="5"/>
    </row>
    <row r="153" spans="1:10" ht="15.75" customHeight="1" x14ac:dyDescent="0.3">
      <c r="A153" s="36">
        <v>31206</v>
      </c>
      <c r="B153" s="17" t="s">
        <v>51</v>
      </c>
      <c r="C153" s="17" t="s">
        <v>377</v>
      </c>
      <c r="D153" s="17" t="s">
        <v>223</v>
      </c>
      <c r="E153" s="10">
        <f t="shared" si="7"/>
        <v>9.9515868746637981</v>
      </c>
      <c r="F153" s="47">
        <v>37</v>
      </c>
      <c r="G153" s="57">
        <v>3718</v>
      </c>
      <c r="H153" s="11">
        <f t="shared" si="8"/>
        <v>7.4</v>
      </c>
      <c r="I153" s="11">
        <f t="shared" si="9"/>
        <v>743.6</v>
      </c>
      <c r="J153" s="5"/>
    </row>
    <row r="154" spans="1:10" ht="15.75" customHeight="1" x14ac:dyDescent="0.3">
      <c r="A154" s="36">
        <v>31301</v>
      </c>
      <c r="B154" s="17" t="s">
        <v>51</v>
      </c>
      <c r="C154" s="17" t="s">
        <v>224</v>
      </c>
      <c r="D154" s="17" t="s">
        <v>224</v>
      </c>
      <c r="E154" s="10">
        <f t="shared" si="7"/>
        <v>9.3727469358327316</v>
      </c>
      <c r="F154" s="47">
        <v>13</v>
      </c>
      <c r="G154" s="57">
        <v>1387</v>
      </c>
      <c r="H154" s="11">
        <f t="shared" si="8"/>
        <v>2.6</v>
      </c>
      <c r="I154" s="11">
        <f t="shared" si="9"/>
        <v>277.39999999999998</v>
      </c>
      <c r="J154" s="5"/>
    </row>
    <row r="155" spans="1:10" ht="15.75" customHeight="1" x14ac:dyDescent="0.3">
      <c r="A155" s="36">
        <v>31302</v>
      </c>
      <c r="B155" s="17" t="s">
        <v>51</v>
      </c>
      <c r="C155" s="17" t="s">
        <v>224</v>
      </c>
      <c r="D155" s="17" t="s">
        <v>38</v>
      </c>
      <c r="E155" s="10">
        <f t="shared" si="7"/>
        <v>23.188405797101449</v>
      </c>
      <c r="F155" s="47">
        <v>8</v>
      </c>
      <c r="G155" s="57">
        <v>345</v>
      </c>
      <c r="H155" s="11">
        <f t="shared" si="8"/>
        <v>1.6</v>
      </c>
      <c r="I155" s="11">
        <f t="shared" si="9"/>
        <v>69</v>
      </c>
      <c r="J155" s="5"/>
    </row>
    <row r="156" spans="1:10" ht="15.75" customHeight="1" x14ac:dyDescent="0.3">
      <c r="A156" s="36">
        <v>31303</v>
      </c>
      <c r="B156" s="17" t="s">
        <v>51</v>
      </c>
      <c r="C156" s="17" t="s">
        <v>224</v>
      </c>
      <c r="D156" s="17" t="s">
        <v>21</v>
      </c>
      <c r="E156" s="10">
        <f t="shared" si="7"/>
        <v>0</v>
      </c>
      <c r="F156" s="47">
        <v>0</v>
      </c>
      <c r="G156" s="57">
        <v>206</v>
      </c>
      <c r="H156" s="11">
        <f t="shared" si="8"/>
        <v>0</v>
      </c>
      <c r="I156" s="11">
        <f t="shared" si="9"/>
        <v>41.2</v>
      </c>
      <c r="J156" s="5"/>
    </row>
    <row r="157" spans="1:10" ht="15.75" customHeight="1" x14ac:dyDescent="0.3">
      <c r="A157" s="37">
        <v>31304</v>
      </c>
      <c r="B157" s="17" t="s">
        <v>51</v>
      </c>
      <c r="C157" s="17" t="s">
        <v>224</v>
      </c>
      <c r="D157" s="17" t="s">
        <v>320</v>
      </c>
      <c r="E157" s="10">
        <f t="shared" si="7"/>
        <v>34.285714285714285</v>
      </c>
      <c r="F157" s="47">
        <v>18</v>
      </c>
      <c r="G157" s="57">
        <v>525</v>
      </c>
      <c r="H157" s="11">
        <f t="shared" si="8"/>
        <v>3.6</v>
      </c>
      <c r="I157" s="11">
        <f t="shared" si="9"/>
        <v>105</v>
      </c>
      <c r="J157" s="5"/>
    </row>
    <row r="158" spans="1:10" ht="15.75" customHeight="1" x14ac:dyDescent="0.3">
      <c r="A158" s="36">
        <v>31401</v>
      </c>
      <c r="B158" s="17" t="s">
        <v>51</v>
      </c>
      <c r="C158" s="17" t="s">
        <v>240</v>
      </c>
      <c r="D158" s="17" t="s">
        <v>240</v>
      </c>
      <c r="E158" s="10">
        <f t="shared" si="7"/>
        <v>10.218300046446819</v>
      </c>
      <c r="F158" s="47">
        <v>22</v>
      </c>
      <c r="G158" s="57">
        <v>2153</v>
      </c>
      <c r="H158" s="11">
        <f t="shared" si="8"/>
        <v>4.4000000000000004</v>
      </c>
      <c r="I158" s="11">
        <f t="shared" si="9"/>
        <v>430.6</v>
      </c>
      <c r="J158" s="5"/>
    </row>
    <row r="159" spans="1:10" ht="15.75" customHeight="1" x14ac:dyDescent="0.3">
      <c r="A159" s="36">
        <v>31402</v>
      </c>
      <c r="B159" s="17" t="s">
        <v>51</v>
      </c>
      <c r="C159" s="17" t="s">
        <v>240</v>
      </c>
      <c r="D159" s="17" t="s">
        <v>163</v>
      </c>
      <c r="E159" s="10">
        <f t="shared" si="7"/>
        <v>9.1575091575091587</v>
      </c>
      <c r="F159" s="47">
        <v>5</v>
      </c>
      <c r="G159" s="57">
        <v>546</v>
      </c>
      <c r="H159" s="11">
        <f t="shared" si="8"/>
        <v>1</v>
      </c>
      <c r="I159" s="11">
        <f t="shared" si="9"/>
        <v>109.2</v>
      </c>
      <c r="J159" s="5"/>
    </row>
    <row r="160" spans="1:10" ht="15.75" customHeight="1" x14ac:dyDescent="0.3">
      <c r="A160" s="36">
        <v>31403</v>
      </c>
      <c r="B160" s="17" t="s">
        <v>51</v>
      </c>
      <c r="C160" s="17" t="s">
        <v>240</v>
      </c>
      <c r="D160" s="17" t="s">
        <v>156</v>
      </c>
      <c r="E160" s="10">
        <f t="shared" si="7"/>
        <v>11.363636363636363</v>
      </c>
      <c r="F160" s="47">
        <v>9</v>
      </c>
      <c r="G160" s="57">
        <v>792</v>
      </c>
      <c r="H160" s="11">
        <f t="shared" si="8"/>
        <v>1.8</v>
      </c>
      <c r="I160" s="11">
        <f t="shared" si="9"/>
        <v>158.4</v>
      </c>
      <c r="J160" s="5"/>
    </row>
    <row r="161" spans="1:10" ht="15.75" customHeight="1" x14ac:dyDescent="0.3">
      <c r="A161" s="36">
        <v>31404</v>
      </c>
      <c r="B161" s="17" t="s">
        <v>51</v>
      </c>
      <c r="C161" s="17" t="s">
        <v>240</v>
      </c>
      <c r="D161" s="17" t="s">
        <v>7</v>
      </c>
      <c r="E161" s="10">
        <f t="shared" si="7"/>
        <v>14.492753623188406</v>
      </c>
      <c r="F161" s="47">
        <v>1</v>
      </c>
      <c r="G161" s="57">
        <v>69</v>
      </c>
      <c r="H161" s="11">
        <f t="shared" si="8"/>
        <v>0.2</v>
      </c>
      <c r="I161" s="11">
        <f t="shared" si="9"/>
        <v>13.8</v>
      </c>
      <c r="J161" s="5"/>
    </row>
    <row r="162" spans="1:10" ht="15.75" customHeight="1" x14ac:dyDescent="0.3">
      <c r="A162" s="36">
        <v>31405</v>
      </c>
      <c r="B162" s="17" t="s">
        <v>51</v>
      </c>
      <c r="C162" s="17" t="s">
        <v>240</v>
      </c>
      <c r="D162" s="17" t="s">
        <v>321</v>
      </c>
      <c r="E162" s="10">
        <f t="shared" si="7"/>
        <v>0</v>
      </c>
      <c r="F162" s="47">
        <v>0</v>
      </c>
      <c r="G162" s="57">
        <v>187</v>
      </c>
      <c r="H162" s="11">
        <f t="shared" si="8"/>
        <v>0</v>
      </c>
      <c r="I162" s="11">
        <f t="shared" si="9"/>
        <v>37.4</v>
      </c>
      <c r="J162" s="5"/>
    </row>
    <row r="163" spans="1:10" ht="15.75" customHeight="1" x14ac:dyDescent="0.3">
      <c r="A163" s="36">
        <v>31501</v>
      </c>
      <c r="B163" s="17" t="s">
        <v>51</v>
      </c>
      <c r="C163" s="17" t="s">
        <v>322</v>
      </c>
      <c r="D163" s="17" t="s">
        <v>322</v>
      </c>
      <c r="E163" s="10">
        <f t="shared" si="7"/>
        <v>52.631578947368418</v>
      </c>
      <c r="F163" s="47">
        <v>24</v>
      </c>
      <c r="G163" s="57">
        <v>456</v>
      </c>
      <c r="H163" s="11">
        <f t="shared" si="8"/>
        <v>4.8</v>
      </c>
      <c r="I163" s="11">
        <f t="shared" si="9"/>
        <v>91.2</v>
      </c>
      <c r="J163" s="5"/>
    </row>
    <row r="164" spans="1:10" ht="15.75" customHeight="1" x14ac:dyDescent="0.3">
      <c r="A164" s="36">
        <v>31601</v>
      </c>
      <c r="B164" s="17" t="s">
        <v>51</v>
      </c>
      <c r="C164" s="17" t="s">
        <v>282</v>
      </c>
      <c r="D164" s="17" t="s">
        <v>282</v>
      </c>
      <c r="E164" s="10">
        <f t="shared" si="7"/>
        <v>11.168384879725085</v>
      </c>
      <c r="F164" s="47">
        <v>13</v>
      </c>
      <c r="G164" s="57">
        <v>1164</v>
      </c>
      <c r="H164" s="11">
        <f t="shared" si="8"/>
        <v>2.6</v>
      </c>
      <c r="I164" s="11">
        <f t="shared" si="9"/>
        <v>232.8</v>
      </c>
      <c r="J164" s="5"/>
    </row>
    <row r="165" spans="1:10" ht="15.75" customHeight="1" x14ac:dyDescent="0.3">
      <c r="A165" s="36">
        <v>31602</v>
      </c>
      <c r="B165" s="17" t="s">
        <v>51</v>
      </c>
      <c r="C165" s="17" t="s">
        <v>282</v>
      </c>
      <c r="D165" s="17" t="s">
        <v>243</v>
      </c>
      <c r="E165" s="10">
        <f t="shared" si="7"/>
        <v>11.477761836441895</v>
      </c>
      <c r="F165" s="47">
        <v>24</v>
      </c>
      <c r="G165" s="57">
        <v>2091</v>
      </c>
      <c r="H165" s="11">
        <f t="shared" si="8"/>
        <v>4.8</v>
      </c>
      <c r="I165" s="11">
        <f t="shared" si="9"/>
        <v>418.2</v>
      </c>
      <c r="J165" s="5"/>
    </row>
    <row r="166" spans="1:10" ht="15.75" customHeight="1" x14ac:dyDescent="0.3">
      <c r="A166" s="36">
        <v>40101</v>
      </c>
      <c r="B166" s="17" t="s">
        <v>57</v>
      </c>
      <c r="C166" s="17" t="s">
        <v>371</v>
      </c>
      <c r="D166" s="17" t="s">
        <v>57</v>
      </c>
      <c r="E166" s="10">
        <f t="shared" si="7"/>
        <v>12.661485408410108</v>
      </c>
      <c r="F166" s="47">
        <v>246</v>
      </c>
      <c r="G166" s="57">
        <v>19429</v>
      </c>
      <c r="H166" s="11">
        <f t="shared" si="8"/>
        <v>49.2</v>
      </c>
      <c r="I166" s="11">
        <f t="shared" si="9"/>
        <v>3885.8</v>
      </c>
      <c r="J166" s="5"/>
    </row>
    <row r="167" spans="1:10" ht="15.75" customHeight="1" x14ac:dyDescent="0.3">
      <c r="A167" s="36">
        <v>40102</v>
      </c>
      <c r="B167" s="17" t="s">
        <v>57</v>
      </c>
      <c r="C167" s="17" t="s">
        <v>371</v>
      </c>
      <c r="D167" s="17" t="s">
        <v>286</v>
      </c>
      <c r="E167" s="10">
        <f t="shared" si="7"/>
        <v>19.621583742116329</v>
      </c>
      <c r="F167" s="47">
        <v>28</v>
      </c>
      <c r="G167" s="57">
        <v>1427</v>
      </c>
      <c r="H167" s="11">
        <f t="shared" si="8"/>
        <v>5.6</v>
      </c>
      <c r="I167" s="11">
        <f t="shared" si="9"/>
        <v>285.39999999999998</v>
      </c>
      <c r="J167" s="5"/>
    </row>
    <row r="168" spans="1:10" ht="15.75" customHeight="1" x14ac:dyDescent="0.3">
      <c r="A168" s="36">
        <v>40103</v>
      </c>
      <c r="B168" s="17" t="s">
        <v>57</v>
      </c>
      <c r="C168" s="17" t="s">
        <v>371</v>
      </c>
      <c r="D168" s="17" t="s">
        <v>32</v>
      </c>
      <c r="E168" s="10">
        <f t="shared" si="7"/>
        <v>7.5949367088607591</v>
      </c>
      <c r="F168" s="47">
        <v>3</v>
      </c>
      <c r="G168" s="57">
        <v>395</v>
      </c>
      <c r="H168" s="11">
        <f t="shared" si="8"/>
        <v>0.6</v>
      </c>
      <c r="I168" s="11">
        <f t="shared" si="9"/>
        <v>79</v>
      </c>
      <c r="J168" s="5"/>
    </row>
    <row r="169" spans="1:10" ht="15.75" customHeight="1" x14ac:dyDescent="0.3">
      <c r="A169" s="36">
        <v>40104</v>
      </c>
      <c r="B169" s="17" t="s">
        <v>57</v>
      </c>
      <c r="C169" s="17" t="s">
        <v>371</v>
      </c>
      <c r="D169" s="17" t="s">
        <v>227</v>
      </c>
      <c r="E169" s="10">
        <f t="shared" si="7"/>
        <v>10.516252390057362</v>
      </c>
      <c r="F169" s="47">
        <v>11</v>
      </c>
      <c r="G169" s="57">
        <v>1046</v>
      </c>
      <c r="H169" s="11">
        <f t="shared" si="8"/>
        <v>2.2000000000000002</v>
      </c>
      <c r="I169" s="11">
        <f t="shared" si="9"/>
        <v>209.2</v>
      </c>
      <c r="J169" s="5"/>
    </row>
    <row r="170" spans="1:10" ht="15.75" customHeight="1" x14ac:dyDescent="0.3">
      <c r="A170" s="36">
        <v>40201</v>
      </c>
      <c r="B170" s="17" t="s">
        <v>57</v>
      </c>
      <c r="C170" s="17" t="s">
        <v>378</v>
      </c>
      <c r="D170" s="17" t="s">
        <v>247</v>
      </c>
      <c r="E170" s="10">
        <f t="shared" si="7"/>
        <v>12.987012987012989</v>
      </c>
      <c r="F170" s="47">
        <v>31</v>
      </c>
      <c r="G170" s="57">
        <v>2387</v>
      </c>
      <c r="H170" s="11">
        <f t="shared" si="8"/>
        <v>6.2</v>
      </c>
      <c r="I170" s="11">
        <f t="shared" si="9"/>
        <v>477.4</v>
      </c>
      <c r="J170" s="5"/>
    </row>
    <row r="171" spans="1:10" ht="15.75" customHeight="1" x14ac:dyDescent="0.3">
      <c r="A171" s="36">
        <v>40202</v>
      </c>
      <c r="B171" s="17" t="s">
        <v>57</v>
      </c>
      <c r="C171" s="17" t="s">
        <v>378</v>
      </c>
      <c r="D171" s="17" t="s">
        <v>323</v>
      </c>
      <c r="E171" s="10">
        <f t="shared" si="7"/>
        <v>20.920502092050206</v>
      </c>
      <c r="F171" s="47">
        <v>5</v>
      </c>
      <c r="G171" s="57">
        <v>239</v>
      </c>
      <c r="H171" s="11">
        <f t="shared" si="8"/>
        <v>1</v>
      </c>
      <c r="I171" s="11">
        <f t="shared" si="9"/>
        <v>47.8</v>
      </c>
      <c r="J171" s="5"/>
    </row>
    <row r="172" spans="1:10" ht="15.75" customHeight="1" x14ac:dyDescent="0.3">
      <c r="A172" s="36">
        <v>40301</v>
      </c>
      <c r="B172" s="17" t="s">
        <v>57</v>
      </c>
      <c r="C172" s="17" t="s">
        <v>8</v>
      </c>
      <c r="D172" s="17" t="s">
        <v>190</v>
      </c>
      <c r="E172" s="10">
        <f t="shared" si="7"/>
        <v>11.7096018735363</v>
      </c>
      <c r="F172" s="47">
        <v>10</v>
      </c>
      <c r="G172" s="57">
        <v>854</v>
      </c>
      <c r="H172" s="11">
        <f t="shared" si="8"/>
        <v>2</v>
      </c>
      <c r="I172" s="11">
        <f t="shared" si="9"/>
        <v>170.8</v>
      </c>
      <c r="J172" s="5"/>
    </row>
    <row r="173" spans="1:10" ht="15.75" customHeight="1" x14ac:dyDescent="0.3">
      <c r="A173" s="36">
        <v>40302</v>
      </c>
      <c r="B173" s="17" t="s">
        <v>57</v>
      </c>
      <c r="C173" s="17" t="s">
        <v>8</v>
      </c>
      <c r="D173" s="17" t="s">
        <v>324</v>
      </c>
      <c r="E173" s="10">
        <f t="shared" si="7"/>
        <v>8.1967213114754109</v>
      </c>
      <c r="F173" s="47">
        <v>1</v>
      </c>
      <c r="G173" s="57">
        <v>122</v>
      </c>
      <c r="H173" s="11">
        <f t="shared" si="8"/>
        <v>0.2</v>
      </c>
      <c r="I173" s="11">
        <f t="shared" si="9"/>
        <v>24.4</v>
      </c>
      <c r="J173" s="5"/>
    </row>
    <row r="174" spans="1:10" ht="15.75" customHeight="1" x14ac:dyDescent="0.3">
      <c r="A174" s="36">
        <v>40401</v>
      </c>
      <c r="B174" s="17" t="s">
        <v>57</v>
      </c>
      <c r="C174" s="17" t="s">
        <v>379</v>
      </c>
      <c r="D174" s="17" t="s">
        <v>110</v>
      </c>
      <c r="E174" s="10">
        <f t="shared" si="7"/>
        <v>25.641025641025639</v>
      </c>
      <c r="F174" s="47">
        <v>9</v>
      </c>
      <c r="G174" s="57">
        <v>351</v>
      </c>
      <c r="H174" s="11">
        <f t="shared" si="8"/>
        <v>1.8</v>
      </c>
      <c r="I174" s="11">
        <f t="shared" si="9"/>
        <v>70.2</v>
      </c>
      <c r="J174" s="5"/>
    </row>
    <row r="175" spans="1:10" ht="15.75" customHeight="1" x14ac:dyDescent="0.3">
      <c r="A175" s="36">
        <v>40402</v>
      </c>
      <c r="B175" s="17" t="s">
        <v>57</v>
      </c>
      <c r="C175" s="17" t="s">
        <v>379</v>
      </c>
      <c r="D175" s="17" t="s">
        <v>144</v>
      </c>
      <c r="E175" s="10">
        <f t="shared" si="7"/>
        <v>6.557377049180328</v>
      </c>
      <c r="F175" s="47">
        <v>2</v>
      </c>
      <c r="G175" s="57">
        <v>305</v>
      </c>
      <c r="H175" s="11">
        <f t="shared" si="8"/>
        <v>0.4</v>
      </c>
      <c r="I175" s="11">
        <f t="shared" si="9"/>
        <v>61</v>
      </c>
      <c r="J175" s="5"/>
    </row>
    <row r="176" spans="1:10" ht="15.75" customHeight="1" x14ac:dyDescent="0.3">
      <c r="A176" s="36">
        <v>40501</v>
      </c>
      <c r="B176" s="17" t="s">
        <v>57</v>
      </c>
      <c r="C176" s="17" t="s">
        <v>380</v>
      </c>
      <c r="D176" s="17" t="s">
        <v>6</v>
      </c>
      <c r="E176" s="10">
        <f t="shared" si="7"/>
        <v>4.4642857142857144</v>
      </c>
      <c r="F176" s="47">
        <v>1</v>
      </c>
      <c r="G176" s="57">
        <v>224</v>
      </c>
      <c r="H176" s="11">
        <f t="shared" si="8"/>
        <v>0.2</v>
      </c>
      <c r="I176" s="11">
        <f t="shared" si="9"/>
        <v>44.8</v>
      </c>
      <c r="J176" s="5"/>
    </row>
    <row r="177" spans="1:10" ht="15.75" customHeight="1" x14ac:dyDescent="0.3">
      <c r="A177" s="36">
        <v>40502</v>
      </c>
      <c r="B177" s="17" t="s">
        <v>57</v>
      </c>
      <c r="C177" s="17" t="s">
        <v>380</v>
      </c>
      <c r="D177" s="17" t="s">
        <v>111</v>
      </c>
      <c r="E177" s="10">
        <f t="shared" si="7"/>
        <v>4.5871559633027523</v>
      </c>
      <c r="F177" s="47">
        <v>1</v>
      </c>
      <c r="G177" s="57">
        <v>218</v>
      </c>
      <c r="H177" s="11">
        <f t="shared" si="8"/>
        <v>0.2</v>
      </c>
      <c r="I177" s="11">
        <f t="shared" si="9"/>
        <v>43.6</v>
      </c>
      <c r="J177" s="5"/>
    </row>
    <row r="178" spans="1:10" ht="15.75" customHeight="1" x14ac:dyDescent="0.3">
      <c r="A178" s="36">
        <v>40503</v>
      </c>
      <c r="B178" s="17" t="s">
        <v>57</v>
      </c>
      <c r="C178" s="17" t="s">
        <v>380</v>
      </c>
      <c r="D178" s="17" t="s">
        <v>40</v>
      </c>
      <c r="E178" s="10">
        <f t="shared" si="7"/>
        <v>0</v>
      </c>
      <c r="F178" s="47">
        <v>0</v>
      </c>
      <c r="G178" s="57">
        <v>81</v>
      </c>
      <c r="H178" s="11">
        <f t="shared" si="8"/>
        <v>0</v>
      </c>
      <c r="I178" s="11">
        <f t="shared" si="9"/>
        <v>16.2</v>
      </c>
      <c r="J178" s="5"/>
    </row>
    <row r="179" spans="1:10" ht="15.75" customHeight="1" x14ac:dyDescent="0.3">
      <c r="A179" s="36">
        <v>40504</v>
      </c>
      <c r="B179" s="17" t="s">
        <v>57</v>
      </c>
      <c r="C179" s="17" t="s">
        <v>380</v>
      </c>
      <c r="D179" s="17" t="s">
        <v>325</v>
      </c>
      <c r="E179" s="10">
        <f t="shared" si="7"/>
        <v>0</v>
      </c>
      <c r="F179" s="47">
        <v>0</v>
      </c>
      <c r="G179" s="57">
        <v>49</v>
      </c>
      <c r="H179" s="11">
        <f t="shared" si="8"/>
        <v>0</v>
      </c>
      <c r="I179" s="11">
        <f t="shared" si="9"/>
        <v>9.8000000000000007</v>
      </c>
      <c r="J179" s="5"/>
    </row>
    <row r="180" spans="1:10" ht="15.75" customHeight="1" x14ac:dyDescent="0.3">
      <c r="A180" s="36">
        <v>40505</v>
      </c>
      <c r="B180" s="17" t="s">
        <v>57</v>
      </c>
      <c r="C180" s="17" t="s">
        <v>380</v>
      </c>
      <c r="D180" s="17" t="s">
        <v>22</v>
      </c>
      <c r="E180" s="10">
        <f t="shared" si="7"/>
        <v>9.3023255813953494</v>
      </c>
      <c r="F180" s="47">
        <v>2</v>
      </c>
      <c r="G180" s="57">
        <v>215</v>
      </c>
      <c r="H180" s="11">
        <f t="shared" si="8"/>
        <v>0.4</v>
      </c>
      <c r="I180" s="11">
        <f t="shared" si="9"/>
        <v>43</v>
      </c>
      <c r="J180" s="5"/>
    </row>
    <row r="181" spans="1:10" ht="15.75" customHeight="1" x14ac:dyDescent="0.3">
      <c r="A181" s="36">
        <v>40601</v>
      </c>
      <c r="B181" s="17" t="s">
        <v>57</v>
      </c>
      <c r="C181" s="17" t="s">
        <v>208</v>
      </c>
      <c r="D181" s="17" t="s">
        <v>208</v>
      </c>
      <c r="E181" s="10">
        <f t="shared" si="7"/>
        <v>13.582342954159593</v>
      </c>
      <c r="F181" s="47">
        <v>8</v>
      </c>
      <c r="G181" s="57">
        <v>589</v>
      </c>
      <c r="H181" s="11">
        <f t="shared" si="8"/>
        <v>1.6</v>
      </c>
      <c r="I181" s="11">
        <f t="shared" si="9"/>
        <v>117.8</v>
      </c>
      <c r="J181" s="5"/>
    </row>
    <row r="182" spans="1:10" ht="15.75" customHeight="1" x14ac:dyDescent="0.3">
      <c r="A182" s="36">
        <v>40602</v>
      </c>
      <c r="B182" s="17" t="s">
        <v>57</v>
      </c>
      <c r="C182" s="17" t="s">
        <v>208</v>
      </c>
      <c r="D182" s="17" t="s">
        <v>137</v>
      </c>
      <c r="E182" s="10">
        <f t="shared" si="7"/>
        <v>4.7619047619047628</v>
      </c>
      <c r="F182" s="47">
        <v>1</v>
      </c>
      <c r="G182" s="57">
        <v>210</v>
      </c>
      <c r="H182" s="11">
        <f t="shared" si="8"/>
        <v>0.2</v>
      </c>
      <c r="I182" s="11">
        <f t="shared" si="9"/>
        <v>42</v>
      </c>
      <c r="J182" s="5"/>
    </row>
    <row r="183" spans="1:10" ht="15.75" customHeight="1" x14ac:dyDescent="0.3">
      <c r="A183" s="36">
        <v>40603</v>
      </c>
      <c r="B183" s="17" t="s">
        <v>57</v>
      </c>
      <c r="C183" s="17" t="s">
        <v>208</v>
      </c>
      <c r="D183" s="17" t="s">
        <v>45</v>
      </c>
      <c r="E183" s="10">
        <f t="shared" si="7"/>
        <v>4.4444444444444446</v>
      </c>
      <c r="F183" s="47">
        <v>1</v>
      </c>
      <c r="G183" s="57">
        <v>225</v>
      </c>
      <c r="H183" s="11">
        <f t="shared" si="8"/>
        <v>0.2</v>
      </c>
      <c r="I183" s="11">
        <f t="shared" si="9"/>
        <v>45</v>
      </c>
      <c r="J183" s="5"/>
    </row>
    <row r="184" spans="1:10" ht="15.75" customHeight="1" x14ac:dyDescent="0.3">
      <c r="A184" s="36">
        <v>40701</v>
      </c>
      <c r="B184" s="17" t="s">
        <v>57</v>
      </c>
      <c r="C184" s="17" t="s">
        <v>381</v>
      </c>
      <c r="D184" s="17" t="s">
        <v>215</v>
      </c>
      <c r="E184" s="10">
        <f t="shared" si="7"/>
        <v>17.721518987341774</v>
      </c>
      <c r="F184" s="47">
        <v>21</v>
      </c>
      <c r="G184" s="57">
        <v>1185</v>
      </c>
      <c r="H184" s="11">
        <f t="shared" si="8"/>
        <v>4.2</v>
      </c>
      <c r="I184" s="11">
        <f t="shared" si="9"/>
        <v>237</v>
      </c>
      <c r="J184" s="5"/>
    </row>
    <row r="185" spans="1:10" ht="15.75" customHeight="1" x14ac:dyDescent="0.3">
      <c r="A185" s="36">
        <v>40702</v>
      </c>
      <c r="B185" s="17" t="s">
        <v>57</v>
      </c>
      <c r="C185" s="17" t="s">
        <v>381</v>
      </c>
      <c r="D185" s="17" t="s">
        <v>47</v>
      </c>
      <c r="E185" s="10">
        <f t="shared" si="7"/>
        <v>16.806722689075631</v>
      </c>
      <c r="F185" s="47">
        <v>6</v>
      </c>
      <c r="G185" s="57">
        <v>357</v>
      </c>
      <c r="H185" s="11">
        <f t="shared" si="8"/>
        <v>1.2</v>
      </c>
      <c r="I185" s="11">
        <f t="shared" si="9"/>
        <v>71.400000000000006</v>
      </c>
      <c r="J185" s="5"/>
    </row>
    <row r="186" spans="1:10" ht="15.75" customHeight="1" x14ac:dyDescent="0.3">
      <c r="A186" s="36">
        <v>40801</v>
      </c>
      <c r="B186" s="17" t="s">
        <v>57</v>
      </c>
      <c r="C186" s="17" t="s">
        <v>382</v>
      </c>
      <c r="D186" s="17" t="s">
        <v>326</v>
      </c>
      <c r="E186" s="10">
        <f t="shared" si="7"/>
        <v>15.167930660888407</v>
      </c>
      <c r="F186" s="47">
        <v>14</v>
      </c>
      <c r="G186" s="57">
        <v>923</v>
      </c>
      <c r="H186" s="11">
        <f t="shared" si="8"/>
        <v>2.8</v>
      </c>
      <c r="I186" s="11">
        <f t="shared" si="9"/>
        <v>184.6</v>
      </c>
      <c r="J186" s="5"/>
    </row>
    <row r="187" spans="1:10" ht="15.75" customHeight="1" x14ac:dyDescent="0.3">
      <c r="A187" s="36">
        <v>40802</v>
      </c>
      <c r="B187" s="17" t="s">
        <v>57</v>
      </c>
      <c r="C187" s="17" t="s">
        <v>382</v>
      </c>
      <c r="D187" s="17" t="s">
        <v>69</v>
      </c>
      <c r="E187" s="10">
        <f t="shared" si="7"/>
        <v>5.4644808743169397</v>
      </c>
      <c r="F187" s="47">
        <v>1</v>
      </c>
      <c r="G187" s="57">
        <v>183</v>
      </c>
      <c r="H187" s="11">
        <f t="shared" si="8"/>
        <v>0.2</v>
      </c>
      <c r="I187" s="11">
        <f t="shared" si="9"/>
        <v>36.6</v>
      </c>
      <c r="J187" s="5"/>
    </row>
    <row r="188" spans="1:10" ht="15.75" customHeight="1" x14ac:dyDescent="0.3">
      <c r="A188" s="36">
        <v>40901</v>
      </c>
      <c r="B188" s="17" t="s">
        <v>57</v>
      </c>
      <c r="C188" s="17" t="s">
        <v>173</v>
      </c>
      <c r="D188" s="17" t="s">
        <v>173</v>
      </c>
      <c r="E188" s="10">
        <f t="shared" si="7"/>
        <v>7.6923076923076925</v>
      </c>
      <c r="F188" s="47">
        <v>8</v>
      </c>
      <c r="G188" s="57">
        <v>1040</v>
      </c>
      <c r="H188" s="11">
        <f t="shared" si="8"/>
        <v>1.6</v>
      </c>
      <c r="I188" s="11">
        <f t="shared" si="9"/>
        <v>208</v>
      </c>
      <c r="J188" s="5"/>
    </row>
    <row r="189" spans="1:10" ht="15.75" customHeight="1" x14ac:dyDescent="0.3">
      <c r="A189" s="36">
        <v>40902</v>
      </c>
      <c r="B189" s="17" t="s">
        <v>57</v>
      </c>
      <c r="C189" s="17" t="s">
        <v>173</v>
      </c>
      <c r="D189" s="17" t="s">
        <v>0</v>
      </c>
      <c r="E189" s="10">
        <f t="shared" si="7"/>
        <v>8.4745762711864412</v>
      </c>
      <c r="F189" s="47">
        <v>1</v>
      </c>
      <c r="G189" s="57">
        <v>118</v>
      </c>
      <c r="H189" s="11">
        <f t="shared" si="8"/>
        <v>0.2</v>
      </c>
      <c r="I189" s="11">
        <f t="shared" si="9"/>
        <v>23.6</v>
      </c>
      <c r="J189" s="5"/>
    </row>
    <row r="190" spans="1:10" ht="15.75" customHeight="1" x14ac:dyDescent="0.3">
      <c r="A190" s="36">
        <v>40903</v>
      </c>
      <c r="B190" s="17" t="s">
        <v>57</v>
      </c>
      <c r="C190" s="17" t="s">
        <v>173</v>
      </c>
      <c r="D190" s="17" t="s">
        <v>23</v>
      </c>
      <c r="E190" s="10">
        <f t="shared" si="7"/>
        <v>18.072289156626507</v>
      </c>
      <c r="F190" s="47">
        <v>3</v>
      </c>
      <c r="G190" s="57">
        <v>166</v>
      </c>
      <c r="H190" s="11">
        <f t="shared" si="8"/>
        <v>0.6</v>
      </c>
      <c r="I190" s="11">
        <f t="shared" si="9"/>
        <v>33.200000000000003</v>
      </c>
      <c r="J190" s="5"/>
    </row>
    <row r="191" spans="1:10" ht="15.75" customHeight="1" x14ac:dyDescent="0.3">
      <c r="A191" s="36">
        <v>41001</v>
      </c>
      <c r="B191" s="17" t="s">
        <v>57</v>
      </c>
      <c r="C191" s="17" t="s">
        <v>383</v>
      </c>
      <c r="D191" s="17" t="s">
        <v>125</v>
      </c>
      <c r="E191" s="10">
        <f t="shared" si="7"/>
        <v>16.853932584269664</v>
      </c>
      <c r="F191" s="47">
        <v>9</v>
      </c>
      <c r="G191" s="57">
        <v>534</v>
      </c>
      <c r="H191" s="11">
        <f t="shared" si="8"/>
        <v>1.8</v>
      </c>
      <c r="I191" s="11">
        <f t="shared" si="9"/>
        <v>106.8</v>
      </c>
      <c r="J191" s="5"/>
    </row>
    <row r="192" spans="1:10" ht="15.75" customHeight="1" x14ac:dyDescent="0.3">
      <c r="A192" s="36">
        <v>41101</v>
      </c>
      <c r="B192" s="17" t="s">
        <v>57</v>
      </c>
      <c r="C192" s="17" t="s">
        <v>384</v>
      </c>
      <c r="D192" s="17" t="s">
        <v>127</v>
      </c>
      <c r="E192" s="10">
        <f t="shared" si="7"/>
        <v>25</v>
      </c>
      <c r="F192" s="47">
        <v>8</v>
      </c>
      <c r="G192" s="57">
        <v>320</v>
      </c>
      <c r="H192" s="11">
        <f t="shared" si="8"/>
        <v>1.6</v>
      </c>
      <c r="I192" s="11">
        <f t="shared" si="9"/>
        <v>64</v>
      </c>
      <c r="J192" s="5"/>
    </row>
    <row r="193" spans="1:10" ht="15.75" customHeight="1" x14ac:dyDescent="0.3">
      <c r="A193" s="36">
        <v>41201</v>
      </c>
      <c r="B193" s="17" t="s">
        <v>57</v>
      </c>
      <c r="C193" s="17" t="s">
        <v>385</v>
      </c>
      <c r="D193" s="17" t="s">
        <v>152</v>
      </c>
      <c r="E193" s="10">
        <f t="shared" si="7"/>
        <v>7.8740157480314963</v>
      </c>
      <c r="F193" s="47">
        <v>2</v>
      </c>
      <c r="G193" s="57">
        <v>254</v>
      </c>
      <c r="H193" s="11">
        <f t="shared" si="8"/>
        <v>0.4</v>
      </c>
      <c r="I193" s="11">
        <f t="shared" si="9"/>
        <v>50.8</v>
      </c>
      <c r="J193" s="5"/>
    </row>
    <row r="194" spans="1:10" ht="15.75" customHeight="1" x14ac:dyDescent="0.3">
      <c r="A194" s="36">
        <v>41202</v>
      </c>
      <c r="B194" s="17" t="s">
        <v>57</v>
      </c>
      <c r="C194" s="17" t="s">
        <v>385</v>
      </c>
      <c r="D194" s="17" t="s">
        <v>55</v>
      </c>
      <c r="E194" s="10">
        <f t="shared" si="7"/>
        <v>19.230769230769234</v>
      </c>
      <c r="F194" s="47">
        <v>3</v>
      </c>
      <c r="G194" s="57">
        <v>156</v>
      </c>
      <c r="H194" s="11">
        <f t="shared" si="8"/>
        <v>0.6</v>
      </c>
      <c r="I194" s="11">
        <f t="shared" si="9"/>
        <v>31.2</v>
      </c>
      <c r="J194" s="5"/>
    </row>
    <row r="195" spans="1:10" ht="15.75" customHeight="1" x14ac:dyDescent="0.3">
      <c r="A195" s="36">
        <v>41301</v>
      </c>
      <c r="B195" s="17" t="s">
        <v>57</v>
      </c>
      <c r="C195" s="17" t="s">
        <v>134</v>
      </c>
      <c r="D195" s="17" t="s">
        <v>134</v>
      </c>
      <c r="E195" s="10">
        <f t="shared" ref="E195:E258" si="10">(F195/G195)*1000</f>
        <v>17.804154302670625</v>
      </c>
      <c r="F195" s="47">
        <v>6</v>
      </c>
      <c r="G195" s="57">
        <v>337</v>
      </c>
      <c r="H195" s="11">
        <f t="shared" ref="H195:H258" si="11">F195/5</f>
        <v>1.2</v>
      </c>
      <c r="I195" s="11">
        <f t="shared" ref="I195:I258" si="12">G195/5</f>
        <v>67.400000000000006</v>
      </c>
      <c r="J195" s="5"/>
    </row>
    <row r="196" spans="1:10" ht="15.75" customHeight="1" x14ac:dyDescent="0.3">
      <c r="A196" s="36">
        <v>41401</v>
      </c>
      <c r="B196" s="17" t="s">
        <v>57</v>
      </c>
      <c r="C196" s="17" t="s">
        <v>386</v>
      </c>
      <c r="D196" s="17" t="s">
        <v>327</v>
      </c>
      <c r="E196" s="10">
        <f t="shared" si="10"/>
        <v>9.8360655737704921</v>
      </c>
      <c r="F196" s="47">
        <v>6</v>
      </c>
      <c r="G196" s="57">
        <v>610</v>
      </c>
      <c r="H196" s="11">
        <f t="shared" si="11"/>
        <v>1.2</v>
      </c>
      <c r="I196" s="11">
        <f t="shared" si="12"/>
        <v>122</v>
      </c>
      <c r="J196" s="5"/>
    </row>
    <row r="197" spans="1:10" ht="15.75" customHeight="1" x14ac:dyDescent="0.3">
      <c r="A197" s="36">
        <v>41501</v>
      </c>
      <c r="B197" s="17" t="s">
        <v>57</v>
      </c>
      <c r="C197" s="17" t="s">
        <v>387</v>
      </c>
      <c r="D197" s="17" t="s">
        <v>1</v>
      </c>
      <c r="E197" s="10">
        <f t="shared" si="10"/>
        <v>0</v>
      </c>
      <c r="F197" s="47">
        <v>0</v>
      </c>
      <c r="G197" s="57">
        <v>87</v>
      </c>
      <c r="H197" s="11">
        <f t="shared" si="11"/>
        <v>0</v>
      </c>
      <c r="I197" s="11">
        <f t="shared" si="12"/>
        <v>17.399999999999999</v>
      </c>
      <c r="J197" s="5"/>
    </row>
    <row r="198" spans="1:10" ht="15.75" customHeight="1" x14ac:dyDescent="0.3">
      <c r="A198" s="36">
        <v>41502</v>
      </c>
      <c r="B198" s="17" t="s">
        <v>57</v>
      </c>
      <c r="C198" s="17" t="s">
        <v>387</v>
      </c>
      <c r="D198" s="17" t="s">
        <v>5</v>
      </c>
      <c r="E198" s="10">
        <f t="shared" si="10"/>
        <v>12.820512820512819</v>
      </c>
      <c r="F198" s="47">
        <v>1</v>
      </c>
      <c r="G198" s="57">
        <v>78</v>
      </c>
      <c r="H198" s="11">
        <f t="shared" si="11"/>
        <v>0.2</v>
      </c>
      <c r="I198" s="11">
        <f t="shared" si="12"/>
        <v>15.6</v>
      </c>
      <c r="J198" s="5"/>
    </row>
    <row r="199" spans="1:10" ht="15.75" customHeight="1" x14ac:dyDescent="0.3">
      <c r="A199" s="36">
        <v>41503</v>
      </c>
      <c r="B199" s="17" t="s">
        <v>57</v>
      </c>
      <c r="C199" s="17" t="s">
        <v>387</v>
      </c>
      <c r="D199" s="17" t="s">
        <v>8</v>
      </c>
      <c r="E199" s="10">
        <f t="shared" si="10"/>
        <v>0</v>
      </c>
      <c r="F199" s="47">
        <v>0</v>
      </c>
      <c r="G199" s="57">
        <v>64</v>
      </c>
      <c r="H199" s="11">
        <f t="shared" si="11"/>
        <v>0</v>
      </c>
      <c r="I199" s="11">
        <f t="shared" si="12"/>
        <v>12.8</v>
      </c>
      <c r="J199" s="5"/>
    </row>
    <row r="200" spans="1:10" ht="15.75" customHeight="1" x14ac:dyDescent="0.3">
      <c r="A200" s="36">
        <v>41601</v>
      </c>
      <c r="B200" s="17" t="s">
        <v>57</v>
      </c>
      <c r="C200" s="17" t="s">
        <v>388</v>
      </c>
      <c r="D200" s="17" t="s">
        <v>389</v>
      </c>
      <c r="E200" s="10">
        <f t="shared" si="10"/>
        <v>24.390243902439025</v>
      </c>
      <c r="F200" s="47">
        <v>6</v>
      </c>
      <c r="G200" s="57">
        <v>246</v>
      </c>
      <c r="H200" s="11">
        <f t="shared" si="11"/>
        <v>1.2</v>
      </c>
      <c r="I200" s="11">
        <f t="shared" si="12"/>
        <v>49.2</v>
      </c>
      <c r="J200" s="5"/>
    </row>
    <row r="201" spans="1:10" ht="15.75" customHeight="1" x14ac:dyDescent="0.3">
      <c r="A201" s="36">
        <v>50101</v>
      </c>
      <c r="B201" s="17" t="s">
        <v>302</v>
      </c>
      <c r="C201" s="17" t="s">
        <v>390</v>
      </c>
      <c r="D201" s="17" t="s">
        <v>302</v>
      </c>
      <c r="E201" s="10">
        <f t="shared" si="10"/>
        <v>11.869251802137708</v>
      </c>
      <c r="F201" s="47">
        <v>191</v>
      </c>
      <c r="G201" s="57">
        <v>16092</v>
      </c>
      <c r="H201" s="11">
        <f t="shared" si="11"/>
        <v>38.200000000000003</v>
      </c>
      <c r="I201" s="11">
        <f t="shared" si="12"/>
        <v>3218.4</v>
      </c>
      <c r="J201" s="5"/>
    </row>
    <row r="202" spans="1:10" ht="15.75" customHeight="1" x14ac:dyDescent="0.3">
      <c r="A202" s="36">
        <v>50102</v>
      </c>
      <c r="B202" s="17" t="s">
        <v>302</v>
      </c>
      <c r="C202" s="17" t="s">
        <v>390</v>
      </c>
      <c r="D202" s="17" t="s">
        <v>34</v>
      </c>
      <c r="E202" s="10">
        <f t="shared" si="10"/>
        <v>28.213166144200628</v>
      </c>
      <c r="F202" s="47">
        <v>54</v>
      </c>
      <c r="G202" s="57">
        <v>1914</v>
      </c>
      <c r="H202" s="11">
        <f t="shared" si="11"/>
        <v>10.8</v>
      </c>
      <c r="I202" s="11">
        <f t="shared" si="12"/>
        <v>382.8</v>
      </c>
      <c r="J202" s="5"/>
    </row>
    <row r="203" spans="1:10" ht="15.75" customHeight="1" x14ac:dyDescent="0.3">
      <c r="A203" s="36">
        <v>50103</v>
      </c>
      <c r="B203" s="17" t="s">
        <v>302</v>
      </c>
      <c r="C203" s="17" t="s">
        <v>390</v>
      </c>
      <c r="D203" s="17" t="s">
        <v>207</v>
      </c>
      <c r="E203" s="10">
        <f t="shared" si="10"/>
        <v>16.713091922005571</v>
      </c>
      <c r="F203" s="47">
        <v>12</v>
      </c>
      <c r="G203" s="57">
        <v>718</v>
      </c>
      <c r="H203" s="11">
        <f t="shared" si="11"/>
        <v>2.4</v>
      </c>
      <c r="I203" s="11">
        <f t="shared" si="12"/>
        <v>143.6</v>
      </c>
      <c r="J203" s="5"/>
    </row>
    <row r="204" spans="1:10" ht="15.75" customHeight="1" x14ac:dyDescent="0.3">
      <c r="A204" s="36">
        <v>50104</v>
      </c>
      <c r="B204" s="17" t="s">
        <v>302</v>
      </c>
      <c r="C204" s="17" t="s">
        <v>390</v>
      </c>
      <c r="D204" s="17" t="s">
        <v>391</v>
      </c>
      <c r="E204" s="10">
        <f t="shared" si="10"/>
        <v>6.8027210884353737</v>
      </c>
      <c r="F204" s="47">
        <v>1</v>
      </c>
      <c r="G204" s="57">
        <v>147</v>
      </c>
      <c r="H204" s="11">
        <f t="shared" si="11"/>
        <v>0.2</v>
      </c>
      <c r="I204" s="11">
        <f t="shared" si="12"/>
        <v>29.4</v>
      </c>
      <c r="J204" s="5"/>
    </row>
    <row r="205" spans="1:10" ht="15.75" customHeight="1" x14ac:dyDescent="0.3">
      <c r="A205" s="36">
        <v>50201</v>
      </c>
      <c r="B205" s="17" t="s">
        <v>302</v>
      </c>
      <c r="C205" s="17" t="s">
        <v>392</v>
      </c>
      <c r="D205" s="17" t="s">
        <v>264</v>
      </c>
      <c r="E205" s="10">
        <f t="shared" si="10"/>
        <v>25.255972696245731</v>
      </c>
      <c r="F205" s="47">
        <v>37</v>
      </c>
      <c r="G205" s="57">
        <v>1465</v>
      </c>
      <c r="H205" s="11">
        <f t="shared" si="11"/>
        <v>7.4</v>
      </c>
      <c r="I205" s="11">
        <f t="shared" si="12"/>
        <v>293</v>
      </c>
      <c r="J205" s="5"/>
    </row>
    <row r="206" spans="1:10" ht="15.75" customHeight="1" x14ac:dyDescent="0.3">
      <c r="A206" s="36">
        <v>50202</v>
      </c>
      <c r="B206" s="17" t="s">
        <v>302</v>
      </c>
      <c r="C206" s="17" t="s">
        <v>392</v>
      </c>
      <c r="D206" s="17" t="s">
        <v>228</v>
      </c>
      <c r="E206" s="10">
        <f t="shared" si="10"/>
        <v>33.630069238377843</v>
      </c>
      <c r="F206" s="47">
        <v>34</v>
      </c>
      <c r="G206" s="57">
        <v>1011</v>
      </c>
      <c r="H206" s="11">
        <f t="shared" si="11"/>
        <v>6.8</v>
      </c>
      <c r="I206" s="11">
        <f t="shared" si="12"/>
        <v>202.2</v>
      </c>
      <c r="J206" s="5"/>
    </row>
    <row r="207" spans="1:10" ht="15.75" customHeight="1" x14ac:dyDescent="0.3">
      <c r="A207" s="36">
        <v>50203</v>
      </c>
      <c r="B207" s="17" t="s">
        <v>302</v>
      </c>
      <c r="C207" s="17" t="s">
        <v>392</v>
      </c>
      <c r="D207" s="17" t="s">
        <v>295</v>
      </c>
      <c r="E207" s="10">
        <f t="shared" si="10"/>
        <v>15.302491103202847</v>
      </c>
      <c r="F207" s="47">
        <v>43</v>
      </c>
      <c r="G207" s="57">
        <v>2810</v>
      </c>
      <c r="H207" s="11">
        <f t="shared" si="11"/>
        <v>8.6</v>
      </c>
      <c r="I207" s="11">
        <f t="shared" si="12"/>
        <v>562</v>
      </c>
      <c r="J207" s="5"/>
    </row>
    <row r="208" spans="1:10" ht="15.75" customHeight="1" x14ac:dyDescent="0.3">
      <c r="A208" s="36">
        <v>50204</v>
      </c>
      <c r="B208" s="17" t="s">
        <v>302</v>
      </c>
      <c r="C208" s="17" t="s">
        <v>392</v>
      </c>
      <c r="D208" s="17" t="s">
        <v>393</v>
      </c>
      <c r="E208" s="10">
        <f t="shared" si="10"/>
        <v>24.561403508771932</v>
      </c>
      <c r="F208" s="47">
        <v>14</v>
      </c>
      <c r="G208" s="57">
        <v>570</v>
      </c>
      <c r="H208" s="11">
        <f t="shared" si="11"/>
        <v>2.8</v>
      </c>
      <c r="I208" s="11">
        <f t="shared" si="12"/>
        <v>114</v>
      </c>
      <c r="J208" s="5"/>
    </row>
    <row r="209" spans="1:10" ht="15.75" customHeight="1" x14ac:dyDescent="0.3">
      <c r="A209" s="36">
        <v>50301</v>
      </c>
      <c r="B209" s="17" t="s">
        <v>302</v>
      </c>
      <c r="C209" s="17" t="s">
        <v>394</v>
      </c>
      <c r="D209" s="17" t="s">
        <v>266</v>
      </c>
      <c r="E209" s="10">
        <f t="shared" si="10"/>
        <v>18.536585365853657</v>
      </c>
      <c r="F209" s="47">
        <v>38</v>
      </c>
      <c r="G209" s="57">
        <v>2050</v>
      </c>
      <c r="H209" s="11">
        <f t="shared" si="11"/>
        <v>7.6</v>
      </c>
      <c r="I209" s="11">
        <f t="shared" si="12"/>
        <v>410</v>
      </c>
      <c r="J209" s="5"/>
    </row>
    <row r="210" spans="1:10" ht="15.75" customHeight="1" x14ac:dyDescent="0.3">
      <c r="A210" s="36">
        <v>50302</v>
      </c>
      <c r="B210" s="17" t="s">
        <v>302</v>
      </c>
      <c r="C210" s="17" t="s">
        <v>394</v>
      </c>
      <c r="D210" s="17" t="s">
        <v>219</v>
      </c>
      <c r="E210" s="10">
        <f t="shared" si="10"/>
        <v>14.388489208633095</v>
      </c>
      <c r="F210" s="47">
        <v>8</v>
      </c>
      <c r="G210" s="57">
        <v>556</v>
      </c>
      <c r="H210" s="11">
        <f t="shared" si="11"/>
        <v>1.6</v>
      </c>
      <c r="I210" s="11">
        <f t="shared" si="12"/>
        <v>111.2</v>
      </c>
      <c r="J210" s="5"/>
    </row>
    <row r="211" spans="1:10" ht="15.75" customHeight="1" x14ac:dyDescent="0.3">
      <c r="A211" s="36">
        <v>50303</v>
      </c>
      <c r="B211" s="17" t="s">
        <v>302</v>
      </c>
      <c r="C211" s="17" t="s">
        <v>394</v>
      </c>
      <c r="D211" s="17" t="s">
        <v>15</v>
      </c>
      <c r="E211" s="10">
        <f t="shared" si="10"/>
        <v>6.6964285714285712</v>
      </c>
      <c r="F211" s="47">
        <v>6</v>
      </c>
      <c r="G211" s="57">
        <v>896</v>
      </c>
      <c r="H211" s="11">
        <f t="shared" si="11"/>
        <v>1.2</v>
      </c>
      <c r="I211" s="11">
        <f t="shared" si="12"/>
        <v>179.2</v>
      </c>
      <c r="J211" s="5"/>
    </row>
    <row r="212" spans="1:10" ht="15.75" customHeight="1" x14ac:dyDescent="0.3">
      <c r="A212" s="36">
        <v>50401</v>
      </c>
      <c r="B212" s="17" t="s">
        <v>302</v>
      </c>
      <c r="C212" s="17" t="s">
        <v>228</v>
      </c>
      <c r="D212" s="17" t="s">
        <v>119</v>
      </c>
      <c r="E212" s="10">
        <f t="shared" si="10"/>
        <v>43.103448275862071</v>
      </c>
      <c r="F212" s="47">
        <v>45</v>
      </c>
      <c r="G212" s="57">
        <v>1044</v>
      </c>
      <c r="H212" s="11">
        <f t="shared" si="11"/>
        <v>9</v>
      </c>
      <c r="I212" s="11">
        <f t="shared" si="12"/>
        <v>208.8</v>
      </c>
      <c r="J212" s="5"/>
    </row>
    <row r="213" spans="1:10" ht="15.75" customHeight="1" x14ac:dyDescent="0.3">
      <c r="A213" s="36">
        <v>50402</v>
      </c>
      <c r="B213" s="17" t="s">
        <v>302</v>
      </c>
      <c r="C213" s="17" t="s">
        <v>228</v>
      </c>
      <c r="D213" s="17" t="s">
        <v>46</v>
      </c>
      <c r="E213" s="10">
        <f t="shared" si="10"/>
        <v>14.380530973451327</v>
      </c>
      <c r="F213" s="47">
        <v>13</v>
      </c>
      <c r="G213" s="57">
        <v>904</v>
      </c>
      <c r="H213" s="11">
        <f t="shared" si="11"/>
        <v>2.6</v>
      </c>
      <c r="I213" s="11">
        <f t="shared" si="12"/>
        <v>180.8</v>
      </c>
      <c r="J213" s="5"/>
    </row>
    <row r="214" spans="1:10" ht="15.75" customHeight="1" x14ac:dyDescent="0.3">
      <c r="A214" s="36">
        <v>50403</v>
      </c>
      <c r="B214" s="17" t="s">
        <v>302</v>
      </c>
      <c r="C214" s="17" t="s">
        <v>228</v>
      </c>
      <c r="D214" s="17" t="s">
        <v>52</v>
      </c>
      <c r="E214" s="10">
        <f t="shared" si="10"/>
        <v>29.903699949315765</v>
      </c>
      <c r="F214" s="47">
        <v>59</v>
      </c>
      <c r="G214" s="57">
        <v>1973</v>
      </c>
      <c r="H214" s="11">
        <f t="shared" si="11"/>
        <v>11.8</v>
      </c>
      <c r="I214" s="11">
        <f t="shared" si="12"/>
        <v>394.6</v>
      </c>
      <c r="J214" s="5"/>
    </row>
    <row r="215" spans="1:10" ht="15.75" customHeight="1" x14ac:dyDescent="0.3">
      <c r="A215" s="36">
        <v>50404</v>
      </c>
      <c r="B215" s="17" t="s">
        <v>302</v>
      </c>
      <c r="C215" s="17" t="s">
        <v>228</v>
      </c>
      <c r="D215" s="17" t="s">
        <v>42</v>
      </c>
      <c r="E215" s="10">
        <f t="shared" si="10"/>
        <v>15.113350125944583</v>
      </c>
      <c r="F215" s="47">
        <v>12</v>
      </c>
      <c r="G215" s="57">
        <v>794</v>
      </c>
      <c r="H215" s="11">
        <f t="shared" si="11"/>
        <v>2.4</v>
      </c>
      <c r="I215" s="11">
        <f t="shared" si="12"/>
        <v>158.80000000000001</v>
      </c>
      <c r="J215" s="5"/>
    </row>
    <row r="216" spans="1:10" ht="15.75" customHeight="1" x14ac:dyDescent="0.3">
      <c r="A216" s="37">
        <v>50405</v>
      </c>
      <c r="B216" s="17" t="s">
        <v>302</v>
      </c>
      <c r="C216" s="17" t="s">
        <v>228</v>
      </c>
      <c r="D216" s="17" t="s">
        <v>328</v>
      </c>
      <c r="E216" s="10">
        <f t="shared" si="10"/>
        <v>34.638554216867469</v>
      </c>
      <c r="F216" s="47">
        <v>46</v>
      </c>
      <c r="G216" s="57">
        <v>1328</v>
      </c>
      <c r="H216" s="11">
        <f t="shared" si="11"/>
        <v>9.1999999999999993</v>
      </c>
      <c r="I216" s="11">
        <f t="shared" si="12"/>
        <v>265.60000000000002</v>
      </c>
      <c r="J216" s="5"/>
    </row>
    <row r="217" spans="1:10" ht="15.75" customHeight="1" x14ac:dyDescent="0.3">
      <c r="A217" s="36">
        <v>50501</v>
      </c>
      <c r="B217" s="17" t="s">
        <v>302</v>
      </c>
      <c r="C217" s="17" t="s">
        <v>395</v>
      </c>
      <c r="D217" s="17" t="s">
        <v>396</v>
      </c>
      <c r="E217" s="10">
        <f t="shared" si="10"/>
        <v>28.815368196371399</v>
      </c>
      <c r="F217" s="47">
        <v>54</v>
      </c>
      <c r="G217" s="57">
        <v>1874</v>
      </c>
      <c r="H217" s="11">
        <f t="shared" si="11"/>
        <v>10.8</v>
      </c>
      <c r="I217" s="11">
        <f t="shared" si="12"/>
        <v>374.8</v>
      </c>
      <c r="J217" s="5"/>
    </row>
    <row r="218" spans="1:10" ht="15.75" customHeight="1" x14ac:dyDescent="0.3">
      <c r="A218" s="36">
        <v>50502</v>
      </c>
      <c r="B218" s="17" t="s">
        <v>302</v>
      </c>
      <c r="C218" s="17" t="s">
        <v>395</v>
      </c>
      <c r="D218" s="17" t="s">
        <v>61</v>
      </c>
      <c r="E218" s="10">
        <f t="shared" si="10"/>
        <v>15.768725361366622</v>
      </c>
      <c r="F218" s="47">
        <v>12</v>
      </c>
      <c r="G218" s="57">
        <v>761</v>
      </c>
      <c r="H218" s="11">
        <f t="shared" si="11"/>
        <v>2.4</v>
      </c>
      <c r="I218" s="11">
        <f t="shared" si="12"/>
        <v>152.19999999999999</v>
      </c>
      <c r="J218" s="5"/>
    </row>
    <row r="219" spans="1:10" ht="15.75" customHeight="1" x14ac:dyDescent="0.3">
      <c r="A219" s="36">
        <v>50601</v>
      </c>
      <c r="B219" s="17" t="s">
        <v>302</v>
      </c>
      <c r="C219" s="17" t="s">
        <v>397</v>
      </c>
      <c r="D219" s="17" t="s">
        <v>114</v>
      </c>
      <c r="E219" s="10">
        <f t="shared" si="10"/>
        <v>5.7870370370370363</v>
      </c>
      <c r="F219" s="47">
        <v>10</v>
      </c>
      <c r="G219" s="57">
        <v>1728</v>
      </c>
      <c r="H219" s="11">
        <f t="shared" si="11"/>
        <v>2</v>
      </c>
      <c r="I219" s="11">
        <f t="shared" si="12"/>
        <v>345.6</v>
      </c>
      <c r="J219" s="5"/>
    </row>
    <row r="220" spans="1:10" ht="15.75" customHeight="1" x14ac:dyDescent="0.3">
      <c r="A220" s="36">
        <v>50602</v>
      </c>
      <c r="B220" s="17" t="s">
        <v>302</v>
      </c>
      <c r="C220" s="17" t="s">
        <v>397</v>
      </c>
      <c r="D220" s="17" t="s">
        <v>234</v>
      </c>
      <c r="E220" s="10">
        <f t="shared" si="10"/>
        <v>10.416666666666666</v>
      </c>
      <c r="F220" s="47">
        <v>6</v>
      </c>
      <c r="G220" s="57">
        <v>576</v>
      </c>
      <c r="H220" s="11">
        <f t="shared" si="11"/>
        <v>1.2</v>
      </c>
      <c r="I220" s="11">
        <f t="shared" si="12"/>
        <v>115.2</v>
      </c>
      <c r="J220" s="5"/>
    </row>
    <row r="221" spans="1:10" ht="15.75" customHeight="1" x14ac:dyDescent="0.3">
      <c r="A221" s="36">
        <v>50701</v>
      </c>
      <c r="B221" s="17" t="s">
        <v>302</v>
      </c>
      <c r="C221" s="17" t="s">
        <v>398</v>
      </c>
      <c r="D221" s="17" t="s">
        <v>399</v>
      </c>
      <c r="E221" s="10">
        <f t="shared" si="10"/>
        <v>34.234234234234229</v>
      </c>
      <c r="F221" s="47">
        <v>38</v>
      </c>
      <c r="G221" s="57">
        <v>1110</v>
      </c>
      <c r="H221" s="11">
        <f t="shared" si="11"/>
        <v>7.6</v>
      </c>
      <c r="I221" s="11">
        <f t="shared" si="12"/>
        <v>222</v>
      </c>
      <c r="J221" s="5"/>
    </row>
    <row r="222" spans="1:10" ht="15.75" customHeight="1" x14ac:dyDescent="0.3">
      <c r="A222" s="36">
        <v>50702</v>
      </c>
      <c r="B222" s="17" t="s">
        <v>302</v>
      </c>
      <c r="C222" s="17" t="s">
        <v>398</v>
      </c>
      <c r="D222" s="17" t="s">
        <v>78</v>
      </c>
      <c r="E222" s="10">
        <f t="shared" si="10"/>
        <v>35.433070866141733</v>
      </c>
      <c r="F222" s="47">
        <v>18</v>
      </c>
      <c r="G222" s="57">
        <v>508</v>
      </c>
      <c r="H222" s="11">
        <f t="shared" si="11"/>
        <v>3.6</v>
      </c>
      <c r="I222" s="11">
        <f t="shared" si="12"/>
        <v>101.6</v>
      </c>
      <c r="J222" s="5"/>
    </row>
    <row r="223" spans="1:10" ht="15.75" customHeight="1" x14ac:dyDescent="0.3">
      <c r="A223" s="36">
        <v>50801</v>
      </c>
      <c r="B223" s="17" t="s">
        <v>302</v>
      </c>
      <c r="C223" s="17" t="s">
        <v>400</v>
      </c>
      <c r="D223" s="17" t="s">
        <v>290</v>
      </c>
      <c r="E223" s="10">
        <f t="shared" si="10"/>
        <v>7.7545515846257587</v>
      </c>
      <c r="F223" s="47">
        <v>23</v>
      </c>
      <c r="G223" s="57">
        <v>2966</v>
      </c>
      <c r="H223" s="11">
        <f t="shared" si="11"/>
        <v>4.5999999999999996</v>
      </c>
      <c r="I223" s="11">
        <f t="shared" si="12"/>
        <v>593.20000000000005</v>
      </c>
      <c r="J223" s="5"/>
    </row>
    <row r="224" spans="1:10" ht="15.75" customHeight="1" x14ac:dyDescent="0.3">
      <c r="A224" s="36">
        <v>50802</v>
      </c>
      <c r="B224" s="17" t="s">
        <v>302</v>
      </c>
      <c r="C224" s="17" t="s">
        <v>400</v>
      </c>
      <c r="D224" s="17" t="s">
        <v>120</v>
      </c>
      <c r="E224" s="10">
        <f t="shared" si="10"/>
        <v>14.556040756914118</v>
      </c>
      <c r="F224" s="47">
        <v>10</v>
      </c>
      <c r="G224" s="57">
        <v>687</v>
      </c>
      <c r="H224" s="11">
        <f t="shared" si="11"/>
        <v>2</v>
      </c>
      <c r="I224" s="11">
        <f t="shared" si="12"/>
        <v>137.4</v>
      </c>
      <c r="J224" s="5"/>
    </row>
    <row r="225" spans="1:10" ht="15.75" customHeight="1" x14ac:dyDescent="0.3">
      <c r="A225" s="36">
        <v>50901</v>
      </c>
      <c r="B225" s="17" t="s">
        <v>302</v>
      </c>
      <c r="C225" s="17" t="s">
        <v>401</v>
      </c>
      <c r="D225" s="17" t="s">
        <v>402</v>
      </c>
      <c r="E225" s="10">
        <f t="shared" si="10"/>
        <v>15.873015873015872</v>
      </c>
      <c r="F225" s="47">
        <v>13</v>
      </c>
      <c r="G225" s="57">
        <v>819</v>
      </c>
      <c r="H225" s="11">
        <f t="shared" si="11"/>
        <v>2.6</v>
      </c>
      <c r="I225" s="11">
        <f t="shared" si="12"/>
        <v>163.80000000000001</v>
      </c>
      <c r="J225" s="5"/>
    </row>
    <row r="226" spans="1:10" ht="15.75" customHeight="1" x14ac:dyDescent="0.3">
      <c r="A226" s="36">
        <v>50902</v>
      </c>
      <c r="B226" s="17" t="s">
        <v>302</v>
      </c>
      <c r="C226" s="17" t="s">
        <v>401</v>
      </c>
      <c r="D226" s="17" t="s">
        <v>13</v>
      </c>
      <c r="E226" s="10">
        <f t="shared" si="10"/>
        <v>23.255813953488371</v>
      </c>
      <c r="F226" s="47">
        <v>2</v>
      </c>
      <c r="G226" s="57">
        <v>86</v>
      </c>
      <c r="H226" s="11">
        <f t="shared" si="11"/>
        <v>0.4</v>
      </c>
      <c r="I226" s="11">
        <f t="shared" si="12"/>
        <v>17.2</v>
      </c>
      <c r="J226" s="5"/>
    </row>
    <row r="227" spans="1:10" ht="15.75" customHeight="1" x14ac:dyDescent="0.3">
      <c r="A227" s="36">
        <v>51001</v>
      </c>
      <c r="B227" s="17" t="s">
        <v>302</v>
      </c>
      <c r="C227" s="17" t="s">
        <v>403</v>
      </c>
      <c r="D227" s="17" t="s">
        <v>86</v>
      </c>
      <c r="E227" s="10">
        <f t="shared" si="10"/>
        <v>24.630541871921185</v>
      </c>
      <c r="F227" s="47">
        <v>5</v>
      </c>
      <c r="G227" s="57">
        <v>203</v>
      </c>
      <c r="H227" s="11">
        <f t="shared" si="11"/>
        <v>1</v>
      </c>
      <c r="I227" s="11">
        <f t="shared" si="12"/>
        <v>40.6</v>
      </c>
      <c r="J227" s="5"/>
    </row>
    <row r="228" spans="1:10" ht="15.75" customHeight="1" x14ac:dyDescent="0.3">
      <c r="A228" s="36">
        <v>51002</v>
      </c>
      <c r="B228" s="17" t="s">
        <v>302</v>
      </c>
      <c r="C228" s="17" t="s">
        <v>403</v>
      </c>
      <c r="D228" s="17" t="s">
        <v>16</v>
      </c>
      <c r="E228" s="10">
        <f t="shared" si="10"/>
        <v>16.393442622950822</v>
      </c>
      <c r="F228" s="47">
        <v>1</v>
      </c>
      <c r="G228" s="57">
        <v>61</v>
      </c>
      <c r="H228" s="11">
        <f t="shared" si="11"/>
        <v>0.2</v>
      </c>
      <c r="I228" s="11">
        <f t="shared" si="12"/>
        <v>12.2</v>
      </c>
      <c r="J228" s="5"/>
    </row>
    <row r="229" spans="1:10" ht="15.75" customHeight="1" x14ac:dyDescent="0.3">
      <c r="A229" s="36">
        <v>51003</v>
      </c>
      <c r="B229" s="17" t="s">
        <v>302</v>
      </c>
      <c r="C229" s="17" t="s">
        <v>403</v>
      </c>
      <c r="D229" s="17" t="s">
        <v>60</v>
      </c>
      <c r="E229" s="10">
        <f t="shared" si="10"/>
        <v>28.776978417266189</v>
      </c>
      <c r="F229" s="47">
        <v>4</v>
      </c>
      <c r="G229" s="57">
        <v>139</v>
      </c>
      <c r="H229" s="11">
        <f t="shared" si="11"/>
        <v>0.8</v>
      </c>
      <c r="I229" s="11">
        <f t="shared" si="12"/>
        <v>27.8</v>
      </c>
      <c r="J229" s="5"/>
    </row>
    <row r="230" spans="1:10" ht="15.75" customHeight="1" x14ac:dyDescent="0.3">
      <c r="A230" s="36">
        <v>51101</v>
      </c>
      <c r="B230" s="17" t="s">
        <v>302</v>
      </c>
      <c r="C230" s="17" t="s">
        <v>404</v>
      </c>
      <c r="D230" s="17" t="s">
        <v>265</v>
      </c>
      <c r="E230" s="10">
        <f t="shared" si="10"/>
        <v>12.716763005780347</v>
      </c>
      <c r="F230" s="47">
        <v>11</v>
      </c>
      <c r="G230" s="57">
        <v>865</v>
      </c>
      <c r="H230" s="11">
        <f t="shared" si="11"/>
        <v>2.2000000000000002</v>
      </c>
      <c r="I230" s="11">
        <f t="shared" si="12"/>
        <v>173</v>
      </c>
      <c r="J230" s="5"/>
    </row>
    <row r="231" spans="1:10" ht="15.75" customHeight="1" x14ac:dyDescent="0.3">
      <c r="A231" s="36">
        <v>51102</v>
      </c>
      <c r="B231" s="17" t="s">
        <v>302</v>
      </c>
      <c r="C231" s="17" t="s">
        <v>404</v>
      </c>
      <c r="D231" s="17" t="s">
        <v>329</v>
      </c>
      <c r="E231" s="10">
        <f t="shared" si="10"/>
        <v>14.656144306651633</v>
      </c>
      <c r="F231" s="47">
        <v>13</v>
      </c>
      <c r="G231" s="57">
        <v>887</v>
      </c>
      <c r="H231" s="11">
        <f t="shared" si="11"/>
        <v>2.6</v>
      </c>
      <c r="I231" s="11">
        <f t="shared" si="12"/>
        <v>177.4</v>
      </c>
      <c r="J231" s="5"/>
    </row>
    <row r="232" spans="1:10" ht="15.75" customHeight="1" x14ac:dyDescent="0.3">
      <c r="A232" s="36">
        <v>51103</v>
      </c>
      <c r="B232" s="17" t="s">
        <v>302</v>
      </c>
      <c r="C232" s="17" t="s">
        <v>404</v>
      </c>
      <c r="D232" s="17" t="s">
        <v>175</v>
      </c>
      <c r="E232" s="10">
        <f t="shared" si="10"/>
        <v>13.916500994035786</v>
      </c>
      <c r="F232" s="47">
        <v>14</v>
      </c>
      <c r="G232" s="57">
        <v>1006</v>
      </c>
      <c r="H232" s="11">
        <f t="shared" si="11"/>
        <v>2.8</v>
      </c>
      <c r="I232" s="11">
        <f t="shared" si="12"/>
        <v>201.2</v>
      </c>
      <c r="J232" s="5"/>
    </row>
    <row r="233" spans="1:10" ht="15.75" customHeight="1" x14ac:dyDescent="0.3">
      <c r="A233" s="36">
        <v>51201</v>
      </c>
      <c r="B233" s="17" t="s">
        <v>302</v>
      </c>
      <c r="C233" s="17" t="s">
        <v>405</v>
      </c>
      <c r="D233" s="17" t="s">
        <v>289</v>
      </c>
      <c r="E233" s="10">
        <f t="shared" si="10"/>
        <v>16.768916155419223</v>
      </c>
      <c r="F233" s="47">
        <v>41</v>
      </c>
      <c r="G233" s="57">
        <v>2445</v>
      </c>
      <c r="H233" s="11">
        <f t="shared" si="11"/>
        <v>8.1999999999999993</v>
      </c>
      <c r="I233" s="11">
        <f t="shared" si="12"/>
        <v>489</v>
      </c>
      <c r="J233" s="5"/>
    </row>
    <row r="234" spans="1:10" ht="15.75" customHeight="1" x14ac:dyDescent="0.3">
      <c r="A234" s="36">
        <v>51202</v>
      </c>
      <c r="B234" s="17" t="s">
        <v>302</v>
      </c>
      <c r="C234" s="17" t="s">
        <v>405</v>
      </c>
      <c r="D234" s="17" t="s">
        <v>130</v>
      </c>
      <c r="E234" s="10">
        <f t="shared" si="10"/>
        <v>17.35357917570499</v>
      </c>
      <c r="F234" s="47">
        <v>8</v>
      </c>
      <c r="G234" s="57">
        <v>461</v>
      </c>
      <c r="H234" s="11">
        <f t="shared" si="11"/>
        <v>1.6</v>
      </c>
      <c r="I234" s="11">
        <f t="shared" si="12"/>
        <v>92.2</v>
      </c>
      <c r="J234" s="5"/>
    </row>
    <row r="235" spans="1:10" ht="15.75" customHeight="1" x14ac:dyDescent="0.3">
      <c r="A235" s="36">
        <v>51203</v>
      </c>
      <c r="B235" s="17" t="s">
        <v>302</v>
      </c>
      <c r="C235" s="17" t="s">
        <v>405</v>
      </c>
      <c r="D235" s="17" t="s">
        <v>166</v>
      </c>
      <c r="E235" s="10">
        <f t="shared" si="10"/>
        <v>10.56910569105691</v>
      </c>
      <c r="F235" s="47">
        <v>13</v>
      </c>
      <c r="G235" s="57">
        <v>1230</v>
      </c>
      <c r="H235" s="11">
        <f t="shared" si="11"/>
        <v>2.6</v>
      </c>
      <c r="I235" s="11">
        <f t="shared" si="12"/>
        <v>246</v>
      </c>
      <c r="J235" s="5"/>
    </row>
    <row r="236" spans="1:10" ht="15.75" customHeight="1" x14ac:dyDescent="0.3">
      <c r="A236" s="37">
        <v>51204</v>
      </c>
      <c r="B236" s="17" t="s">
        <v>302</v>
      </c>
      <c r="C236" s="17"/>
      <c r="D236" s="17" t="s">
        <v>406</v>
      </c>
      <c r="E236" s="10">
        <f t="shared" si="10"/>
        <v>27.548209366391184</v>
      </c>
      <c r="F236" s="47">
        <v>10</v>
      </c>
      <c r="G236" s="57">
        <v>363</v>
      </c>
      <c r="H236" s="11">
        <f t="shared" si="11"/>
        <v>2</v>
      </c>
      <c r="I236" s="11">
        <f t="shared" si="12"/>
        <v>72.599999999999994</v>
      </c>
      <c r="J236" s="5"/>
    </row>
    <row r="237" spans="1:10" ht="15.75" customHeight="1" x14ac:dyDescent="0.3">
      <c r="A237" s="36">
        <v>51301</v>
      </c>
      <c r="B237" s="17" t="s">
        <v>302</v>
      </c>
      <c r="C237" s="17" t="s">
        <v>407</v>
      </c>
      <c r="D237" s="17" t="s">
        <v>104</v>
      </c>
      <c r="E237" s="10">
        <f t="shared" si="10"/>
        <v>21.929824561403507</v>
      </c>
      <c r="F237" s="47">
        <v>5</v>
      </c>
      <c r="G237" s="57">
        <v>228</v>
      </c>
      <c r="H237" s="11">
        <f t="shared" si="11"/>
        <v>1</v>
      </c>
      <c r="I237" s="11">
        <f t="shared" si="12"/>
        <v>45.6</v>
      </c>
      <c r="J237" s="5"/>
    </row>
    <row r="238" spans="1:10" ht="15.75" customHeight="1" x14ac:dyDescent="0.3">
      <c r="A238" s="36">
        <v>51302</v>
      </c>
      <c r="B238" s="17" t="s">
        <v>302</v>
      </c>
      <c r="C238" s="17" t="s">
        <v>407</v>
      </c>
      <c r="D238" s="17" t="s">
        <v>169</v>
      </c>
      <c r="E238" s="10">
        <f t="shared" si="10"/>
        <v>30.188679245283019</v>
      </c>
      <c r="F238" s="47">
        <v>8</v>
      </c>
      <c r="G238" s="57">
        <v>265</v>
      </c>
      <c r="H238" s="11">
        <f t="shared" si="11"/>
        <v>1.6</v>
      </c>
      <c r="I238" s="11">
        <f t="shared" si="12"/>
        <v>53</v>
      </c>
      <c r="J238" s="5"/>
    </row>
    <row r="239" spans="1:10" ht="15.75" customHeight="1" x14ac:dyDescent="0.3">
      <c r="A239" s="36">
        <v>51401</v>
      </c>
      <c r="B239" s="17" t="s">
        <v>302</v>
      </c>
      <c r="C239" s="17" t="s">
        <v>408</v>
      </c>
      <c r="D239" s="17" t="s">
        <v>151</v>
      </c>
      <c r="E239" s="10">
        <f t="shared" si="10"/>
        <v>28.070175438596493</v>
      </c>
      <c r="F239" s="47">
        <v>8</v>
      </c>
      <c r="G239" s="57">
        <v>285</v>
      </c>
      <c r="H239" s="11">
        <f t="shared" si="11"/>
        <v>1.6</v>
      </c>
      <c r="I239" s="11">
        <f t="shared" si="12"/>
        <v>57</v>
      </c>
      <c r="J239" s="5"/>
    </row>
    <row r="240" spans="1:10" ht="15.75" customHeight="1" x14ac:dyDescent="0.3">
      <c r="A240" s="36">
        <v>51402</v>
      </c>
      <c r="B240" s="17" t="s">
        <v>302</v>
      </c>
      <c r="C240" s="17" t="s">
        <v>408</v>
      </c>
      <c r="D240" s="17" t="s">
        <v>25</v>
      </c>
      <c r="E240" s="10">
        <f t="shared" si="10"/>
        <v>0</v>
      </c>
      <c r="F240" s="47">
        <v>0</v>
      </c>
      <c r="G240" s="57">
        <v>84</v>
      </c>
      <c r="H240" s="11">
        <f t="shared" si="11"/>
        <v>0</v>
      </c>
      <c r="I240" s="11">
        <f t="shared" si="12"/>
        <v>16.8</v>
      </c>
      <c r="J240" s="5"/>
    </row>
    <row r="241" spans="1:14" ht="15.75" customHeight="1" x14ac:dyDescent="0.3">
      <c r="A241" s="36">
        <v>51501</v>
      </c>
      <c r="B241" s="17" t="s">
        <v>302</v>
      </c>
      <c r="C241" s="17" t="s">
        <v>409</v>
      </c>
      <c r="D241" s="17" t="s">
        <v>293</v>
      </c>
      <c r="E241" s="10">
        <f t="shared" si="10"/>
        <v>12.358049432197728</v>
      </c>
      <c r="F241" s="47">
        <v>37</v>
      </c>
      <c r="G241" s="57">
        <v>2994</v>
      </c>
      <c r="H241" s="11">
        <f t="shared" si="11"/>
        <v>7.4</v>
      </c>
      <c r="I241" s="11">
        <f t="shared" si="12"/>
        <v>598.79999999999995</v>
      </c>
      <c r="J241" s="5"/>
    </row>
    <row r="242" spans="1:14" ht="15.75" customHeight="1" x14ac:dyDescent="0.3">
      <c r="A242" s="36">
        <v>51601</v>
      </c>
      <c r="B242" s="17" t="s">
        <v>302</v>
      </c>
      <c r="C242" s="17" t="s">
        <v>410</v>
      </c>
      <c r="D242" s="17" t="s">
        <v>29</v>
      </c>
      <c r="E242" s="10">
        <f t="shared" si="10"/>
        <v>15.625</v>
      </c>
      <c r="F242" s="47">
        <v>2</v>
      </c>
      <c r="G242" s="57">
        <v>128</v>
      </c>
      <c r="H242" s="11">
        <f t="shared" si="11"/>
        <v>0.4</v>
      </c>
      <c r="I242" s="11">
        <f t="shared" si="12"/>
        <v>25.6</v>
      </c>
      <c r="J242" s="5"/>
    </row>
    <row r="243" spans="1:14" ht="15.75" customHeight="1" x14ac:dyDescent="0.3">
      <c r="A243" s="36">
        <v>60101</v>
      </c>
      <c r="B243" s="17" t="s">
        <v>76</v>
      </c>
      <c r="C243" s="17" t="s">
        <v>371</v>
      </c>
      <c r="D243" s="17" t="s">
        <v>76</v>
      </c>
      <c r="E243" s="10">
        <f t="shared" si="10"/>
        <v>5.4260603744745897</v>
      </c>
      <c r="F243" s="47">
        <v>71</v>
      </c>
      <c r="G243" s="57">
        <v>13085</v>
      </c>
      <c r="H243" s="11">
        <f t="shared" si="11"/>
        <v>14.2</v>
      </c>
      <c r="I243" s="11">
        <f t="shared" si="12"/>
        <v>2617</v>
      </c>
      <c r="J243" s="5"/>
    </row>
    <row r="244" spans="1:14" ht="15.75" customHeight="1" x14ac:dyDescent="0.3">
      <c r="A244" s="36">
        <v>60201</v>
      </c>
      <c r="B244" s="17" t="s">
        <v>76</v>
      </c>
      <c r="C244" s="17" t="s">
        <v>411</v>
      </c>
      <c r="D244" s="17" t="s">
        <v>274</v>
      </c>
      <c r="E244" s="10">
        <f t="shared" si="10"/>
        <v>5.9760956175298805</v>
      </c>
      <c r="F244" s="47">
        <v>6</v>
      </c>
      <c r="G244" s="57">
        <v>1004</v>
      </c>
      <c r="H244" s="11">
        <f t="shared" si="11"/>
        <v>1.2</v>
      </c>
      <c r="I244" s="11">
        <f t="shared" si="12"/>
        <v>200.8</v>
      </c>
      <c r="J244" s="5"/>
    </row>
    <row r="245" spans="1:14" ht="15.75" customHeight="1" x14ac:dyDescent="0.3">
      <c r="A245" s="36">
        <v>60202</v>
      </c>
      <c r="B245" s="17" t="s">
        <v>76</v>
      </c>
      <c r="C245" s="17" t="s">
        <v>411</v>
      </c>
      <c r="D245" s="17" t="s">
        <v>254</v>
      </c>
      <c r="E245" s="10">
        <f t="shared" si="10"/>
        <v>4.4326241134751774</v>
      </c>
      <c r="F245" s="47">
        <v>10</v>
      </c>
      <c r="G245" s="57">
        <v>2256</v>
      </c>
      <c r="H245" s="11">
        <f t="shared" si="11"/>
        <v>2</v>
      </c>
      <c r="I245" s="11">
        <f t="shared" si="12"/>
        <v>451.2</v>
      </c>
      <c r="J245" s="5"/>
    </row>
    <row r="246" spans="1:14" ht="15.75" customHeight="1" x14ac:dyDescent="0.3">
      <c r="A246" s="36">
        <v>60301</v>
      </c>
      <c r="B246" s="17" t="s">
        <v>76</v>
      </c>
      <c r="C246" s="17" t="s">
        <v>412</v>
      </c>
      <c r="D246" s="17" t="s">
        <v>297</v>
      </c>
      <c r="E246" s="10">
        <f t="shared" si="10"/>
        <v>9.8007712082262213</v>
      </c>
      <c r="F246" s="47">
        <v>61</v>
      </c>
      <c r="G246" s="57">
        <v>6224</v>
      </c>
      <c r="H246" s="11">
        <f t="shared" si="11"/>
        <v>12.2</v>
      </c>
      <c r="I246" s="11">
        <f t="shared" si="12"/>
        <v>1244.8</v>
      </c>
      <c r="J246" s="5"/>
      <c r="L246" s="44"/>
      <c r="M246" s="44"/>
      <c r="N246" s="44"/>
    </row>
    <row r="247" spans="1:14" ht="15.75" customHeight="1" x14ac:dyDescent="0.3">
      <c r="A247" s="36">
        <v>60302</v>
      </c>
      <c r="B247" s="17" t="s">
        <v>76</v>
      </c>
      <c r="C247" s="17" t="s">
        <v>412</v>
      </c>
      <c r="D247" s="17" t="s">
        <v>193</v>
      </c>
      <c r="E247" s="10">
        <f t="shared" si="10"/>
        <v>6.5176908752327751</v>
      </c>
      <c r="F247" s="47">
        <v>7</v>
      </c>
      <c r="G247" s="57">
        <v>1074</v>
      </c>
      <c r="H247" s="11">
        <f t="shared" si="11"/>
        <v>1.4</v>
      </c>
      <c r="I247" s="11">
        <f t="shared" si="12"/>
        <v>214.8</v>
      </c>
      <c r="J247" s="5"/>
    </row>
    <row r="248" spans="1:14" ht="15.75" customHeight="1" x14ac:dyDescent="0.3">
      <c r="A248" s="36">
        <v>60303</v>
      </c>
      <c r="B248" s="17" t="s">
        <v>76</v>
      </c>
      <c r="C248" s="17" t="s">
        <v>412</v>
      </c>
      <c r="D248" s="17" t="s">
        <v>330</v>
      </c>
      <c r="E248" s="10">
        <f t="shared" si="10"/>
        <v>5.6087099967007594</v>
      </c>
      <c r="F248" s="47">
        <v>17</v>
      </c>
      <c r="G248" s="57">
        <v>3031</v>
      </c>
      <c r="H248" s="11">
        <f t="shared" si="11"/>
        <v>3.4</v>
      </c>
      <c r="I248" s="11">
        <f t="shared" si="12"/>
        <v>606.20000000000005</v>
      </c>
      <c r="J248" s="5"/>
    </row>
    <row r="249" spans="1:14" ht="15.75" customHeight="1" x14ac:dyDescent="0.3">
      <c r="A249" s="36">
        <v>60401</v>
      </c>
      <c r="B249" s="17" t="s">
        <v>76</v>
      </c>
      <c r="C249" s="17" t="s">
        <v>413</v>
      </c>
      <c r="D249" s="17" t="s">
        <v>235</v>
      </c>
      <c r="E249" s="10">
        <f t="shared" si="10"/>
        <v>5.186721991701245</v>
      </c>
      <c r="F249" s="47">
        <v>5</v>
      </c>
      <c r="G249" s="57">
        <v>964</v>
      </c>
      <c r="H249" s="11">
        <f t="shared" si="11"/>
        <v>1</v>
      </c>
      <c r="I249" s="11">
        <f t="shared" si="12"/>
        <v>192.8</v>
      </c>
      <c r="J249" s="5"/>
    </row>
    <row r="250" spans="1:14" ht="15.75" customHeight="1" x14ac:dyDescent="0.3">
      <c r="A250" s="36">
        <v>60402</v>
      </c>
      <c r="B250" s="17" t="s">
        <v>76</v>
      </c>
      <c r="C250" s="17" t="s">
        <v>413</v>
      </c>
      <c r="D250" s="17" t="s">
        <v>105</v>
      </c>
      <c r="E250" s="10">
        <f t="shared" si="10"/>
        <v>6.430868167202572</v>
      </c>
      <c r="F250" s="47">
        <v>2</v>
      </c>
      <c r="G250" s="57">
        <v>311</v>
      </c>
      <c r="H250" s="11">
        <f t="shared" si="11"/>
        <v>0.4</v>
      </c>
      <c r="I250" s="11">
        <f t="shared" si="12"/>
        <v>62.2</v>
      </c>
      <c r="J250" s="5"/>
    </row>
    <row r="251" spans="1:14" ht="15.75" customHeight="1" x14ac:dyDescent="0.3">
      <c r="A251" s="36">
        <v>60501</v>
      </c>
      <c r="B251" s="17" t="s">
        <v>76</v>
      </c>
      <c r="C251" s="17" t="s">
        <v>414</v>
      </c>
      <c r="D251" s="17" t="s">
        <v>271</v>
      </c>
      <c r="E251" s="10">
        <f t="shared" si="10"/>
        <v>4.5950603101665708</v>
      </c>
      <c r="F251" s="47">
        <v>8</v>
      </c>
      <c r="G251" s="57">
        <v>1741</v>
      </c>
      <c r="H251" s="11">
        <f t="shared" si="11"/>
        <v>1.6</v>
      </c>
      <c r="I251" s="11">
        <f t="shared" si="12"/>
        <v>348.2</v>
      </c>
      <c r="J251" s="5"/>
    </row>
    <row r="252" spans="1:14" ht="15.75" customHeight="1" x14ac:dyDescent="0.3">
      <c r="A252" s="36">
        <v>60502</v>
      </c>
      <c r="B252" s="17" t="s">
        <v>76</v>
      </c>
      <c r="C252" s="17" t="s">
        <v>414</v>
      </c>
      <c r="D252" s="17" t="s">
        <v>88</v>
      </c>
      <c r="E252" s="10">
        <f t="shared" si="10"/>
        <v>8.9126559714795004</v>
      </c>
      <c r="F252" s="47">
        <v>5</v>
      </c>
      <c r="G252" s="57">
        <v>561</v>
      </c>
      <c r="H252" s="11">
        <f t="shared" si="11"/>
        <v>1</v>
      </c>
      <c r="I252" s="11">
        <f t="shared" si="12"/>
        <v>112.2</v>
      </c>
      <c r="J252" s="5"/>
    </row>
    <row r="253" spans="1:14" ht="15.75" customHeight="1" x14ac:dyDescent="0.3">
      <c r="A253" s="36">
        <v>60601</v>
      </c>
      <c r="B253" s="17" t="s">
        <v>76</v>
      </c>
      <c r="C253" s="17" t="s">
        <v>415</v>
      </c>
      <c r="D253" s="17" t="s">
        <v>223</v>
      </c>
      <c r="E253" s="10">
        <f t="shared" si="10"/>
        <v>6.9444444444444438</v>
      </c>
      <c r="F253" s="47">
        <v>9</v>
      </c>
      <c r="G253" s="57">
        <v>1296</v>
      </c>
      <c r="H253" s="11">
        <f t="shared" si="11"/>
        <v>1.8</v>
      </c>
      <c r="I253" s="11">
        <f t="shared" si="12"/>
        <v>259.2</v>
      </c>
      <c r="J253" s="5"/>
    </row>
    <row r="254" spans="1:14" ht="15.75" customHeight="1" x14ac:dyDescent="0.3">
      <c r="A254" s="36">
        <v>70101</v>
      </c>
      <c r="B254" s="17" t="s">
        <v>85</v>
      </c>
      <c r="C254" s="17" t="s">
        <v>416</v>
      </c>
      <c r="D254" s="17" t="s">
        <v>304</v>
      </c>
      <c r="E254" s="10">
        <f t="shared" si="10"/>
        <v>5.939804664141918</v>
      </c>
      <c r="F254" s="47">
        <v>596</v>
      </c>
      <c r="G254" s="57">
        <v>100340</v>
      </c>
      <c r="H254" s="11">
        <f t="shared" si="11"/>
        <v>119.2</v>
      </c>
      <c r="I254" s="11">
        <f t="shared" si="12"/>
        <v>20068</v>
      </c>
      <c r="J254" s="5"/>
    </row>
    <row r="255" spans="1:14" ht="15.75" customHeight="1" x14ac:dyDescent="0.3">
      <c r="A255" s="36">
        <v>70102</v>
      </c>
      <c r="B255" s="17" t="s">
        <v>85</v>
      </c>
      <c r="C255" s="17" t="s">
        <v>416</v>
      </c>
      <c r="D255" s="17" t="s">
        <v>263</v>
      </c>
      <c r="E255" s="10">
        <f t="shared" si="10"/>
        <v>7.1008814887365332</v>
      </c>
      <c r="F255" s="47">
        <v>58</v>
      </c>
      <c r="G255" s="57">
        <v>8168</v>
      </c>
      <c r="H255" s="11">
        <f t="shared" si="11"/>
        <v>11.6</v>
      </c>
      <c r="I255" s="11">
        <f t="shared" si="12"/>
        <v>1633.6</v>
      </c>
      <c r="J255" s="5"/>
    </row>
    <row r="256" spans="1:14" ht="15.75" customHeight="1" x14ac:dyDescent="0.3">
      <c r="A256" s="36">
        <v>70103</v>
      </c>
      <c r="B256" s="17" t="s">
        <v>85</v>
      </c>
      <c r="C256" s="17" t="s">
        <v>416</v>
      </c>
      <c r="D256" s="17" t="s">
        <v>188</v>
      </c>
      <c r="E256" s="10">
        <f t="shared" si="10"/>
        <v>6.4562410329985651</v>
      </c>
      <c r="F256" s="47">
        <v>9</v>
      </c>
      <c r="G256" s="57">
        <v>1394</v>
      </c>
      <c r="H256" s="11">
        <f t="shared" si="11"/>
        <v>1.8</v>
      </c>
      <c r="I256" s="11">
        <f t="shared" si="12"/>
        <v>278.8</v>
      </c>
      <c r="J256" s="5"/>
    </row>
    <row r="257" spans="1:10" ht="15.75" customHeight="1" x14ac:dyDescent="0.3">
      <c r="A257" s="36">
        <v>70104</v>
      </c>
      <c r="B257" s="17" t="s">
        <v>85</v>
      </c>
      <c r="C257" s="17" t="s">
        <v>416</v>
      </c>
      <c r="D257" s="17" t="s">
        <v>294</v>
      </c>
      <c r="E257" s="10">
        <f t="shared" si="10"/>
        <v>5.7798079612193529</v>
      </c>
      <c r="F257" s="47">
        <v>62</v>
      </c>
      <c r="G257" s="57">
        <v>10727</v>
      </c>
      <c r="H257" s="11">
        <f t="shared" si="11"/>
        <v>12.4</v>
      </c>
      <c r="I257" s="11">
        <f t="shared" si="12"/>
        <v>2145.4</v>
      </c>
      <c r="J257" s="5"/>
    </row>
    <row r="258" spans="1:10" ht="15.75" customHeight="1" x14ac:dyDescent="0.3">
      <c r="A258" s="36">
        <v>70105</v>
      </c>
      <c r="B258" s="17" t="s">
        <v>85</v>
      </c>
      <c r="C258" s="17" t="s">
        <v>416</v>
      </c>
      <c r="D258" s="17" t="s">
        <v>291</v>
      </c>
      <c r="E258" s="10">
        <f t="shared" si="10"/>
        <v>7.6235541535226083</v>
      </c>
      <c r="F258" s="47">
        <v>29</v>
      </c>
      <c r="G258" s="57">
        <v>3804</v>
      </c>
      <c r="H258" s="11">
        <f t="shared" si="11"/>
        <v>5.8</v>
      </c>
      <c r="I258" s="11">
        <f t="shared" si="12"/>
        <v>760.8</v>
      </c>
      <c r="J258" s="5"/>
    </row>
    <row r="259" spans="1:10" ht="15.75" customHeight="1" x14ac:dyDescent="0.3">
      <c r="A259" s="36">
        <v>70201</v>
      </c>
      <c r="B259" s="17" t="s">
        <v>85</v>
      </c>
      <c r="C259" s="17" t="s">
        <v>298</v>
      </c>
      <c r="D259" s="17" t="s">
        <v>298</v>
      </c>
      <c r="E259" s="10">
        <f t="shared" ref="E259:E322" si="13">(F259/G259)*1000</f>
        <v>7.9842109984749259</v>
      </c>
      <c r="F259" s="47">
        <v>89</v>
      </c>
      <c r="G259" s="57">
        <v>11147</v>
      </c>
      <c r="H259" s="11">
        <f t="shared" ref="H259:H322" si="14">F259/5</f>
        <v>17.8</v>
      </c>
      <c r="I259" s="11">
        <f t="shared" ref="I259:I322" si="15">G259/5</f>
        <v>2229.4</v>
      </c>
      <c r="J259" s="5"/>
    </row>
    <row r="260" spans="1:10" ht="15.75" customHeight="1" x14ac:dyDescent="0.3">
      <c r="A260" s="36">
        <v>70202</v>
      </c>
      <c r="B260" s="17" t="s">
        <v>85</v>
      </c>
      <c r="C260" s="17" t="s">
        <v>298</v>
      </c>
      <c r="D260" s="17" t="s">
        <v>91</v>
      </c>
      <c r="E260" s="10">
        <f t="shared" si="13"/>
        <v>9.4979647218453191</v>
      </c>
      <c r="F260" s="47">
        <v>7</v>
      </c>
      <c r="G260" s="57">
        <v>737</v>
      </c>
      <c r="H260" s="11">
        <f t="shared" si="14"/>
        <v>1.4</v>
      </c>
      <c r="I260" s="11">
        <f t="shared" si="15"/>
        <v>147.4</v>
      </c>
      <c r="J260" s="5"/>
    </row>
    <row r="261" spans="1:10" ht="15.75" customHeight="1" x14ac:dyDescent="0.3">
      <c r="A261" s="36">
        <v>70301</v>
      </c>
      <c r="B261" s="17" t="s">
        <v>85</v>
      </c>
      <c r="C261" s="17" t="s">
        <v>417</v>
      </c>
      <c r="D261" s="17" t="s">
        <v>279</v>
      </c>
      <c r="E261" s="10">
        <f t="shared" si="13"/>
        <v>11.529454152404972</v>
      </c>
      <c r="F261" s="47">
        <v>64</v>
      </c>
      <c r="G261" s="57">
        <v>5551</v>
      </c>
      <c r="H261" s="11">
        <f t="shared" si="14"/>
        <v>12.8</v>
      </c>
      <c r="I261" s="11">
        <f t="shared" si="15"/>
        <v>1110.2</v>
      </c>
      <c r="J261" s="5"/>
    </row>
    <row r="262" spans="1:10" ht="15.75" customHeight="1" x14ac:dyDescent="0.3">
      <c r="A262" s="36">
        <v>70302</v>
      </c>
      <c r="B262" s="17" t="s">
        <v>85</v>
      </c>
      <c r="C262" s="17" t="s">
        <v>417</v>
      </c>
      <c r="D262" s="17" t="s">
        <v>201</v>
      </c>
      <c r="E262" s="10">
        <f t="shared" si="13"/>
        <v>21.19071644803229</v>
      </c>
      <c r="F262" s="47">
        <v>21</v>
      </c>
      <c r="G262" s="57">
        <v>991</v>
      </c>
      <c r="H262" s="11">
        <f t="shared" si="14"/>
        <v>4.2</v>
      </c>
      <c r="I262" s="11">
        <f t="shared" si="15"/>
        <v>198.2</v>
      </c>
      <c r="J262" s="5"/>
    </row>
    <row r="263" spans="1:10" ht="15.75" customHeight="1" x14ac:dyDescent="0.3">
      <c r="A263" s="36">
        <v>70303</v>
      </c>
      <c r="B263" s="17" t="s">
        <v>85</v>
      </c>
      <c r="C263" s="17" t="s">
        <v>417</v>
      </c>
      <c r="D263" s="17" t="s">
        <v>79</v>
      </c>
      <c r="E263" s="10">
        <f t="shared" si="13"/>
        <v>13.636363636363635</v>
      </c>
      <c r="F263" s="47">
        <v>9</v>
      </c>
      <c r="G263" s="57">
        <v>660</v>
      </c>
      <c r="H263" s="11">
        <f t="shared" si="14"/>
        <v>1.8</v>
      </c>
      <c r="I263" s="11">
        <f t="shared" si="15"/>
        <v>132</v>
      </c>
      <c r="J263" s="5"/>
    </row>
    <row r="264" spans="1:10" ht="15.75" customHeight="1" x14ac:dyDescent="0.3">
      <c r="A264" s="36">
        <v>70401</v>
      </c>
      <c r="B264" s="17" t="s">
        <v>85</v>
      </c>
      <c r="C264" s="17" t="s">
        <v>418</v>
      </c>
      <c r="D264" s="17" t="s">
        <v>164</v>
      </c>
      <c r="E264" s="10">
        <f t="shared" si="13"/>
        <v>2.1413276231263385</v>
      </c>
      <c r="F264" s="47">
        <v>2</v>
      </c>
      <c r="G264" s="57">
        <v>934</v>
      </c>
      <c r="H264" s="11">
        <f t="shared" si="14"/>
        <v>0.4</v>
      </c>
      <c r="I264" s="11">
        <f t="shared" si="15"/>
        <v>186.8</v>
      </c>
      <c r="J264" s="5"/>
    </row>
    <row r="265" spans="1:10" ht="15.75" customHeight="1" x14ac:dyDescent="0.3">
      <c r="A265" s="36">
        <v>70402</v>
      </c>
      <c r="B265" s="17" t="s">
        <v>85</v>
      </c>
      <c r="C265" s="17" t="s">
        <v>418</v>
      </c>
      <c r="D265" s="17" t="s">
        <v>225</v>
      </c>
      <c r="E265" s="10">
        <f t="shared" si="13"/>
        <v>8.4033613445378155</v>
      </c>
      <c r="F265" s="47">
        <v>11</v>
      </c>
      <c r="G265" s="57">
        <v>1309</v>
      </c>
      <c r="H265" s="11">
        <f t="shared" si="14"/>
        <v>2.2000000000000002</v>
      </c>
      <c r="I265" s="11">
        <f t="shared" si="15"/>
        <v>261.8</v>
      </c>
      <c r="J265" s="5"/>
    </row>
    <row r="266" spans="1:10" ht="15.75" customHeight="1" x14ac:dyDescent="0.3">
      <c r="A266" s="36">
        <v>70403</v>
      </c>
      <c r="B266" s="17" t="s">
        <v>85</v>
      </c>
      <c r="C266" s="17" t="s">
        <v>418</v>
      </c>
      <c r="D266" s="17" t="s">
        <v>278</v>
      </c>
      <c r="E266" s="10">
        <f t="shared" si="13"/>
        <v>8.0428954423592494</v>
      </c>
      <c r="F266" s="47">
        <v>33</v>
      </c>
      <c r="G266" s="57">
        <v>4103</v>
      </c>
      <c r="H266" s="11">
        <f t="shared" si="14"/>
        <v>6.6</v>
      </c>
      <c r="I266" s="11">
        <f t="shared" si="15"/>
        <v>820.6</v>
      </c>
      <c r="J266" s="5"/>
    </row>
    <row r="267" spans="1:10" ht="15.75" customHeight="1" x14ac:dyDescent="0.3">
      <c r="A267" s="36">
        <v>70404</v>
      </c>
      <c r="B267" s="17" t="s">
        <v>85</v>
      </c>
      <c r="C267" s="17" t="s">
        <v>418</v>
      </c>
      <c r="D267" s="17" t="s">
        <v>331</v>
      </c>
      <c r="E267" s="10">
        <f t="shared" si="13"/>
        <v>4.3988269794721413</v>
      </c>
      <c r="F267" s="47">
        <v>3</v>
      </c>
      <c r="G267" s="57">
        <v>682</v>
      </c>
      <c r="H267" s="11">
        <f t="shared" si="14"/>
        <v>0.6</v>
      </c>
      <c r="I267" s="11">
        <f t="shared" si="15"/>
        <v>136.4</v>
      </c>
      <c r="J267" s="5"/>
    </row>
    <row r="268" spans="1:10" ht="15.75" customHeight="1" x14ac:dyDescent="0.3">
      <c r="A268" s="36">
        <v>70501</v>
      </c>
      <c r="B268" s="17" t="s">
        <v>85</v>
      </c>
      <c r="C268" s="17" t="s">
        <v>419</v>
      </c>
      <c r="D268" s="17" t="s">
        <v>332</v>
      </c>
      <c r="E268" s="10">
        <f t="shared" si="13"/>
        <v>12.771392081736909</v>
      </c>
      <c r="F268" s="47">
        <v>40</v>
      </c>
      <c r="G268" s="57">
        <v>3132</v>
      </c>
      <c r="H268" s="11">
        <f t="shared" si="14"/>
        <v>8</v>
      </c>
      <c r="I268" s="11">
        <f t="shared" si="15"/>
        <v>626.4</v>
      </c>
      <c r="J268" s="5"/>
    </row>
    <row r="269" spans="1:10" ht="15.75" customHeight="1" x14ac:dyDescent="0.3">
      <c r="A269" s="36">
        <v>70502</v>
      </c>
      <c r="B269" s="17" t="s">
        <v>85</v>
      </c>
      <c r="C269" s="17" t="s">
        <v>419</v>
      </c>
      <c r="D269" s="17" t="s">
        <v>272</v>
      </c>
      <c r="E269" s="10">
        <f t="shared" si="13"/>
        <v>15.19426958975472</v>
      </c>
      <c r="F269" s="47">
        <v>70</v>
      </c>
      <c r="G269" s="57">
        <v>4607</v>
      </c>
      <c r="H269" s="11">
        <f t="shared" si="14"/>
        <v>14</v>
      </c>
      <c r="I269" s="11">
        <f t="shared" si="15"/>
        <v>921.4</v>
      </c>
      <c r="J269" s="5"/>
    </row>
    <row r="270" spans="1:10" ht="15.75" customHeight="1" x14ac:dyDescent="0.3">
      <c r="A270" s="36">
        <v>70503</v>
      </c>
      <c r="B270" s="17" t="s">
        <v>85</v>
      </c>
      <c r="C270" s="17" t="s">
        <v>419</v>
      </c>
      <c r="D270" s="17" t="s">
        <v>162</v>
      </c>
      <c r="E270" s="10">
        <f t="shared" si="13"/>
        <v>6.3897763578274756</v>
      </c>
      <c r="F270" s="47">
        <v>8</v>
      </c>
      <c r="G270" s="57">
        <v>1252</v>
      </c>
      <c r="H270" s="11">
        <f t="shared" si="14"/>
        <v>1.6</v>
      </c>
      <c r="I270" s="11">
        <f t="shared" si="15"/>
        <v>250.4</v>
      </c>
      <c r="J270" s="5"/>
    </row>
    <row r="271" spans="1:10" ht="15.75" customHeight="1" x14ac:dyDescent="0.3">
      <c r="A271" s="36">
        <v>70601</v>
      </c>
      <c r="B271" s="17" t="s">
        <v>85</v>
      </c>
      <c r="C271" s="17" t="s">
        <v>420</v>
      </c>
      <c r="D271" s="17" t="s">
        <v>158</v>
      </c>
      <c r="E271" s="10">
        <f t="shared" si="13"/>
        <v>4.8780487804878048</v>
      </c>
      <c r="F271" s="47">
        <v>7</v>
      </c>
      <c r="G271" s="57">
        <v>1435</v>
      </c>
      <c r="H271" s="11">
        <f t="shared" si="14"/>
        <v>1.4</v>
      </c>
      <c r="I271" s="11">
        <f t="shared" si="15"/>
        <v>287</v>
      </c>
      <c r="J271" s="5"/>
    </row>
    <row r="272" spans="1:10" ht="15.75" customHeight="1" x14ac:dyDescent="0.3">
      <c r="A272" s="36">
        <v>70602</v>
      </c>
      <c r="B272" s="17" t="s">
        <v>85</v>
      </c>
      <c r="C272" s="17" t="s">
        <v>420</v>
      </c>
      <c r="D272" s="17" t="s">
        <v>256</v>
      </c>
      <c r="E272" s="10">
        <f t="shared" si="13"/>
        <v>10.5433901054339</v>
      </c>
      <c r="F272" s="47">
        <v>13</v>
      </c>
      <c r="G272" s="57">
        <v>1233</v>
      </c>
      <c r="H272" s="11">
        <f t="shared" si="14"/>
        <v>2.6</v>
      </c>
      <c r="I272" s="11">
        <f t="shared" si="15"/>
        <v>246.6</v>
      </c>
      <c r="J272" s="5"/>
    </row>
    <row r="273" spans="1:10" ht="15.75" customHeight="1" x14ac:dyDescent="0.3">
      <c r="A273" s="36">
        <v>70603</v>
      </c>
      <c r="B273" s="17" t="s">
        <v>85</v>
      </c>
      <c r="C273" s="17" t="s">
        <v>420</v>
      </c>
      <c r="D273" s="17" t="s">
        <v>333</v>
      </c>
      <c r="E273" s="10">
        <f t="shared" si="13"/>
        <v>6.9930069930069934</v>
      </c>
      <c r="F273" s="47">
        <v>3</v>
      </c>
      <c r="G273" s="57">
        <v>429</v>
      </c>
      <c r="H273" s="11">
        <f t="shared" si="14"/>
        <v>0.6</v>
      </c>
      <c r="I273" s="11">
        <f t="shared" si="15"/>
        <v>85.8</v>
      </c>
      <c r="J273" s="5"/>
    </row>
    <row r="274" spans="1:10" ht="15.75" customHeight="1" x14ac:dyDescent="0.3">
      <c r="A274" s="36">
        <v>70701</v>
      </c>
      <c r="B274" s="17" t="s">
        <v>85</v>
      </c>
      <c r="C274" s="17" t="s">
        <v>421</v>
      </c>
      <c r="D274" s="17" t="s">
        <v>74</v>
      </c>
      <c r="E274" s="10">
        <f t="shared" si="13"/>
        <v>11.600928074245939</v>
      </c>
      <c r="F274" s="47">
        <v>5</v>
      </c>
      <c r="G274" s="57">
        <v>431</v>
      </c>
      <c r="H274" s="11">
        <f t="shared" si="14"/>
        <v>1</v>
      </c>
      <c r="I274" s="11">
        <f t="shared" si="15"/>
        <v>86.2</v>
      </c>
      <c r="J274" s="5"/>
    </row>
    <row r="275" spans="1:10" ht="15.75" customHeight="1" x14ac:dyDescent="0.3">
      <c r="A275" s="36">
        <v>70702</v>
      </c>
      <c r="B275" s="17" t="s">
        <v>85</v>
      </c>
      <c r="C275" s="17" t="s">
        <v>421</v>
      </c>
      <c r="D275" s="17" t="s">
        <v>95</v>
      </c>
      <c r="E275" s="10">
        <f t="shared" si="13"/>
        <v>22.630834512022631</v>
      </c>
      <c r="F275" s="47">
        <v>64</v>
      </c>
      <c r="G275" s="57">
        <v>2828</v>
      </c>
      <c r="H275" s="11">
        <f t="shared" si="14"/>
        <v>12.8</v>
      </c>
      <c r="I275" s="11">
        <f t="shared" si="15"/>
        <v>565.6</v>
      </c>
      <c r="J275" s="5"/>
    </row>
    <row r="276" spans="1:10" ht="15.75" customHeight="1" x14ac:dyDescent="0.3">
      <c r="A276" s="36">
        <v>70703</v>
      </c>
      <c r="B276" s="17" t="s">
        <v>85</v>
      </c>
      <c r="C276" s="17" t="s">
        <v>421</v>
      </c>
      <c r="D276" s="17" t="s">
        <v>250</v>
      </c>
      <c r="E276" s="10">
        <f t="shared" si="13"/>
        <v>8.9177138224564256</v>
      </c>
      <c r="F276" s="47">
        <v>22</v>
      </c>
      <c r="G276" s="57">
        <v>2467</v>
      </c>
      <c r="H276" s="11">
        <f t="shared" si="14"/>
        <v>4.4000000000000004</v>
      </c>
      <c r="I276" s="11">
        <f t="shared" si="15"/>
        <v>493.4</v>
      </c>
      <c r="J276" s="5"/>
    </row>
    <row r="277" spans="1:10" ht="15.75" customHeight="1" x14ac:dyDescent="0.3">
      <c r="A277" s="36">
        <v>70704</v>
      </c>
      <c r="B277" s="17" t="s">
        <v>85</v>
      </c>
      <c r="C277" s="17" t="s">
        <v>421</v>
      </c>
      <c r="D277" s="17" t="s">
        <v>73</v>
      </c>
      <c r="E277" s="10">
        <f t="shared" si="13"/>
        <v>7.2202166064981954</v>
      </c>
      <c r="F277" s="47">
        <v>2</v>
      </c>
      <c r="G277" s="57">
        <v>277</v>
      </c>
      <c r="H277" s="11">
        <f t="shared" si="14"/>
        <v>0.4</v>
      </c>
      <c r="I277" s="11">
        <f t="shared" si="15"/>
        <v>55.4</v>
      </c>
      <c r="J277" s="5"/>
    </row>
    <row r="278" spans="1:10" ht="15.75" customHeight="1" x14ac:dyDescent="0.3">
      <c r="A278" s="36">
        <v>70705</v>
      </c>
      <c r="B278" s="17" t="s">
        <v>85</v>
      </c>
      <c r="C278" s="17" t="s">
        <v>421</v>
      </c>
      <c r="D278" s="17" t="s">
        <v>141</v>
      </c>
      <c r="E278" s="10">
        <f t="shared" si="13"/>
        <v>20.798668885191347</v>
      </c>
      <c r="F278" s="47">
        <v>25</v>
      </c>
      <c r="G278" s="57">
        <v>1202</v>
      </c>
      <c r="H278" s="11">
        <f t="shared" si="14"/>
        <v>5</v>
      </c>
      <c r="I278" s="11">
        <f t="shared" si="15"/>
        <v>240.4</v>
      </c>
      <c r="J278" s="5"/>
    </row>
    <row r="279" spans="1:10" ht="15.75" customHeight="1" x14ac:dyDescent="0.3">
      <c r="A279" s="36">
        <v>70706</v>
      </c>
      <c r="B279" s="17" t="s">
        <v>85</v>
      </c>
      <c r="C279" s="17" t="s">
        <v>421</v>
      </c>
      <c r="D279" s="17" t="s">
        <v>221</v>
      </c>
      <c r="E279" s="10">
        <f t="shared" si="13"/>
        <v>7.2501294665976177</v>
      </c>
      <c r="F279" s="47">
        <v>14</v>
      </c>
      <c r="G279" s="57">
        <v>1931</v>
      </c>
      <c r="H279" s="11">
        <f t="shared" si="14"/>
        <v>2.8</v>
      </c>
      <c r="I279" s="11">
        <f t="shared" si="15"/>
        <v>386.2</v>
      </c>
      <c r="J279" s="5"/>
    </row>
    <row r="280" spans="1:10" ht="15.75" customHeight="1" x14ac:dyDescent="0.3">
      <c r="A280" s="36">
        <v>70707</v>
      </c>
      <c r="B280" s="17" t="s">
        <v>85</v>
      </c>
      <c r="C280" s="17" t="s">
        <v>421</v>
      </c>
      <c r="D280" s="17" t="s">
        <v>53</v>
      </c>
      <c r="E280" s="10">
        <f t="shared" si="13"/>
        <v>5.0505050505050511</v>
      </c>
      <c r="F280" s="47">
        <v>2</v>
      </c>
      <c r="G280" s="57">
        <v>396</v>
      </c>
      <c r="H280" s="11">
        <f t="shared" si="14"/>
        <v>0.4</v>
      </c>
      <c r="I280" s="11">
        <f t="shared" si="15"/>
        <v>79.2</v>
      </c>
      <c r="J280" s="5"/>
    </row>
    <row r="281" spans="1:10" ht="15.75" customHeight="1" x14ac:dyDescent="0.3">
      <c r="A281" s="36">
        <v>70801</v>
      </c>
      <c r="B281" s="17" t="s">
        <v>85</v>
      </c>
      <c r="C281" s="17" t="s">
        <v>257</v>
      </c>
      <c r="D281" s="17" t="s">
        <v>257</v>
      </c>
      <c r="E281" s="10">
        <f t="shared" si="13"/>
        <v>6.1983471074380168</v>
      </c>
      <c r="F281" s="47">
        <v>6</v>
      </c>
      <c r="G281" s="57">
        <v>968</v>
      </c>
      <c r="H281" s="11">
        <f t="shared" si="14"/>
        <v>1.2</v>
      </c>
      <c r="I281" s="11">
        <f t="shared" si="15"/>
        <v>193.6</v>
      </c>
      <c r="J281" s="5"/>
    </row>
    <row r="282" spans="1:10" ht="15.75" customHeight="1" x14ac:dyDescent="0.3">
      <c r="A282" s="36">
        <v>70802</v>
      </c>
      <c r="B282" s="17" t="s">
        <v>85</v>
      </c>
      <c r="C282" s="17" t="s">
        <v>257</v>
      </c>
      <c r="D282" s="17" t="s">
        <v>10</v>
      </c>
      <c r="E282" s="10">
        <f t="shared" si="13"/>
        <v>17.857142857142858</v>
      </c>
      <c r="F282" s="47">
        <v>2</v>
      </c>
      <c r="G282" s="57">
        <v>112</v>
      </c>
      <c r="H282" s="11">
        <f t="shared" si="14"/>
        <v>0.4</v>
      </c>
      <c r="I282" s="11">
        <f t="shared" si="15"/>
        <v>22.4</v>
      </c>
      <c r="J282" s="5"/>
    </row>
    <row r="283" spans="1:10" ht="15.75" customHeight="1" x14ac:dyDescent="0.3">
      <c r="A283" s="36">
        <v>70803</v>
      </c>
      <c r="B283" s="17" t="s">
        <v>85</v>
      </c>
      <c r="C283" s="17" t="s">
        <v>257</v>
      </c>
      <c r="D283" s="17" t="s">
        <v>36</v>
      </c>
      <c r="E283" s="10">
        <f t="shared" si="13"/>
        <v>0</v>
      </c>
      <c r="F283" s="47">
        <v>0</v>
      </c>
      <c r="G283" s="57">
        <v>154</v>
      </c>
      <c r="H283" s="11">
        <f t="shared" si="14"/>
        <v>0</v>
      </c>
      <c r="I283" s="11">
        <f t="shared" si="15"/>
        <v>30.8</v>
      </c>
      <c r="J283" s="5"/>
    </row>
    <row r="284" spans="1:10" ht="15.75" customHeight="1" x14ac:dyDescent="0.3">
      <c r="A284" s="36">
        <v>70804</v>
      </c>
      <c r="B284" s="17" t="s">
        <v>85</v>
      </c>
      <c r="C284" s="17" t="s">
        <v>257</v>
      </c>
      <c r="D284" s="17" t="s">
        <v>334</v>
      </c>
      <c r="E284" s="10">
        <f t="shared" si="13"/>
        <v>0</v>
      </c>
      <c r="F284" s="47">
        <v>0</v>
      </c>
      <c r="G284" s="57">
        <v>91</v>
      </c>
      <c r="H284" s="11">
        <f t="shared" si="14"/>
        <v>0</v>
      </c>
      <c r="I284" s="11">
        <f t="shared" si="15"/>
        <v>18.2</v>
      </c>
      <c r="J284" s="5"/>
    </row>
    <row r="285" spans="1:10" ht="15.75" customHeight="1" x14ac:dyDescent="0.3">
      <c r="A285" s="36">
        <v>70805</v>
      </c>
      <c r="B285" s="17" t="s">
        <v>85</v>
      </c>
      <c r="C285" s="17" t="s">
        <v>257</v>
      </c>
      <c r="D285" s="17" t="s">
        <v>335</v>
      </c>
      <c r="E285" s="10">
        <f t="shared" si="13"/>
        <v>8.6206896551724128</v>
      </c>
      <c r="F285" s="47">
        <v>1</v>
      </c>
      <c r="G285" s="57">
        <v>116</v>
      </c>
      <c r="H285" s="11">
        <f t="shared" si="14"/>
        <v>0.2</v>
      </c>
      <c r="I285" s="11">
        <f t="shared" si="15"/>
        <v>23.2</v>
      </c>
      <c r="J285" s="5"/>
    </row>
    <row r="286" spans="1:10" ht="15.75" customHeight="1" x14ac:dyDescent="0.3">
      <c r="A286" s="36">
        <v>70901</v>
      </c>
      <c r="B286" s="17" t="s">
        <v>85</v>
      </c>
      <c r="C286" s="17" t="s">
        <v>422</v>
      </c>
      <c r="D286" s="17" t="s">
        <v>192</v>
      </c>
      <c r="E286" s="10">
        <f t="shared" si="13"/>
        <v>9.8591549295774659</v>
      </c>
      <c r="F286" s="47">
        <v>7</v>
      </c>
      <c r="G286" s="57">
        <v>710</v>
      </c>
      <c r="H286" s="11">
        <f t="shared" si="14"/>
        <v>1.4</v>
      </c>
      <c r="I286" s="11">
        <f t="shared" si="15"/>
        <v>142</v>
      </c>
      <c r="J286" s="5"/>
    </row>
    <row r="287" spans="1:10" ht="15.75" customHeight="1" x14ac:dyDescent="0.3">
      <c r="A287" s="36">
        <v>70902</v>
      </c>
      <c r="B287" s="17" t="s">
        <v>85</v>
      </c>
      <c r="C287" s="17" t="s">
        <v>422</v>
      </c>
      <c r="D287" s="17" t="s">
        <v>160</v>
      </c>
      <c r="E287" s="10">
        <f t="shared" si="13"/>
        <v>6.7024128686327078</v>
      </c>
      <c r="F287" s="47">
        <v>5</v>
      </c>
      <c r="G287" s="57">
        <v>746</v>
      </c>
      <c r="H287" s="11">
        <f t="shared" si="14"/>
        <v>1</v>
      </c>
      <c r="I287" s="11">
        <f t="shared" si="15"/>
        <v>149.19999999999999</v>
      </c>
      <c r="J287" s="5"/>
    </row>
    <row r="288" spans="1:10" ht="15.75" customHeight="1" x14ac:dyDescent="0.3">
      <c r="A288" s="36">
        <v>70903</v>
      </c>
      <c r="B288" s="17" t="s">
        <v>85</v>
      </c>
      <c r="C288" s="17" t="s">
        <v>422</v>
      </c>
      <c r="D288" s="17" t="s">
        <v>122</v>
      </c>
      <c r="E288" s="10">
        <f t="shared" si="13"/>
        <v>6.4585575888051672</v>
      </c>
      <c r="F288" s="47">
        <v>6</v>
      </c>
      <c r="G288" s="57">
        <v>929</v>
      </c>
      <c r="H288" s="11">
        <f t="shared" si="14"/>
        <v>1.2</v>
      </c>
      <c r="I288" s="11">
        <f t="shared" si="15"/>
        <v>185.8</v>
      </c>
      <c r="J288" s="5"/>
    </row>
    <row r="289" spans="1:10" ht="15.75" customHeight="1" x14ac:dyDescent="0.3">
      <c r="A289" s="36">
        <v>70904</v>
      </c>
      <c r="B289" s="17" t="s">
        <v>85</v>
      </c>
      <c r="C289" s="17" t="s">
        <v>422</v>
      </c>
      <c r="D289" s="17" t="s">
        <v>20</v>
      </c>
      <c r="E289" s="10">
        <f t="shared" si="13"/>
        <v>0</v>
      </c>
      <c r="F289" s="47">
        <v>0</v>
      </c>
      <c r="G289" s="57">
        <v>151</v>
      </c>
      <c r="H289" s="11">
        <f t="shared" si="14"/>
        <v>0</v>
      </c>
      <c r="I289" s="11">
        <f t="shared" si="15"/>
        <v>30.2</v>
      </c>
      <c r="J289" s="5"/>
    </row>
    <row r="290" spans="1:10" ht="15.75" customHeight="1" x14ac:dyDescent="0.3">
      <c r="A290" s="36">
        <v>71001</v>
      </c>
      <c r="B290" s="17" t="s">
        <v>85</v>
      </c>
      <c r="C290" s="17" t="s">
        <v>423</v>
      </c>
      <c r="D290" s="17" t="s">
        <v>300</v>
      </c>
      <c r="E290" s="10">
        <f t="shared" si="13"/>
        <v>6.0386473429951693</v>
      </c>
      <c r="F290" s="47">
        <v>55</v>
      </c>
      <c r="G290" s="57">
        <v>9108</v>
      </c>
      <c r="H290" s="11">
        <f t="shared" si="14"/>
        <v>11</v>
      </c>
      <c r="I290" s="11">
        <f t="shared" si="15"/>
        <v>1821.6</v>
      </c>
      <c r="J290" s="5"/>
    </row>
    <row r="291" spans="1:10" ht="15.75" customHeight="1" x14ac:dyDescent="0.3">
      <c r="A291" s="36">
        <v>71002</v>
      </c>
      <c r="B291" s="17" t="s">
        <v>85</v>
      </c>
      <c r="C291" s="17" t="s">
        <v>423</v>
      </c>
      <c r="D291" s="17" t="s">
        <v>336</v>
      </c>
      <c r="E291" s="10">
        <f t="shared" si="13"/>
        <v>10.911925175370227</v>
      </c>
      <c r="F291" s="47">
        <v>14</v>
      </c>
      <c r="G291" s="57">
        <v>1283</v>
      </c>
      <c r="H291" s="11">
        <f t="shared" si="14"/>
        <v>2.8</v>
      </c>
      <c r="I291" s="11">
        <f t="shared" si="15"/>
        <v>256.60000000000002</v>
      </c>
      <c r="J291" s="5"/>
    </row>
    <row r="292" spans="1:10" ht="15.75" customHeight="1" x14ac:dyDescent="0.3">
      <c r="A292" s="36">
        <v>71003</v>
      </c>
      <c r="B292" s="17" t="s">
        <v>85</v>
      </c>
      <c r="C292" s="17" t="s">
        <v>423</v>
      </c>
      <c r="D292" s="17" t="s">
        <v>230</v>
      </c>
      <c r="E292" s="10">
        <f t="shared" si="13"/>
        <v>10.989010989010989</v>
      </c>
      <c r="F292" s="47">
        <v>19</v>
      </c>
      <c r="G292" s="57">
        <v>1729</v>
      </c>
      <c r="H292" s="11">
        <f t="shared" si="14"/>
        <v>3.8</v>
      </c>
      <c r="I292" s="11">
        <f t="shared" si="15"/>
        <v>345.8</v>
      </c>
      <c r="J292" s="5"/>
    </row>
    <row r="293" spans="1:10" ht="15.75" customHeight="1" x14ac:dyDescent="0.3">
      <c r="A293" s="36">
        <v>71004</v>
      </c>
      <c r="B293" s="17" t="s">
        <v>85</v>
      </c>
      <c r="C293" s="17" t="s">
        <v>423</v>
      </c>
      <c r="D293" s="17" t="s">
        <v>161</v>
      </c>
      <c r="E293" s="10">
        <f t="shared" si="13"/>
        <v>11.099899091826439</v>
      </c>
      <c r="F293" s="47">
        <v>11</v>
      </c>
      <c r="G293" s="57">
        <v>991</v>
      </c>
      <c r="H293" s="11">
        <f t="shared" si="14"/>
        <v>2.2000000000000002</v>
      </c>
      <c r="I293" s="11">
        <f t="shared" si="15"/>
        <v>198.2</v>
      </c>
      <c r="J293" s="5"/>
    </row>
    <row r="294" spans="1:10" ht="15.75" customHeight="1" x14ac:dyDescent="0.3">
      <c r="A294" s="36">
        <v>71005</v>
      </c>
      <c r="B294" s="17" t="s">
        <v>85</v>
      </c>
      <c r="C294" s="17" t="s">
        <v>423</v>
      </c>
      <c r="D294" s="17" t="s">
        <v>9</v>
      </c>
      <c r="E294" s="10">
        <f t="shared" si="13"/>
        <v>8.1716036772216558</v>
      </c>
      <c r="F294" s="47">
        <v>8</v>
      </c>
      <c r="G294" s="57">
        <v>979</v>
      </c>
      <c r="H294" s="11">
        <f t="shared" si="14"/>
        <v>1.6</v>
      </c>
      <c r="I294" s="11">
        <f t="shared" si="15"/>
        <v>195.8</v>
      </c>
      <c r="J294" s="5"/>
    </row>
    <row r="295" spans="1:10" ht="15.75" customHeight="1" x14ac:dyDescent="0.3">
      <c r="A295" s="36">
        <v>71101</v>
      </c>
      <c r="B295" s="17" t="s">
        <v>85</v>
      </c>
      <c r="C295" s="17" t="s">
        <v>424</v>
      </c>
      <c r="D295" s="17" t="s">
        <v>248</v>
      </c>
      <c r="E295" s="10">
        <f t="shared" si="13"/>
        <v>13.619479983491541</v>
      </c>
      <c r="F295" s="47">
        <v>33</v>
      </c>
      <c r="G295" s="57">
        <v>2423</v>
      </c>
      <c r="H295" s="11">
        <f t="shared" si="14"/>
        <v>6.6</v>
      </c>
      <c r="I295" s="11">
        <f t="shared" si="15"/>
        <v>484.6</v>
      </c>
      <c r="J295" s="5"/>
    </row>
    <row r="296" spans="1:10" ht="15.75" customHeight="1" x14ac:dyDescent="0.3">
      <c r="A296" s="36">
        <v>71102</v>
      </c>
      <c r="B296" s="17" t="s">
        <v>85</v>
      </c>
      <c r="C296" s="17" t="s">
        <v>424</v>
      </c>
      <c r="D296" s="17" t="s">
        <v>75</v>
      </c>
      <c r="E296" s="10">
        <f t="shared" si="13"/>
        <v>15.084294587400176</v>
      </c>
      <c r="F296" s="47">
        <v>17</v>
      </c>
      <c r="G296" s="57">
        <v>1127</v>
      </c>
      <c r="H296" s="11">
        <f t="shared" si="14"/>
        <v>3.4</v>
      </c>
      <c r="I296" s="11">
        <f t="shared" si="15"/>
        <v>225.4</v>
      </c>
      <c r="J296" s="5"/>
    </row>
    <row r="297" spans="1:10" ht="15.75" customHeight="1" x14ac:dyDescent="0.3">
      <c r="A297" s="36">
        <v>71103</v>
      </c>
      <c r="B297" s="17" t="s">
        <v>85</v>
      </c>
      <c r="C297" s="17" t="s">
        <v>424</v>
      </c>
      <c r="D297" s="17" t="s">
        <v>44</v>
      </c>
      <c r="E297" s="10">
        <f t="shared" si="13"/>
        <v>56.835637480798773</v>
      </c>
      <c r="F297" s="47">
        <v>37</v>
      </c>
      <c r="G297" s="57">
        <v>651</v>
      </c>
      <c r="H297" s="11">
        <f t="shared" si="14"/>
        <v>7.4</v>
      </c>
      <c r="I297" s="11">
        <f t="shared" si="15"/>
        <v>130.19999999999999</v>
      </c>
      <c r="J297" s="5"/>
    </row>
    <row r="298" spans="1:10" ht="15.75" customHeight="1" x14ac:dyDescent="0.3">
      <c r="A298" s="36">
        <v>71104</v>
      </c>
      <c r="B298" s="17" t="s">
        <v>85</v>
      </c>
      <c r="C298" s="17" t="s">
        <v>424</v>
      </c>
      <c r="D298" s="17" t="s">
        <v>285</v>
      </c>
      <c r="E298" s="10">
        <f t="shared" si="13"/>
        <v>2.0219526285384171</v>
      </c>
      <c r="F298" s="47">
        <v>7</v>
      </c>
      <c r="G298" s="57">
        <v>3462</v>
      </c>
      <c r="H298" s="11">
        <f t="shared" si="14"/>
        <v>1.4</v>
      </c>
      <c r="I298" s="11">
        <f t="shared" si="15"/>
        <v>692.4</v>
      </c>
      <c r="J298" s="5"/>
    </row>
    <row r="299" spans="1:10" ht="15.75" customHeight="1" x14ac:dyDescent="0.3">
      <c r="A299" s="36">
        <v>71105</v>
      </c>
      <c r="B299" s="17" t="s">
        <v>85</v>
      </c>
      <c r="C299" s="17" t="s">
        <v>424</v>
      </c>
      <c r="D299" s="17" t="s">
        <v>337</v>
      </c>
      <c r="E299" s="10">
        <f t="shared" si="13"/>
        <v>9.8619329388560164</v>
      </c>
      <c r="F299" s="47">
        <v>5</v>
      </c>
      <c r="G299" s="57">
        <v>507</v>
      </c>
      <c r="H299" s="11">
        <f t="shared" si="14"/>
        <v>1</v>
      </c>
      <c r="I299" s="11">
        <f t="shared" si="15"/>
        <v>101.4</v>
      </c>
      <c r="J299" s="5"/>
    </row>
    <row r="300" spans="1:10" ht="15.75" customHeight="1" x14ac:dyDescent="0.3">
      <c r="A300" s="36">
        <v>71106</v>
      </c>
      <c r="B300" s="17" t="s">
        <v>85</v>
      </c>
      <c r="C300" s="17" t="s">
        <v>424</v>
      </c>
      <c r="D300" s="17" t="s">
        <v>239</v>
      </c>
      <c r="E300" s="10">
        <f t="shared" si="13"/>
        <v>11.793611793611793</v>
      </c>
      <c r="F300" s="47">
        <v>24</v>
      </c>
      <c r="G300" s="57">
        <v>2035</v>
      </c>
      <c r="H300" s="11">
        <f t="shared" si="14"/>
        <v>4.8</v>
      </c>
      <c r="I300" s="11">
        <f t="shared" si="15"/>
        <v>407</v>
      </c>
      <c r="J300" s="5"/>
    </row>
    <row r="301" spans="1:10" ht="15.75" customHeight="1" x14ac:dyDescent="0.3">
      <c r="A301" s="36">
        <v>71201</v>
      </c>
      <c r="B301" s="17" t="s">
        <v>85</v>
      </c>
      <c r="C301" s="17" t="s">
        <v>425</v>
      </c>
      <c r="D301" s="17" t="s">
        <v>212</v>
      </c>
      <c r="E301" s="10">
        <f t="shared" si="13"/>
        <v>5.5467511885895409</v>
      </c>
      <c r="F301" s="47">
        <v>7</v>
      </c>
      <c r="G301" s="57">
        <v>1262</v>
      </c>
      <c r="H301" s="11">
        <f t="shared" si="14"/>
        <v>1.4</v>
      </c>
      <c r="I301" s="11">
        <f t="shared" si="15"/>
        <v>252.4</v>
      </c>
      <c r="J301" s="5"/>
    </row>
    <row r="302" spans="1:10" ht="15.75" customHeight="1" x14ac:dyDescent="0.3">
      <c r="A302" s="36">
        <v>71301</v>
      </c>
      <c r="B302" s="17" t="s">
        <v>85</v>
      </c>
      <c r="C302" s="17" t="s">
        <v>426</v>
      </c>
      <c r="D302" s="17" t="s">
        <v>209</v>
      </c>
      <c r="E302" s="10">
        <f t="shared" si="13"/>
        <v>13.843648208469055</v>
      </c>
      <c r="F302" s="47">
        <v>17</v>
      </c>
      <c r="G302" s="57">
        <v>1228</v>
      </c>
      <c r="H302" s="11">
        <f t="shared" si="14"/>
        <v>3.4</v>
      </c>
      <c r="I302" s="11">
        <f t="shared" si="15"/>
        <v>245.6</v>
      </c>
      <c r="J302" s="5"/>
    </row>
    <row r="303" spans="1:10" ht="15.75" customHeight="1" x14ac:dyDescent="0.3">
      <c r="A303" s="36">
        <v>71302</v>
      </c>
      <c r="B303" s="17" t="s">
        <v>85</v>
      </c>
      <c r="C303" s="17" t="s">
        <v>426</v>
      </c>
      <c r="D303" s="17" t="s">
        <v>58</v>
      </c>
      <c r="E303" s="10">
        <f t="shared" si="13"/>
        <v>4.6620046620046622</v>
      </c>
      <c r="F303" s="47">
        <v>2</v>
      </c>
      <c r="G303" s="57">
        <v>429</v>
      </c>
      <c r="H303" s="11">
        <f t="shared" si="14"/>
        <v>0.4</v>
      </c>
      <c r="I303" s="11">
        <f t="shared" si="15"/>
        <v>85.8</v>
      </c>
      <c r="J303" s="5"/>
    </row>
    <row r="304" spans="1:10" ht="15.75" customHeight="1" x14ac:dyDescent="0.3">
      <c r="A304" s="36">
        <v>71401</v>
      </c>
      <c r="B304" s="17" t="s">
        <v>85</v>
      </c>
      <c r="C304" s="17" t="s">
        <v>427</v>
      </c>
      <c r="D304" s="17" t="s">
        <v>206</v>
      </c>
      <c r="E304" s="10">
        <f t="shared" si="13"/>
        <v>10.036496350364963</v>
      </c>
      <c r="F304" s="47">
        <v>11</v>
      </c>
      <c r="G304" s="57">
        <v>1096</v>
      </c>
      <c r="H304" s="11">
        <f t="shared" si="14"/>
        <v>2.2000000000000002</v>
      </c>
      <c r="I304" s="11">
        <f t="shared" si="15"/>
        <v>219.2</v>
      </c>
      <c r="J304" s="5"/>
    </row>
    <row r="305" spans="1:10" ht="15.75" customHeight="1" x14ac:dyDescent="0.3">
      <c r="A305" s="36">
        <v>71402</v>
      </c>
      <c r="B305" s="17" t="s">
        <v>85</v>
      </c>
      <c r="C305" s="17" t="s">
        <v>427</v>
      </c>
      <c r="D305" s="17" t="s">
        <v>165</v>
      </c>
      <c r="E305" s="10">
        <f t="shared" si="13"/>
        <v>7.4074074074074074</v>
      </c>
      <c r="F305" s="47">
        <v>9</v>
      </c>
      <c r="G305" s="57">
        <v>1215</v>
      </c>
      <c r="H305" s="11">
        <f t="shared" si="14"/>
        <v>1.8</v>
      </c>
      <c r="I305" s="11">
        <f t="shared" si="15"/>
        <v>243</v>
      </c>
      <c r="J305" s="5"/>
    </row>
    <row r="306" spans="1:10" ht="15.75" customHeight="1" x14ac:dyDescent="0.3">
      <c r="A306" s="36">
        <v>71403</v>
      </c>
      <c r="B306" s="17" t="s">
        <v>85</v>
      </c>
      <c r="C306" s="17" t="s">
        <v>427</v>
      </c>
      <c r="D306" s="17" t="s">
        <v>338</v>
      </c>
      <c r="E306" s="10">
        <f t="shared" si="13"/>
        <v>18.633540372670808</v>
      </c>
      <c r="F306" s="47">
        <v>12</v>
      </c>
      <c r="G306" s="57">
        <v>644</v>
      </c>
      <c r="H306" s="11">
        <f t="shared" si="14"/>
        <v>2.4</v>
      </c>
      <c r="I306" s="11">
        <f t="shared" si="15"/>
        <v>128.80000000000001</v>
      </c>
      <c r="J306" s="5"/>
    </row>
    <row r="307" spans="1:10" ht="15.75" customHeight="1" x14ac:dyDescent="0.3">
      <c r="A307" s="36">
        <v>71501</v>
      </c>
      <c r="B307" s="17" t="s">
        <v>85</v>
      </c>
      <c r="C307" s="17" t="s">
        <v>428</v>
      </c>
      <c r="D307" s="17" t="s">
        <v>339</v>
      </c>
      <c r="E307" s="10">
        <f t="shared" si="13"/>
        <v>10.670731707317074</v>
      </c>
      <c r="F307" s="47">
        <v>28</v>
      </c>
      <c r="G307" s="57">
        <v>2624</v>
      </c>
      <c r="H307" s="11">
        <f t="shared" si="14"/>
        <v>5.6</v>
      </c>
      <c r="I307" s="11">
        <f t="shared" si="15"/>
        <v>524.79999999999995</v>
      </c>
      <c r="J307" s="5"/>
    </row>
    <row r="308" spans="1:10" ht="15.75" customHeight="1" x14ac:dyDescent="0.3">
      <c r="A308" s="36">
        <v>71502</v>
      </c>
      <c r="B308" s="17" t="s">
        <v>85</v>
      </c>
      <c r="C308" s="17" t="s">
        <v>428</v>
      </c>
      <c r="D308" s="17" t="s">
        <v>77</v>
      </c>
      <c r="E308" s="10">
        <f t="shared" si="13"/>
        <v>20.491803278688522</v>
      </c>
      <c r="F308" s="47">
        <v>10</v>
      </c>
      <c r="G308" s="57">
        <v>488</v>
      </c>
      <c r="H308" s="11">
        <f t="shared" si="14"/>
        <v>2</v>
      </c>
      <c r="I308" s="11">
        <f t="shared" si="15"/>
        <v>97.6</v>
      </c>
      <c r="J308" s="5"/>
    </row>
    <row r="309" spans="1:10" ht="15.75" customHeight="1" x14ac:dyDescent="0.3">
      <c r="A309" s="36">
        <v>71503</v>
      </c>
      <c r="B309" s="17" t="s">
        <v>85</v>
      </c>
      <c r="C309" s="17" t="s">
        <v>428</v>
      </c>
      <c r="D309" s="17" t="s">
        <v>88</v>
      </c>
      <c r="E309" s="10">
        <f t="shared" si="13"/>
        <v>8.5689802913453299</v>
      </c>
      <c r="F309" s="47">
        <v>10</v>
      </c>
      <c r="G309" s="57">
        <v>1167</v>
      </c>
      <c r="H309" s="11">
        <f t="shared" si="14"/>
        <v>2</v>
      </c>
      <c r="I309" s="11">
        <f t="shared" si="15"/>
        <v>233.4</v>
      </c>
      <c r="J309" s="5"/>
    </row>
    <row r="310" spans="1:10" ht="15.75" customHeight="1" x14ac:dyDescent="0.3">
      <c r="A310" s="36">
        <v>80101</v>
      </c>
      <c r="B310" s="17" t="s">
        <v>92</v>
      </c>
      <c r="C310" s="17" t="s">
        <v>371</v>
      </c>
      <c r="D310" s="17" t="s">
        <v>301</v>
      </c>
      <c r="E310" s="10">
        <f t="shared" si="13"/>
        <v>5.759705103098721</v>
      </c>
      <c r="F310" s="47">
        <v>50</v>
      </c>
      <c r="G310" s="57">
        <v>8681</v>
      </c>
      <c r="H310" s="11">
        <f t="shared" si="14"/>
        <v>10</v>
      </c>
      <c r="I310" s="11">
        <f t="shared" si="15"/>
        <v>1736.2</v>
      </c>
      <c r="J310" s="5"/>
    </row>
    <row r="311" spans="1:10" ht="15.75" customHeight="1" x14ac:dyDescent="0.3">
      <c r="A311" s="36">
        <v>80102</v>
      </c>
      <c r="B311" s="17" t="s">
        <v>92</v>
      </c>
      <c r="C311" s="17" t="s">
        <v>371</v>
      </c>
      <c r="D311" s="17" t="s">
        <v>75</v>
      </c>
      <c r="E311" s="10">
        <f t="shared" si="13"/>
        <v>12.280701754385966</v>
      </c>
      <c r="F311" s="47">
        <v>7</v>
      </c>
      <c r="G311" s="57">
        <v>570</v>
      </c>
      <c r="H311" s="11">
        <f t="shared" si="14"/>
        <v>1.4</v>
      </c>
      <c r="I311" s="11">
        <f t="shared" si="15"/>
        <v>114</v>
      </c>
      <c r="J311" s="5"/>
    </row>
    <row r="312" spans="1:10" ht="15.75" customHeight="1" x14ac:dyDescent="0.3">
      <c r="A312" s="36">
        <v>80201</v>
      </c>
      <c r="B312" s="17" t="s">
        <v>92</v>
      </c>
      <c r="C312" s="17" t="s">
        <v>429</v>
      </c>
      <c r="D312" s="17" t="s">
        <v>296</v>
      </c>
      <c r="E312" s="10">
        <f t="shared" si="13"/>
        <v>8.905852417302798</v>
      </c>
      <c r="F312" s="47">
        <v>77</v>
      </c>
      <c r="G312" s="57">
        <v>8646</v>
      </c>
      <c r="H312" s="11">
        <f t="shared" si="14"/>
        <v>15.4</v>
      </c>
      <c r="I312" s="11">
        <f t="shared" si="15"/>
        <v>1729.2</v>
      </c>
      <c r="J312" s="5"/>
    </row>
    <row r="313" spans="1:10" ht="15.75" customHeight="1" x14ac:dyDescent="0.3">
      <c r="A313" s="36">
        <v>80202</v>
      </c>
      <c r="B313" s="17" t="s">
        <v>92</v>
      </c>
      <c r="C313" s="17" t="s">
        <v>429</v>
      </c>
      <c r="D313" s="17" t="s">
        <v>287</v>
      </c>
      <c r="E313" s="10">
        <f t="shared" si="13"/>
        <v>7.4049141703130257</v>
      </c>
      <c r="F313" s="47">
        <v>22</v>
      </c>
      <c r="G313" s="57">
        <v>2971</v>
      </c>
      <c r="H313" s="11">
        <f t="shared" si="14"/>
        <v>4.4000000000000004</v>
      </c>
      <c r="I313" s="11">
        <f t="shared" si="15"/>
        <v>594.20000000000005</v>
      </c>
      <c r="J313" s="5"/>
    </row>
    <row r="314" spans="1:10" ht="15.75" customHeight="1" x14ac:dyDescent="0.3">
      <c r="A314" s="36">
        <v>80301</v>
      </c>
      <c r="B314" s="17" t="s">
        <v>92</v>
      </c>
      <c r="C314" s="17" t="s">
        <v>430</v>
      </c>
      <c r="D314" s="17" t="s">
        <v>216</v>
      </c>
      <c r="E314" s="10">
        <f t="shared" si="13"/>
        <v>16.375545851528383</v>
      </c>
      <c r="F314" s="47">
        <v>15</v>
      </c>
      <c r="G314" s="57">
        <v>916</v>
      </c>
      <c r="H314" s="11">
        <f t="shared" si="14"/>
        <v>3</v>
      </c>
      <c r="I314" s="11">
        <f t="shared" si="15"/>
        <v>183.2</v>
      </c>
      <c r="J314" s="5"/>
    </row>
    <row r="315" spans="1:10" ht="15.75" customHeight="1" x14ac:dyDescent="0.3">
      <c r="A315" s="36">
        <v>80302</v>
      </c>
      <c r="B315" s="17" t="s">
        <v>92</v>
      </c>
      <c r="C315" s="17" t="s">
        <v>430</v>
      </c>
      <c r="D315" s="17" t="s">
        <v>276</v>
      </c>
      <c r="E315" s="10">
        <f t="shared" si="13"/>
        <v>14.126596033686498</v>
      </c>
      <c r="F315" s="47">
        <v>52</v>
      </c>
      <c r="G315" s="57">
        <v>3681</v>
      </c>
      <c r="H315" s="11">
        <f t="shared" si="14"/>
        <v>10.4</v>
      </c>
      <c r="I315" s="11">
        <f t="shared" si="15"/>
        <v>736.2</v>
      </c>
      <c r="J315" s="5"/>
    </row>
    <row r="316" spans="1:10" ht="15.75" customHeight="1" x14ac:dyDescent="0.3">
      <c r="A316" s="36">
        <v>80303</v>
      </c>
      <c r="B316" s="17" t="s">
        <v>92</v>
      </c>
      <c r="C316" s="17" t="s">
        <v>430</v>
      </c>
      <c r="D316" s="17" t="s">
        <v>35</v>
      </c>
      <c r="E316" s="10">
        <f t="shared" si="13"/>
        <v>11.248593925759279</v>
      </c>
      <c r="F316" s="47">
        <v>10</v>
      </c>
      <c r="G316" s="57">
        <v>889</v>
      </c>
      <c r="H316" s="11">
        <f t="shared" si="14"/>
        <v>2</v>
      </c>
      <c r="I316" s="11">
        <f t="shared" si="15"/>
        <v>177.8</v>
      </c>
      <c r="J316" s="5"/>
    </row>
    <row r="317" spans="1:10" ht="15.75" customHeight="1" x14ac:dyDescent="0.3">
      <c r="A317" s="36">
        <v>80304</v>
      </c>
      <c r="B317" s="17" t="s">
        <v>92</v>
      </c>
      <c r="C317" s="17" t="s">
        <v>430</v>
      </c>
      <c r="D317" s="17" t="s">
        <v>246</v>
      </c>
      <c r="E317" s="10">
        <f t="shared" si="13"/>
        <v>10.778443113772456</v>
      </c>
      <c r="F317" s="47">
        <v>18</v>
      </c>
      <c r="G317" s="57">
        <v>1670</v>
      </c>
      <c r="H317" s="11">
        <f t="shared" si="14"/>
        <v>3.6</v>
      </c>
      <c r="I317" s="11">
        <f t="shared" si="15"/>
        <v>334</v>
      </c>
      <c r="J317" s="5"/>
    </row>
    <row r="318" spans="1:10" ht="15.75" customHeight="1" x14ac:dyDescent="0.3">
      <c r="A318" s="36">
        <v>80401</v>
      </c>
      <c r="B318" s="17" t="s">
        <v>92</v>
      </c>
      <c r="C318" s="17" t="s">
        <v>431</v>
      </c>
      <c r="D318" s="17" t="s">
        <v>204</v>
      </c>
      <c r="E318" s="10">
        <f t="shared" si="13"/>
        <v>4.9645390070921991</v>
      </c>
      <c r="F318" s="47">
        <v>7</v>
      </c>
      <c r="G318" s="57">
        <v>1410</v>
      </c>
      <c r="H318" s="11">
        <f t="shared" si="14"/>
        <v>1.4</v>
      </c>
      <c r="I318" s="11">
        <f t="shared" si="15"/>
        <v>282</v>
      </c>
      <c r="J318" s="5"/>
    </row>
    <row r="319" spans="1:10" ht="15.75" customHeight="1" x14ac:dyDescent="0.3">
      <c r="A319" s="36">
        <v>80402</v>
      </c>
      <c r="B319" s="17" t="s">
        <v>92</v>
      </c>
      <c r="C319" s="17" t="s">
        <v>431</v>
      </c>
      <c r="D319" s="17" t="s">
        <v>98</v>
      </c>
      <c r="E319" s="10">
        <f t="shared" si="13"/>
        <v>3.9215686274509802</v>
      </c>
      <c r="F319" s="47">
        <v>2</v>
      </c>
      <c r="G319" s="57">
        <v>510</v>
      </c>
      <c r="H319" s="11">
        <f t="shared" si="14"/>
        <v>0.4</v>
      </c>
      <c r="I319" s="11">
        <f t="shared" si="15"/>
        <v>102</v>
      </c>
      <c r="J319" s="5"/>
    </row>
    <row r="320" spans="1:10" ht="15.75" customHeight="1" x14ac:dyDescent="0.3">
      <c r="A320" s="36">
        <v>80501</v>
      </c>
      <c r="B320" s="17" t="s">
        <v>92</v>
      </c>
      <c r="C320" s="17" t="s">
        <v>432</v>
      </c>
      <c r="D320" s="17" t="s">
        <v>262</v>
      </c>
      <c r="E320" s="10">
        <f t="shared" si="13"/>
        <v>11.804384485666104</v>
      </c>
      <c r="F320" s="47">
        <v>21</v>
      </c>
      <c r="G320" s="57">
        <v>1779</v>
      </c>
      <c r="H320" s="11">
        <f t="shared" si="14"/>
        <v>4.2</v>
      </c>
      <c r="I320" s="11">
        <f t="shared" si="15"/>
        <v>355.8</v>
      </c>
      <c r="J320" s="5"/>
    </row>
    <row r="321" spans="1:10" ht="15.75" customHeight="1" x14ac:dyDescent="0.3">
      <c r="A321" s="36">
        <v>80601</v>
      </c>
      <c r="B321" s="17" t="s">
        <v>92</v>
      </c>
      <c r="C321" s="17" t="s">
        <v>433</v>
      </c>
      <c r="D321" s="17" t="s">
        <v>83</v>
      </c>
      <c r="E321" s="10">
        <f t="shared" si="13"/>
        <v>14.705882352941176</v>
      </c>
      <c r="F321" s="47">
        <v>5</v>
      </c>
      <c r="G321" s="57">
        <v>340</v>
      </c>
      <c r="H321" s="11">
        <f t="shared" si="14"/>
        <v>1</v>
      </c>
      <c r="I321" s="11">
        <f t="shared" si="15"/>
        <v>68</v>
      </c>
      <c r="J321" s="5"/>
    </row>
    <row r="322" spans="1:10" ht="15.75" customHeight="1" x14ac:dyDescent="0.3">
      <c r="A322" s="36">
        <v>80602</v>
      </c>
      <c r="B322" s="17" t="s">
        <v>92</v>
      </c>
      <c r="C322" s="17" t="s">
        <v>433</v>
      </c>
      <c r="D322" s="17" t="s">
        <v>214</v>
      </c>
      <c r="E322" s="10">
        <f t="shared" si="13"/>
        <v>15.274034141958671</v>
      </c>
      <c r="F322" s="47">
        <v>17</v>
      </c>
      <c r="G322" s="57">
        <v>1113</v>
      </c>
      <c r="H322" s="11">
        <f t="shared" si="14"/>
        <v>3.4</v>
      </c>
      <c r="I322" s="11">
        <f t="shared" si="15"/>
        <v>222.6</v>
      </c>
      <c r="J322" s="5"/>
    </row>
    <row r="323" spans="1:10" ht="15.75" customHeight="1" x14ac:dyDescent="0.3">
      <c r="A323" s="36">
        <v>80701</v>
      </c>
      <c r="B323" s="17" t="s">
        <v>92</v>
      </c>
      <c r="C323" s="17" t="s">
        <v>434</v>
      </c>
      <c r="D323" s="17" t="s">
        <v>64</v>
      </c>
      <c r="E323" s="10">
        <f t="shared" ref="E323:E344" si="16">(F323/G323)*1000</f>
        <v>8.908685968819599</v>
      </c>
      <c r="F323" s="47">
        <v>4</v>
      </c>
      <c r="G323" s="57">
        <v>449</v>
      </c>
      <c r="H323" s="11">
        <f t="shared" ref="H323:H345" si="17">F323/5</f>
        <v>0.8</v>
      </c>
      <c r="I323" s="11">
        <f t="shared" ref="I323:I345" si="18">G323/5</f>
        <v>89.8</v>
      </c>
      <c r="J323" s="5"/>
    </row>
    <row r="324" spans="1:10" ht="15.75" customHeight="1" x14ac:dyDescent="0.3">
      <c r="A324" s="36">
        <v>80702</v>
      </c>
      <c r="B324" s="17" t="s">
        <v>92</v>
      </c>
      <c r="C324" s="17" t="s">
        <v>434</v>
      </c>
      <c r="D324" s="17" t="s">
        <v>44</v>
      </c>
      <c r="E324" s="10">
        <f t="shared" si="16"/>
        <v>7.7922077922077921</v>
      </c>
      <c r="F324" s="47">
        <v>3</v>
      </c>
      <c r="G324" s="57">
        <v>385</v>
      </c>
      <c r="H324" s="11">
        <f t="shared" si="17"/>
        <v>0.6</v>
      </c>
      <c r="I324" s="11">
        <f t="shared" si="18"/>
        <v>77</v>
      </c>
      <c r="J324" s="5"/>
    </row>
    <row r="325" spans="1:10" ht="15.75" customHeight="1" x14ac:dyDescent="0.3">
      <c r="A325" s="36">
        <v>80703</v>
      </c>
      <c r="B325" s="17" t="s">
        <v>92</v>
      </c>
      <c r="C325" s="17" t="s">
        <v>434</v>
      </c>
      <c r="D325" s="17" t="s">
        <v>2</v>
      </c>
      <c r="E325" s="10">
        <f t="shared" si="16"/>
        <v>0</v>
      </c>
      <c r="F325" s="47">
        <v>0</v>
      </c>
      <c r="G325" s="57">
        <v>92</v>
      </c>
      <c r="H325" s="11">
        <f t="shared" si="17"/>
        <v>0</v>
      </c>
      <c r="I325" s="11">
        <f t="shared" si="18"/>
        <v>18.399999999999999</v>
      </c>
      <c r="J325" s="5"/>
    </row>
    <row r="326" spans="1:10" ht="15.75" customHeight="1" x14ac:dyDescent="0.3">
      <c r="A326" s="36">
        <v>80801</v>
      </c>
      <c r="B326" s="17" t="s">
        <v>92</v>
      </c>
      <c r="C326" s="17" t="s">
        <v>435</v>
      </c>
      <c r="D326" s="17" t="s">
        <v>142</v>
      </c>
      <c r="E326" s="10">
        <f t="shared" si="16"/>
        <v>7.6670317634173051</v>
      </c>
      <c r="F326" s="47">
        <v>7</v>
      </c>
      <c r="G326" s="57">
        <v>913</v>
      </c>
      <c r="H326" s="11">
        <f t="shared" si="17"/>
        <v>1.4</v>
      </c>
      <c r="I326" s="11">
        <f t="shared" si="18"/>
        <v>182.6</v>
      </c>
      <c r="J326" s="5"/>
    </row>
    <row r="327" spans="1:10" ht="15.75" customHeight="1" x14ac:dyDescent="0.3">
      <c r="A327" s="36">
        <v>80802</v>
      </c>
      <c r="B327" s="17" t="s">
        <v>92</v>
      </c>
      <c r="C327" s="17" t="s">
        <v>435</v>
      </c>
      <c r="D327" s="17" t="s">
        <v>118</v>
      </c>
      <c r="E327" s="10">
        <f t="shared" si="16"/>
        <v>15.250544662309368</v>
      </c>
      <c r="F327" s="47">
        <v>7</v>
      </c>
      <c r="G327" s="57">
        <v>459</v>
      </c>
      <c r="H327" s="11">
        <f t="shared" si="17"/>
        <v>1.4</v>
      </c>
      <c r="I327" s="11">
        <f t="shared" si="18"/>
        <v>91.8</v>
      </c>
      <c r="J327" s="5"/>
    </row>
    <row r="328" spans="1:10" ht="15.75" customHeight="1" x14ac:dyDescent="0.3">
      <c r="A328" s="36">
        <v>80803</v>
      </c>
      <c r="B328" s="17" t="s">
        <v>92</v>
      </c>
      <c r="C328" s="17" t="s">
        <v>435</v>
      </c>
      <c r="D328" s="17" t="s">
        <v>17</v>
      </c>
      <c r="E328" s="10">
        <f t="shared" si="16"/>
        <v>3.0395136778115504</v>
      </c>
      <c r="F328" s="47">
        <v>1</v>
      </c>
      <c r="G328" s="57">
        <v>329</v>
      </c>
      <c r="H328" s="11">
        <f t="shared" si="17"/>
        <v>0.2</v>
      </c>
      <c r="I328" s="11">
        <f t="shared" si="18"/>
        <v>65.8</v>
      </c>
      <c r="J328" s="5"/>
    </row>
    <row r="329" spans="1:10" ht="15.75" customHeight="1" x14ac:dyDescent="0.3">
      <c r="A329" s="37">
        <v>80901</v>
      </c>
      <c r="B329" s="17" t="s">
        <v>92</v>
      </c>
      <c r="C329" s="17"/>
      <c r="D329" s="17" t="s">
        <v>436</v>
      </c>
      <c r="E329" s="10">
        <f t="shared" si="16"/>
        <v>27.777777777777775</v>
      </c>
      <c r="F329" s="47">
        <v>11</v>
      </c>
      <c r="G329" s="58">
        <v>396</v>
      </c>
      <c r="H329" s="11">
        <f t="shared" si="17"/>
        <v>2.2000000000000002</v>
      </c>
      <c r="I329" s="11">
        <f t="shared" si="18"/>
        <v>79.2</v>
      </c>
      <c r="J329" s="9"/>
    </row>
    <row r="330" spans="1:10" ht="15.75" customHeight="1" x14ac:dyDescent="0.3">
      <c r="A330" s="36">
        <v>90101</v>
      </c>
      <c r="B330" s="17" t="s">
        <v>102</v>
      </c>
      <c r="C330" s="17" t="s">
        <v>437</v>
      </c>
      <c r="D330" s="17" t="s">
        <v>281</v>
      </c>
      <c r="E330" s="10">
        <f t="shared" si="16"/>
        <v>8.8913587107529857</v>
      </c>
      <c r="F330" s="47">
        <v>32</v>
      </c>
      <c r="G330" s="57">
        <v>3599</v>
      </c>
      <c r="H330" s="11">
        <f t="shared" si="17"/>
        <v>6.4</v>
      </c>
      <c r="I330" s="11">
        <f t="shared" si="18"/>
        <v>719.8</v>
      </c>
      <c r="J330" s="5"/>
    </row>
    <row r="331" spans="1:10" ht="15.75" customHeight="1" x14ac:dyDescent="0.3">
      <c r="A331" s="36">
        <v>90102</v>
      </c>
      <c r="B331" s="17" t="s">
        <v>102</v>
      </c>
      <c r="C331" s="17" t="s">
        <v>437</v>
      </c>
      <c r="D331" s="17" t="s">
        <v>115</v>
      </c>
      <c r="E331" s="10">
        <f t="shared" si="16"/>
        <v>1.6</v>
      </c>
      <c r="F331" s="47">
        <v>1</v>
      </c>
      <c r="G331" s="57">
        <v>625</v>
      </c>
      <c r="H331" s="11">
        <f t="shared" si="17"/>
        <v>0.2</v>
      </c>
      <c r="I331" s="11">
        <f t="shared" si="18"/>
        <v>125</v>
      </c>
      <c r="J331" s="5"/>
    </row>
    <row r="332" spans="1:10" ht="15.75" customHeight="1" x14ac:dyDescent="0.3">
      <c r="A332" s="36">
        <v>90103</v>
      </c>
      <c r="B332" s="17" t="s">
        <v>102</v>
      </c>
      <c r="C332" s="17" t="s">
        <v>437</v>
      </c>
      <c r="D332" s="17" t="s">
        <v>4</v>
      </c>
      <c r="E332" s="10">
        <f t="shared" si="16"/>
        <v>0</v>
      </c>
      <c r="F332" s="47">
        <v>0</v>
      </c>
      <c r="G332" s="57">
        <v>152</v>
      </c>
      <c r="H332" s="11">
        <f t="shared" si="17"/>
        <v>0</v>
      </c>
      <c r="I332" s="11">
        <f t="shared" si="18"/>
        <v>30.4</v>
      </c>
      <c r="J332" s="5"/>
    </row>
    <row r="333" spans="1:10" ht="15.75" customHeight="1" x14ac:dyDescent="0.3">
      <c r="A333" s="36">
        <v>90104</v>
      </c>
      <c r="B333" s="17" t="s">
        <v>102</v>
      </c>
      <c r="C333" s="17" t="s">
        <v>437</v>
      </c>
      <c r="D333" s="17" t="s">
        <v>81</v>
      </c>
      <c r="E333" s="10">
        <f t="shared" si="16"/>
        <v>3.8022813688212929</v>
      </c>
      <c r="F333" s="47">
        <v>1</v>
      </c>
      <c r="G333" s="57">
        <v>263</v>
      </c>
      <c r="H333" s="11">
        <f t="shared" si="17"/>
        <v>0.2</v>
      </c>
      <c r="I333" s="11">
        <f t="shared" si="18"/>
        <v>52.6</v>
      </c>
      <c r="J333" s="5"/>
    </row>
    <row r="334" spans="1:10" ht="15.75" customHeight="1" x14ac:dyDescent="0.3">
      <c r="A334" s="36">
        <v>90201</v>
      </c>
      <c r="B334" s="17" t="s">
        <v>102</v>
      </c>
      <c r="C334" s="17" t="s">
        <v>438</v>
      </c>
      <c r="D334" s="17" t="s">
        <v>131</v>
      </c>
      <c r="E334" s="10">
        <f t="shared" si="16"/>
        <v>6.6225165562913908</v>
      </c>
      <c r="F334" s="47">
        <v>4</v>
      </c>
      <c r="G334" s="57">
        <v>604</v>
      </c>
      <c r="H334" s="11">
        <f t="shared" si="17"/>
        <v>0.8</v>
      </c>
      <c r="I334" s="11">
        <f t="shared" si="18"/>
        <v>120.8</v>
      </c>
      <c r="J334" s="5"/>
    </row>
    <row r="335" spans="1:10" ht="15.75" customHeight="1" x14ac:dyDescent="0.3">
      <c r="A335" s="36">
        <v>90202</v>
      </c>
      <c r="B335" s="17" t="s">
        <v>102</v>
      </c>
      <c r="C335" s="17" t="s">
        <v>438</v>
      </c>
      <c r="D335" s="17" t="s">
        <v>9</v>
      </c>
      <c r="E335" s="10">
        <f t="shared" si="16"/>
        <v>0</v>
      </c>
      <c r="F335" s="47">
        <v>0</v>
      </c>
      <c r="G335" s="57">
        <v>262</v>
      </c>
      <c r="H335" s="11">
        <f t="shared" si="17"/>
        <v>0</v>
      </c>
      <c r="I335" s="11">
        <f t="shared" si="18"/>
        <v>52.4</v>
      </c>
      <c r="J335" s="5"/>
    </row>
    <row r="336" spans="1:10" ht="15.75" customHeight="1" x14ac:dyDescent="0.3">
      <c r="A336" s="36">
        <v>90203</v>
      </c>
      <c r="B336" s="17" t="s">
        <v>102</v>
      </c>
      <c r="C336" s="17" t="s">
        <v>438</v>
      </c>
      <c r="D336" s="17" t="s">
        <v>37</v>
      </c>
      <c r="E336" s="10">
        <f t="shared" si="16"/>
        <v>4.6511627906976747</v>
      </c>
      <c r="F336" s="47">
        <v>3</v>
      </c>
      <c r="G336" s="57">
        <v>645</v>
      </c>
      <c r="H336" s="11">
        <f t="shared" si="17"/>
        <v>0.6</v>
      </c>
      <c r="I336" s="11">
        <f t="shared" si="18"/>
        <v>129</v>
      </c>
      <c r="J336" s="5"/>
    </row>
    <row r="337" spans="1:15" ht="15.75" customHeight="1" x14ac:dyDescent="0.3">
      <c r="A337" s="36">
        <v>90301</v>
      </c>
      <c r="B337" s="17" t="s">
        <v>102</v>
      </c>
      <c r="C337" s="17" t="s">
        <v>439</v>
      </c>
      <c r="D337" s="17" t="s">
        <v>340</v>
      </c>
      <c r="E337" s="10">
        <f t="shared" si="16"/>
        <v>8.9020771513353125</v>
      </c>
      <c r="F337" s="47">
        <v>6</v>
      </c>
      <c r="G337" s="57">
        <v>674</v>
      </c>
      <c r="H337" s="11">
        <f t="shared" si="17"/>
        <v>1.2</v>
      </c>
      <c r="I337" s="11">
        <f t="shared" si="18"/>
        <v>134.80000000000001</v>
      </c>
      <c r="J337" s="5"/>
    </row>
    <row r="338" spans="1:15" ht="15.75" customHeight="1" x14ac:dyDescent="0.3">
      <c r="A338" s="36">
        <v>90302</v>
      </c>
      <c r="B338" s="17" t="s">
        <v>102</v>
      </c>
      <c r="C338" s="17" t="s">
        <v>439</v>
      </c>
      <c r="D338" s="17" t="s">
        <v>59</v>
      </c>
      <c r="E338" s="10">
        <f t="shared" si="16"/>
        <v>2.5380710659898473</v>
      </c>
      <c r="F338" s="47">
        <v>2</v>
      </c>
      <c r="G338" s="57">
        <v>788</v>
      </c>
      <c r="H338" s="11">
        <f t="shared" si="17"/>
        <v>0.4</v>
      </c>
      <c r="I338" s="11">
        <f t="shared" si="18"/>
        <v>157.6</v>
      </c>
      <c r="J338" s="5"/>
    </row>
    <row r="339" spans="1:15" ht="15.75" customHeight="1" x14ac:dyDescent="0.3">
      <c r="A339" s="36">
        <v>90303</v>
      </c>
      <c r="B339" s="17" t="s">
        <v>102</v>
      </c>
      <c r="C339" s="17" t="s">
        <v>439</v>
      </c>
      <c r="D339" s="17" t="s">
        <v>341</v>
      </c>
      <c r="E339" s="10">
        <f t="shared" si="16"/>
        <v>11.702127659574467</v>
      </c>
      <c r="F339" s="47">
        <v>11</v>
      </c>
      <c r="G339" s="57">
        <v>940</v>
      </c>
      <c r="H339" s="11">
        <f t="shared" si="17"/>
        <v>2.2000000000000002</v>
      </c>
      <c r="I339" s="11">
        <f t="shared" si="18"/>
        <v>188</v>
      </c>
      <c r="J339" s="5"/>
    </row>
    <row r="340" spans="1:15" ht="15.75" customHeight="1" x14ac:dyDescent="0.3">
      <c r="A340" s="36">
        <v>90401</v>
      </c>
      <c r="B340" s="17" t="s">
        <v>102</v>
      </c>
      <c r="C340" s="17" t="s">
        <v>440</v>
      </c>
      <c r="D340" s="17" t="s">
        <v>441</v>
      </c>
      <c r="E340" s="10">
        <f t="shared" si="16"/>
        <v>4.3478260869565215</v>
      </c>
      <c r="F340" s="47">
        <v>1</v>
      </c>
      <c r="G340" s="57">
        <v>230</v>
      </c>
      <c r="H340" s="11">
        <f t="shared" si="17"/>
        <v>0.2</v>
      </c>
      <c r="I340" s="11">
        <f t="shared" si="18"/>
        <v>46</v>
      </c>
      <c r="J340" s="5"/>
    </row>
    <row r="341" spans="1:15" ht="15.75" customHeight="1" x14ac:dyDescent="0.3">
      <c r="A341" s="36">
        <v>90402</v>
      </c>
      <c r="B341" s="17" t="s">
        <v>102</v>
      </c>
      <c r="C341" s="17" t="s">
        <v>440</v>
      </c>
      <c r="D341" s="17" t="s">
        <v>14</v>
      </c>
      <c r="E341" s="10">
        <f t="shared" si="16"/>
        <v>9.4786729857819907</v>
      </c>
      <c r="F341" s="47">
        <v>2</v>
      </c>
      <c r="G341" s="57">
        <v>211</v>
      </c>
      <c r="H341" s="11">
        <f t="shared" si="17"/>
        <v>0.4</v>
      </c>
      <c r="I341" s="11">
        <f t="shared" si="18"/>
        <v>42.2</v>
      </c>
      <c r="J341" s="5"/>
    </row>
    <row r="342" spans="1:15" ht="15.75" customHeight="1" x14ac:dyDescent="0.3">
      <c r="A342" s="36">
        <v>90501</v>
      </c>
      <c r="B342" s="17" t="s">
        <v>102</v>
      </c>
      <c r="C342" s="17" t="s">
        <v>442</v>
      </c>
      <c r="D342" s="17" t="s">
        <v>26</v>
      </c>
      <c r="E342" s="10">
        <f t="shared" si="16"/>
        <v>7.9365079365079358</v>
      </c>
      <c r="F342" s="47">
        <v>1</v>
      </c>
      <c r="G342" s="57">
        <v>126</v>
      </c>
      <c r="H342" s="11">
        <f t="shared" si="17"/>
        <v>0.2</v>
      </c>
      <c r="I342" s="11">
        <f t="shared" si="18"/>
        <v>25.2</v>
      </c>
      <c r="J342" s="5"/>
    </row>
    <row r="343" spans="1:15" ht="15.75" customHeight="1" x14ac:dyDescent="0.3">
      <c r="A343" s="36">
        <v>90502</v>
      </c>
      <c r="B343" s="17" t="s">
        <v>102</v>
      </c>
      <c r="C343" s="17" t="s">
        <v>442</v>
      </c>
      <c r="D343" s="17" t="s">
        <v>443</v>
      </c>
      <c r="E343" s="10">
        <f t="shared" si="16"/>
        <v>14.018691588785046</v>
      </c>
      <c r="F343" s="47">
        <v>3</v>
      </c>
      <c r="G343" s="57">
        <v>214</v>
      </c>
      <c r="H343" s="11">
        <f t="shared" si="17"/>
        <v>0.6</v>
      </c>
      <c r="I343" s="11">
        <f t="shared" si="18"/>
        <v>42.8</v>
      </c>
      <c r="J343" s="5"/>
    </row>
    <row r="344" spans="1:15" ht="15.75" customHeight="1" x14ac:dyDescent="0.3">
      <c r="A344" s="36">
        <v>90503</v>
      </c>
      <c r="B344" s="17" t="s">
        <v>102</v>
      </c>
      <c r="C344" s="17" t="s">
        <v>442</v>
      </c>
      <c r="D344" s="17" t="s">
        <v>24</v>
      </c>
      <c r="E344" s="10">
        <f t="shared" si="16"/>
        <v>22.346368715083798</v>
      </c>
      <c r="F344" s="56">
        <v>4</v>
      </c>
      <c r="G344" s="59">
        <v>179</v>
      </c>
      <c r="H344" s="11">
        <f t="shared" si="17"/>
        <v>0.8</v>
      </c>
      <c r="I344" s="11">
        <f t="shared" si="18"/>
        <v>35.799999999999997</v>
      </c>
      <c r="J344" s="5"/>
    </row>
    <row r="345" spans="1:15" ht="15.75" customHeight="1" x14ac:dyDescent="0.3">
      <c r="D345" s="19"/>
      <c r="E345" s="41"/>
      <c r="F345" s="42">
        <v>7608</v>
      </c>
      <c r="G345" s="60">
        <v>719598</v>
      </c>
      <c r="H345" s="11">
        <f t="shared" si="17"/>
        <v>1521.6</v>
      </c>
      <c r="I345" s="11">
        <f t="shared" si="18"/>
        <v>143919.6</v>
      </c>
      <c r="J345" s="9"/>
      <c r="L345" s="44">
        <f>G345+J345</f>
        <v>719598</v>
      </c>
    </row>
    <row r="346" spans="1:15" ht="15.75" customHeight="1" x14ac:dyDescent="0.3">
      <c r="D346" s="19" t="s">
        <v>412</v>
      </c>
      <c r="E346" s="40">
        <f>(F346/G346)*1000</f>
        <v>8.2292574305353856</v>
      </c>
      <c r="F346" s="9">
        <f>AVERAGE(F246:F248)</f>
        <v>28.333333333333332</v>
      </c>
      <c r="G346" s="9">
        <f>AVERAGE(G246:G248)</f>
        <v>3443</v>
      </c>
      <c r="H346" s="9"/>
      <c r="I346" s="9"/>
      <c r="J346" s="5"/>
    </row>
    <row r="347" spans="1:15" ht="15.75" customHeight="1" x14ac:dyDescent="0.3">
      <c r="D347" s="74"/>
      <c r="E347" s="40"/>
      <c r="F347" s="9"/>
      <c r="G347" s="5"/>
      <c r="H347" s="5"/>
      <c r="I347" s="5"/>
      <c r="J347" s="5"/>
    </row>
    <row r="348" spans="1:15" ht="15.75" customHeight="1" x14ac:dyDescent="0.3">
      <c r="D348" s="19"/>
      <c r="E348" s="40"/>
      <c r="F348" s="9"/>
      <c r="G348" s="5"/>
      <c r="H348" s="5"/>
      <c r="I348" s="5"/>
      <c r="J348" s="5"/>
    </row>
    <row r="349" spans="1:15" ht="15.75" customHeight="1" x14ac:dyDescent="0.3">
      <c r="D349" s="19"/>
      <c r="E349" s="7"/>
      <c r="F349" s="9"/>
      <c r="G349" s="5"/>
      <c r="H349" s="5"/>
      <c r="I349" s="5"/>
      <c r="J349" s="5"/>
    </row>
    <row r="350" spans="1:15" ht="15.75" customHeight="1" x14ac:dyDescent="0.3">
      <c r="D350" s="19"/>
      <c r="E350" s="7"/>
      <c r="F350" s="9"/>
      <c r="G350" s="5"/>
      <c r="H350" s="5"/>
      <c r="I350" s="5"/>
      <c r="J350" s="5"/>
      <c r="M350">
        <f>E354*100</f>
        <v>0</v>
      </c>
      <c r="O350">
        <f>M350+M351</f>
        <v>0</v>
      </c>
    </row>
    <row r="351" spans="1:15" ht="15.75" customHeight="1" x14ac:dyDescent="0.3">
      <c r="D351" s="19"/>
      <c r="E351" s="7"/>
      <c r="F351" s="9"/>
      <c r="G351" s="5"/>
      <c r="H351" s="5"/>
      <c r="I351" s="5"/>
      <c r="J351" s="5"/>
      <c r="M351">
        <f>E355*100</f>
        <v>0</v>
      </c>
      <c r="O351">
        <f>M350-M351</f>
        <v>0</v>
      </c>
    </row>
    <row r="352" spans="1:15" ht="15.75" customHeight="1" x14ac:dyDescent="0.3">
      <c r="D352" s="19"/>
      <c r="F352" s="5"/>
      <c r="J352" s="5"/>
    </row>
    <row r="353" spans="3:9" ht="15.75" customHeight="1" x14ac:dyDescent="0.3">
      <c r="C353" s="20" t="s">
        <v>307</v>
      </c>
      <c r="D353" s="21">
        <f>AVERAGE(E1:E344)</f>
        <v>12.731280559164073</v>
      </c>
      <c r="F353" s="7">
        <f>D353+D354</f>
        <v>21.070307777622652</v>
      </c>
    </row>
    <row r="354" spans="3:9" ht="15.75" customHeight="1" x14ac:dyDescent="0.3">
      <c r="C354" s="20" t="s">
        <v>444</v>
      </c>
      <c r="D354" s="21">
        <f>STDEV(E1:E344)</f>
        <v>8.339027218458579</v>
      </c>
      <c r="E354" s="8"/>
      <c r="F354" s="7">
        <f>D353-D354</f>
        <v>4.3922533407054942</v>
      </c>
      <c r="G354" s="8"/>
      <c r="H354" s="8"/>
      <c r="I354" s="8"/>
    </row>
    <row r="355" spans="3:9" ht="15.75" customHeight="1" x14ac:dyDescent="0.3">
      <c r="C355" s="20" t="s">
        <v>308</v>
      </c>
      <c r="D355" s="21"/>
      <c r="E355" s="8"/>
      <c r="F355" s="7"/>
      <c r="G355" s="8"/>
      <c r="H355" s="8"/>
      <c r="I355" s="8"/>
    </row>
    <row r="356" spans="3:9" ht="15.75" customHeight="1" x14ac:dyDescent="0.3">
      <c r="C356" s="20" t="s">
        <v>309</v>
      </c>
      <c r="D356" s="21"/>
      <c r="E356" s="8"/>
      <c r="F356" s="7"/>
    </row>
    <row r="357" spans="3:9" ht="15.75" customHeight="1" x14ac:dyDescent="0.3">
      <c r="C357" s="20" t="s">
        <v>310</v>
      </c>
      <c r="D357" s="21"/>
      <c r="E357" s="8"/>
      <c r="F357" s="7"/>
    </row>
    <row r="358" spans="3:9" ht="15.75" customHeight="1" x14ac:dyDescent="0.3">
      <c r="D358" s="22"/>
      <c r="E358" s="6"/>
      <c r="F358" s="7"/>
    </row>
    <row r="359" spans="3:9" ht="15.75" customHeight="1" x14ac:dyDescent="0.3">
      <c r="D359" s="22"/>
      <c r="F359" s="7"/>
    </row>
    <row r="360" spans="3:9" ht="15.75" customHeight="1" x14ac:dyDescent="0.3">
      <c r="D360" s="22"/>
      <c r="F360" s="7"/>
    </row>
    <row r="361" spans="3:9" ht="15.75" customHeight="1" x14ac:dyDescent="0.3">
      <c r="D361" s="22"/>
      <c r="F361" s="7"/>
    </row>
    <row r="362" spans="3:9" ht="15.75" customHeight="1" x14ac:dyDescent="0.3">
      <c r="D362" s="22"/>
      <c r="F362" s="7"/>
    </row>
    <row r="363" spans="3:9" ht="15.75" customHeight="1" x14ac:dyDescent="0.3">
      <c r="D363" s="22"/>
      <c r="F363" s="7"/>
    </row>
    <row r="364" spans="3:9" ht="15.75" customHeight="1" x14ac:dyDescent="0.3">
      <c r="D364" s="22"/>
      <c r="F364" s="7"/>
    </row>
    <row r="365" spans="3:9" ht="15.75" customHeight="1" x14ac:dyDescent="0.3">
      <c r="D365" s="22"/>
      <c r="F365" s="7"/>
    </row>
    <row r="366" spans="3:9" ht="15.75" customHeight="1" x14ac:dyDescent="0.3">
      <c r="D366" s="22"/>
      <c r="F366" s="7"/>
    </row>
    <row r="367" spans="3:9" ht="15.75" customHeight="1" x14ac:dyDescent="0.3">
      <c r="D367" s="22"/>
      <c r="F367" s="7"/>
    </row>
    <row r="368" spans="3:9" ht="15.75" customHeight="1" x14ac:dyDescent="0.3">
      <c r="D368" s="22"/>
      <c r="F368" s="7"/>
    </row>
    <row r="369" spans="4:6" ht="15.75" customHeight="1" x14ac:dyDescent="0.3">
      <c r="D369" s="22"/>
      <c r="F369" s="7"/>
    </row>
    <row r="370" spans="4:6" ht="15.75" customHeight="1" x14ac:dyDescent="0.3">
      <c r="D370" s="22"/>
      <c r="F370" s="7"/>
    </row>
    <row r="371" spans="4:6" ht="15.75" customHeight="1" x14ac:dyDescent="0.3">
      <c r="D371" s="22"/>
      <c r="F371" s="7"/>
    </row>
    <row r="372" spans="4:6" ht="15.75" customHeight="1" x14ac:dyDescent="0.3">
      <c r="D372" s="22"/>
      <c r="F372" s="7"/>
    </row>
    <row r="373" spans="4:6" ht="15.75" customHeight="1" x14ac:dyDescent="0.3">
      <c r="D373" s="22"/>
      <c r="F373" s="7"/>
    </row>
    <row r="374" spans="4:6" ht="15.75" customHeight="1" x14ac:dyDescent="0.3">
      <c r="D374" s="22"/>
      <c r="F374" s="7"/>
    </row>
    <row r="375" spans="4:6" ht="15.75" customHeight="1" x14ac:dyDescent="0.3">
      <c r="D375" s="22"/>
      <c r="F375" s="7"/>
    </row>
    <row r="376" spans="4:6" ht="15.75" customHeight="1" x14ac:dyDescent="0.3">
      <c r="D376" s="22"/>
      <c r="F376" s="7"/>
    </row>
    <row r="377" spans="4:6" ht="15.75" customHeight="1" x14ac:dyDescent="0.3">
      <c r="D377" s="22"/>
      <c r="F377" s="7"/>
    </row>
    <row r="378" spans="4:6" ht="15.75" customHeight="1" x14ac:dyDescent="0.3">
      <c r="D378" s="22"/>
      <c r="F378" s="7"/>
    </row>
    <row r="379" spans="4:6" ht="15.75" customHeight="1" x14ac:dyDescent="0.3">
      <c r="D379" s="22"/>
      <c r="F379" s="7"/>
    </row>
    <row r="380" spans="4:6" ht="15.75" customHeight="1" x14ac:dyDescent="0.3">
      <c r="D380" s="22"/>
      <c r="F380" s="7"/>
    </row>
    <row r="381" spans="4:6" ht="15.75" customHeight="1" x14ac:dyDescent="0.3">
      <c r="D381" s="22"/>
      <c r="F381" s="7"/>
    </row>
    <row r="382" spans="4:6" ht="15.75" customHeight="1" x14ac:dyDescent="0.3">
      <c r="D382" s="22"/>
      <c r="F382" s="7"/>
    </row>
    <row r="383" spans="4:6" ht="15.75" customHeight="1" x14ac:dyDescent="0.3">
      <c r="D383" s="22"/>
      <c r="F383" s="7"/>
    </row>
    <row r="384" spans="4:6" ht="15.75" customHeight="1" x14ac:dyDescent="0.3">
      <c r="D384" s="22"/>
      <c r="F384" s="7"/>
    </row>
    <row r="385" spans="4:6" ht="15.75" customHeight="1" x14ac:dyDescent="0.3">
      <c r="D385" s="22"/>
      <c r="F385" s="7"/>
    </row>
    <row r="386" spans="4:6" ht="15.75" customHeight="1" x14ac:dyDescent="0.3">
      <c r="D386" s="22"/>
      <c r="F386" s="7"/>
    </row>
    <row r="387" spans="4:6" ht="15.75" customHeight="1" x14ac:dyDescent="0.3">
      <c r="D387" s="22"/>
      <c r="F387" s="7"/>
    </row>
    <row r="388" spans="4:6" ht="15.75" customHeight="1" x14ac:dyDescent="0.3">
      <c r="D388" s="22"/>
      <c r="F388" s="7"/>
    </row>
    <row r="389" spans="4:6" ht="15.75" customHeight="1" x14ac:dyDescent="0.3">
      <c r="D389" s="22"/>
      <c r="F389" s="7"/>
    </row>
    <row r="390" spans="4:6" ht="15.75" customHeight="1" x14ac:dyDescent="0.3">
      <c r="D390" s="22"/>
      <c r="F390" s="7"/>
    </row>
    <row r="391" spans="4:6" ht="15.75" customHeight="1" x14ac:dyDescent="0.3">
      <c r="D391" s="22"/>
      <c r="F391" s="7"/>
    </row>
    <row r="392" spans="4:6" ht="15.75" customHeight="1" x14ac:dyDescent="0.3">
      <c r="D392" s="22"/>
      <c r="F392" s="7"/>
    </row>
    <row r="393" spans="4:6" ht="15.75" customHeight="1" x14ac:dyDescent="0.3">
      <c r="D393" s="22"/>
      <c r="F393" s="7"/>
    </row>
    <row r="394" spans="4:6" ht="15.75" customHeight="1" x14ac:dyDescent="0.3">
      <c r="D394" s="22"/>
      <c r="F394" s="7"/>
    </row>
    <row r="395" spans="4:6" ht="15.75" customHeight="1" x14ac:dyDescent="0.3">
      <c r="D395" s="22"/>
      <c r="F395" s="7"/>
    </row>
    <row r="396" spans="4:6" ht="15.75" customHeight="1" x14ac:dyDescent="0.3">
      <c r="D396" s="22"/>
      <c r="F396" s="7"/>
    </row>
    <row r="397" spans="4:6" ht="15.75" customHeight="1" x14ac:dyDescent="0.3">
      <c r="D397" s="22"/>
      <c r="F397" s="7"/>
    </row>
    <row r="398" spans="4:6" ht="15.75" customHeight="1" x14ac:dyDescent="0.3">
      <c r="D398" s="22"/>
      <c r="F398" s="7"/>
    </row>
    <row r="399" spans="4:6" ht="15.75" customHeight="1" x14ac:dyDescent="0.3">
      <c r="D399" s="22"/>
      <c r="F399" s="7"/>
    </row>
    <row r="400" spans="4:6" ht="15.75" customHeight="1" x14ac:dyDescent="0.3">
      <c r="D400" s="22"/>
      <c r="F400" s="7"/>
    </row>
    <row r="401" spans="4:6" ht="15.75" customHeight="1" x14ac:dyDescent="0.3">
      <c r="D401" s="22"/>
      <c r="F401" s="7"/>
    </row>
    <row r="402" spans="4:6" ht="15.75" customHeight="1" x14ac:dyDescent="0.3">
      <c r="D402" s="22"/>
      <c r="F402" s="7"/>
    </row>
    <row r="403" spans="4:6" ht="15.75" customHeight="1" x14ac:dyDescent="0.3">
      <c r="D403" s="22"/>
      <c r="F403" s="7"/>
    </row>
    <row r="404" spans="4:6" ht="15.75" customHeight="1" x14ac:dyDescent="0.3">
      <c r="D404" s="22"/>
      <c r="F404" s="7"/>
    </row>
    <row r="405" spans="4:6" ht="15.75" customHeight="1" x14ac:dyDescent="0.3">
      <c r="D405" s="22"/>
      <c r="F405" s="7"/>
    </row>
    <row r="406" spans="4:6" ht="15.75" customHeight="1" x14ac:dyDescent="0.3">
      <c r="D406" s="22"/>
      <c r="F406" s="7"/>
    </row>
    <row r="407" spans="4:6" ht="15.75" customHeight="1" x14ac:dyDescent="0.3">
      <c r="D407" s="22"/>
      <c r="F407" s="7"/>
    </row>
    <row r="408" spans="4:6" ht="15.75" customHeight="1" x14ac:dyDescent="0.3">
      <c r="D408" s="22"/>
      <c r="F408" s="7"/>
    </row>
    <row r="409" spans="4:6" ht="15.75" customHeight="1" x14ac:dyDescent="0.3">
      <c r="D409" s="22"/>
      <c r="F409" s="7"/>
    </row>
    <row r="410" spans="4:6" ht="15.75" customHeight="1" x14ac:dyDescent="0.3">
      <c r="D410" s="22"/>
      <c r="F410" s="7"/>
    </row>
    <row r="411" spans="4:6" ht="15.75" customHeight="1" x14ac:dyDescent="0.3">
      <c r="D411" s="22"/>
      <c r="F411" s="7"/>
    </row>
    <row r="412" spans="4:6" ht="15.75" customHeight="1" x14ac:dyDescent="0.3">
      <c r="D412" s="22"/>
      <c r="F412" s="7"/>
    </row>
    <row r="413" spans="4:6" ht="15.75" customHeight="1" x14ac:dyDescent="0.3">
      <c r="D413" s="22"/>
      <c r="F413" s="7"/>
    </row>
    <row r="414" spans="4:6" ht="15.75" customHeight="1" x14ac:dyDescent="0.3">
      <c r="D414" s="22"/>
      <c r="F414" s="7"/>
    </row>
    <row r="415" spans="4:6" ht="15.75" customHeight="1" x14ac:dyDescent="0.3">
      <c r="D415" s="22"/>
      <c r="F415" s="7"/>
    </row>
    <row r="416" spans="4:6" ht="15.75" customHeight="1" x14ac:dyDescent="0.3">
      <c r="D416" s="22"/>
      <c r="F416" s="7"/>
    </row>
    <row r="417" spans="4:6" ht="15.75" customHeight="1" x14ac:dyDescent="0.3">
      <c r="D417" s="22"/>
      <c r="F417" s="7"/>
    </row>
    <row r="418" spans="4:6" ht="15.75" customHeight="1" x14ac:dyDescent="0.3">
      <c r="D418" s="22"/>
      <c r="F418" s="7"/>
    </row>
    <row r="419" spans="4:6" ht="15.75" customHeight="1" x14ac:dyDescent="0.3">
      <c r="D419" s="22"/>
      <c r="F419" s="7"/>
    </row>
    <row r="420" spans="4:6" ht="15.75" customHeight="1" x14ac:dyDescent="0.3">
      <c r="D420" s="22"/>
      <c r="F420" s="7"/>
    </row>
    <row r="421" spans="4:6" ht="15.75" customHeight="1" x14ac:dyDescent="0.3">
      <c r="D421" s="22"/>
      <c r="F421" s="7"/>
    </row>
    <row r="422" spans="4:6" ht="15.75" customHeight="1" x14ac:dyDescent="0.3">
      <c r="D422" s="22"/>
      <c r="F422" s="7"/>
    </row>
    <row r="423" spans="4:6" ht="15.75" customHeight="1" x14ac:dyDescent="0.3">
      <c r="D423" s="22"/>
      <c r="F423" s="7"/>
    </row>
    <row r="424" spans="4:6" ht="15.75" customHeight="1" x14ac:dyDescent="0.3">
      <c r="D424" s="22"/>
      <c r="F424" s="7"/>
    </row>
    <row r="425" spans="4:6" ht="15.75" customHeight="1" x14ac:dyDescent="0.3">
      <c r="D425" s="22"/>
      <c r="F425" s="7"/>
    </row>
    <row r="426" spans="4:6" ht="15.75" customHeight="1" x14ac:dyDescent="0.3">
      <c r="D426" s="22"/>
      <c r="F426" s="7"/>
    </row>
    <row r="427" spans="4:6" ht="15.75" customHeight="1" x14ac:dyDescent="0.3">
      <c r="D427" s="22"/>
      <c r="F427" s="7"/>
    </row>
    <row r="428" spans="4:6" ht="15.75" customHeight="1" x14ac:dyDescent="0.3">
      <c r="D428" s="22"/>
      <c r="F428" s="7"/>
    </row>
    <row r="429" spans="4:6" ht="15.75" customHeight="1" x14ac:dyDescent="0.3">
      <c r="D429" s="22"/>
      <c r="F429" s="7"/>
    </row>
    <row r="430" spans="4:6" ht="15.75" customHeight="1" x14ac:dyDescent="0.3">
      <c r="D430" s="22"/>
      <c r="F430" s="7"/>
    </row>
    <row r="431" spans="4:6" ht="15.75" customHeight="1" x14ac:dyDescent="0.3">
      <c r="D431" s="22"/>
      <c r="F431" s="7"/>
    </row>
    <row r="432" spans="4:6" ht="15.75" customHeight="1" x14ac:dyDescent="0.3">
      <c r="D432" s="22"/>
      <c r="F432" s="7"/>
    </row>
    <row r="433" spans="4:6" ht="15.75" customHeight="1" x14ac:dyDescent="0.3">
      <c r="D433" s="22"/>
      <c r="F433" s="7"/>
    </row>
    <row r="434" spans="4:6" ht="15.75" customHeight="1" x14ac:dyDescent="0.3">
      <c r="D434" s="22"/>
      <c r="F434" s="7"/>
    </row>
    <row r="435" spans="4:6" ht="15.75" customHeight="1" x14ac:dyDescent="0.3">
      <c r="D435" s="22"/>
      <c r="F435" s="7"/>
    </row>
    <row r="436" spans="4:6" ht="15.75" customHeight="1" x14ac:dyDescent="0.3">
      <c r="D436" s="22"/>
      <c r="F436" s="7"/>
    </row>
    <row r="437" spans="4:6" ht="15.75" customHeight="1" x14ac:dyDescent="0.3">
      <c r="D437" s="22"/>
      <c r="F437" s="7"/>
    </row>
    <row r="438" spans="4:6" ht="15.75" customHeight="1" x14ac:dyDescent="0.3">
      <c r="D438" s="22"/>
      <c r="F438" s="7"/>
    </row>
    <row r="439" spans="4:6" ht="15.75" customHeight="1" x14ac:dyDescent="0.3">
      <c r="D439" s="22"/>
      <c r="F439" s="7"/>
    </row>
    <row r="440" spans="4:6" ht="15.75" customHeight="1" x14ac:dyDescent="0.3">
      <c r="D440" s="22"/>
      <c r="F440" s="7"/>
    </row>
    <row r="441" spans="4:6" ht="15.75" customHeight="1" x14ac:dyDescent="0.3">
      <c r="D441" s="22"/>
      <c r="F441" s="7"/>
    </row>
    <row r="442" spans="4:6" ht="15.75" customHeight="1" x14ac:dyDescent="0.3">
      <c r="D442" s="22"/>
      <c r="F442" s="7"/>
    </row>
    <row r="443" spans="4:6" ht="15.75" customHeight="1" x14ac:dyDescent="0.3">
      <c r="D443" s="22"/>
      <c r="F443" s="7"/>
    </row>
    <row r="444" spans="4:6" ht="15.75" customHeight="1" x14ac:dyDescent="0.3">
      <c r="D444" s="22"/>
      <c r="F444" s="7"/>
    </row>
    <row r="445" spans="4:6" ht="15.75" customHeight="1" x14ac:dyDescent="0.3">
      <c r="D445" s="22"/>
      <c r="F445" s="7"/>
    </row>
    <row r="446" spans="4:6" ht="15.75" customHeight="1" x14ac:dyDescent="0.3">
      <c r="D446" s="22"/>
      <c r="F446" s="7"/>
    </row>
    <row r="447" spans="4:6" ht="15.75" customHeight="1" x14ac:dyDescent="0.3">
      <c r="D447" s="22"/>
      <c r="F447" s="7"/>
    </row>
    <row r="448" spans="4:6" ht="15.75" customHeight="1" x14ac:dyDescent="0.3">
      <c r="D448" s="22"/>
      <c r="F448" s="7"/>
    </row>
    <row r="449" spans="4:6" ht="15.75" customHeight="1" x14ac:dyDescent="0.3">
      <c r="D449" s="22"/>
      <c r="F449" s="7"/>
    </row>
    <row r="450" spans="4:6" ht="15.75" customHeight="1" x14ac:dyDescent="0.3">
      <c r="D450" s="22"/>
      <c r="F450" s="7"/>
    </row>
    <row r="451" spans="4:6" ht="15.75" customHeight="1" x14ac:dyDescent="0.3">
      <c r="D451" s="22"/>
      <c r="F451" s="7"/>
    </row>
    <row r="452" spans="4:6" ht="15.75" customHeight="1" x14ac:dyDescent="0.3">
      <c r="D452" s="22"/>
      <c r="F452" s="7"/>
    </row>
    <row r="453" spans="4:6" ht="15.75" customHeight="1" x14ac:dyDescent="0.3">
      <c r="D453" s="22"/>
      <c r="F453" s="7"/>
    </row>
    <row r="454" spans="4:6" ht="15.75" customHeight="1" x14ac:dyDescent="0.3">
      <c r="D454" s="22"/>
      <c r="F454" s="7"/>
    </row>
    <row r="455" spans="4:6" ht="15.75" customHeight="1" x14ac:dyDescent="0.3">
      <c r="D455" s="22"/>
      <c r="F455" s="7"/>
    </row>
    <row r="456" spans="4:6" ht="15.75" customHeight="1" x14ac:dyDescent="0.3">
      <c r="D456" s="22"/>
      <c r="F456" s="7"/>
    </row>
    <row r="457" spans="4:6" ht="15.75" customHeight="1" x14ac:dyDescent="0.3">
      <c r="D457" s="22"/>
      <c r="F457" s="7"/>
    </row>
    <row r="458" spans="4:6" ht="15.75" customHeight="1" x14ac:dyDescent="0.3">
      <c r="D458" s="22"/>
      <c r="F458" s="7"/>
    </row>
    <row r="459" spans="4:6" ht="15.75" customHeight="1" x14ac:dyDescent="0.3">
      <c r="D459" s="22"/>
      <c r="F459" s="7"/>
    </row>
    <row r="460" spans="4:6" ht="15.75" customHeight="1" x14ac:dyDescent="0.3">
      <c r="D460" s="22"/>
      <c r="F460" s="7"/>
    </row>
    <row r="461" spans="4:6" ht="15.75" customHeight="1" x14ac:dyDescent="0.3">
      <c r="D461" s="22"/>
      <c r="F461" s="7"/>
    </row>
    <row r="462" spans="4:6" ht="15.75" customHeight="1" x14ac:dyDescent="0.3">
      <c r="D462" s="22"/>
      <c r="F462" s="7"/>
    </row>
    <row r="463" spans="4:6" ht="15.75" customHeight="1" x14ac:dyDescent="0.3">
      <c r="D463" s="22"/>
      <c r="F463" s="7"/>
    </row>
    <row r="464" spans="4:6" ht="15.75" customHeight="1" x14ac:dyDescent="0.3">
      <c r="D464" s="22"/>
      <c r="F464" s="7"/>
    </row>
    <row r="465" spans="4:6" ht="15.75" customHeight="1" x14ac:dyDescent="0.3">
      <c r="D465" s="22"/>
      <c r="F465" s="7"/>
    </row>
    <row r="466" spans="4:6" ht="15.75" customHeight="1" x14ac:dyDescent="0.3">
      <c r="D466" s="22"/>
      <c r="F466" s="7"/>
    </row>
    <row r="467" spans="4:6" ht="15.75" customHeight="1" x14ac:dyDescent="0.3">
      <c r="D467" s="22"/>
      <c r="F467" s="7"/>
    </row>
    <row r="468" spans="4:6" ht="15.75" customHeight="1" x14ac:dyDescent="0.3">
      <c r="D468" s="22"/>
      <c r="F468" s="7"/>
    </row>
    <row r="469" spans="4:6" ht="15.75" customHeight="1" x14ac:dyDescent="0.3">
      <c r="D469" s="22"/>
      <c r="F469" s="7"/>
    </row>
    <row r="470" spans="4:6" ht="15.75" customHeight="1" x14ac:dyDescent="0.3">
      <c r="D470" s="22"/>
      <c r="F470" s="7"/>
    </row>
    <row r="471" spans="4:6" ht="15.75" customHeight="1" x14ac:dyDescent="0.3">
      <c r="D471" s="22"/>
      <c r="F471" s="7"/>
    </row>
    <row r="472" spans="4:6" ht="15.75" customHeight="1" x14ac:dyDescent="0.3">
      <c r="D472" s="22"/>
      <c r="F472" s="7"/>
    </row>
    <row r="473" spans="4:6" ht="15.75" customHeight="1" x14ac:dyDescent="0.3">
      <c r="D473" s="22"/>
      <c r="F473" s="7"/>
    </row>
    <row r="474" spans="4:6" ht="15.75" customHeight="1" x14ac:dyDescent="0.3">
      <c r="D474" s="22"/>
      <c r="F474" s="7"/>
    </row>
    <row r="475" spans="4:6" ht="15.75" customHeight="1" x14ac:dyDescent="0.3">
      <c r="D475" s="22"/>
      <c r="F475" s="7"/>
    </row>
    <row r="476" spans="4:6" ht="15.75" customHeight="1" x14ac:dyDescent="0.3">
      <c r="D476" s="22"/>
      <c r="F476" s="7"/>
    </row>
    <row r="477" spans="4:6" ht="15.75" customHeight="1" x14ac:dyDescent="0.3">
      <c r="D477" s="22"/>
      <c r="F477" s="7"/>
    </row>
    <row r="478" spans="4:6" ht="15.75" customHeight="1" x14ac:dyDescent="0.3">
      <c r="D478" s="22"/>
      <c r="F478" s="7"/>
    </row>
    <row r="479" spans="4:6" ht="15.75" customHeight="1" x14ac:dyDescent="0.3">
      <c r="D479" s="22"/>
      <c r="F479" s="7"/>
    </row>
    <row r="480" spans="4:6" ht="15.75" customHeight="1" x14ac:dyDescent="0.3">
      <c r="D480" s="22"/>
      <c r="F480" s="7"/>
    </row>
    <row r="481" spans="4:6" ht="15.75" customHeight="1" x14ac:dyDescent="0.3">
      <c r="D481" s="22"/>
      <c r="F481" s="7"/>
    </row>
    <row r="482" spans="4:6" ht="15.75" customHeight="1" x14ac:dyDescent="0.3">
      <c r="D482" s="22"/>
      <c r="F482" s="7"/>
    </row>
    <row r="483" spans="4:6" ht="15.75" customHeight="1" x14ac:dyDescent="0.3">
      <c r="D483" s="22"/>
      <c r="F483" s="7"/>
    </row>
    <row r="484" spans="4:6" ht="15.75" customHeight="1" x14ac:dyDescent="0.3">
      <c r="D484" s="22"/>
      <c r="F484" s="7"/>
    </row>
    <row r="485" spans="4:6" ht="15.75" customHeight="1" x14ac:dyDescent="0.3">
      <c r="D485" s="22"/>
      <c r="F485" s="7"/>
    </row>
    <row r="486" spans="4:6" ht="15.75" customHeight="1" x14ac:dyDescent="0.3">
      <c r="D486" s="22"/>
      <c r="F486" s="7"/>
    </row>
    <row r="487" spans="4:6" ht="15.75" customHeight="1" x14ac:dyDescent="0.3">
      <c r="D487" s="22"/>
      <c r="F487" s="7"/>
    </row>
    <row r="488" spans="4:6" ht="15.75" customHeight="1" x14ac:dyDescent="0.3">
      <c r="D488" s="22"/>
      <c r="F488" s="7"/>
    </row>
    <row r="489" spans="4:6" ht="15.75" customHeight="1" x14ac:dyDescent="0.3">
      <c r="D489" s="22"/>
      <c r="F489" s="7"/>
    </row>
    <row r="490" spans="4:6" ht="15.75" customHeight="1" x14ac:dyDescent="0.3">
      <c r="D490" s="22"/>
      <c r="F490" s="7"/>
    </row>
    <row r="491" spans="4:6" ht="15.75" customHeight="1" x14ac:dyDescent="0.3">
      <c r="D491" s="22"/>
      <c r="F491" s="7"/>
    </row>
    <row r="492" spans="4:6" ht="15.75" customHeight="1" x14ac:dyDescent="0.3">
      <c r="D492" s="22"/>
      <c r="F492" s="7"/>
    </row>
    <row r="493" spans="4:6" ht="15.75" customHeight="1" x14ac:dyDescent="0.3">
      <c r="D493" s="22"/>
      <c r="F493" s="7"/>
    </row>
    <row r="494" spans="4:6" ht="15.75" customHeight="1" x14ac:dyDescent="0.3">
      <c r="D494" s="22"/>
      <c r="F494" s="7"/>
    </row>
    <row r="495" spans="4:6" ht="15.75" customHeight="1" x14ac:dyDescent="0.3">
      <c r="D495" s="22"/>
      <c r="F495" s="7"/>
    </row>
    <row r="496" spans="4:6" ht="15.75" customHeight="1" x14ac:dyDescent="0.3">
      <c r="D496" s="22"/>
      <c r="F496" s="7"/>
    </row>
    <row r="497" spans="4:6" ht="15.75" customHeight="1" x14ac:dyDescent="0.3">
      <c r="D497" s="22"/>
      <c r="F497" s="7"/>
    </row>
    <row r="498" spans="4:6" ht="15.75" customHeight="1" x14ac:dyDescent="0.3">
      <c r="D498" s="22"/>
      <c r="F498" s="7"/>
    </row>
    <row r="499" spans="4:6" ht="15.75" customHeight="1" x14ac:dyDescent="0.3">
      <c r="D499" s="22"/>
      <c r="F499" s="7"/>
    </row>
    <row r="500" spans="4:6" ht="15.75" customHeight="1" x14ac:dyDescent="0.3">
      <c r="D500" s="22"/>
      <c r="F500" s="7"/>
    </row>
    <row r="501" spans="4:6" ht="15.75" customHeight="1" x14ac:dyDescent="0.3">
      <c r="D501" s="22"/>
      <c r="F501" s="7"/>
    </row>
    <row r="502" spans="4:6" ht="15.75" customHeight="1" x14ac:dyDescent="0.3">
      <c r="D502" s="22"/>
      <c r="F502" s="7"/>
    </row>
    <row r="503" spans="4:6" ht="15.75" customHeight="1" x14ac:dyDescent="0.3">
      <c r="D503" s="22"/>
      <c r="F503" s="7"/>
    </row>
    <row r="504" spans="4:6" ht="15.75" customHeight="1" x14ac:dyDescent="0.3">
      <c r="D504" s="22"/>
      <c r="F504" s="7"/>
    </row>
    <row r="505" spans="4:6" ht="15.75" customHeight="1" x14ac:dyDescent="0.3">
      <c r="D505" s="22"/>
      <c r="F505" s="7"/>
    </row>
    <row r="506" spans="4:6" ht="15.75" customHeight="1" x14ac:dyDescent="0.3">
      <c r="D506" s="22"/>
      <c r="F506" s="7"/>
    </row>
    <row r="507" spans="4:6" ht="15.75" customHeight="1" x14ac:dyDescent="0.3">
      <c r="D507" s="22"/>
      <c r="F507" s="7"/>
    </row>
    <row r="508" spans="4:6" ht="15.75" customHeight="1" x14ac:dyDescent="0.3">
      <c r="D508" s="22"/>
      <c r="F508" s="7"/>
    </row>
    <row r="509" spans="4:6" ht="15.75" customHeight="1" x14ac:dyDescent="0.3">
      <c r="D509" s="22"/>
      <c r="F509" s="7"/>
    </row>
    <row r="510" spans="4:6" ht="15.75" customHeight="1" x14ac:dyDescent="0.3">
      <c r="D510" s="22"/>
      <c r="F510" s="7"/>
    </row>
    <row r="511" spans="4:6" ht="15.75" customHeight="1" x14ac:dyDescent="0.3">
      <c r="D511" s="22"/>
      <c r="F511" s="7"/>
    </row>
    <row r="512" spans="4:6" ht="15.75" customHeight="1" x14ac:dyDescent="0.3">
      <c r="D512" s="22"/>
      <c r="F512" s="7"/>
    </row>
    <row r="513" spans="4:6" ht="15.75" customHeight="1" x14ac:dyDescent="0.3">
      <c r="D513" s="22"/>
      <c r="F513" s="7"/>
    </row>
    <row r="514" spans="4:6" ht="15.75" customHeight="1" x14ac:dyDescent="0.3">
      <c r="D514" s="22"/>
      <c r="F514" s="7"/>
    </row>
    <row r="515" spans="4:6" ht="15.75" customHeight="1" x14ac:dyDescent="0.3">
      <c r="D515" s="22"/>
      <c r="F515" s="7"/>
    </row>
    <row r="516" spans="4:6" ht="15.75" customHeight="1" x14ac:dyDescent="0.3">
      <c r="D516" s="22"/>
      <c r="F516" s="7"/>
    </row>
    <row r="517" spans="4:6" ht="15.75" customHeight="1" x14ac:dyDescent="0.3">
      <c r="D517" s="22"/>
      <c r="F517" s="7"/>
    </row>
    <row r="518" spans="4:6" ht="15.75" customHeight="1" x14ac:dyDescent="0.3">
      <c r="D518" s="22"/>
      <c r="F518" s="7"/>
    </row>
    <row r="519" spans="4:6" ht="15.75" customHeight="1" x14ac:dyDescent="0.3">
      <c r="D519" s="22"/>
      <c r="F519" s="7"/>
    </row>
    <row r="520" spans="4:6" ht="15.75" customHeight="1" x14ac:dyDescent="0.3">
      <c r="D520" s="22"/>
      <c r="F520" s="7"/>
    </row>
    <row r="521" spans="4:6" ht="15.75" customHeight="1" x14ac:dyDescent="0.3">
      <c r="D521" s="22"/>
      <c r="F521" s="7"/>
    </row>
    <row r="522" spans="4:6" ht="15.75" customHeight="1" x14ac:dyDescent="0.3">
      <c r="D522" s="22"/>
      <c r="F522" s="7"/>
    </row>
    <row r="523" spans="4:6" ht="15.75" customHeight="1" x14ac:dyDescent="0.3">
      <c r="D523" s="22"/>
      <c r="F523" s="7"/>
    </row>
    <row r="524" spans="4:6" ht="15.75" customHeight="1" x14ac:dyDescent="0.3">
      <c r="D524" s="22"/>
      <c r="F524" s="7"/>
    </row>
    <row r="525" spans="4:6" ht="15.75" customHeight="1" x14ac:dyDescent="0.3">
      <c r="D525" s="22"/>
      <c r="F525" s="7"/>
    </row>
    <row r="526" spans="4:6" ht="15.75" customHeight="1" x14ac:dyDescent="0.3">
      <c r="D526" s="22"/>
      <c r="F526" s="7"/>
    </row>
    <row r="527" spans="4:6" ht="15.75" customHeight="1" x14ac:dyDescent="0.3">
      <c r="D527" s="22"/>
      <c r="F527" s="7"/>
    </row>
    <row r="528" spans="4:6" ht="15.75" customHeight="1" x14ac:dyDescent="0.3">
      <c r="D528" s="22"/>
      <c r="F528" s="7"/>
    </row>
    <row r="529" spans="4:6" ht="15.75" customHeight="1" x14ac:dyDescent="0.3">
      <c r="D529" s="22"/>
      <c r="F529" s="7"/>
    </row>
    <row r="530" spans="4:6" ht="15.75" customHeight="1" x14ac:dyDescent="0.3">
      <c r="D530" s="22"/>
      <c r="F530" s="7"/>
    </row>
    <row r="531" spans="4:6" ht="15.75" customHeight="1" x14ac:dyDescent="0.3">
      <c r="D531" s="22"/>
      <c r="F531" s="7"/>
    </row>
    <row r="532" spans="4:6" ht="15.75" customHeight="1" x14ac:dyDescent="0.3">
      <c r="D532" s="22"/>
      <c r="F532" s="7"/>
    </row>
    <row r="533" spans="4:6" ht="15.75" customHeight="1" x14ac:dyDescent="0.3">
      <c r="D533" s="22"/>
      <c r="F533" s="7"/>
    </row>
    <row r="534" spans="4:6" ht="15.75" customHeight="1" x14ac:dyDescent="0.3">
      <c r="D534" s="22"/>
      <c r="F534" s="7"/>
    </row>
    <row r="535" spans="4:6" ht="15.75" customHeight="1" x14ac:dyDescent="0.3">
      <c r="D535" s="22"/>
      <c r="F535" s="7"/>
    </row>
    <row r="536" spans="4:6" ht="15.75" customHeight="1" x14ac:dyDescent="0.3">
      <c r="D536" s="22"/>
      <c r="F536" s="7"/>
    </row>
    <row r="537" spans="4:6" ht="15.75" customHeight="1" x14ac:dyDescent="0.3">
      <c r="D537" s="22"/>
      <c r="F537" s="7"/>
    </row>
    <row r="538" spans="4:6" ht="15.75" customHeight="1" x14ac:dyDescent="0.3">
      <c r="D538" s="22"/>
      <c r="F538" s="7"/>
    </row>
    <row r="539" spans="4:6" ht="15.75" customHeight="1" x14ac:dyDescent="0.3">
      <c r="D539" s="22"/>
      <c r="F539" s="7"/>
    </row>
    <row r="540" spans="4:6" ht="15.75" customHeight="1" x14ac:dyDescent="0.3">
      <c r="D540" s="22"/>
      <c r="F540" s="7"/>
    </row>
    <row r="541" spans="4:6" ht="15.75" customHeight="1" x14ac:dyDescent="0.3">
      <c r="D541" s="22"/>
      <c r="F541" s="7"/>
    </row>
    <row r="542" spans="4:6" ht="15.75" customHeight="1" x14ac:dyDescent="0.3">
      <c r="D542" s="22"/>
      <c r="F542" s="7"/>
    </row>
    <row r="543" spans="4:6" ht="15.75" customHeight="1" x14ac:dyDescent="0.3">
      <c r="D543" s="22"/>
      <c r="F543" s="7"/>
    </row>
    <row r="544" spans="4:6" ht="15.75" customHeight="1" x14ac:dyDescent="0.3">
      <c r="D544" s="22"/>
      <c r="F544" s="7"/>
    </row>
    <row r="545" spans="4:6" ht="15.75" customHeight="1" x14ac:dyDescent="0.3">
      <c r="D545" s="22"/>
      <c r="F545" s="7"/>
    </row>
    <row r="546" spans="4:6" ht="15.75" customHeight="1" x14ac:dyDescent="0.3">
      <c r="D546" s="22"/>
      <c r="F546" s="7"/>
    </row>
    <row r="547" spans="4:6" ht="15.75" customHeight="1" x14ac:dyDescent="0.3">
      <c r="D547" s="22"/>
      <c r="F547" s="7"/>
    </row>
    <row r="548" spans="4:6" ht="15.75" customHeight="1" x14ac:dyDescent="0.3">
      <c r="D548" s="22"/>
      <c r="F548" s="7"/>
    </row>
    <row r="549" spans="4:6" ht="15.75" customHeight="1" x14ac:dyDescent="0.3">
      <c r="D549" s="22"/>
      <c r="F549" s="7"/>
    </row>
    <row r="550" spans="4:6" ht="15.75" customHeight="1" x14ac:dyDescent="0.3">
      <c r="D550" s="22"/>
      <c r="F550" s="7"/>
    </row>
    <row r="551" spans="4:6" ht="15.75" customHeight="1" x14ac:dyDescent="0.3">
      <c r="D551" s="22"/>
      <c r="F551" s="7"/>
    </row>
    <row r="552" spans="4:6" ht="15.75" customHeight="1" x14ac:dyDescent="0.3">
      <c r="D552" s="22"/>
      <c r="F552" s="7"/>
    </row>
    <row r="553" spans="4:6" ht="15.75" customHeight="1" x14ac:dyDescent="0.3">
      <c r="D553" s="22"/>
      <c r="F553" s="7"/>
    </row>
    <row r="554" spans="4:6" ht="15.75" customHeight="1" x14ac:dyDescent="0.3">
      <c r="D554" s="22"/>
      <c r="F554" s="7"/>
    </row>
    <row r="555" spans="4:6" ht="15.75" customHeight="1" x14ac:dyDescent="0.3">
      <c r="D555" s="22"/>
      <c r="F555" s="7"/>
    </row>
    <row r="556" spans="4:6" ht="15.75" customHeight="1" x14ac:dyDescent="0.3">
      <c r="D556" s="22"/>
      <c r="F556" s="7"/>
    </row>
    <row r="557" spans="4:6" ht="15.75" customHeight="1" x14ac:dyDescent="0.3">
      <c r="D557" s="22"/>
      <c r="F557" s="7"/>
    </row>
    <row r="558" spans="4:6" ht="15.75" customHeight="1" x14ac:dyDescent="0.3">
      <c r="D558" s="22"/>
      <c r="F558" s="7"/>
    </row>
    <row r="559" spans="4:6" ht="15.75" customHeight="1" x14ac:dyDescent="0.3">
      <c r="D559" s="22"/>
      <c r="F559" s="7"/>
    </row>
    <row r="560" spans="4:6" ht="15.75" customHeight="1" x14ac:dyDescent="0.3">
      <c r="D560" s="22"/>
      <c r="F560" s="7"/>
    </row>
    <row r="561" spans="4:6" ht="15.75" customHeight="1" x14ac:dyDescent="0.3">
      <c r="D561" s="22"/>
      <c r="F561" s="7"/>
    </row>
    <row r="562" spans="4:6" ht="15.75" customHeight="1" x14ac:dyDescent="0.3">
      <c r="D562" s="22"/>
      <c r="F562" s="7"/>
    </row>
    <row r="563" spans="4:6" ht="15.75" customHeight="1" x14ac:dyDescent="0.3">
      <c r="D563" s="22"/>
      <c r="F563" s="7"/>
    </row>
    <row r="564" spans="4:6" ht="15.75" customHeight="1" x14ac:dyDescent="0.3">
      <c r="D564" s="22"/>
      <c r="F564" s="7"/>
    </row>
    <row r="565" spans="4:6" ht="15.75" customHeight="1" x14ac:dyDescent="0.3">
      <c r="D565" s="22"/>
      <c r="F565" s="7"/>
    </row>
    <row r="566" spans="4:6" ht="15.75" customHeight="1" x14ac:dyDescent="0.3">
      <c r="D566" s="22"/>
      <c r="F566" s="7"/>
    </row>
    <row r="567" spans="4:6" ht="15.75" customHeight="1" x14ac:dyDescent="0.3">
      <c r="D567" s="22"/>
      <c r="F567" s="7"/>
    </row>
    <row r="568" spans="4:6" ht="15.75" customHeight="1" x14ac:dyDescent="0.3">
      <c r="D568" s="22"/>
      <c r="F568" s="7"/>
    </row>
    <row r="569" spans="4:6" ht="15.75" customHeight="1" x14ac:dyDescent="0.3">
      <c r="D569" s="22"/>
      <c r="F569" s="7"/>
    </row>
    <row r="570" spans="4:6" ht="15.75" customHeight="1" x14ac:dyDescent="0.3">
      <c r="D570" s="22"/>
      <c r="F570" s="7"/>
    </row>
    <row r="571" spans="4:6" ht="15.75" customHeight="1" x14ac:dyDescent="0.3">
      <c r="D571" s="22"/>
      <c r="F571" s="7"/>
    </row>
    <row r="572" spans="4:6" ht="15.75" customHeight="1" x14ac:dyDescent="0.3">
      <c r="D572" s="22"/>
      <c r="F572" s="7"/>
    </row>
    <row r="573" spans="4:6" ht="15.75" customHeight="1" x14ac:dyDescent="0.3">
      <c r="D573" s="22"/>
      <c r="F573" s="7"/>
    </row>
    <row r="574" spans="4:6" ht="15.75" customHeight="1" x14ac:dyDescent="0.3">
      <c r="D574" s="22"/>
      <c r="F574" s="7"/>
    </row>
    <row r="575" spans="4:6" ht="15.75" customHeight="1" x14ac:dyDescent="0.3">
      <c r="D575" s="22"/>
      <c r="F575" s="7"/>
    </row>
    <row r="576" spans="4:6" ht="15.75" customHeight="1" x14ac:dyDescent="0.3">
      <c r="D576" s="22"/>
      <c r="F576" s="7"/>
    </row>
    <row r="577" spans="4:6" ht="15.75" customHeight="1" x14ac:dyDescent="0.3">
      <c r="D577" s="22"/>
      <c r="F577" s="7"/>
    </row>
    <row r="578" spans="4:6" ht="15.75" customHeight="1" x14ac:dyDescent="0.3">
      <c r="D578" s="22"/>
      <c r="F578" s="7"/>
    </row>
    <row r="579" spans="4:6" ht="15.75" customHeight="1" x14ac:dyDescent="0.3">
      <c r="D579" s="22"/>
      <c r="F579" s="7"/>
    </row>
    <row r="580" spans="4:6" ht="15.75" customHeight="1" x14ac:dyDescent="0.3">
      <c r="D580" s="22"/>
      <c r="F580" s="7"/>
    </row>
    <row r="581" spans="4:6" ht="15.75" customHeight="1" x14ac:dyDescent="0.3">
      <c r="D581" s="22"/>
      <c r="F581" s="7"/>
    </row>
    <row r="582" spans="4:6" ht="15.75" customHeight="1" x14ac:dyDescent="0.3">
      <c r="D582" s="22"/>
      <c r="F582" s="7"/>
    </row>
    <row r="583" spans="4:6" ht="15.75" customHeight="1" x14ac:dyDescent="0.3">
      <c r="D583" s="22"/>
      <c r="F583" s="7"/>
    </row>
    <row r="584" spans="4:6" ht="15.75" customHeight="1" x14ac:dyDescent="0.3">
      <c r="D584" s="22"/>
      <c r="F584" s="7"/>
    </row>
    <row r="585" spans="4:6" ht="15.75" customHeight="1" x14ac:dyDescent="0.3">
      <c r="D585" s="22"/>
      <c r="F585" s="7"/>
    </row>
    <row r="586" spans="4:6" ht="15.75" customHeight="1" x14ac:dyDescent="0.3">
      <c r="D586" s="22"/>
      <c r="F586" s="7"/>
    </row>
    <row r="587" spans="4:6" ht="15.75" customHeight="1" x14ac:dyDescent="0.3">
      <c r="D587" s="22"/>
      <c r="F587" s="7"/>
    </row>
    <row r="588" spans="4:6" ht="15.75" customHeight="1" x14ac:dyDescent="0.3">
      <c r="D588" s="22"/>
      <c r="F588" s="7"/>
    </row>
    <row r="589" spans="4:6" ht="15.75" customHeight="1" x14ac:dyDescent="0.3">
      <c r="D589" s="22"/>
      <c r="F589" s="7"/>
    </row>
    <row r="590" spans="4:6" ht="15.75" customHeight="1" x14ac:dyDescent="0.3">
      <c r="D590" s="22"/>
      <c r="F590" s="7"/>
    </row>
    <row r="591" spans="4:6" ht="15.75" customHeight="1" x14ac:dyDescent="0.3">
      <c r="D591" s="22"/>
      <c r="F591" s="7"/>
    </row>
    <row r="592" spans="4:6" ht="15.75" customHeight="1" x14ac:dyDescent="0.3">
      <c r="D592" s="22"/>
      <c r="F592" s="7"/>
    </row>
    <row r="593" spans="4:6" ht="15.75" customHeight="1" x14ac:dyDescent="0.3">
      <c r="D593" s="22"/>
      <c r="F593" s="7"/>
    </row>
    <row r="594" spans="4:6" ht="15.75" customHeight="1" x14ac:dyDescent="0.3">
      <c r="D594" s="22"/>
      <c r="F594" s="7"/>
    </row>
    <row r="595" spans="4:6" ht="15.75" customHeight="1" x14ac:dyDescent="0.3">
      <c r="D595" s="22"/>
      <c r="F595" s="7"/>
    </row>
    <row r="596" spans="4:6" ht="15.75" customHeight="1" x14ac:dyDescent="0.3">
      <c r="D596" s="22"/>
      <c r="F596" s="7"/>
    </row>
    <row r="597" spans="4:6" ht="15.75" customHeight="1" x14ac:dyDescent="0.3">
      <c r="D597" s="22"/>
      <c r="F597" s="7"/>
    </row>
    <row r="598" spans="4:6" ht="15.75" customHeight="1" x14ac:dyDescent="0.3">
      <c r="D598" s="22"/>
      <c r="F598" s="7"/>
    </row>
    <row r="599" spans="4:6" ht="15.75" customHeight="1" x14ac:dyDescent="0.3">
      <c r="D599" s="22"/>
      <c r="F599" s="7"/>
    </row>
    <row r="600" spans="4:6" ht="15.75" customHeight="1" x14ac:dyDescent="0.3">
      <c r="D600" s="22"/>
      <c r="F600" s="7"/>
    </row>
    <row r="601" spans="4:6" ht="15.75" customHeight="1" x14ac:dyDescent="0.3">
      <c r="D601" s="22"/>
      <c r="F601" s="7"/>
    </row>
    <row r="602" spans="4:6" ht="15.75" customHeight="1" x14ac:dyDescent="0.3">
      <c r="D602" s="22"/>
      <c r="F602" s="7"/>
    </row>
    <row r="603" spans="4:6" ht="15.75" customHeight="1" x14ac:dyDescent="0.3">
      <c r="D603" s="22"/>
      <c r="F603" s="7"/>
    </row>
    <row r="604" spans="4:6" ht="15.75" customHeight="1" x14ac:dyDescent="0.3">
      <c r="D604" s="22"/>
      <c r="F604" s="7"/>
    </row>
    <row r="605" spans="4:6" ht="15.75" customHeight="1" x14ac:dyDescent="0.3">
      <c r="D605" s="22"/>
      <c r="F605" s="7"/>
    </row>
    <row r="606" spans="4:6" ht="15.75" customHeight="1" x14ac:dyDescent="0.3">
      <c r="D606" s="22"/>
      <c r="F606" s="7"/>
    </row>
    <row r="607" spans="4:6" ht="15.75" customHeight="1" x14ac:dyDescent="0.3">
      <c r="D607" s="22"/>
      <c r="F607" s="7"/>
    </row>
    <row r="608" spans="4:6" ht="15.75" customHeight="1" x14ac:dyDescent="0.3">
      <c r="D608" s="22"/>
      <c r="F608" s="7"/>
    </row>
    <row r="609" spans="4:6" ht="15.75" customHeight="1" x14ac:dyDescent="0.3">
      <c r="D609" s="22"/>
      <c r="F609" s="7"/>
    </row>
    <row r="610" spans="4:6" ht="15.75" customHeight="1" x14ac:dyDescent="0.3">
      <c r="D610" s="22"/>
      <c r="F610" s="7"/>
    </row>
    <row r="611" spans="4:6" ht="15.75" customHeight="1" x14ac:dyDescent="0.3">
      <c r="D611" s="22"/>
      <c r="F611" s="7"/>
    </row>
    <row r="612" spans="4:6" ht="15.75" customHeight="1" x14ac:dyDescent="0.3">
      <c r="D612" s="22"/>
      <c r="F612" s="7"/>
    </row>
    <row r="613" spans="4:6" ht="15.75" customHeight="1" x14ac:dyDescent="0.3">
      <c r="D613" s="22"/>
      <c r="F613" s="7"/>
    </row>
    <row r="614" spans="4:6" ht="15.75" customHeight="1" x14ac:dyDescent="0.3">
      <c r="D614" s="22"/>
      <c r="F614" s="7"/>
    </row>
    <row r="615" spans="4:6" ht="15.75" customHeight="1" x14ac:dyDescent="0.3">
      <c r="D615" s="22"/>
      <c r="F615" s="7"/>
    </row>
    <row r="616" spans="4:6" ht="15.75" customHeight="1" x14ac:dyDescent="0.3">
      <c r="D616" s="22"/>
      <c r="F616" s="7"/>
    </row>
    <row r="617" spans="4:6" ht="15.75" customHeight="1" x14ac:dyDescent="0.3">
      <c r="D617" s="22"/>
      <c r="F617" s="7"/>
    </row>
    <row r="618" spans="4:6" ht="15.75" customHeight="1" x14ac:dyDescent="0.3">
      <c r="D618" s="22"/>
      <c r="F618" s="7"/>
    </row>
    <row r="619" spans="4:6" ht="15.75" customHeight="1" x14ac:dyDescent="0.3">
      <c r="D619" s="22"/>
      <c r="F619" s="7"/>
    </row>
    <row r="620" spans="4:6" ht="15.75" customHeight="1" x14ac:dyDescent="0.3">
      <c r="D620" s="22"/>
      <c r="F620" s="7"/>
    </row>
    <row r="621" spans="4:6" ht="15.75" customHeight="1" x14ac:dyDescent="0.3">
      <c r="D621" s="22"/>
      <c r="F621" s="7"/>
    </row>
    <row r="622" spans="4:6" ht="15.75" customHeight="1" x14ac:dyDescent="0.3">
      <c r="D622" s="22"/>
      <c r="F622" s="7"/>
    </row>
    <row r="623" spans="4:6" ht="15.75" customHeight="1" x14ac:dyDescent="0.3">
      <c r="D623" s="22"/>
      <c r="F623" s="7"/>
    </row>
    <row r="624" spans="4:6" ht="15.75" customHeight="1" x14ac:dyDescent="0.3">
      <c r="D624" s="22"/>
      <c r="F624" s="7"/>
    </row>
    <row r="625" spans="4:6" ht="15.75" customHeight="1" x14ac:dyDescent="0.3">
      <c r="D625" s="22"/>
      <c r="F625" s="7"/>
    </row>
    <row r="626" spans="4:6" ht="15.75" customHeight="1" x14ac:dyDescent="0.3">
      <c r="D626" s="22"/>
      <c r="F626" s="7"/>
    </row>
    <row r="627" spans="4:6" ht="15.75" customHeight="1" x14ac:dyDescent="0.3">
      <c r="D627" s="22"/>
      <c r="F627" s="7"/>
    </row>
    <row r="628" spans="4:6" ht="15.75" customHeight="1" x14ac:dyDescent="0.3">
      <c r="D628" s="22"/>
      <c r="F628" s="7"/>
    </row>
    <row r="629" spans="4:6" ht="15.75" customHeight="1" x14ac:dyDescent="0.3">
      <c r="D629" s="22"/>
      <c r="F629" s="7"/>
    </row>
    <row r="630" spans="4:6" ht="15.75" customHeight="1" x14ac:dyDescent="0.3">
      <c r="D630" s="22"/>
      <c r="F630" s="7"/>
    </row>
    <row r="631" spans="4:6" ht="15.75" customHeight="1" x14ac:dyDescent="0.3">
      <c r="D631" s="22"/>
      <c r="F631" s="7"/>
    </row>
    <row r="632" spans="4:6" ht="15.75" customHeight="1" x14ac:dyDescent="0.3">
      <c r="D632" s="22"/>
      <c r="F632" s="7"/>
    </row>
    <row r="633" spans="4:6" ht="15.75" customHeight="1" x14ac:dyDescent="0.3">
      <c r="D633" s="22"/>
      <c r="F633" s="7"/>
    </row>
    <row r="634" spans="4:6" ht="15.75" customHeight="1" x14ac:dyDescent="0.3">
      <c r="D634" s="22"/>
      <c r="F634" s="7"/>
    </row>
    <row r="635" spans="4:6" ht="15.75" customHeight="1" x14ac:dyDescent="0.3">
      <c r="D635" s="22"/>
      <c r="F635" s="7"/>
    </row>
    <row r="636" spans="4:6" ht="15.75" customHeight="1" x14ac:dyDescent="0.3">
      <c r="D636" s="22"/>
      <c r="F636" s="7"/>
    </row>
    <row r="637" spans="4:6" ht="15.75" customHeight="1" x14ac:dyDescent="0.3">
      <c r="D637" s="22"/>
      <c r="F637" s="7"/>
    </row>
    <row r="638" spans="4:6" ht="15.75" customHeight="1" x14ac:dyDescent="0.3">
      <c r="D638" s="22"/>
      <c r="F638" s="7"/>
    </row>
    <row r="639" spans="4:6" ht="15.75" customHeight="1" x14ac:dyDescent="0.3">
      <c r="D639" s="22"/>
      <c r="F639" s="7"/>
    </row>
    <row r="640" spans="4:6" ht="15.75" customHeight="1" x14ac:dyDescent="0.3">
      <c r="D640" s="22"/>
      <c r="F640" s="7"/>
    </row>
    <row r="641" spans="4:6" ht="15.75" customHeight="1" x14ac:dyDescent="0.3">
      <c r="D641" s="22"/>
      <c r="F641" s="7"/>
    </row>
    <row r="642" spans="4:6" ht="15.75" customHeight="1" x14ac:dyDescent="0.3">
      <c r="D642" s="22"/>
      <c r="F642" s="7"/>
    </row>
    <row r="643" spans="4:6" ht="15.75" customHeight="1" x14ac:dyDescent="0.3">
      <c r="D643" s="22"/>
      <c r="F643" s="7"/>
    </row>
    <row r="644" spans="4:6" ht="15.75" customHeight="1" x14ac:dyDescent="0.3">
      <c r="D644" s="22"/>
      <c r="F644" s="7"/>
    </row>
    <row r="645" spans="4:6" ht="15.75" customHeight="1" x14ac:dyDescent="0.3">
      <c r="D645" s="22"/>
      <c r="F645" s="7"/>
    </row>
    <row r="646" spans="4:6" ht="15.75" customHeight="1" x14ac:dyDescent="0.3">
      <c r="D646" s="22"/>
      <c r="F646" s="7"/>
    </row>
    <row r="647" spans="4:6" ht="15.75" customHeight="1" x14ac:dyDescent="0.3">
      <c r="D647" s="22"/>
      <c r="F647" s="7"/>
    </row>
    <row r="648" spans="4:6" ht="15.75" customHeight="1" x14ac:dyDescent="0.3">
      <c r="D648" s="22"/>
      <c r="F648" s="7"/>
    </row>
    <row r="649" spans="4:6" ht="15.75" customHeight="1" x14ac:dyDescent="0.3">
      <c r="D649" s="22"/>
      <c r="F649" s="7"/>
    </row>
    <row r="650" spans="4:6" ht="15.75" customHeight="1" x14ac:dyDescent="0.3">
      <c r="D650" s="22"/>
      <c r="F650" s="7"/>
    </row>
    <row r="651" spans="4:6" ht="15.75" customHeight="1" x14ac:dyDescent="0.3">
      <c r="D651" s="22"/>
      <c r="F651" s="7"/>
    </row>
    <row r="652" spans="4:6" ht="15.75" customHeight="1" x14ac:dyDescent="0.3">
      <c r="D652" s="22"/>
      <c r="F652" s="7"/>
    </row>
    <row r="653" spans="4:6" ht="15.75" customHeight="1" x14ac:dyDescent="0.3">
      <c r="D653" s="22"/>
      <c r="F653" s="7"/>
    </row>
    <row r="654" spans="4:6" ht="15.75" customHeight="1" x14ac:dyDescent="0.3">
      <c r="D654" s="22"/>
      <c r="F654" s="7"/>
    </row>
    <row r="655" spans="4:6" ht="15.75" customHeight="1" x14ac:dyDescent="0.3">
      <c r="D655" s="22"/>
      <c r="F655" s="7"/>
    </row>
    <row r="656" spans="4:6" ht="15.75" customHeight="1" x14ac:dyDescent="0.3">
      <c r="D656" s="22"/>
      <c r="F656" s="7"/>
    </row>
    <row r="657" spans="4:6" ht="15.75" customHeight="1" x14ac:dyDescent="0.3">
      <c r="D657" s="22"/>
      <c r="F657" s="7"/>
    </row>
    <row r="658" spans="4:6" ht="15.75" customHeight="1" x14ac:dyDescent="0.3">
      <c r="D658" s="22"/>
      <c r="F658" s="7"/>
    </row>
    <row r="659" spans="4:6" ht="15.75" customHeight="1" x14ac:dyDescent="0.3">
      <c r="D659" s="22"/>
      <c r="F659" s="7"/>
    </row>
    <row r="660" spans="4:6" ht="15.75" customHeight="1" x14ac:dyDescent="0.3">
      <c r="D660" s="22"/>
      <c r="F660" s="7"/>
    </row>
    <row r="661" spans="4:6" ht="15.75" customHeight="1" x14ac:dyDescent="0.3">
      <c r="D661" s="22"/>
      <c r="F661" s="7"/>
    </row>
    <row r="662" spans="4:6" ht="15.75" customHeight="1" x14ac:dyDescent="0.3">
      <c r="D662" s="22"/>
      <c r="F662" s="7"/>
    </row>
    <row r="663" spans="4:6" ht="15.75" customHeight="1" x14ac:dyDescent="0.3">
      <c r="D663" s="22"/>
      <c r="F663" s="7"/>
    </row>
    <row r="664" spans="4:6" ht="15.75" customHeight="1" x14ac:dyDescent="0.3">
      <c r="D664" s="22"/>
      <c r="F664" s="7"/>
    </row>
    <row r="665" spans="4:6" ht="15.75" customHeight="1" x14ac:dyDescent="0.3">
      <c r="D665" s="22"/>
      <c r="F665" s="7"/>
    </row>
    <row r="666" spans="4:6" ht="15.75" customHeight="1" x14ac:dyDescent="0.3">
      <c r="D666" s="22"/>
      <c r="F666" s="7"/>
    </row>
    <row r="667" spans="4:6" ht="15.75" customHeight="1" x14ac:dyDescent="0.3">
      <c r="D667" s="22"/>
      <c r="F667" s="7"/>
    </row>
    <row r="668" spans="4:6" ht="15.75" customHeight="1" x14ac:dyDescent="0.3">
      <c r="D668" s="22"/>
      <c r="F668" s="7"/>
    </row>
    <row r="669" spans="4:6" ht="15.75" customHeight="1" x14ac:dyDescent="0.3">
      <c r="D669" s="22"/>
      <c r="F669" s="7"/>
    </row>
    <row r="670" spans="4:6" ht="15.75" customHeight="1" x14ac:dyDescent="0.3">
      <c r="D670" s="22"/>
      <c r="F670" s="7"/>
    </row>
    <row r="671" spans="4:6" ht="15.75" customHeight="1" x14ac:dyDescent="0.3">
      <c r="D671" s="22"/>
      <c r="F671" s="7"/>
    </row>
    <row r="672" spans="4:6" ht="15.75" customHeight="1" x14ac:dyDescent="0.3">
      <c r="D672" s="22"/>
      <c r="F672" s="7"/>
    </row>
    <row r="673" spans="4:6" ht="15.75" customHeight="1" x14ac:dyDescent="0.3">
      <c r="D673" s="22"/>
      <c r="F673" s="7"/>
    </row>
    <row r="674" spans="4:6" ht="15.75" customHeight="1" x14ac:dyDescent="0.3">
      <c r="D674" s="22"/>
      <c r="F674" s="7"/>
    </row>
    <row r="675" spans="4:6" ht="15.75" customHeight="1" x14ac:dyDescent="0.3">
      <c r="D675" s="22"/>
      <c r="F675" s="7"/>
    </row>
    <row r="676" spans="4:6" ht="15.75" customHeight="1" x14ac:dyDescent="0.3">
      <c r="D676" s="22"/>
      <c r="F676" s="7"/>
    </row>
    <row r="677" spans="4:6" ht="15.75" customHeight="1" x14ac:dyDescent="0.3">
      <c r="D677" s="22"/>
      <c r="F677" s="7"/>
    </row>
    <row r="678" spans="4:6" ht="15.75" customHeight="1" x14ac:dyDescent="0.3">
      <c r="D678" s="22"/>
      <c r="F678" s="7"/>
    </row>
    <row r="679" spans="4:6" ht="15.75" customHeight="1" x14ac:dyDescent="0.3">
      <c r="D679" s="22"/>
      <c r="F679" s="7"/>
    </row>
    <row r="680" spans="4:6" ht="15.75" customHeight="1" x14ac:dyDescent="0.3">
      <c r="D680" s="22"/>
      <c r="F680" s="7"/>
    </row>
    <row r="681" spans="4:6" ht="15.75" customHeight="1" x14ac:dyDescent="0.3">
      <c r="D681" s="22"/>
      <c r="F681" s="7"/>
    </row>
    <row r="682" spans="4:6" ht="15.75" customHeight="1" x14ac:dyDescent="0.3">
      <c r="D682" s="22"/>
      <c r="F682" s="7"/>
    </row>
    <row r="683" spans="4:6" ht="15.75" customHeight="1" x14ac:dyDescent="0.3">
      <c r="D683" s="22"/>
      <c r="F683" s="7"/>
    </row>
    <row r="684" spans="4:6" ht="15.75" customHeight="1" x14ac:dyDescent="0.3">
      <c r="D684" s="22"/>
      <c r="F684" s="7"/>
    </row>
    <row r="685" spans="4:6" ht="15.75" customHeight="1" x14ac:dyDescent="0.3">
      <c r="D685" s="22"/>
      <c r="F685" s="7"/>
    </row>
    <row r="686" spans="4:6" ht="15.75" customHeight="1" x14ac:dyDescent="0.3">
      <c r="D686" s="22"/>
      <c r="F686" s="7"/>
    </row>
    <row r="687" spans="4:6" ht="15.75" customHeight="1" x14ac:dyDescent="0.3">
      <c r="D687" s="22"/>
      <c r="F687" s="7"/>
    </row>
    <row r="688" spans="4:6" ht="15.75" customHeight="1" x14ac:dyDescent="0.3">
      <c r="D688" s="22"/>
      <c r="F688" s="7"/>
    </row>
    <row r="689" spans="4:6" ht="15.75" customHeight="1" x14ac:dyDescent="0.3">
      <c r="D689" s="22"/>
      <c r="F689" s="7"/>
    </row>
    <row r="690" spans="4:6" ht="15.75" customHeight="1" x14ac:dyDescent="0.3">
      <c r="D690" s="22"/>
      <c r="F690" s="7"/>
    </row>
    <row r="691" spans="4:6" ht="15.75" customHeight="1" x14ac:dyDescent="0.3">
      <c r="D691" s="22"/>
      <c r="F691" s="7"/>
    </row>
    <row r="692" spans="4:6" ht="15.75" customHeight="1" x14ac:dyDescent="0.3">
      <c r="D692" s="22"/>
      <c r="F692" s="7"/>
    </row>
    <row r="693" spans="4:6" ht="15.75" customHeight="1" x14ac:dyDescent="0.3">
      <c r="D693" s="22"/>
      <c r="F693" s="7"/>
    </row>
    <row r="694" spans="4:6" ht="15.75" customHeight="1" x14ac:dyDescent="0.3">
      <c r="D694" s="22"/>
      <c r="F694" s="7"/>
    </row>
    <row r="695" spans="4:6" ht="15.75" customHeight="1" x14ac:dyDescent="0.3">
      <c r="D695" s="22"/>
      <c r="F695" s="7"/>
    </row>
    <row r="696" spans="4:6" ht="15.75" customHeight="1" x14ac:dyDescent="0.3">
      <c r="D696" s="22"/>
      <c r="F696" s="7"/>
    </row>
    <row r="697" spans="4:6" ht="15.75" customHeight="1" x14ac:dyDescent="0.3">
      <c r="D697" s="22"/>
      <c r="F697" s="7"/>
    </row>
    <row r="698" spans="4:6" ht="15.75" customHeight="1" x14ac:dyDescent="0.3">
      <c r="D698" s="22"/>
      <c r="F698" s="7"/>
    </row>
    <row r="699" spans="4:6" ht="15.75" customHeight="1" x14ac:dyDescent="0.3">
      <c r="D699" s="22"/>
      <c r="F699" s="7"/>
    </row>
    <row r="700" spans="4:6" ht="15.75" customHeight="1" x14ac:dyDescent="0.3">
      <c r="D700" s="22"/>
      <c r="F700" s="7"/>
    </row>
    <row r="701" spans="4:6" ht="15.75" customHeight="1" x14ac:dyDescent="0.3">
      <c r="D701" s="22"/>
      <c r="F701" s="7"/>
    </row>
    <row r="702" spans="4:6" ht="15.75" customHeight="1" x14ac:dyDescent="0.3">
      <c r="D702" s="22"/>
      <c r="F702" s="7"/>
    </row>
    <row r="703" spans="4:6" ht="15.75" customHeight="1" x14ac:dyDescent="0.3">
      <c r="D703" s="22"/>
      <c r="F703" s="7"/>
    </row>
    <row r="704" spans="4:6" ht="15.75" customHeight="1" x14ac:dyDescent="0.3">
      <c r="D704" s="22"/>
      <c r="F704" s="7"/>
    </row>
    <row r="705" spans="4:6" ht="15.75" customHeight="1" x14ac:dyDescent="0.3">
      <c r="D705" s="22"/>
      <c r="F705" s="7"/>
    </row>
    <row r="706" spans="4:6" ht="15.75" customHeight="1" x14ac:dyDescent="0.3">
      <c r="D706" s="22"/>
      <c r="F706" s="7"/>
    </row>
    <row r="707" spans="4:6" ht="15.75" customHeight="1" x14ac:dyDescent="0.3">
      <c r="D707" s="22"/>
      <c r="F707" s="7"/>
    </row>
    <row r="708" spans="4:6" ht="15.75" customHeight="1" x14ac:dyDescent="0.3">
      <c r="D708" s="22"/>
      <c r="F708" s="7"/>
    </row>
    <row r="709" spans="4:6" ht="15.75" customHeight="1" x14ac:dyDescent="0.3">
      <c r="D709" s="22"/>
      <c r="F709" s="7"/>
    </row>
    <row r="710" spans="4:6" ht="15.75" customHeight="1" x14ac:dyDescent="0.3">
      <c r="D710" s="22"/>
      <c r="F710" s="7"/>
    </row>
    <row r="711" spans="4:6" ht="15.75" customHeight="1" x14ac:dyDescent="0.3">
      <c r="D711" s="22"/>
      <c r="F711" s="7"/>
    </row>
    <row r="712" spans="4:6" ht="15.75" customHeight="1" x14ac:dyDescent="0.3">
      <c r="D712" s="22"/>
      <c r="F712" s="7"/>
    </row>
    <row r="713" spans="4:6" ht="15.75" customHeight="1" x14ac:dyDescent="0.3">
      <c r="D713" s="22"/>
      <c r="F713" s="7"/>
    </row>
    <row r="714" spans="4:6" ht="15.75" customHeight="1" x14ac:dyDescent="0.3">
      <c r="D714" s="22"/>
      <c r="F714" s="7"/>
    </row>
    <row r="715" spans="4:6" ht="15.75" customHeight="1" x14ac:dyDescent="0.3">
      <c r="D715" s="22"/>
      <c r="F715" s="7"/>
    </row>
    <row r="716" spans="4:6" ht="15.75" customHeight="1" x14ac:dyDescent="0.3">
      <c r="D716" s="22"/>
      <c r="F716" s="7"/>
    </row>
    <row r="717" spans="4:6" ht="15.75" customHeight="1" x14ac:dyDescent="0.3">
      <c r="D717" s="22"/>
      <c r="F717" s="7"/>
    </row>
    <row r="718" spans="4:6" ht="15.75" customHeight="1" x14ac:dyDescent="0.3">
      <c r="D718" s="22"/>
      <c r="F718" s="7"/>
    </row>
    <row r="719" spans="4:6" ht="15.75" customHeight="1" x14ac:dyDescent="0.3">
      <c r="D719" s="22"/>
      <c r="F719" s="7"/>
    </row>
    <row r="720" spans="4:6" ht="15.75" customHeight="1" x14ac:dyDescent="0.3">
      <c r="D720" s="22"/>
      <c r="F720" s="7"/>
    </row>
    <row r="721" spans="4:6" ht="15.75" customHeight="1" x14ac:dyDescent="0.3">
      <c r="D721" s="22"/>
      <c r="F721" s="7"/>
    </row>
    <row r="722" spans="4:6" ht="15.75" customHeight="1" x14ac:dyDescent="0.3">
      <c r="D722" s="22"/>
      <c r="F722" s="7"/>
    </row>
    <row r="723" spans="4:6" ht="15.75" customHeight="1" x14ac:dyDescent="0.3">
      <c r="D723" s="22"/>
      <c r="F723" s="7"/>
    </row>
    <row r="724" spans="4:6" ht="15.75" customHeight="1" x14ac:dyDescent="0.3">
      <c r="D724" s="22"/>
      <c r="F724" s="7"/>
    </row>
    <row r="725" spans="4:6" ht="15.75" customHeight="1" x14ac:dyDescent="0.3">
      <c r="D725" s="22"/>
      <c r="F725" s="7"/>
    </row>
    <row r="726" spans="4:6" ht="15.75" customHeight="1" x14ac:dyDescent="0.3">
      <c r="D726" s="22"/>
      <c r="F726" s="7"/>
    </row>
    <row r="727" spans="4:6" ht="15.75" customHeight="1" x14ac:dyDescent="0.3">
      <c r="D727" s="22"/>
      <c r="F727" s="7"/>
    </row>
    <row r="728" spans="4:6" ht="15.75" customHeight="1" x14ac:dyDescent="0.3">
      <c r="D728" s="22"/>
      <c r="F728" s="7"/>
    </row>
    <row r="729" spans="4:6" ht="15.75" customHeight="1" x14ac:dyDescent="0.3">
      <c r="D729" s="22"/>
      <c r="F729" s="7"/>
    </row>
    <row r="730" spans="4:6" ht="15.75" customHeight="1" x14ac:dyDescent="0.3">
      <c r="D730" s="22"/>
      <c r="F730" s="7"/>
    </row>
    <row r="731" spans="4:6" ht="15.75" customHeight="1" x14ac:dyDescent="0.3">
      <c r="D731" s="22"/>
      <c r="F731" s="7"/>
    </row>
    <row r="732" spans="4:6" ht="15.75" customHeight="1" x14ac:dyDescent="0.3">
      <c r="D732" s="22"/>
      <c r="F732" s="7"/>
    </row>
    <row r="733" spans="4:6" ht="15.75" customHeight="1" x14ac:dyDescent="0.3">
      <c r="D733" s="22"/>
      <c r="F733" s="7"/>
    </row>
    <row r="734" spans="4:6" ht="15.75" customHeight="1" x14ac:dyDescent="0.3">
      <c r="D734" s="22"/>
      <c r="F734" s="7"/>
    </row>
    <row r="735" spans="4:6" ht="15.75" customHeight="1" x14ac:dyDescent="0.3">
      <c r="D735" s="22"/>
      <c r="F735" s="7"/>
    </row>
    <row r="736" spans="4:6" ht="15.75" customHeight="1" x14ac:dyDescent="0.3">
      <c r="D736" s="22"/>
      <c r="F736" s="7"/>
    </row>
    <row r="737" spans="4:6" ht="15.75" customHeight="1" x14ac:dyDescent="0.3">
      <c r="D737" s="22"/>
      <c r="F737" s="7"/>
    </row>
    <row r="738" spans="4:6" ht="15.75" customHeight="1" x14ac:dyDescent="0.3">
      <c r="D738" s="22"/>
      <c r="F738" s="7"/>
    </row>
    <row r="739" spans="4:6" ht="15.75" customHeight="1" x14ac:dyDescent="0.3">
      <c r="D739" s="22"/>
      <c r="F739" s="7"/>
    </row>
    <row r="740" spans="4:6" ht="15.75" customHeight="1" x14ac:dyDescent="0.3">
      <c r="D740" s="22"/>
      <c r="F740" s="7"/>
    </row>
    <row r="741" spans="4:6" ht="15.75" customHeight="1" x14ac:dyDescent="0.3">
      <c r="D741" s="22"/>
      <c r="F741" s="7"/>
    </row>
    <row r="742" spans="4:6" ht="15.75" customHeight="1" x14ac:dyDescent="0.3">
      <c r="D742" s="22"/>
      <c r="F742" s="7"/>
    </row>
    <row r="743" spans="4:6" ht="15.75" customHeight="1" x14ac:dyDescent="0.3">
      <c r="D743" s="22"/>
      <c r="F743" s="7"/>
    </row>
    <row r="744" spans="4:6" ht="15.75" customHeight="1" x14ac:dyDescent="0.3">
      <c r="D744" s="22"/>
      <c r="F744" s="7"/>
    </row>
    <row r="745" spans="4:6" ht="15.75" customHeight="1" x14ac:dyDescent="0.3">
      <c r="D745" s="22"/>
      <c r="F745" s="7"/>
    </row>
    <row r="746" spans="4:6" ht="15.75" customHeight="1" x14ac:dyDescent="0.3">
      <c r="D746" s="22"/>
      <c r="F746" s="7"/>
    </row>
    <row r="747" spans="4:6" ht="15.75" customHeight="1" x14ac:dyDescent="0.3">
      <c r="D747" s="22"/>
      <c r="F747" s="7"/>
    </row>
    <row r="748" spans="4:6" ht="15.75" customHeight="1" x14ac:dyDescent="0.3">
      <c r="D748" s="22"/>
      <c r="F748" s="7"/>
    </row>
    <row r="749" spans="4:6" ht="15.75" customHeight="1" x14ac:dyDescent="0.3">
      <c r="D749" s="22"/>
      <c r="F749" s="7"/>
    </row>
    <row r="750" spans="4:6" ht="15.75" customHeight="1" x14ac:dyDescent="0.3">
      <c r="D750" s="22"/>
      <c r="F750" s="7"/>
    </row>
    <row r="751" spans="4:6" ht="15.75" customHeight="1" x14ac:dyDescent="0.3">
      <c r="D751" s="22"/>
      <c r="F751" s="7"/>
    </row>
    <row r="752" spans="4:6" ht="15.75" customHeight="1" x14ac:dyDescent="0.3">
      <c r="D752" s="22"/>
      <c r="F752" s="7"/>
    </row>
    <row r="753" spans="4:6" ht="15.75" customHeight="1" x14ac:dyDescent="0.3">
      <c r="D753" s="22"/>
      <c r="F753" s="7"/>
    </row>
    <row r="754" spans="4:6" ht="15.75" customHeight="1" x14ac:dyDescent="0.3">
      <c r="D754" s="22"/>
      <c r="F754" s="7"/>
    </row>
    <row r="755" spans="4:6" ht="15.75" customHeight="1" x14ac:dyDescent="0.3">
      <c r="D755" s="22"/>
      <c r="F755" s="7"/>
    </row>
    <row r="756" spans="4:6" ht="15.75" customHeight="1" x14ac:dyDescent="0.3">
      <c r="D756" s="22"/>
      <c r="F756" s="7"/>
    </row>
    <row r="757" spans="4:6" ht="15.75" customHeight="1" x14ac:dyDescent="0.3">
      <c r="D757" s="22"/>
      <c r="F757" s="7"/>
    </row>
    <row r="758" spans="4:6" ht="15.75" customHeight="1" x14ac:dyDescent="0.3">
      <c r="D758" s="22"/>
      <c r="F758" s="7"/>
    </row>
    <row r="759" spans="4:6" ht="15.75" customHeight="1" x14ac:dyDescent="0.3">
      <c r="D759" s="22"/>
      <c r="F759" s="7"/>
    </row>
    <row r="760" spans="4:6" ht="15.75" customHeight="1" x14ac:dyDescent="0.3">
      <c r="D760" s="22"/>
      <c r="F760" s="7"/>
    </row>
    <row r="761" spans="4:6" ht="15.75" customHeight="1" x14ac:dyDescent="0.3">
      <c r="D761" s="22"/>
      <c r="F761" s="7"/>
    </row>
    <row r="762" spans="4:6" ht="15.75" customHeight="1" x14ac:dyDescent="0.3">
      <c r="D762" s="22"/>
      <c r="F762" s="7"/>
    </row>
    <row r="763" spans="4:6" ht="15.75" customHeight="1" x14ac:dyDescent="0.3">
      <c r="D763" s="22"/>
      <c r="F763" s="7"/>
    </row>
    <row r="764" spans="4:6" ht="15.75" customHeight="1" x14ac:dyDescent="0.3">
      <c r="D764" s="22"/>
      <c r="F764" s="7"/>
    </row>
    <row r="765" spans="4:6" ht="15.75" customHeight="1" x14ac:dyDescent="0.3">
      <c r="D765" s="22"/>
      <c r="F765" s="7"/>
    </row>
    <row r="766" spans="4:6" ht="15.75" customHeight="1" x14ac:dyDescent="0.3">
      <c r="D766" s="22"/>
      <c r="F766" s="7"/>
    </row>
    <row r="767" spans="4:6" ht="15.75" customHeight="1" x14ac:dyDescent="0.3">
      <c r="D767" s="22"/>
      <c r="F767" s="7"/>
    </row>
    <row r="768" spans="4:6" ht="15.75" customHeight="1" x14ac:dyDescent="0.3">
      <c r="D768" s="22"/>
      <c r="F768" s="7"/>
    </row>
    <row r="769" spans="4:6" ht="15.75" customHeight="1" x14ac:dyDescent="0.3">
      <c r="D769" s="22"/>
      <c r="F769" s="7"/>
    </row>
    <row r="770" spans="4:6" ht="15.75" customHeight="1" x14ac:dyDescent="0.3">
      <c r="D770" s="22"/>
      <c r="F770" s="7"/>
    </row>
    <row r="771" spans="4:6" ht="15.75" customHeight="1" x14ac:dyDescent="0.3">
      <c r="D771" s="22"/>
      <c r="F771" s="7"/>
    </row>
    <row r="772" spans="4:6" ht="15.75" customHeight="1" x14ac:dyDescent="0.3">
      <c r="D772" s="22"/>
      <c r="F772" s="7"/>
    </row>
    <row r="773" spans="4:6" ht="15.75" customHeight="1" x14ac:dyDescent="0.3">
      <c r="D773" s="22"/>
      <c r="F773" s="7"/>
    </row>
    <row r="774" spans="4:6" ht="15.75" customHeight="1" x14ac:dyDescent="0.3">
      <c r="D774" s="22"/>
      <c r="F774" s="7"/>
    </row>
    <row r="775" spans="4:6" ht="15.75" customHeight="1" x14ac:dyDescent="0.3">
      <c r="D775" s="22"/>
      <c r="F775" s="7"/>
    </row>
    <row r="776" spans="4:6" ht="15.75" customHeight="1" x14ac:dyDescent="0.3">
      <c r="D776" s="22"/>
      <c r="F776" s="7"/>
    </row>
    <row r="777" spans="4:6" ht="15.75" customHeight="1" x14ac:dyDescent="0.3">
      <c r="D777" s="22"/>
      <c r="F777" s="7"/>
    </row>
    <row r="778" spans="4:6" ht="15.75" customHeight="1" x14ac:dyDescent="0.3">
      <c r="D778" s="22"/>
      <c r="F778" s="7"/>
    </row>
    <row r="779" spans="4:6" ht="15.75" customHeight="1" x14ac:dyDescent="0.3">
      <c r="D779" s="22"/>
      <c r="F779" s="7"/>
    </row>
    <row r="780" spans="4:6" ht="15.75" customHeight="1" x14ac:dyDescent="0.3">
      <c r="D780" s="22"/>
      <c r="F780" s="7"/>
    </row>
    <row r="781" spans="4:6" ht="15.75" customHeight="1" x14ac:dyDescent="0.3">
      <c r="D781" s="22"/>
      <c r="F781" s="7"/>
    </row>
    <row r="782" spans="4:6" ht="15.75" customHeight="1" x14ac:dyDescent="0.3">
      <c r="D782" s="22"/>
      <c r="F782" s="7"/>
    </row>
    <row r="783" spans="4:6" ht="15.75" customHeight="1" x14ac:dyDescent="0.3">
      <c r="D783" s="22"/>
      <c r="F783" s="7"/>
    </row>
    <row r="784" spans="4:6" ht="15.75" customHeight="1" x14ac:dyDescent="0.3">
      <c r="D784" s="22"/>
      <c r="F784" s="7"/>
    </row>
    <row r="785" spans="4:6" ht="15.75" customHeight="1" x14ac:dyDescent="0.3">
      <c r="D785" s="22"/>
      <c r="F785" s="7"/>
    </row>
    <row r="786" spans="4:6" ht="15.75" customHeight="1" x14ac:dyDescent="0.3">
      <c r="D786" s="22"/>
      <c r="F786" s="7"/>
    </row>
    <row r="787" spans="4:6" ht="15.75" customHeight="1" x14ac:dyDescent="0.3">
      <c r="D787" s="22"/>
      <c r="F787" s="7"/>
    </row>
    <row r="788" spans="4:6" ht="15.75" customHeight="1" x14ac:dyDescent="0.3">
      <c r="D788" s="22"/>
      <c r="F788" s="7"/>
    </row>
    <row r="789" spans="4:6" ht="15.75" customHeight="1" x14ac:dyDescent="0.3">
      <c r="D789" s="22"/>
      <c r="F789" s="7"/>
    </row>
    <row r="790" spans="4:6" ht="15.75" customHeight="1" x14ac:dyDescent="0.3">
      <c r="D790" s="22"/>
      <c r="F790" s="7"/>
    </row>
    <row r="791" spans="4:6" ht="15.75" customHeight="1" x14ac:dyDescent="0.3">
      <c r="D791" s="22"/>
      <c r="F791" s="7"/>
    </row>
    <row r="792" spans="4:6" ht="15.75" customHeight="1" x14ac:dyDescent="0.3">
      <c r="D792" s="22"/>
      <c r="F792" s="7"/>
    </row>
    <row r="793" spans="4:6" ht="15.75" customHeight="1" x14ac:dyDescent="0.3">
      <c r="D793" s="22"/>
      <c r="F793" s="7"/>
    </row>
    <row r="794" spans="4:6" ht="15.75" customHeight="1" x14ac:dyDescent="0.3">
      <c r="D794" s="22"/>
      <c r="F794" s="7"/>
    </row>
    <row r="795" spans="4:6" ht="15.75" customHeight="1" x14ac:dyDescent="0.3">
      <c r="D795" s="22"/>
      <c r="F795" s="7"/>
    </row>
    <row r="796" spans="4:6" ht="15.75" customHeight="1" x14ac:dyDescent="0.3">
      <c r="D796" s="22"/>
      <c r="F796" s="7"/>
    </row>
    <row r="797" spans="4:6" ht="15.75" customHeight="1" x14ac:dyDescent="0.3">
      <c r="D797" s="22"/>
      <c r="F797" s="7"/>
    </row>
    <row r="798" spans="4:6" ht="15.75" customHeight="1" x14ac:dyDescent="0.3">
      <c r="D798" s="22"/>
      <c r="F798" s="7"/>
    </row>
    <row r="799" spans="4:6" ht="15.75" customHeight="1" x14ac:dyDescent="0.3">
      <c r="D799" s="22"/>
      <c r="F799" s="7"/>
    </row>
    <row r="800" spans="4:6" ht="15.75" customHeight="1" x14ac:dyDescent="0.3">
      <c r="D800" s="22"/>
      <c r="F800" s="7"/>
    </row>
    <row r="801" spans="4:6" ht="15.75" customHeight="1" x14ac:dyDescent="0.3">
      <c r="D801" s="22"/>
      <c r="F801" s="7"/>
    </row>
    <row r="802" spans="4:6" ht="15.75" customHeight="1" x14ac:dyDescent="0.3">
      <c r="D802" s="22"/>
      <c r="F802" s="7"/>
    </row>
    <row r="803" spans="4:6" ht="15.75" customHeight="1" x14ac:dyDescent="0.3">
      <c r="D803" s="22"/>
      <c r="F803" s="7"/>
    </row>
    <row r="804" spans="4:6" ht="15.75" customHeight="1" x14ac:dyDescent="0.3">
      <c r="D804" s="22"/>
      <c r="F804" s="7"/>
    </row>
    <row r="805" spans="4:6" ht="15.75" customHeight="1" x14ac:dyDescent="0.3">
      <c r="D805" s="22"/>
      <c r="F805" s="7"/>
    </row>
    <row r="806" spans="4:6" ht="15.75" customHeight="1" x14ac:dyDescent="0.3">
      <c r="D806" s="22"/>
      <c r="F806" s="7"/>
    </row>
    <row r="807" spans="4:6" ht="15.75" customHeight="1" x14ac:dyDescent="0.3">
      <c r="D807" s="22"/>
      <c r="F807" s="7"/>
    </row>
    <row r="808" spans="4:6" ht="15.75" customHeight="1" x14ac:dyDescent="0.3">
      <c r="D808" s="22"/>
      <c r="F808" s="7"/>
    </row>
    <row r="809" spans="4:6" ht="15.75" customHeight="1" x14ac:dyDescent="0.3">
      <c r="D809" s="22"/>
      <c r="F809" s="7"/>
    </row>
    <row r="810" spans="4:6" ht="15.75" customHeight="1" x14ac:dyDescent="0.3">
      <c r="D810" s="22"/>
      <c r="F810" s="7"/>
    </row>
    <row r="811" spans="4:6" ht="15.75" customHeight="1" x14ac:dyDescent="0.3">
      <c r="D811" s="22"/>
      <c r="F811" s="7"/>
    </row>
    <row r="812" spans="4:6" ht="15.75" customHeight="1" x14ac:dyDescent="0.3">
      <c r="D812" s="22"/>
      <c r="F812" s="7"/>
    </row>
    <row r="813" spans="4:6" ht="15.75" customHeight="1" x14ac:dyDescent="0.3">
      <c r="D813" s="22"/>
      <c r="F813" s="7"/>
    </row>
    <row r="814" spans="4:6" ht="15.75" customHeight="1" x14ac:dyDescent="0.3">
      <c r="D814" s="22"/>
      <c r="F814" s="7"/>
    </row>
    <row r="815" spans="4:6" ht="15.75" customHeight="1" x14ac:dyDescent="0.3">
      <c r="D815" s="22"/>
      <c r="F815" s="7"/>
    </row>
    <row r="816" spans="4:6" ht="15.75" customHeight="1" x14ac:dyDescent="0.3">
      <c r="D816" s="22"/>
      <c r="F816" s="7"/>
    </row>
    <row r="817" spans="4:6" ht="15.75" customHeight="1" x14ac:dyDescent="0.3">
      <c r="D817" s="22"/>
      <c r="F817" s="7"/>
    </row>
    <row r="818" spans="4:6" ht="15.75" customHeight="1" x14ac:dyDescent="0.3">
      <c r="D818" s="22"/>
      <c r="F818" s="7"/>
    </row>
    <row r="819" spans="4:6" ht="15.75" customHeight="1" x14ac:dyDescent="0.3">
      <c r="D819" s="22"/>
      <c r="F819" s="7"/>
    </row>
    <row r="820" spans="4:6" ht="15.75" customHeight="1" x14ac:dyDescent="0.3">
      <c r="D820" s="22"/>
      <c r="F820" s="7"/>
    </row>
    <row r="821" spans="4:6" ht="15.75" customHeight="1" x14ac:dyDescent="0.3">
      <c r="D821" s="22"/>
      <c r="F821" s="7"/>
    </row>
    <row r="822" spans="4:6" ht="15.75" customHeight="1" x14ac:dyDescent="0.3">
      <c r="D822" s="22"/>
      <c r="F822" s="7"/>
    </row>
    <row r="823" spans="4:6" ht="15.75" customHeight="1" x14ac:dyDescent="0.3">
      <c r="D823" s="22"/>
      <c r="F823" s="7"/>
    </row>
    <row r="824" spans="4:6" ht="15.75" customHeight="1" x14ac:dyDescent="0.3">
      <c r="D824" s="22"/>
      <c r="F824" s="7"/>
    </row>
    <row r="825" spans="4:6" ht="15.75" customHeight="1" x14ac:dyDescent="0.3">
      <c r="D825" s="22"/>
      <c r="F825" s="7"/>
    </row>
    <row r="826" spans="4:6" ht="15.75" customHeight="1" x14ac:dyDescent="0.3">
      <c r="D826" s="22"/>
      <c r="F826" s="7"/>
    </row>
    <row r="827" spans="4:6" ht="15.75" customHeight="1" x14ac:dyDescent="0.3">
      <c r="D827" s="22"/>
      <c r="F827" s="7"/>
    </row>
    <row r="828" spans="4:6" ht="15.75" customHeight="1" x14ac:dyDescent="0.3">
      <c r="D828" s="22"/>
      <c r="F828" s="7"/>
    </row>
    <row r="829" spans="4:6" ht="15.75" customHeight="1" x14ac:dyDescent="0.3">
      <c r="D829" s="22"/>
      <c r="F829" s="7"/>
    </row>
    <row r="830" spans="4:6" ht="15.75" customHeight="1" x14ac:dyDescent="0.3">
      <c r="D830" s="22"/>
      <c r="F830" s="7"/>
    </row>
    <row r="831" spans="4:6" ht="15.75" customHeight="1" x14ac:dyDescent="0.3">
      <c r="D831" s="22"/>
      <c r="F831" s="7"/>
    </row>
    <row r="832" spans="4:6" ht="15.75" customHeight="1" x14ac:dyDescent="0.3">
      <c r="D832" s="22"/>
      <c r="F832" s="7"/>
    </row>
    <row r="833" spans="4:6" ht="15.75" customHeight="1" x14ac:dyDescent="0.3">
      <c r="D833" s="22"/>
      <c r="F833" s="7"/>
    </row>
    <row r="834" spans="4:6" ht="15.75" customHeight="1" x14ac:dyDescent="0.3">
      <c r="D834" s="22"/>
      <c r="F834" s="7"/>
    </row>
    <row r="835" spans="4:6" ht="15.75" customHeight="1" x14ac:dyDescent="0.3">
      <c r="D835" s="22"/>
      <c r="F835" s="7"/>
    </row>
    <row r="836" spans="4:6" ht="15.75" customHeight="1" x14ac:dyDescent="0.3">
      <c r="D836" s="22"/>
      <c r="F836" s="7"/>
    </row>
    <row r="837" spans="4:6" ht="15.75" customHeight="1" x14ac:dyDescent="0.3">
      <c r="D837" s="22"/>
      <c r="F837" s="7"/>
    </row>
    <row r="838" spans="4:6" ht="15.75" customHeight="1" x14ac:dyDescent="0.3">
      <c r="D838" s="22"/>
      <c r="F838" s="7"/>
    </row>
    <row r="839" spans="4:6" ht="15.75" customHeight="1" x14ac:dyDescent="0.3">
      <c r="D839" s="22"/>
      <c r="F839" s="7"/>
    </row>
    <row r="840" spans="4:6" ht="15.75" customHeight="1" x14ac:dyDescent="0.3">
      <c r="D840" s="22"/>
      <c r="F840" s="7"/>
    </row>
    <row r="841" spans="4:6" ht="15.75" customHeight="1" x14ac:dyDescent="0.3">
      <c r="D841" s="22"/>
      <c r="F841" s="7"/>
    </row>
    <row r="842" spans="4:6" ht="15.75" customHeight="1" x14ac:dyDescent="0.3">
      <c r="D842" s="22"/>
      <c r="F842" s="7"/>
    </row>
    <row r="843" spans="4:6" ht="15.75" customHeight="1" x14ac:dyDescent="0.3">
      <c r="D843" s="22"/>
      <c r="F843" s="7"/>
    </row>
    <row r="844" spans="4:6" ht="15.75" customHeight="1" x14ac:dyDescent="0.3">
      <c r="D844" s="22"/>
      <c r="F844" s="7"/>
    </row>
    <row r="845" spans="4:6" ht="15.75" customHeight="1" x14ac:dyDescent="0.3">
      <c r="D845" s="22"/>
      <c r="F845" s="7"/>
    </row>
    <row r="846" spans="4:6" ht="15.75" customHeight="1" x14ac:dyDescent="0.3">
      <c r="D846" s="22"/>
      <c r="F846" s="7"/>
    </row>
    <row r="847" spans="4:6" ht="15.75" customHeight="1" x14ac:dyDescent="0.3">
      <c r="D847" s="22"/>
      <c r="F847" s="7"/>
    </row>
    <row r="848" spans="4:6" ht="15.75" customHeight="1" x14ac:dyDescent="0.3">
      <c r="D848" s="22"/>
      <c r="F848" s="7"/>
    </row>
    <row r="849" spans="4:6" ht="15.75" customHeight="1" x14ac:dyDescent="0.3">
      <c r="D849" s="22"/>
      <c r="F849" s="7"/>
    </row>
    <row r="850" spans="4:6" ht="15.75" customHeight="1" x14ac:dyDescent="0.3">
      <c r="D850" s="22"/>
      <c r="F850" s="7"/>
    </row>
    <row r="851" spans="4:6" ht="15.75" customHeight="1" x14ac:dyDescent="0.3">
      <c r="D851" s="22"/>
      <c r="F851" s="7"/>
    </row>
    <row r="852" spans="4:6" ht="15.75" customHeight="1" x14ac:dyDescent="0.3">
      <c r="D852" s="22"/>
      <c r="F852" s="7"/>
    </row>
    <row r="853" spans="4:6" ht="15.75" customHeight="1" x14ac:dyDescent="0.3">
      <c r="D853" s="22"/>
      <c r="F853" s="7"/>
    </row>
    <row r="854" spans="4:6" ht="15.75" customHeight="1" x14ac:dyDescent="0.3">
      <c r="D854" s="22"/>
      <c r="F854" s="7"/>
    </row>
    <row r="855" spans="4:6" ht="15.75" customHeight="1" x14ac:dyDescent="0.3">
      <c r="D855" s="22"/>
      <c r="F855" s="7"/>
    </row>
    <row r="856" spans="4:6" ht="15.75" customHeight="1" x14ac:dyDescent="0.3">
      <c r="D856" s="22"/>
      <c r="F856" s="7"/>
    </row>
    <row r="857" spans="4:6" ht="15.75" customHeight="1" x14ac:dyDescent="0.3">
      <c r="D857" s="22"/>
      <c r="F857" s="7"/>
    </row>
    <row r="858" spans="4:6" ht="15.75" customHeight="1" x14ac:dyDescent="0.3">
      <c r="D858" s="22"/>
      <c r="F858" s="7"/>
    </row>
    <row r="859" spans="4:6" ht="15.75" customHeight="1" x14ac:dyDescent="0.3">
      <c r="D859" s="22"/>
      <c r="F859" s="7"/>
    </row>
    <row r="860" spans="4:6" ht="15.75" customHeight="1" x14ac:dyDescent="0.3">
      <c r="D860" s="22"/>
      <c r="F860" s="7"/>
    </row>
    <row r="861" spans="4:6" ht="15.75" customHeight="1" x14ac:dyDescent="0.3">
      <c r="D861" s="22"/>
      <c r="F861" s="7"/>
    </row>
    <row r="862" spans="4:6" ht="15.75" customHeight="1" x14ac:dyDescent="0.3">
      <c r="D862" s="22"/>
      <c r="F862" s="7"/>
    </row>
    <row r="863" spans="4:6" ht="15.75" customHeight="1" x14ac:dyDescent="0.3">
      <c r="D863" s="22"/>
      <c r="F863" s="7"/>
    </row>
    <row r="864" spans="4:6" ht="15.75" customHeight="1" x14ac:dyDescent="0.3">
      <c r="D864" s="22"/>
      <c r="F864" s="7"/>
    </row>
    <row r="865" spans="4:6" ht="15.75" customHeight="1" x14ac:dyDescent="0.3">
      <c r="D865" s="22"/>
      <c r="F865" s="7"/>
    </row>
    <row r="866" spans="4:6" ht="15.75" customHeight="1" x14ac:dyDescent="0.3">
      <c r="D866" s="22"/>
      <c r="F866" s="7"/>
    </row>
    <row r="867" spans="4:6" ht="15.75" customHeight="1" x14ac:dyDescent="0.3">
      <c r="D867" s="22"/>
      <c r="F867" s="7"/>
    </row>
    <row r="868" spans="4:6" ht="15.75" customHeight="1" x14ac:dyDescent="0.3">
      <c r="D868" s="22"/>
      <c r="F868" s="7"/>
    </row>
    <row r="869" spans="4:6" ht="15.75" customHeight="1" x14ac:dyDescent="0.3">
      <c r="D869" s="22"/>
      <c r="F869" s="7"/>
    </row>
    <row r="870" spans="4:6" ht="15.75" customHeight="1" x14ac:dyDescent="0.3">
      <c r="D870" s="22"/>
      <c r="F870" s="7"/>
    </row>
    <row r="871" spans="4:6" ht="15.75" customHeight="1" x14ac:dyDescent="0.3">
      <c r="D871" s="22"/>
      <c r="F871" s="7"/>
    </row>
    <row r="872" spans="4:6" ht="15.75" customHeight="1" x14ac:dyDescent="0.3">
      <c r="D872" s="22"/>
      <c r="F872" s="7"/>
    </row>
    <row r="873" spans="4:6" ht="15.75" customHeight="1" x14ac:dyDescent="0.3">
      <c r="D873" s="22"/>
      <c r="F873" s="7"/>
    </row>
    <row r="874" spans="4:6" ht="15.75" customHeight="1" x14ac:dyDescent="0.3">
      <c r="D874" s="22"/>
      <c r="F874" s="7"/>
    </row>
    <row r="875" spans="4:6" ht="15.75" customHeight="1" x14ac:dyDescent="0.3">
      <c r="D875" s="22"/>
      <c r="F875" s="7"/>
    </row>
    <row r="876" spans="4:6" ht="15.75" customHeight="1" x14ac:dyDescent="0.3">
      <c r="D876" s="22"/>
      <c r="F876" s="7"/>
    </row>
    <row r="877" spans="4:6" ht="15.75" customHeight="1" x14ac:dyDescent="0.3">
      <c r="D877" s="22"/>
      <c r="F877" s="7"/>
    </row>
    <row r="878" spans="4:6" ht="15.75" customHeight="1" x14ac:dyDescent="0.3">
      <c r="D878" s="22"/>
      <c r="F878" s="7"/>
    </row>
    <row r="879" spans="4:6" ht="15.75" customHeight="1" x14ac:dyDescent="0.3">
      <c r="D879" s="22"/>
      <c r="F879" s="7"/>
    </row>
    <row r="880" spans="4:6" ht="15.75" customHeight="1" x14ac:dyDescent="0.3">
      <c r="D880" s="22"/>
      <c r="F880" s="7"/>
    </row>
    <row r="881" spans="4:6" ht="15.75" customHeight="1" x14ac:dyDescent="0.3">
      <c r="D881" s="22"/>
      <c r="F881" s="7"/>
    </row>
    <row r="882" spans="4:6" ht="15.75" customHeight="1" x14ac:dyDescent="0.3">
      <c r="D882" s="22"/>
      <c r="F882" s="7"/>
    </row>
    <row r="883" spans="4:6" ht="15.75" customHeight="1" x14ac:dyDescent="0.3">
      <c r="D883" s="22"/>
      <c r="F883" s="7"/>
    </row>
    <row r="884" spans="4:6" ht="15.75" customHeight="1" x14ac:dyDescent="0.3">
      <c r="D884" s="22"/>
      <c r="F884" s="7"/>
    </row>
    <row r="885" spans="4:6" ht="15.75" customHeight="1" x14ac:dyDescent="0.3">
      <c r="D885" s="22"/>
      <c r="F885" s="7"/>
    </row>
    <row r="886" spans="4:6" ht="15.75" customHeight="1" x14ac:dyDescent="0.3">
      <c r="D886" s="22"/>
      <c r="F886" s="7"/>
    </row>
    <row r="887" spans="4:6" ht="15.75" customHeight="1" x14ac:dyDescent="0.3">
      <c r="D887" s="22"/>
      <c r="F887" s="7"/>
    </row>
    <row r="888" spans="4:6" ht="15.75" customHeight="1" x14ac:dyDescent="0.3">
      <c r="D888" s="22"/>
      <c r="F888" s="7"/>
    </row>
    <row r="889" spans="4:6" ht="15.75" customHeight="1" x14ac:dyDescent="0.3">
      <c r="D889" s="22"/>
      <c r="F889" s="7"/>
    </row>
    <row r="890" spans="4:6" ht="15.75" customHeight="1" x14ac:dyDescent="0.3">
      <c r="D890" s="22"/>
      <c r="F890" s="7"/>
    </row>
    <row r="891" spans="4:6" ht="15.75" customHeight="1" x14ac:dyDescent="0.3">
      <c r="D891" s="22"/>
      <c r="F891" s="7"/>
    </row>
    <row r="892" spans="4:6" ht="15.75" customHeight="1" x14ac:dyDescent="0.3">
      <c r="D892" s="22"/>
      <c r="F892" s="7"/>
    </row>
    <row r="893" spans="4:6" ht="15.75" customHeight="1" x14ac:dyDescent="0.3">
      <c r="D893" s="22"/>
      <c r="F893" s="7"/>
    </row>
    <row r="894" spans="4:6" ht="15.75" customHeight="1" x14ac:dyDescent="0.3">
      <c r="D894" s="22"/>
      <c r="F894" s="7"/>
    </row>
    <row r="895" spans="4:6" ht="15.75" customHeight="1" x14ac:dyDescent="0.3">
      <c r="D895" s="22"/>
      <c r="F895" s="7"/>
    </row>
    <row r="896" spans="4:6" ht="15.75" customHeight="1" x14ac:dyDescent="0.3">
      <c r="D896" s="22"/>
      <c r="F896" s="7"/>
    </row>
    <row r="897" spans="4:6" ht="15.75" customHeight="1" x14ac:dyDescent="0.3">
      <c r="D897" s="22"/>
      <c r="F897" s="7"/>
    </row>
    <row r="898" spans="4:6" ht="15.75" customHeight="1" x14ac:dyDescent="0.3">
      <c r="D898" s="22"/>
      <c r="F898" s="7"/>
    </row>
    <row r="899" spans="4:6" ht="15.75" customHeight="1" x14ac:dyDescent="0.3">
      <c r="D899" s="22"/>
      <c r="F899" s="7"/>
    </row>
    <row r="900" spans="4:6" ht="15.75" customHeight="1" x14ac:dyDescent="0.3">
      <c r="D900" s="22"/>
      <c r="F900" s="7"/>
    </row>
    <row r="901" spans="4:6" ht="15.75" customHeight="1" x14ac:dyDescent="0.3">
      <c r="D901" s="22"/>
      <c r="F901" s="7"/>
    </row>
    <row r="902" spans="4:6" ht="15.75" customHeight="1" x14ac:dyDescent="0.3">
      <c r="D902" s="22"/>
      <c r="F902" s="7"/>
    </row>
    <row r="903" spans="4:6" ht="15.75" customHeight="1" x14ac:dyDescent="0.3">
      <c r="D903" s="22"/>
      <c r="F903" s="7"/>
    </row>
    <row r="904" spans="4:6" ht="15.75" customHeight="1" x14ac:dyDescent="0.3">
      <c r="D904" s="22"/>
      <c r="F904" s="7"/>
    </row>
    <row r="905" spans="4:6" ht="15.75" customHeight="1" x14ac:dyDescent="0.3">
      <c r="D905" s="22"/>
      <c r="F905" s="7"/>
    </row>
    <row r="906" spans="4:6" ht="15.75" customHeight="1" x14ac:dyDescent="0.3">
      <c r="D906" s="22"/>
      <c r="F906" s="7"/>
    </row>
    <row r="907" spans="4:6" ht="15.75" customHeight="1" x14ac:dyDescent="0.3">
      <c r="D907" s="22"/>
      <c r="F907" s="7"/>
    </row>
    <row r="908" spans="4:6" ht="15.75" customHeight="1" x14ac:dyDescent="0.3">
      <c r="D908" s="22"/>
      <c r="F908" s="7"/>
    </row>
    <row r="909" spans="4:6" ht="15.75" customHeight="1" x14ac:dyDescent="0.3">
      <c r="D909" s="22"/>
      <c r="F909" s="7"/>
    </row>
    <row r="910" spans="4:6" ht="15.75" customHeight="1" x14ac:dyDescent="0.3">
      <c r="D910" s="22"/>
      <c r="F910" s="7"/>
    </row>
    <row r="911" spans="4:6" ht="15.75" customHeight="1" x14ac:dyDescent="0.3">
      <c r="D911" s="22"/>
      <c r="F911" s="7"/>
    </row>
    <row r="912" spans="4:6" ht="15.75" customHeight="1" x14ac:dyDescent="0.3">
      <c r="D912" s="22"/>
      <c r="F912" s="7"/>
    </row>
    <row r="913" spans="4:6" ht="15.75" customHeight="1" x14ac:dyDescent="0.3">
      <c r="D913" s="22"/>
      <c r="F913" s="7"/>
    </row>
    <row r="914" spans="4:6" ht="15.75" customHeight="1" x14ac:dyDescent="0.3">
      <c r="D914" s="22"/>
      <c r="F914" s="7"/>
    </row>
    <row r="915" spans="4:6" ht="15.75" customHeight="1" x14ac:dyDescent="0.3">
      <c r="D915" s="22"/>
      <c r="F915" s="7"/>
    </row>
    <row r="916" spans="4:6" ht="15.75" customHeight="1" x14ac:dyDescent="0.3">
      <c r="D916" s="22"/>
      <c r="F916" s="7"/>
    </row>
    <row r="917" spans="4:6" ht="15.75" customHeight="1" x14ac:dyDescent="0.3">
      <c r="D917" s="22"/>
      <c r="F917" s="7"/>
    </row>
    <row r="918" spans="4:6" ht="15.75" customHeight="1" x14ac:dyDescent="0.3">
      <c r="D918" s="22"/>
      <c r="F918" s="7"/>
    </row>
    <row r="919" spans="4:6" ht="15.75" customHeight="1" x14ac:dyDescent="0.3">
      <c r="D919" s="22"/>
      <c r="F919" s="7"/>
    </row>
    <row r="920" spans="4:6" ht="15.75" customHeight="1" x14ac:dyDescent="0.3">
      <c r="D920" s="22"/>
      <c r="F920" s="7"/>
    </row>
    <row r="921" spans="4:6" ht="15.75" customHeight="1" x14ac:dyDescent="0.3">
      <c r="D921" s="22"/>
      <c r="F921" s="7"/>
    </row>
    <row r="922" spans="4:6" ht="15.75" customHeight="1" x14ac:dyDescent="0.3">
      <c r="D922" s="22"/>
      <c r="F922" s="7"/>
    </row>
    <row r="923" spans="4:6" ht="15.75" customHeight="1" x14ac:dyDescent="0.3">
      <c r="D923" s="22"/>
      <c r="F923" s="7"/>
    </row>
    <row r="924" spans="4:6" ht="15.75" customHeight="1" x14ac:dyDescent="0.3">
      <c r="D924" s="22"/>
      <c r="F924" s="7"/>
    </row>
    <row r="925" spans="4:6" ht="15.75" customHeight="1" x14ac:dyDescent="0.3">
      <c r="D925" s="22"/>
      <c r="F925" s="7"/>
    </row>
    <row r="926" spans="4:6" ht="15.75" customHeight="1" x14ac:dyDescent="0.3">
      <c r="D926" s="22"/>
      <c r="F926" s="7"/>
    </row>
    <row r="927" spans="4:6" ht="15.75" customHeight="1" x14ac:dyDescent="0.3">
      <c r="D927" s="22"/>
      <c r="F927" s="7"/>
    </row>
    <row r="928" spans="4:6" ht="15.75" customHeight="1" x14ac:dyDescent="0.3">
      <c r="D928" s="22"/>
      <c r="F928" s="7"/>
    </row>
    <row r="929" spans="4:6" ht="15.75" customHeight="1" x14ac:dyDescent="0.3">
      <c r="D929" s="22"/>
      <c r="F929" s="7"/>
    </row>
    <row r="930" spans="4:6" ht="15.75" customHeight="1" x14ac:dyDescent="0.3">
      <c r="D930" s="22"/>
      <c r="F930" s="7"/>
    </row>
    <row r="931" spans="4:6" ht="15.75" customHeight="1" x14ac:dyDescent="0.3">
      <c r="D931" s="22"/>
      <c r="F931" s="7"/>
    </row>
    <row r="932" spans="4:6" ht="15.75" customHeight="1" x14ac:dyDescent="0.3">
      <c r="D932" s="22"/>
      <c r="F932" s="7"/>
    </row>
    <row r="933" spans="4:6" ht="15.75" customHeight="1" x14ac:dyDescent="0.3">
      <c r="D933" s="22"/>
      <c r="F933" s="7"/>
    </row>
    <row r="934" spans="4:6" ht="15.75" customHeight="1" x14ac:dyDescent="0.3">
      <c r="D934" s="22"/>
      <c r="F934" s="7"/>
    </row>
    <row r="935" spans="4:6" ht="15.75" customHeight="1" x14ac:dyDescent="0.3">
      <c r="D935" s="22"/>
      <c r="F935" s="7"/>
    </row>
    <row r="936" spans="4:6" ht="15.75" customHeight="1" x14ac:dyDescent="0.3">
      <c r="D936" s="22"/>
      <c r="F936" s="7"/>
    </row>
    <row r="937" spans="4:6" ht="15.75" customHeight="1" x14ac:dyDescent="0.3">
      <c r="D937" s="22"/>
      <c r="F937" s="7"/>
    </row>
    <row r="938" spans="4:6" ht="15.75" customHeight="1" x14ac:dyDescent="0.3">
      <c r="D938" s="22"/>
      <c r="F938" s="7"/>
    </row>
    <row r="939" spans="4:6" ht="15.75" customHeight="1" x14ac:dyDescent="0.3">
      <c r="D939" s="22"/>
      <c r="F939" s="7"/>
    </row>
    <row r="940" spans="4:6" ht="15.75" customHeight="1" x14ac:dyDescent="0.3">
      <c r="D940" s="22"/>
      <c r="F940" s="7"/>
    </row>
    <row r="941" spans="4:6" ht="15.75" customHeight="1" x14ac:dyDescent="0.3">
      <c r="D941" s="22"/>
      <c r="F941" s="7"/>
    </row>
    <row r="942" spans="4:6" ht="15.75" customHeight="1" x14ac:dyDescent="0.3">
      <c r="D942" s="22"/>
      <c r="F942" s="7"/>
    </row>
    <row r="943" spans="4:6" ht="15.75" customHeight="1" x14ac:dyDescent="0.3">
      <c r="D943" s="22"/>
      <c r="F943" s="7"/>
    </row>
    <row r="944" spans="4:6" ht="15.75" customHeight="1" x14ac:dyDescent="0.3">
      <c r="D944" s="22"/>
      <c r="F944" s="7"/>
    </row>
    <row r="945" spans="4:6" ht="15.75" customHeight="1" x14ac:dyDescent="0.3">
      <c r="D945" s="22"/>
      <c r="F945" s="7"/>
    </row>
    <row r="946" spans="4:6" ht="15.75" customHeight="1" x14ac:dyDescent="0.3">
      <c r="D946" s="22"/>
      <c r="F946" s="7"/>
    </row>
    <row r="947" spans="4:6" ht="15.75" customHeight="1" x14ac:dyDescent="0.3">
      <c r="D947" s="22"/>
      <c r="F947" s="7"/>
    </row>
    <row r="948" spans="4:6" ht="15.75" customHeight="1" x14ac:dyDescent="0.3">
      <c r="D948" s="22"/>
      <c r="F948" s="7"/>
    </row>
    <row r="949" spans="4:6" ht="15.75" customHeight="1" x14ac:dyDescent="0.3">
      <c r="D949" s="22"/>
      <c r="F949" s="7"/>
    </row>
    <row r="950" spans="4:6" ht="15.75" customHeight="1" x14ac:dyDescent="0.3">
      <c r="D950" s="22"/>
      <c r="F950" s="7"/>
    </row>
    <row r="951" spans="4:6" ht="15.75" customHeight="1" x14ac:dyDescent="0.3">
      <c r="D951" s="22"/>
      <c r="F951" s="7"/>
    </row>
    <row r="952" spans="4:6" ht="15.75" customHeight="1" x14ac:dyDescent="0.3">
      <c r="D952" s="22"/>
      <c r="F952" s="7"/>
    </row>
    <row r="953" spans="4:6" ht="15.75" customHeight="1" x14ac:dyDescent="0.3">
      <c r="D953" s="22"/>
      <c r="F953" s="7"/>
    </row>
    <row r="954" spans="4:6" ht="15.75" customHeight="1" x14ac:dyDescent="0.3">
      <c r="D954" s="22"/>
      <c r="F954" s="7"/>
    </row>
    <row r="955" spans="4:6" ht="15.75" customHeight="1" x14ac:dyDescent="0.3">
      <c r="D955" s="22"/>
      <c r="F955" s="7"/>
    </row>
    <row r="956" spans="4:6" ht="15.75" customHeight="1" x14ac:dyDescent="0.3">
      <c r="D956" s="22"/>
      <c r="F956" s="7"/>
    </row>
    <row r="957" spans="4:6" ht="15.75" customHeight="1" x14ac:dyDescent="0.3">
      <c r="D957" s="22"/>
      <c r="F957" s="7"/>
    </row>
    <row r="958" spans="4:6" ht="15.75" customHeight="1" x14ac:dyDescent="0.3">
      <c r="D958" s="22"/>
      <c r="F958" s="7"/>
    </row>
    <row r="959" spans="4:6" ht="15.75" customHeight="1" x14ac:dyDescent="0.3">
      <c r="D959" s="22"/>
      <c r="F959" s="7"/>
    </row>
    <row r="960" spans="4:6" ht="15.75" customHeight="1" x14ac:dyDescent="0.3">
      <c r="D960" s="22"/>
      <c r="F960" s="7"/>
    </row>
    <row r="961" spans="4:6" ht="15.75" customHeight="1" x14ac:dyDescent="0.3">
      <c r="D961" s="22"/>
      <c r="F961" s="7"/>
    </row>
    <row r="962" spans="4:6" ht="15.75" customHeight="1" x14ac:dyDescent="0.3">
      <c r="D962" s="22"/>
      <c r="F962" s="7"/>
    </row>
    <row r="963" spans="4:6" ht="15.75" customHeight="1" x14ac:dyDescent="0.3">
      <c r="D963" s="22"/>
      <c r="F963" s="7"/>
    </row>
    <row r="964" spans="4:6" ht="15.75" customHeight="1" x14ac:dyDescent="0.3">
      <c r="D964" s="22"/>
      <c r="F964" s="7"/>
    </row>
    <row r="965" spans="4:6" ht="15.75" customHeight="1" x14ac:dyDescent="0.3">
      <c r="D965" s="22"/>
      <c r="F965" s="7"/>
    </row>
    <row r="966" spans="4:6" ht="15.75" customHeight="1" x14ac:dyDescent="0.3">
      <c r="D966" s="22"/>
      <c r="F966" s="7"/>
    </row>
    <row r="967" spans="4:6" ht="15.75" customHeight="1" x14ac:dyDescent="0.3">
      <c r="D967" s="22"/>
      <c r="F967" s="7"/>
    </row>
    <row r="968" spans="4:6" ht="15.75" customHeight="1" x14ac:dyDescent="0.3">
      <c r="D968" s="22"/>
      <c r="F968" s="7"/>
    </row>
    <row r="969" spans="4:6" ht="15.75" customHeight="1" x14ac:dyDescent="0.3">
      <c r="D969" s="22"/>
      <c r="F969" s="7"/>
    </row>
    <row r="970" spans="4:6" ht="15.75" customHeight="1" x14ac:dyDescent="0.3">
      <c r="D970" s="22"/>
      <c r="F970" s="7"/>
    </row>
    <row r="971" spans="4:6" ht="15.75" customHeight="1" x14ac:dyDescent="0.3">
      <c r="D971" s="22"/>
      <c r="F971" s="7"/>
    </row>
    <row r="972" spans="4:6" ht="15.75" customHeight="1" x14ac:dyDescent="0.3">
      <c r="D972" s="22"/>
      <c r="F972" s="7"/>
    </row>
    <row r="973" spans="4:6" ht="15.75" customHeight="1" x14ac:dyDescent="0.3">
      <c r="D973" s="22"/>
      <c r="F973" s="7"/>
    </row>
    <row r="974" spans="4:6" ht="15.75" customHeight="1" x14ac:dyDescent="0.3">
      <c r="D974" s="22"/>
      <c r="F974" s="7"/>
    </row>
    <row r="975" spans="4:6" ht="15.75" customHeight="1" x14ac:dyDescent="0.3">
      <c r="D975" s="22"/>
      <c r="F975" s="7"/>
    </row>
    <row r="976" spans="4:6" ht="15.75" customHeight="1" x14ac:dyDescent="0.3">
      <c r="D976" s="22"/>
      <c r="F976" s="7"/>
    </row>
    <row r="977" spans="4:6" ht="15.75" customHeight="1" x14ac:dyDescent="0.3">
      <c r="D977" s="22"/>
      <c r="F977" s="7"/>
    </row>
    <row r="978" spans="4:6" ht="15.75" customHeight="1" x14ac:dyDescent="0.3">
      <c r="D978" s="22"/>
      <c r="F978" s="7"/>
    </row>
    <row r="979" spans="4:6" ht="15.75" customHeight="1" x14ac:dyDescent="0.3">
      <c r="D979" s="22"/>
      <c r="F979" s="7"/>
    </row>
    <row r="980" spans="4:6" ht="15.75" customHeight="1" x14ac:dyDescent="0.3">
      <c r="D980" s="22"/>
      <c r="F980" s="7"/>
    </row>
    <row r="981" spans="4:6" ht="15.75" customHeight="1" x14ac:dyDescent="0.3">
      <c r="D981" s="22"/>
      <c r="F981" s="7"/>
    </row>
    <row r="982" spans="4:6" ht="15.75" customHeight="1" x14ac:dyDescent="0.3">
      <c r="D982" s="22"/>
      <c r="F982" s="7"/>
    </row>
    <row r="983" spans="4:6" ht="15.75" customHeight="1" x14ac:dyDescent="0.3">
      <c r="D983" s="22"/>
      <c r="F983" s="7"/>
    </row>
    <row r="984" spans="4:6" ht="15.75" customHeight="1" x14ac:dyDescent="0.3">
      <c r="D984" s="22"/>
      <c r="F984" s="7"/>
    </row>
    <row r="985" spans="4:6" ht="15.75" customHeight="1" x14ac:dyDescent="0.3">
      <c r="D985" s="22"/>
      <c r="F985" s="7"/>
    </row>
    <row r="986" spans="4:6" ht="15.75" customHeight="1" x14ac:dyDescent="0.3">
      <c r="D986" s="22"/>
      <c r="F986" s="7"/>
    </row>
    <row r="987" spans="4:6" ht="15.75" customHeight="1" x14ac:dyDescent="0.3">
      <c r="D987" s="22"/>
      <c r="F987" s="7"/>
    </row>
    <row r="988" spans="4:6" ht="15.75" customHeight="1" x14ac:dyDescent="0.3">
      <c r="D988" s="22"/>
      <c r="F988" s="7"/>
    </row>
    <row r="989" spans="4:6" ht="15.75" customHeight="1" x14ac:dyDescent="0.3">
      <c r="D989" s="22"/>
      <c r="F989" s="7"/>
    </row>
    <row r="990" spans="4:6" ht="15.75" customHeight="1" x14ac:dyDescent="0.3">
      <c r="D990" s="22"/>
      <c r="F990" s="7"/>
    </row>
    <row r="991" spans="4:6" ht="15.75" customHeight="1" x14ac:dyDescent="0.3">
      <c r="D991" s="22"/>
      <c r="F991" s="7"/>
    </row>
    <row r="992" spans="4:6" ht="15.75" customHeight="1" x14ac:dyDescent="0.3">
      <c r="D992" s="22"/>
      <c r="F992" s="7"/>
    </row>
    <row r="993" spans="4:6" ht="15.75" customHeight="1" x14ac:dyDescent="0.3">
      <c r="D993" s="22"/>
      <c r="F993" s="7"/>
    </row>
    <row r="994" spans="4:6" ht="15.75" customHeight="1" x14ac:dyDescent="0.3">
      <c r="D994" s="22"/>
      <c r="F994" s="7"/>
    </row>
    <row r="995" spans="4:6" ht="15.75" customHeight="1" x14ac:dyDescent="0.3">
      <c r="D995" s="22"/>
      <c r="F995" s="7"/>
    </row>
    <row r="996" spans="4:6" ht="15.75" customHeight="1" x14ac:dyDescent="0.3">
      <c r="D996" s="22"/>
      <c r="F996" s="7"/>
    </row>
    <row r="997" spans="4:6" ht="15.75" customHeight="1" x14ac:dyDescent="0.3">
      <c r="D997" s="22"/>
      <c r="F997" s="7"/>
    </row>
    <row r="998" spans="4:6" ht="15.75" customHeight="1" x14ac:dyDescent="0.3">
      <c r="D998" s="22"/>
      <c r="F998" s="7"/>
    </row>
    <row r="999" spans="4:6" ht="15.75" customHeight="1" x14ac:dyDescent="0.3">
      <c r="D999" s="22"/>
      <c r="F999" s="7"/>
    </row>
    <row r="1000" spans="4:6" ht="15.75" customHeight="1" x14ac:dyDescent="0.3">
      <c r="D1000" s="22"/>
      <c r="F1000" s="7"/>
    </row>
    <row r="1001" spans="4:6" ht="15.75" customHeight="1" x14ac:dyDescent="0.3">
      <c r="D1001" s="22"/>
      <c r="F1001" s="7"/>
    </row>
    <row r="1002" spans="4:6" ht="15.75" customHeight="1" x14ac:dyDescent="0.3">
      <c r="D1002" s="22"/>
      <c r="F1002" s="7"/>
    </row>
    <row r="1003" spans="4:6" ht="15.75" customHeight="1" x14ac:dyDescent="0.3">
      <c r="D1003" s="22"/>
      <c r="F1003" s="7"/>
    </row>
    <row r="1004" spans="4:6" ht="15.75" customHeight="1" x14ac:dyDescent="0.3">
      <c r="D1004" s="22"/>
      <c r="F1004" s="7"/>
    </row>
    <row r="1005" spans="4:6" ht="15.75" customHeight="1" x14ac:dyDescent="0.3">
      <c r="D1005" s="22"/>
      <c r="F1005" s="7"/>
    </row>
    <row r="1006" spans="4:6" ht="15.75" customHeight="1" x14ac:dyDescent="0.3">
      <c r="D1006" s="22"/>
      <c r="F1006" s="7"/>
    </row>
    <row r="1007" spans="4:6" ht="15.75" customHeight="1" x14ac:dyDescent="0.3">
      <c r="D1007" s="22"/>
      <c r="F1007" s="7"/>
    </row>
    <row r="1008" spans="4:6" ht="15" customHeight="1" x14ac:dyDescent="0.3">
      <c r="D1008" s="22"/>
      <c r="F1008" s="7"/>
    </row>
    <row r="1009" spans="4:6" ht="15" customHeight="1" x14ac:dyDescent="0.3">
      <c r="D1009" s="22"/>
      <c r="F1009" s="7"/>
    </row>
    <row r="1010" spans="4:6" ht="15" customHeight="1" x14ac:dyDescent="0.3">
      <c r="D1010" s="22"/>
      <c r="F1010" s="7"/>
    </row>
    <row r="1011" spans="4:6" ht="15" customHeight="1" x14ac:dyDescent="0.3">
      <c r="F1011" s="7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G1010"/>
  <sheetViews>
    <sheetView tabSelected="1" zoomScale="90" zoomScaleNormal="90" workbookViewId="0">
      <selection activeCell="C1" sqref="C1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4" width="13" customWidth="1"/>
    <col min="5" max="26" width="9.3984375" customWidth="1"/>
  </cols>
  <sheetData>
    <row r="1" spans="1:7" ht="86.4" x14ac:dyDescent="0.25">
      <c r="A1" s="15" t="s">
        <v>306</v>
      </c>
      <c r="B1" s="16" t="s">
        <v>344</v>
      </c>
      <c r="C1" s="65" t="s">
        <v>466</v>
      </c>
      <c r="D1" s="65" t="s">
        <v>464</v>
      </c>
    </row>
    <row r="2" spans="1:7" ht="14.4" x14ac:dyDescent="0.3">
      <c r="A2" s="36">
        <v>10101</v>
      </c>
      <c r="B2" s="17" t="s">
        <v>11</v>
      </c>
      <c r="C2" s="3">
        <v>20.845624385447394</v>
      </c>
      <c r="D2" s="10">
        <v>6.8626903978128659</v>
      </c>
      <c r="G2" s="35"/>
    </row>
    <row r="3" spans="1:7" ht="14.4" x14ac:dyDescent="0.3">
      <c r="A3" s="36">
        <v>10102</v>
      </c>
      <c r="B3" s="17" t="s">
        <v>39</v>
      </c>
      <c r="C3" s="3">
        <v>23.668639053254438</v>
      </c>
      <c r="D3" s="10">
        <v>16.728624535315983</v>
      </c>
      <c r="G3" s="35"/>
    </row>
    <row r="4" spans="1:7" ht="14.4" x14ac:dyDescent="0.3">
      <c r="A4" s="36">
        <v>10103</v>
      </c>
      <c r="B4" s="17" t="s">
        <v>18</v>
      </c>
      <c r="C4" s="3">
        <v>34.063260340632603</v>
      </c>
      <c r="D4" s="10">
        <v>15.401540154015402</v>
      </c>
      <c r="G4" s="35"/>
    </row>
    <row r="5" spans="1:7" ht="14.4" x14ac:dyDescent="0.3">
      <c r="A5" s="36">
        <v>10201</v>
      </c>
      <c r="B5" s="17" t="s">
        <v>311</v>
      </c>
      <c r="C5" s="3">
        <v>26.200873362445414</v>
      </c>
      <c r="D5" s="10">
        <v>16.393442622950822</v>
      </c>
      <c r="G5" s="35"/>
    </row>
    <row r="6" spans="1:7" ht="14.4" x14ac:dyDescent="0.3">
      <c r="A6" s="36">
        <v>10202</v>
      </c>
      <c r="B6" s="17" t="s">
        <v>65</v>
      </c>
      <c r="C6" s="3">
        <v>21.582733812949641</v>
      </c>
      <c r="D6" s="10">
        <v>9.9009900990099009</v>
      </c>
      <c r="G6" s="35"/>
    </row>
    <row r="7" spans="1:7" ht="14.4" x14ac:dyDescent="0.3">
      <c r="A7" s="36">
        <v>10301</v>
      </c>
      <c r="B7" s="17" t="s">
        <v>72</v>
      </c>
      <c r="C7" s="3">
        <v>36.199095022624441</v>
      </c>
      <c r="D7" s="10">
        <v>3.5714285714285712</v>
      </c>
      <c r="G7" s="35"/>
    </row>
    <row r="8" spans="1:7" ht="14.4" x14ac:dyDescent="0.3">
      <c r="A8" s="36">
        <v>10302</v>
      </c>
      <c r="B8" s="17" t="s">
        <v>80</v>
      </c>
      <c r="C8" s="3">
        <v>58.18181818181818</v>
      </c>
      <c r="D8" s="10">
        <v>9.8039215686274517</v>
      </c>
      <c r="G8" s="35"/>
    </row>
    <row r="9" spans="1:7" ht="14.4" x14ac:dyDescent="0.3">
      <c r="A9" s="36">
        <v>10303</v>
      </c>
      <c r="B9" s="17" t="s">
        <v>312</v>
      </c>
      <c r="C9" s="3">
        <v>53.030303030303031</v>
      </c>
      <c r="D9" s="10">
        <v>8.5178875638841571</v>
      </c>
      <c r="G9" s="35"/>
    </row>
    <row r="10" spans="1:7" ht="14.4" x14ac:dyDescent="0.3">
      <c r="A10" s="36">
        <v>10304</v>
      </c>
      <c r="B10" s="17" t="s">
        <v>99</v>
      </c>
      <c r="C10" s="3">
        <v>14.388489208633095</v>
      </c>
      <c r="D10" s="10">
        <v>9.0090090090090094</v>
      </c>
      <c r="G10" s="35"/>
    </row>
    <row r="11" spans="1:7" ht="14.4" x14ac:dyDescent="0.3">
      <c r="A11" s="36">
        <v>10401</v>
      </c>
      <c r="B11" s="17" t="s">
        <v>106</v>
      </c>
      <c r="C11" s="3">
        <v>37.634408602150536</v>
      </c>
      <c r="D11" s="10">
        <v>4.9504950495049505</v>
      </c>
      <c r="G11" s="35"/>
    </row>
    <row r="12" spans="1:7" ht="14.4" x14ac:dyDescent="0.3">
      <c r="A12" s="36">
        <v>10402</v>
      </c>
      <c r="B12" s="17" t="s">
        <v>117</v>
      </c>
      <c r="C12" s="3">
        <v>30.303030303030305</v>
      </c>
      <c r="D12" s="10">
        <v>5.2173913043478262</v>
      </c>
      <c r="G12" s="35"/>
    </row>
    <row r="13" spans="1:7" ht="14.4" x14ac:dyDescent="0.3">
      <c r="A13" s="36">
        <v>10403</v>
      </c>
      <c r="B13" s="17" t="s">
        <v>121</v>
      </c>
      <c r="C13" s="3">
        <v>15.503875968992247</v>
      </c>
      <c r="D13" s="10">
        <v>6.6518847006651889</v>
      </c>
      <c r="G13" s="35"/>
    </row>
    <row r="14" spans="1:7" ht="14.4" x14ac:dyDescent="0.3">
      <c r="A14" s="36">
        <v>10404</v>
      </c>
      <c r="B14" s="17" t="s">
        <v>84</v>
      </c>
      <c r="C14" s="3">
        <v>0</v>
      </c>
      <c r="D14" s="10">
        <v>4.6511627906976747</v>
      </c>
      <c r="G14" s="35"/>
    </row>
    <row r="15" spans="1:7" ht="14.4" x14ac:dyDescent="0.3">
      <c r="A15" s="36">
        <v>10405</v>
      </c>
      <c r="B15" s="17" t="s">
        <v>126</v>
      </c>
      <c r="C15" s="3">
        <v>28.985507246376812</v>
      </c>
      <c r="D15" s="10">
        <v>11.0803324099723</v>
      </c>
      <c r="G15" s="35"/>
    </row>
    <row r="16" spans="1:7" ht="14.4" x14ac:dyDescent="0.3">
      <c r="A16" s="36">
        <v>10501</v>
      </c>
      <c r="B16" s="17" t="s">
        <v>129</v>
      </c>
      <c r="C16" s="3">
        <v>35.78947368421052</v>
      </c>
      <c r="D16" s="10">
        <v>6.7796610169491522</v>
      </c>
      <c r="G16" s="35"/>
    </row>
    <row r="17" spans="1:7" ht="14.4" x14ac:dyDescent="0.3">
      <c r="A17" s="36">
        <v>10502</v>
      </c>
      <c r="B17" s="17" t="s">
        <v>313</v>
      </c>
      <c r="C17" s="3">
        <v>12.048192771084338</v>
      </c>
      <c r="D17" s="10">
        <v>6.024096385542169</v>
      </c>
      <c r="G17" s="35"/>
    </row>
    <row r="18" spans="1:7" ht="14.4" x14ac:dyDescent="0.3">
      <c r="A18" s="36">
        <v>10601</v>
      </c>
      <c r="B18" s="17" t="s">
        <v>136</v>
      </c>
      <c r="C18" s="3">
        <v>42.071197411003233</v>
      </c>
      <c r="D18" s="10">
        <v>16.172506738544474</v>
      </c>
      <c r="G18" s="35"/>
    </row>
    <row r="19" spans="1:7" ht="14.4" x14ac:dyDescent="0.3">
      <c r="A19" s="36">
        <v>10602</v>
      </c>
      <c r="B19" s="17" t="s">
        <v>139</v>
      </c>
      <c r="C19" s="3">
        <v>13.157894736842104</v>
      </c>
      <c r="D19" s="10">
        <v>8.3160083160083165</v>
      </c>
      <c r="G19" s="35"/>
    </row>
    <row r="20" spans="1:7" ht="14.4" x14ac:dyDescent="0.3">
      <c r="A20" s="36">
        <v>10701</v>
      </c>
      <c r="B20" s="17" t="s">
        <v>143</v>
      </c>
      <c r="C20" s="3">
        <v>10.452961672473869</v>
      </c>
      <c r="D20" s="10">
        <v>11.76470588235294</v>
      </c>
      <c r="G20" s="35"/>
    </row>
    <row r="21" spans="1:7" ht="15.75" customHeight="1" x14ac:dyDescent="0.3">
      <c r="A21" s="36">
        <v>10702</v>
      </c>
      <c r="B21" s="17" t="s">
        <v>147</v>
      </c>
      <c r="C21" s="3">
        <v>31.563845050215207</v>
      </c>
      <c r="D21" s="10">
        <v>15.772870662460567</v>
      </c>
      <c r="G21" s="35"/>
    </row>
    <row r="22" spans="1:7" ht="15.75" customHeight="1" x14ac:dyDescent="0.3">
      <c r="A22" s="36">
        <v>10703</v>
      </c>
      <c r="B22" s="17" t="s">
        <v>87</v>
      </c>
      <c r="C22" s="3">
        <v>26.470588235294116</v>
      </c>
      <c r="D22" s="10">
        <v>11.786038077969176</v>
      </c>
      <c r="G22" s="35"/>
    </row>
    <row r="23" spans="1:7" ht="15.75" customHeight="1" x14ac:dyDescent="0.3">
      <c r="A23" s="36">
        <v>10704</v>
      </c>
      <c r="B23" s="17" t="s">
        <v>150</v>
      </c>
      <c r="C23" s="3">
        <v>41.56479217603912</v>
      </c>
      <c r="D23" s="10">
        <v>8.5470085470085486</v>
      </c>
      <c r="G23" s="35"/>
    </row>
    <row r="24" spans="1:7" ht="15.75" customHeight="1" x14ac:dyDescent="0.3">
      <c r="A24" s="36">
        <v>10801</v>
      </c>
      <c r="B24" s="17" t="s">
        <v>154</v>
      </c>
      <c r="C24" s="3">
        <v>5</v>
      </c>
      <c r="D24" s="10">
        <v>9.4517958412098295</v>
      </c>
      <c r="G24" s="35"/>
    </row>
    <row r="25" spans="1:7" ht="15.75" customHeight="1" x14ac:dyDescent="0.3">
      <c r="A25" s="36">
        <v>10901</v>
      </c>
      <c r="B25" s="17" t="s">
        <v>71</v>
      </c>
      <c r="C25" s="3">
        <v>15.151515151515152</v>
      </c>
      <c r="D25" s="10">
        <v>6.2695924764890281</v>
      </c>
      <c r="G25" s="35"/>
    </row>
    <row r="26" spans="1:7" ht="15.75" customHeight="1" x14ac:dyDescent="0.3">
      <c r="A26" s="36">
        <v>10902</v>
      </c>
      <c r="B26" s="17" t="s">
        <v>157</v>
      </c>
      <c r="C26" s="3">
        <v>17.073170731707318</v>
      </c>
      <c r="D26" s="10">
        <v>16.236867239732568</v>
      </c>
      <c r="G26" s="35"/>
    </row>
    <row r="27" spans="1:7" ht="15.75" customHeight="1" x14ac:dyDescent="0.3">
      <c r="A27" s="36">
        <v>10903</v>
      </c>
      <c r="B27" s="17" t="s">
        <v>89</v>
      </c>
      <c r="C27" s="3">
        <v>14.492753623188406</v>
      </c>
      <c r="D27" s="10">
        <v>4.048582995951417</v>
      </c>
      <c r="G27" s="35"/>
    </row>
    <row r="28" spans="1:7" ht="15.75" customHeight="1" x14ac:dyDescent="0.3">
      <c r="A28" s="36">
        <v>11001</v>
      </c>
      <c r="B28" s="17" t="s">
        <v>352</v>
      </c>
      <c r="C28" s="3">
        <v>19.417475728155338</v>
      </c>
      <c r="D28" s="10">
        <v>5.9701492537313436</v>
      </c>
      <c r="G28" s="35"/>
    </row>
    <row r="29" spans="1:7" ht="15.75" customHeight="1" x14ac:dyDescent="0.3">
      <c r="A29" s="36">
        <v>11002</v>
      </c>
      <c r="B29" s="17" t="s">
        <v>33</v>
      </c>
      <c r="C29" s="3">
        <v>16.949152542372882</v>
      </c>
      <c r="D29" s="10">
        <v>17.341040462427745</v>
      </c>
      <c r="G29" s="35"/>
    </row>
    <row r="30" spans="1:7" ht="15.75" customHeight="1" x14ac:dyDescent="0.3">
      <c r="A30" s="36">
        <v>11003</v>
      </c>
      <c r="B30" s="17" t="s">
        <v>146</v>
      </c>
      <c r="C30" s="3">
        <v>6.9930069930069934</v>
      </c>
      <c r="D30" s="10">
        <v>15.350877192982455</v>
      </c>
      <c r="G30" s="35"/>
    </row>
    <row r="31" spans="1:7" ht="15.75" customHeight="1" x14ac:dyDescent="0.3">
      <c r="A31" s="36">
        <v>20101</v>
      </c>
      <c r="B31" s="17" t="s">
        <v>314</v>
      </c>
      <c r="C31" s="3">
        <v>31.257362758187384</v>
      </c>
      <c r="D31" s="10">
        <v>10.015493581230633</v>
      </c>
      <c r="G31" s="35"/>
    </row>
    <row r="32" spans="1:7" ht="15.75" customHeight="1" x14ac:dyDescent="0.3">
      <c r="A32" s="36">
        <v>20102</v>
      </c>
      <c r="B32" s="17" t="s">
        <v>168</v>
      </c>
      <c r="C32" s="3">
        <v>61.170212765957444</v>
      </c>
      <c r="D32" s="10">
        <v>17.789072426937739</v>
      </c>
      <c r="G32" s="35"/>
    </row>
    <row r="33" spans="1:7" ht="15.75" customHeight="1" x14ac:dyDescent="0.3">
      <c r="A33" s="36">
        <v>20103</v>
      </c>
      <c r="B33" s="17" t="s">
        <v>170</v>
      </c>
      <c r="C33" s="3">
        <v>40</v>
      </c>
      <c r="D33" s="10">
        <v>11.686143572621035</v>
      </c>
      <c r="G33" s="35"/>
    </row>
    <row r="34" spans="1:7" ht="15.75" customHeight="1" x14ac:dyDescent="0.3">
      <c r="A34" s="36">
        <v>20104</v>
      </c>
      <c r="B34" s="17" t="s">
        <v>174</v>
      </c>
      <c r="C34" s="3">
        <v>52.173913043478258</v>
      </c>
      <c r="D34" s="10">
        <v>11.807149885208265</v>
      </c>
      <c r="G34" s="35"/>
    </row>
    <row r="35" spans="1:7" ht="15.75" customHeight="1" x14ac:dyDescent="0.3">
      <c r="A35" s="36">
        <v>20105</v>
      </c>
      <c r="B35" s="17" t="s">
        <v>178</v>
      </c>
      <c r="C35" s="3">
        <v>29.95727831614046</v>
      </c>
      <c r="D35" s="10">
        <v>12.760342725435507</v>
      </c>
      <c r="G35" s="35"/>
    </row>
    <row r="36" spans="1:7" ht="15.75" customHeight="1" x14ac:dyDescent="0.3">
      <c r="A36" s="36">
        <v>20201</v>
      </c>
      <c r="B36" s="17" t="s">
        <v>181</v>
      </c>
      <c r="C36" s="3">
        <v>3.7878787878787881</v>
      </c>
      <c r="D36" s="10">
        <v>14.598540145985401</v>
      </c>
      <c r="G36" s="35"/>
    </row>
    <row r="37" spans="1:7" ht="15.75" customHeight="1" x14ac:dyDescent="0.3">
      <c r="A37" s="36">
        <v>20202</v>
      </c>
      <c r="B37" s="17" t="s">
        <v>183</v>
      </c>
      <c r="C37" s="3">
        <v>32.11009174311927</v>
      </c>
      <c r="D37" s="10">
        <v>12.925969447708578</v>
      </c>
      <c r="G37" s="35"/>
    </row>
    <row r="38" spans="1:7" ht="15.75" customHeight="1" x14ac:dyDescent="0.3">
      <c r="A38" s="36">
        <v>20203</v>
      </c>
      <c r="B38" s="17" t="s">
        <v>159</v>
      </c>
      <c r="C38" s="3">
        <v>34.482758620689651</v>
      </c>
      <c r="D38" s="10">
        <v>23.121387283236992</v>
      </c>
      <c r="G38" s="35"/>
    </row>
    <row r="39" spans="1:7" ht="15.75" customHeight="1" x14ac:dyDescent="0.3">
      <c r="A39" s="36">
        <v>20204</v>
      </c>
      <c r="B39" s="17" t="s">
        <v>187</v>
      </c>
      <c r="C39" s="3">
        <v>40.54054054054054</v>
      </c>
      <c r="D39" s="10">
        <v>9.1954022988505741</v>
      </c>
      <c r="G39" s="35"/>
    </row>
    <row r="40" spans="1:7" ht="15.75" customHeight="1" x14ac:dyDescent="0.3">
      <c r="A40" s="36">
        <v>20205</v>
      </c>
      <c r="B40" s="17" t="s">
        <v>189</v>
      </c>
      <c r="C40" s="3">
        <v>40.404040404040408</v>
      </c>
      <c r="D40" s="10">
        <v>7.0588235294117654</v>
      </c>
      <c r="G40" s="35"/>
    </row>
    <row r="41" spans="1:7" ht="15.75" customHeight="1" x14ac:dyDescent="0.3">
      <c r="A41" s="36">
        <v>20206</v>
      </c>
      <c r="B41" s="17" t="s">
        <v>103</v>
      </c>
      <c r="C41" s="3">
        <v>0</v>
      </c>
      <c r="D41" s="10">
        <v>29.850746268656717</v>
      </c>
      <c r="G41" s="35"/>
    </row>
    <row r="42" spans="1:7" ht="15.75" customHeight="1" x14ac:dyDescent="0.3">
      <c r="A42" s="36">
        <v>20301</v>
      </c>
      <c r="B42" s="17" t="s">
        <v>196</v>
      </c>
      <c r="C42" s="3">
        <v>11.173184357541899</v>
      </c>
      <c r="D42" s="10">
        <v>23.188405797101449</v>
      </c>
      <c r="G42" s="35"/>
    </row>
    <row r="43" spans="1:7" ht="15.75" customHeight="1" x14ac:dyDescent="0.3">
      <c r="A43" s="36">
        <v>20302</v>
      </c>
      <c r="B43" s="17" t="s">
        <v>82</v>
      </c>
      <c r="C43" s="3">
        <v>16</v>
      </c>
      <c r="D43" s="10">
        <v>14.211886304909561</v>
      </c>
      <c r="G43" s="35"/>
    </row>
    <row r="44" spans="1:7" ht="15.75" customHeight="1" x14ac:dyDescent="0.3">
      <c r="A44" s="36">
        <v>20303</v>
      </c>
      <c r="B44" s="17" t="s">
        <v>30</v>
      </c>
      <c r="C44" s="3">
        <v>0</v>
      </c>
      <c r="D44" s="10">
        <v>16.666666666666668</v>
      </c>
      <c r="G44" s="35"/>
    </row>
    <row r="45" spans="1:7" ht="15.75" customHeight="1" x14ac:dyDescent="0.3">
      <c r="A45" s="36">
        <v>20304</v>
      </c>
      <c r="B45" s="17" t="s">
        <v>148</v>
      </c>
      <c r="C45" s="3">
        <v>0</v>
      </c>
      <c r="D45" s="10">
        <v>12.578616352201259</v>
      </c>
      <c r="G45" s="35"/>
    </row>
    <row r="46" spans="1:7" ht="15.75" customHeight="1" x14ac:dyDescent="0.3">
      <c r="A46" s="36">
        <v>20305</v>
      </c>
      <c r="B46" s="17" t="s">
        <v>93</v>
      </c>
      <c r="C46" s="3">
        <v>0</v>
      </c>
      <c r="D46" s="10">
        <v>24.896265560165972</v>
      </c>
      <c r="G46" s="35"/>
    </row>
    <row r="47" spans="1:7" ht="15.75" customHeight="1" x14ac:dyDescent="0.3">
      <c r="A47" s="36">
        <v>20306</v>
      </c>
      <c r="B47" s="17" t="s">
        <v>97</v>
      </c>
      <c r="C47" s="3">
        <v>19.417475728155338</v>
      </c>
      <c r="D47" s="10">
        <v>21.459227467811157</v>
      </c>
      <c r="G47" s="35"/>
    </row>
    <row r="48" spans="1:7" ht="15.75" customHeight="1" x14ac:dyDescent="0.3">
      <c r="A48" s="36">
        <v>20307</v>
      </c>
      <c r="B48" s="17" t="s">
        <v>12</v>
      </c>
      <c r="C48" s="3">
        <v>0</v>
      </c>
      <c r="D48" s="10">
        <v>4.329004329004329</v>
      </c>
      <c r="G48" s="35"/>
    </row>
    <row r="49" spans="1:7" ht="15.75" customHeight="1" x14ac:dyDescent="0.3">
      <c r="A49" s="36">
        <v>20308</v>
      </c>
      <c r="B49" s="17" t="s">
        <v>315</v>
      </c>
      <c r="C49" s="3">
        <v>0</v>
      </c>
      <c r="D49" s="10">
        <v>5.4945054945054945</v>
      </c>
      <c r="G49" s="35"/>
    </row>
    <row r="50" spans="1:7" ht="15.75" customHeight="1" x14ac:dyDescent="0.3">
      <c r="A50" s="36">
        <v>20401</v>
      </c>
      <c r="B50" s="17" t="s">
        <v>124</v>
      </c>
      <c r="C50" s="3">
        <v>38.216560509554135</v>
      </c>
      <c r="D50" s="10">
        <v>15.384615384615385</v>
      </c>
      <c r="G50" s="35"/>
    </row>
    <row r="51" spans="1:7" ht="15.75" customHeight="1" x14ac:dyDescent="0.3">
      <c r="A51" s="36">
        <v>20402</v>
      </c>
      <c r="B51" s="17" t="s">
        <v>112</v>
      </c>
      <c r="C51" s="3">
        <v>52.434456928838955</v>
      </c>
      <c r="D51" s="10">
        <v>13.381995133819951</v>
      </c>
      <c r="G51" s="35"/>
    </row>
    <row r="52" spans="1:7" ht="15.75" customHeight="1" x14ac:dyDescent="0.3">
      <c r="A52" s="36">
        <v>20403</v>
      </c>
      <c r="B52" s="17" t="s">
        <v>316</v>
      </c>
      <c r="C52" s="3">
        <v>61.135371179039296</v>
      </c>
      <c r="D52" s="10">
        <v>18.390804597701148</v>
      </c>
      <c r="G52" s="35"/>
    </row>
    <row r="53" spans="1:7" ht="15.75" customHeight="1" x14ac:dyDescent="0.3">
      <c r="A53" s="36">
        <v>20404</v>
      </c>
      <c r="B53" s="17" t="s">
        <v>116</v>
      </c>
      <c r="C53" s="3">
        <v>87.378640776699029</v>
      </c>
      <c r="D53" s="10">
        <v>6.8493150684931505</v>
      </c>
      <c r="G53" s="35"/>
    </row>
    <row r="54" spans="1:7" ht="15.75" customHeight="1" x14ac:dyDescent="0.3">
      <c r="A54" s="36">
        <v>20405</v>
      </c>
      <c r="B54" s="17" t="s">
        <v>222</v>
      </c>
      <c r="C54" s="3">
        <v>33.333333333333336</v>
      </c>
      <c r="D54" s="10">
        <v>10.178117048346056</v>
      </c>
      <c r="G54" s="35"/>
    </row>
    <row r="55" spans="1:7" ht="15.75" customHeight="1" x14ac:dyDescent="0.3">
      <c r="A55" s="36">
        <v>20501</v>
      </c>
      <c r="B55" s="17" t="s">
        <v>226</v>
      </c>
      <c r="C55" s="3">
        <v>30.042918454935624</v>
      </c>
      <c r="D55" s="10">
        <v>6.1349693251533743</v>
      </c>
      <c r="G55" s="35"/>
    </row>
    <row r="56" spans="1:7" ht="15.75" customHeight="1" x14ac:dyDescent="0.3">
      <c r="A56" s="36">
        <v>20502</v>
      </c>
      <c r="B56" s="17" t="s">
        <v>101</v>
      </c>
      <c r="C56" s="3">
        <v>47.846889952153113</v>
      </c>
      <c r="D56" s="10">
        <v>6</v>
      </c>
      <c r="G56" s="35"/>
    </row>
    <row r="57" spans="1:7" ht="15.75" customHeight="1" x14ac:dyDescent="0.3">
      <c r="A57" s="36">
        <v>20503</v>
      </c>
      <c r="B57" s="17" t="s">
        <v>182</v>
      </c>
      <c r="C57" s="3">
        <v>38.095238095238102</v>
      </c>
      <c r="D57" s="10">
        <v>8.4745762711864412</v>
      </c>
      <c r="G57" s="35"/>
    </row>
    <row r="58" spans="1:7" ht="15.75" customHeight="1" x14ac:dyDescent="0.3">
      <c r="A58" s="36">
        <v>20601</v>
      </c>
      <c r="B58" s="17" t="s">
        <v>233</v>
      </c>
      <c r="C58" s="3">
        <v>43.478260869565219</v>
      </c>
      <c r="D58" s="10">
        <v>11.077542799597181</v>
      </c>
      <c r="G58" s="35"/>
    </row>
    <row r="59" spans="1:7" ht="15.75" customHeight="1" x14ac:dyDescent="0.3">
      <c r="A59" s="36">
        <v>20602</v>
      </c>
      <c r="B59" s="17" t="s">
        <v>236</v>
      </c>
      <c r="C59" s="3">
        <v>77.881619937694694</v>
      </c>
      <c r="D59" s="10">
        <v>17.756255044390638</v>
      </c>
      <c r="G59" s="35"/>
    </row>
    <row r="60" spans="1:7" ht="15.75" customHeight="1" x14ac:dyDescent="0.3">
      <c r="A60" s="36">
        <v>20603</v>
      </c>
      <c r="B60" s="17" t="s">
        <v>203</v>
      </c>
      <c r="C60" s="3">
        <v>38.461538461538467</v>
      </c>
      <c r="D60" s="10">
        <v>1.4771048744460857</v>
      </c>
      <c r="G60" s="35"/>
    </row>
    <row r="61" spans="1:7" ht="15.75" customHeight="1" x14ac:dyDescent="0.3">
      <c r="A61" s="36">
        <v>20604</v>
      </c>
      <c r="B61" s="17" t="s">
        <v>54</v>
      </c>
      <c r="C61" s="3">
        <v>94.339622641509436</v>
      </c>
      <c r="D61" s="10">
        <v>26.490066225165563</v>
      </c>
      <c r="G61" s="35"/>
    </row>
    <row r="62" spans="1:7" ht="15.75" customHeight="1" x14ac:dyDescent="0.3">
      <c r="A62" s="36">
        <v>20605</v>
      </c>
      <c r="B62" s="17" t="s">
        <v>62</v>
      </c>
      <c r="C62" s="3">
        <v>39.215686274509807</v>
      </c>
      <c r="D62" s="10">
        <v>14.285714285714285</v>
      </c>
      <c r="G62" s="35"/>
    </row>
    <row r="63" spans="1:7" ht="15.75" customHeight="1" x14ac:dyDescent="0.3">
      <c r="A63" s="36">
        <v>20606</v>
      </c>
      <c r="B63" s="17" t="s">
        <v>140</v>
      </c>
      <c r="C63" s="3">
        <v>50.78125</v>
      </c>
      <c r="D63" s="10">
        <v>19.469026548672566</v>
      </c>
      <c r="G63" s="35"/>
    </row>
    <row r="64" spans="1:7" ht="15.75" customHeight="1" x14ac:dyDescent="0.3">
      <c r="A64" s="36">
        <v>20607</v>
      </c>
      <c r="B64" s="17" t="s">
        <v>167</v>
      </c>
      <c r="C64" s="3">
        <v>34.759358288770052</v>
      </c>
      <c r="D64" s="10">
        <v>12.729124236252547</v>
      </c>
      <c r="G64" s="35"/>
    </row>
    <row r="65" spans="1:7" ht="15.75" customHeight="1" x14ac:dyDescent="0.3">
      <c r="A65" s="36">
        <v>20608</v>
      </c>
      <c r="B65" s="17" t="s">
        <v>200</v>
      </c>
      <c r="C65" s="3">
        <v>37.974683544303801</v>
      </c>
      <c r="D65" s="10">
        <v>13.238289205702648</v>
      </c>
      <c r="G65" s="35"/>
    </row>
    <row r="66" spans="1:7" ht="15.75" customHeight="1" x14ac:dyDescent="0.3">
      <c r="A66" s="36">
        <v>20701</v>
      </c>
      <c r="B66" s="17" t="s">
        <v>241</v>
      </c>
      <c r="C66" s="3">
        <v>43.981481481481481</v>
      </c>
      <c r="D66" s="10">
        <v>19.096117122851687</v>
      </c>
      <c r="G66" s="35"/>
    </row>
    <row r="67" spans="1:7" ht="15.75" customHeight="1" x14ac:dyDescent="0.3">
      <c r="A67" s="36">
        <v>20702</v>
      </c>
      <c r="B67" s="17" t="s">
        <v>41</v>
      </c>
      <c r="C67" s="3">
        <v>45.161290322580641</v>
      </c>
      <c r="D67" s="10">
        <v>11.363636363636363</v>
      </c>
      <c r="G67" s="35"/>
    </row>
    <row r="68" spans="1:7" ht="15.75" customHeight="1" x14ac:dyDescent="0.3">
      <c r="A68" s="36">
        <v>20801</v>
      </c>
      <c r="B68" s="17" t="s">
        <v>244</v>
      </c>
      <c r="C68" s="3">
        <v>37.834997372569632</v>
      </c>
      <c r="D68" s="10">
        <v>13.927210616213376</v>
      </c>
      <c r="G68" s="35"/>
    </row>
    <row r="69" spans="1:7" ht="15.75" customHeight="1" x14ac:dyDescent="0.3">
      <c r="A69" s="36">
        <v>20802</v>
      </c>
      <c r="B69" s="17" t="s">
        <v>186</v>
      </c>
      <c r="C69" s="3">
        <v>45.454545454545453</v>
      </c>
      <c r="D69" s="10">
        <v>24.608501118568235</v>
      </c>
      <c r="G69" s="35"/>
    </row>
    <row r="70" spans="1:7" ht="15.75" customHeight="1" x14ac:dyDescent="0.3">
      <c r="A70" s="36">
        <v>20803</v>
      </c>
      <c r="B70" s="17" t="s">
        <v>217</v>
      </c>
      <c r="C70" s="3">
        <v>46.808510638297868</v>
      </c>
      <c r="D70" s="10">
        <v>9.8039215686274517</v>
      </c>
      <c r="G70" s="35"/>
    </row>
    <row r="71" spans="1:7" ht="15.75" customHeight="1" x14ac:dyDescent="0.3">
      <c r="A71" s="36">
        <v>20804</v>
      </c>
      <c r="B71" s="17" t="s">
        <v>113</v>
      </c>
      <c r="C71" s="3">
        <v>46.979865771812079</v>
      </c>
      <c r="D71" s="10">
        <v>11.811023622047244</v>
      </c>
      <c r="G71" s="35"/>
    </row>
    <row r="72" spans="1:7" ht="15.75" customHeight="1" x14ac:dyDescent="0.3">
      <c r="A72" s="36">
        <v>20805</v>
      </c>
      <c r="B72" s="17" t="s">
        <v>90</v>
      </c>
      <c r="C72" s="3">
        <v>13.157894736842104</v>
      </c>
      <c r="D72" s="10">
        <v>12.987012987012989</v>
      </c>
      <c r="G72" s="35"/>
    </row>
    <row r="73" spans="1:7" ht="15.75" customHeight="1" x14ac:dyDescent="0.3">
      <c r="A73" s="36">
        <v>20806</v>
      </c>
      <c r="B73" s="17" t="s">
        <v>210</v>
      </c>
      <c r="C73" s="3">
        <v>39.130434782608695</v>
      </c>
      <c r="D73" s="10">
        <v>5.7339449541284404</v>
      </c>
      <c r="G73" s="35"/>
    </row>
    <row r="74" spans="1:7" ht="15.75" customHeight="1" x14ac:dyDescent="0.3">
      <c r="A74" s="36">
        <v>20807</v>
      </c>
      <c r="B74" s="17" t="s">
        <v>123</v>
      </c>
      <c r="C74" s="3">
        <v>11.494252873563218</v>
      </c>
      <c r="D74" s="10">
        <v>4.8780487804878048</v>
      </c>
      <c r="G74" s="35"/>
    </row>
    <row r="75" spans="1:7" ht="15.75" customHeight="1" x14ac:dyDescent="0.3">
      <c r="A75" s="36">
        <v>20901</v>
      </c>
      <c r="B75" s="17" t="s">
        <v>253</v>
      </c>
      <c r="C75" s="3">
        <v>44.117647058823529</v>
      </c>
      <c r="D75" s="10">
        <v>4.8465266558966071</v>
      </c>
      <c r="G75" s="35"/>
    </row>
    <row r="76" spans="1:7" ht="15.75" customHeight="1" x14ac:dyDescent="0.3">
      <c r="A76" s="36">
        <v>20902</v>
      </c>
      <c r="B76" s="17" t="s">
        <v>172</v>
      </c>
      <c r="C76" s="3">
        <v>34.782608695652172</v>
      </c>
      <c r="D76" s="10">
        <v>20.080321285140563</v>
      </c>
      <c r="G76" s="35"/>
    </row>
    <row r="77" spans="1:7" ht="15.75" customHeight="1" x14ac:dyDescent="0.3">
      <c r="A77" s="36">
        <v>20903</v>
      </c>
      <c r="B77" s="17" t="s">
        <v>198</v>
      </c>
      <c r="C77" s="3">
        <v>50.724637681159422</v>
      </c>
      <c r="D77" s="10">
        <v>13.00578034682081</v>
      </c>
      <c r="G77" s="35"/>
    </row>
    <row r="78" spans="1:7" ht="15.75" customHeight="1" x14ac:dyDescent="0.3">
      <c r="A78" s="36">
        <v>20904</v>
      </c>
      <c r="B78" s="17" t="s">
        <v>107</v>
      </c>
      <c r="C78" s="3">
        <v>45.454545454545453</v>
      </c>
      <c r="D78" s="10">
        <v>2.7624309392265194</v>
      </c>
      <c r="G78" s="35"/>
    </row>
    <row r="79" spans="1:7" ht="15.75" customHeight="1" x14ac:dyDescent="0.3">
      <c r="A79" s="36">
        <v>20905</v>
      </c>
      <c r="B79" s="17" t="s">
        <v>191</v>
      </c>
      <c r="C79" s="3">
        <v>69.387755102040813</v>
      </c>
      <c r="D79" s="10">
        <v>11.458333333333332</v>
      </c>
      <c r="G79" s="35"/>
    </row>
    <row r="80" spans="1:7" ht="15.75" customHeight="1" x14ac:dyDescent="0.3">
      <c r="A80" s="36">
        <v>21001</v>
      </c>
      <c r="B80" s="17" t="s">
        <v>138</v>
      </c>
      <c r="C80" s="3">
        <v>43.209876543209873</v>
      </c>
      <c r="D80" s="10">
        <v>9.5770151636073422</v>
      </c>
      <c r="G80" s="35"/>
    </row>
    <row r="81" spans="1:7" ht="15.75" customHeight="1" x14ac:dyDescent="0.3">
      <c r="A81" s="36">
        <v>21002</v>
      </c>
      <c r="B81" s="17" t="s">
        <v>231</v>
      </c>
      <c r="C81" s="3">
        <v>54.945054945054942</v>
      </c>
      <c r="D81" s="10">
        <v>18.978102189781019</v>
      </c>
      <c r="G81" s="35"/>
    </row>
    <row r="82" spans="1:7" ht="15.75" customHeight="1" x14ac:dyDescent="0.3">
      <c r="A82" s="36">
        <v>21003</v>
      </c>
      <c r="B82" s="17" t="s">
        <v>149</v>
      </c>
      <c r="C82" s="3">
        <v>54.054054054054056</v>
      </c>
      <c r="D82" s="10">
        <v>10.116731517509729</v>
      </c>
      <c r="G82" s="35"/>
    </row>
    <row r="83" spans="1:7" ht="15.75" customHeight="1" x14ac:dyDescent="0.3">
      <c r="A83" s="36">
        <v>21004</v>
      </c>
      <c r="B83" s="17" t="s">
        <v>268</v>
      </c>
      <c r="C83" s="3">
        <v>45.454545454545453</v>
      </c>
      <c r="D83" s="10">
        <v>16.187050359712231</v>
      </c>
      <c r="G83" s="35"/>
    </row>
    <row r="84" spans="1:7" ht="15.75" customHeight="1" x14ac:dyDescent="0.3">
      <c r="A84" s="36">
        <v>21005</v>
      </c>
      <c r="B84" s="17" t="s">
        <v>132</v>
      </c>
      <c r="C84" s="3">
        <v>26.845637583892618</v>
      </c>
      <c r="D84" s="10">
        <v>9.8425196850393704</v>
      </c>
      <c r="G84" s="35"/>
    </row>
    <row r="85" spans="1:7" ht="15.75" customHeight="1" x14ac:dyDescent="0.3">
      <c r="A85" s="36">
        <v>21006</v>
      </c>
      <c r="B85" s="17" t="s">
        <v>67</v>
      </c>
      <c r="C85" s="3">
        <v>12.195121951219512</v>
      </c>
      <c r="D85" s="10">
        <v>7.4211502782931351</v>
      </c>
      <c r="G85" s="35"/>
    </row>
    <row r="86" spans="1:7" ht="15.75" customHeight="1" x14ac:dyDescent="0.3">
      <c r="A86" s="36">
        <v>21101</v>
      </c>
      <c r="B86" s="17" t="s">
        <v>245</v>
      </c>
      <c r="C86" s="3">
        <v>34.090909090909086</v>
      </c>
      <c r="D86" s="10">
        <v>21.5311004784689</v>
      </c>
      <c r="G86" s="35"/>
    </row>
    <row r="87" spans="1:7" ht="15.75" customHeight="1" x14ac:dyDescent="0.3">
      <c r="A87" s="36">
        <v>21102</v>
      </c>
      <c r="B87" s="17" t="s">
        <v>273</v>
      </c>
      <c r="C87" s="3">
        <v>26.737967914438503</v>
      </c>
      <c r="D87" s="10">
        <v>14.844804318488528</v>
      </c>
      <c r="G87" s="35"/>
    </row>
    <row r="88" spans="1:7" ht="15.75" customHeight="1" x14ac:dyDescent="0.3">
      <c r="A88" s="36">
        <v>21103</v>
      </c>
      <c r="B88" s="17" t="s">
        <v>94</v>
      </c>
      <c r="C88" s="3">
        <v>34.246575342465754</v>
      </c>
      <c r="D88" s="10">
        <v>6.8181818181818175</v>
      </c>
      <c r="G88" s="35"/>
    </row>
    <row r="89" spans="1:7" ht="15.75" customHeight="1" x14ac:dyDescent="0.3">
      <c r="A89" s="36">
        <v>21104</v>
      </c>
      <c r="B89" s="17" t="s">
        <v>258</v>
      </c>
      <c r="C89" s="3">
        <v>26.194144838212633</v>
      </c>
      <c r="D89" s="10">
        <v>13.047530288909599</v>
      </c>
      <c r="G89" s="35"/>
    </row>
    <row r="90" spans="1:7" ht="15.75" customHeight="1" x14ac:dyDescent="0.3">
      <c r="A90" s="36">
        <v>21105</v>
      </c>
      <c r="B90" s="17" t="s">
        <v>70</v>
      </c>
      <c r="C90" s="3">
        <v>36.020583190394511</v>
      </c>
      <c r="D90" s="10">
        <v>15.890410958904109</v>
      </c>
      <c r="G90" s="35"/>
    </row>
    <row r="91" spans="1:7" ht="15.75" customHeight="1" x14ac:dyDescent="0.3">
      <c r="A91" s="36">
        <v>21201</v>
      </c>
      <c r="B91" s="17" t="s">
        <v>255</v>
      </c>
      <c r="C91" s="3">
        <v>57.450628366247756</v>
      </c>
      <c r="D91" s="10">
        <v>12.224209898628503</v>
      </c>
      <c r="G91" s="35"/>
    </row>
    <row r="92" spans="1:7" ht="15.75" customHeight="1" x14ac:dyDescent="0.3">
      <c r="A92" s="36">
        <v>21202</v>
      </c>
      <c r="B92" s="17" t="s">
        <v>267</v>
      </c>
      <c r="C92" s="3">
        <v>39.735099337748345</v>
      </c>
      <c r="D92" s="10">
        <v>10.821643286573146</v>
      </c>
      <c r="G92" s="35"/>
    </row>
    <row r="93" spans="1:7" ht="15.75" customHeight="1" x14ac:dyDescent="0.3">
      <c r="A93" s="36">
        <v>21203</v>
      </c>
      <c r="B93" s="17" t="s">
        <v>277</v>
      </c>
      <c r="C93" s="3">
        <v>20.134228187919462</v>
      </c>
      <c r="D93" s="10">
        <v>15.055467511885896</v>
      </c>
      <c r="G93" s="35"/>
    </row>
    <row r="94" spans="1:7" ht="15.75" customHeight="1" x14ac:dyDescent="0.3">
      <c r="A94" s="36">
        <v>21204</v>
      </c>
      <c r="B94" s="17" t="s">
        <v>199</v>
      </c>
      <c r="C94" s="3">
        <v>75</v>
      </c>
      <c r="D94" s="10">
        <v>7.7120822622107967</v>
      </c>
      <c r="G94" s="35"/>
    </row>
    <row r="95" spans="1:7" ht="15.75" customHeight="1" x14ac:dyDescent="0.3">
      <c r="A95" s="36">
        <v>21301</v>
      </c>
      <c r="B95" s="17" t="s">
        <v>261</v>
      </c>
      <c r="C95" s="3">
        <v>47.058823529411761</v>
      </c>
      <c r="D95" s="10">
        <v>13.513513513513514</v>
      </c>
      <c r="G95" s="35"/>
    </row>
    <row r="96" spans="1:7" ht="15.75" customHeight="1" x14ac:dyDescent="0.3">
      <c r="A96" s="36">
        <v>21302</v>
      </c>
      <c r="B96" s="17" t="s">
        <v>232</v>
      </c>
      <c r="C96" s="3">
        <v>37.974683544303801</v>
      </c>
      <c r="D96" s="10">
        <v>10.869565217391305</v>
      </c>
      <c r="G96" s="35"/>
    </row>
    <row r="97" spans="1:7" ht="15.75" customHeight="1" x14ac:dyDescent="0.3">
      <c r="A97" s="36">
        <v>21303</v>
      </c>
      <c r="B97" s="17" t="s">
        <v>218</v>
      </c>
      <c r="C97" s="3">
        <v>16.853932584269664</v>
      </c>
      <c r="D97" s="10">
        <v>30.390738060781477</v>
      </c>
      <c r="G97" s="35"/>
    </row>
    <row r="98" spans="1:7" ht="15.75" customHeight="1" x14ac:dyDescent="0.3">
      <c r="A98" s="36">
        <v>21304</v>
      </c>
      <c r="B98" s="17" t="s">
        <v>249</v>
      </c>
      <c r="C98" s="3">
        <v>18.018018018018019</v>
      </c>
      <c r="D98" s="10">
        <v>7.2765072765072771</v>
      </c>
      <c r="G98" s="35"/>
    </row>
    <row r="99" spans="1:7" ht="15.75" customHeight="1" x14ac:dyDescent="0.3">
      <c r="A99" s="36">
        <v>21305</v>
      </c>
      <c r="B99" s="17" t="s">
        <v>280</v>
      </c>
      <c r="C99" s="3">
        <v>12.76595744680851</v>
      </c>
      <c r="D99" s="10">
        <v>17.094017094017097</v>
      </c>
      <c r="G99" s="35"/>
    </row>
    <row r="100" spans="1:7" ht="15.75" customHeight="1" x14ac:dyDescent="0.3">
      <c r="A100" s="36">
        <v>21306</v>
      </c>
      <c r="B100" s="17" t="s">
        <v>229</v>
      </c>
      <c r="C100" s="3">
        <v>8.4745762711864412</v>
      </c>
      <c r="D100" s="10">
        <v>19.396551724137932</v>
      </c>
      <c r="G100" s="35"/>
    </row>
    <row r="101" spans="1:7" ht="15.75" customHeight="1" x14ac:dyDescent="0.3">
      <c r="A101" s="36">
        <v>21307</v>
      </c>
      <c r="B101" s="17" t="s">
        <v>100</v>
      </c>
      <c r="C101" s="3">
        <v>0</v>
      </c>
      <c r="D101" s="10">
        <v>16.5016501650165</v>
      </c>
      <c r="G101" s="35"/>
    </row>
    <row r="102" spans="1:7" ht="15.75" customHeight="1" x14ac:dyDescent="0.3">
      <c r="A102" s="36">
        <v>21401</v>
      </c>
      <c r="B102" s="17" t="s">
        <v>284</v>
      </c>
      <c r="C102" s="3">
        <v>13.440860215053764</v>
      </c>
      <c r="D102" s="10">
        <v>11.150234741784038</v>
      </c>
      <c r="G102" s="35"/>
    </row>
    <row r="103" spans="1:7" ht="15.75" customHeight="1" x14ac:dyDescent="0.3">
      <c r="A103" s="36">
        <v>21402</v>
      </c>
      <c r="B103" s="17" t="s">
        <v>220</v>
      </c>
      <c r="C103" s="3">
        <v>27.247956403269754</v>
      </c>
      <c r="D103" s="10">
        <v>10.618363522798251</v>
      </c>
      <c r="G103" s="35"/>
    </row>
    <row r="104" spans="1:7" ht="15.75" customHeight="1" x14ac:dyDescent="0.3">
      <c r="A104" s="36">
        <v>21501</v>
      </c>
      <c r="B104" s="17" t="s">
        <v>194</v>
      </c>
      <c r="C104" s="3">
        <v>7.042253521126761</v>
      </c>
      <c r="D104" s="10">
        <v>14.822134387351777</v>
      </c>
      <c r="G104" s="35"/>
    </row>
    <row r="105" spans="1:7" ht="15.75" customHeight="1" x14ac:dyDescent="0.3">
      <c r="A105" s="36">
        <v>21502</v>
      </c>
      <c r="B105" s="17" t="s">
        <v>133</v>
      </c>
      <c r="C105" s="3">
        <v>8.0321285140562235</v>
      </c>
      <c r="D105" s="10">
        <v>21.505376344086024</v>
      </c>
      <c r="G105" s="35"/>
    </row>
    <row r="106" spans="1:7" ht="15.75" customHeight="1" x14ac:dyDescent="0.3">
      <c r="A106" s="36">
        <v>21601</v>
      </c>
      <c r="B106" s="17" t="s">
        <v>317</v>
      </c>
      <c r="C106" s="3">
        <v>20.477815699658702</v>
      </c>
      <c r="D106" s="10">
        <v>9.4517958412098295</v>
      </c>
      <c r="G106" s="35"/>
    </row>
    <row r="107" spans="1:7" ht="15.75" customHeight="1" x14ac:dyDescent="0.3">
      <c r="A107" s="36">
        <v>21602</v>
      </c>
      <c r="B107" s="17" t="s">
        <v>108</v>
      </c>
      <c r="C107" s="3">
        <v>14.285714285714285</v>
      </c>
      <c r="D107" s="10">
        <v>9.1743119266055047</v>
      </c>
      <c r="G107" s="35"/>
    </row>
    <row r="108" spans="1:7" ht="15.75" customHeight="1" x14ac:dyDescent="0.3">
      <c r="A108" s="36">
        <v>21701</v>
      </c>
      <c r="B108" s="17" t="s">
        <v>251</v>
      </c>
      <c r="C108" s="3">
        <v>19.083969465648856</v>
      </c>
      <c r="D108" s="10">
        <v>9.6878363832077508</v>
      </c>
      <c r="G108" s="35"/>
    </row>
    <row r="109" spans="1:7" ht="15.75" customHeight="1" x14ac:dyDescent="0.3">
      <c r="A109" s="36">
        <v>21702</v>
      </c>
      <c r="B109" s="17" t="s">
        <v>184</v>
      </c>
      <c r="C109" s="3">
        <v>0</v>
      </c>
      <c r="D109" s="10">
        <v>24.330900243309003</v>
      </c>
      <c r="G109" s="35"/>
    </row>
    <row r="110" spans="1:7" ht="15.75" customHeight="1" x14ac:dyDescent="0.3">
      <c r="A110" s="36">
        <v>21703</v>
      </c>
      <c r="B110" s="17" t="s">
        <v>135</v>
      </c>
      <c r="C110" s="3">
        <v>0</v>
      </c>
      <c r="D110" s="10">
        <v>0</v>
      </c>
      <c r="G110" s="35"/>
    </row>
    <row r="111" spans="1:7" ht="15.75" customHeight="1" x14ac:dyDescent="0.3">
      <c r="A111" s="36">
        <v>21801</v>
      </c>
      <c r="B111" s="17" t="s">
        <v>318</v>
      </c>
      <c r="C111" s="3">
        <v>6.4102564102564097</v>
      </c>
      <c r="D111" s="10">
        <v>12.820512820512819</v>
      </c>
      <c r="G111" s="35"/>
    </row>
    <row r="112" spans="1:7" ht="15.75" customHeight="1" x14ac:dyDescent="0.3">
      <c r="A112" s="36">
        <v>21802</v>
      </c>
      <c r="B112" s="17" t="s">
        <v>197</v>
      </c>
      <c r="C112" s="3">
        <v>8.4745762711864412</v>
      </c>
      <c r="D112" s="10">
        <v>16.393442622950822</v>
      </c>
      <c r="G112" s="35"/>
    </row>
    <row r="113" spans="1:7" ht="15.75" customHeight="1" x14ac:dyDescent="0.3">
      <c r="A113" s="36">
        <v>21803</v>
      </c>
      <c r="B113" s="17" t="s">
        <v>49</v>
      </c>
      <c r="C113" s="3">
        <v>0</v>
      </c>
      <c r="D113" s="10">
        <v>0</v>
      </c>
      <c r="G113" s="35"/>
    </row>
    <row r="114" spans="1:7" ht="15.75" customHeight="1" x14ac:dyDescent="0.3">
      <c r="A114" s="36">
        <v>21901</v>
      </c>
      <c r="B114" s="17" t="s">
        <v>50</v>
      </c>
      <c r="C114" s="3">
        <v>0</v>
      </c>
      <c r="D114" s="10">
        <v>26.548672566371682</v>
      </c>
      <c r="G114" s="35"/>
    </row>
    <row r="115" spans="1:7" ht="15.75" customHeight="1" x14ac:dyDescent="0.3">
      <c r="A115" s="36">
        <v>21902</v>
      </c>
      <c r="B115" s="17" t="s">
        <v>28</v>
      </c>
      <c r="C115" s="3">
        <v>0</v>
      </c>
      <c r="D115" s="10">
        <v>2.7777777777777777</v>
      </c>
      <c r="G115" s="35"/>
    </row>
    <row r="116" spans="1:7" ht="15.75" customHeight="1" x14ac:dyDescent="0.3">
      <c r="A116" s="36">
        <v>22001</v>
      </c>
      <c r="B116" s="17" t="s">
        <v>260</v>
      </c>
      <c r="C116" s="3">
        <v>18.779342723004696</v>
      </c>
      <c r="D116" s="10">
        <v>9.703906444389153</v>
      </c>
      <c r="G116" s="35"/>
    </row>
    <row r="117" spans="1:7" ht="15.75" customHeight="1" x14ac:dyDescent="0.3">
      <c r="A117" s="36">
        <v>22002</v>
      </c>
      <c r="B117" s="17" t="s">
        <v>185</v>
      </c>
      <c r="C117" s="3">
        <v>43.918918918918919</v>
      </c>
      <c r="D117" s="10">
        <v>16.949152542372882</v>
      </c>
      <c r="G117" s="35"/>
    </row>
    <row r="118" spans="1:7" ht="15.75" customHeight="1" x14ac:dyDescent="0.3">
      <c r="A118" s="36">
        <v>30101</v>
      </c>
      <c r="B118" s="17" t="s">
        <v>51</v>
      </c>
      <c r="C118" s="3">
        <v>22.630834512022631</v>
      </c>
      <c r="D118" s="10">
        <v>7.5045001647947673</v>
      </c>
      <c r="G118" s="35"/>
    </row>
    <row r="119" spans="1:7" ht="15.75" customHeight="1" x14ac:dyDescent="0.3">
      <c r="A119" s="36">
        <v>30201</v>
      </c>
      <c r="B119" s="17" t="s">
        <v>252</v>
      </c>
      <c r="C119" s="3">
        <v>28.806584362139919</v>
      </c>
      <c r="D119" s="10">
        <v>5.5865921787709496</v>
      </c>
      <c r="G119" s="35"/>
    </row>
    <row r="120" spans="1:7" ht="15.75" customHeight="1" x14ac:dyDescent="0.3">
      <c r="A120" s="36">
        <v>30202</v>
      </c>
      <c r="B120" s="17" t="s">
        <v>145</v>
      </c>
      <c r="C120" s="3">
        <v>0</v>
      </c>
      <c r="D120" s="10">
        <v>3.0120481927710845</v>
      </c>
      <c r="G120" s="35"/>
    </row>
    <row r="121" spans="1:7" ht="15.75" customHeight="1" x14ac:dyDescent="0.3">
      <c r="A121" s="36">
        <v>30203</v>
      </c>
      <c r="B121" s="17" t="s">
        <v>56</v>
      </c>
      <c r="C121" s="3">
        <v>22.556390977443609</v>
      </c>
      <c r="D121" s="10">
        <v>2.0491803278688527</v>
      </c>
      <c r="G121" s="35"/>
    </row>
    <row r="122" spans="1:7" ht="15.75" customHeight="1" x14ac:dyDescent="0.3">
      <c r="A122" s="36">
        <v>30301</v>
      </c>
      <c r="B122" s="17" t="s">
        <v>211</v>
      </c>
      <c r="C122" s="3">
        <v>70.085470085470092</v>
      </c>
      <c r="D122" s="10">
        <v>17.077798861480076</v>
      </c>
      <c r="G122" s="35"/>
    </row>
    <row r="123" spans="1:7" ht="15.75" customHeight="1" x14ac:dyDescent="0.3">
      <c r="A123" s="36">
        <v>30302</v>
      </c>
      <c r="B123" s="17" t="s">
        <v>177</v>
      </c>
      <c r="C123" s="3">
        <v>58.252427184466022</v>
      </c>
      <c r="D123" s="10">
        <v>12.396694214876034</v>
      </c>
      <c r="G123" s="35"/>
    </row>
    <row r="124" spans="1:7" ht="15.75" customHeight="1" x14ac:dyDescent="0.3">
      <c r="A124" s="36">
        <v>30303</v>
      </c>
      <c r="B124" s="17" t="s">
        <v>66</v>
      </c>
      <c r="C124" s="3">
        <v>56.530214424951261</v>
      </c>
      <c r="D124" s="10">
        <v>25.465838509316772</v>
      </c>
      <c r="G124" s="35"/>
    </row>
    <row r="125" spans="1:7" ht="15.75" customHeight="1" x14ac:dyDescent="0.3">
      <c r="A125" s="36">
        <v>30401</v>
      </c>
      <c r="B125" s="17" t="s">
        <v>171</v>
      </c>
      <c r="C125" s="3">
        <v>49.382716049382715</v>
      </c>
      <c r="D125" s="10">
        <v>13.888888888888888</v>
      </c>
      <c r="G125" s="35"/>
    </row>
    <row r="126" spans="1:7" ht="15.75" customHeight="1" x14ac:dyDescent="0.3">
      <c r="A126" s="36">
        <v>30402</v>
      </c>
      <c r="B126" s="17" t="s">
        <v>153</v>
      </c>
      <c r="C126" s="3">
        <v>21.897810218978105</v>
      </c>
      <c r="D126" s="10">
        <v>19.417475728155338</v>
      </c>
      <c r="G126" s="35"/>
    </row>
    <row r="127" spans="1:7" ht="15.75" customHeight="1" x14ac:dyDescent="0.3">
      <c r="A127" s="36">
        <v>30403</v>
      </c>
      <c r="B127" s="17" t="s">
        <v>259</v>
      </c>
      <c r="C127" s="3">
        <v>72.02216066481995</v>
      </c>
      <c r="D127" s="10">
        <v>8.2508250825082499</v>
      </c>
      <c r="G127" s="35"/>
    </row>
    <row r="128" spans="1:7" ht="15.75" customHeight="1" x14ac:dyDescent="0.3">
      <c r="A128" s="36">
        <v>30404</v>
      </c>
      <c r="B128" s="17" t="s">
        <v>155</v>
      </c>
      <c r="C128" s="3">
        <v>0</v>
      </c>
      <c r="D128" s="10">
        <v>20.27027027027027</v>
      </c>
      <c r="G128" s="35"/>
    </row>
    <row r="129" spans="1:7" ht="15.75" customHeight="1" x14ac:dyDescent="0.3">
      <c r="A129" s="36">
        <v>30501</v>
      </c>
      <c r="B129" s="17" t="s">
        <v>179</v>
      </c>
      <c r="C129" s="3">
        <v>86.330935251798564</v>
      </c>
      <c r="D129" s="10">
        <v>15.479876160990711</v>
      </c>
      <c r="G129" s="35"/>
    </row>
    <row r="130" spans="1:7" ht="15.75" customHeight="1" x14ac:dyDescent="0.3">
      <c r="A130" s="36">
        <v>30502</v>
      </c>
      <c r="B130" s="17" t="s">
        <v>238</v>
      </c>
      <c r="C130" s="3">
        <v>21.978021978021978</v>
      </c>
      <c r="D130" s="10">
        <v>19.438444924406049</v>
      </c>
      <c r="G130" s="35"/>
    </row>
    <row r="131" spans="1:7" ht="15.75" customHeight="1" x14ac:dyDescent="0.3">
      <c r="A131" s="36">
        <v>30601</v>
      </c>
      <c r="B131" s="17" t="s">
        <v>128</v>
      </c>
      <c r="C131" s="3">
        <v>49.450549450549445</v>
      </c>
      <c r="D131" s="10">
        <v>23.047375160051217</v>
      </c>
      <c r="G131" s="35"/>
    </row>
    <row r="132" spans="1:7" ht="15.75" customHeight="1" x14ac:dyDescent="0.3">
      <c r="A132" s="36">
        <v>30602</v>
      </c>
      <c r="B132" s="17" t="s">
        <v>48</v>
      </c>
      <c r="C132" s="3">
        <v>50.761421319796952</v>
      </c>
      <c r="D132" s="10">
        <v>22.687609075043628</v>
      </c>
      <c r="G132" s="35"/>
    </row>
    <row r="133" spans="1:7" ht="15.75" customHeight="1" x14ac:dyDescent="0.3">
      <c r="A133" s="36">
        <v>30701</v>
      </c>
      <c r="B133" s="17" t="s">
        <v>269</v>
      </c>
      <c r="C133" s="3">
        <v>13.66742596810934</v>
      </c>
      <c r="D133" s="10">
        <v>12.857142857142858</v>
      </c>
      <c r="G133" s="35"/>
    </row>
    <row r="134" spans="1:7" ht="15.75" customHeight="1" x14ac:dyDescent="0.3">
      <c r="A134" s="36">
        <v>30702</v>
      </c>
      <c r="B134" s="17" t="s">
        <v>176</v>
      </c>
      <c r="C134" s="3">
        <v>23.809523809523807</v>
      </c>
      <c r="D134" s="10">
        <v>9.6339113680154131</v>
      </c>
      <c r="G134" s="35"/>
    </row>
    <row r="135" spans="1:7" ht="15.75" customHeight="1" x14ac:dyDescent="0.3">
      <c r="A135" s="36">
        <v>30703</v>
      </c>
      <c r="B135" s="17" t="s">
        <v>96</v>
      </c>
      <c r="C135" s="3">
        <v>79.207920792079207</v>
      </c>
      <c r="D135" s="10">
        <v>10.067114093959731</v>
      </c>
      <c r="G135" s="35"/>
    </row>
    <row r="136" spans="1:7" ht="15.75" customHeight="1" x14ac:dyDescent="0.3">
      <c r="A136" s="36">
        <v>30801</v>
      </c>
      <c r="B136" s="17" t="s">
        <v>202</v>
      </c>
      <c r="C136" s="3">
        <v>20</v>
      </c>
      <c r="D136" s="10">
        <v>5.4137664346481049</v>
      </c>
      <c r="G136" s="35"/>
    </row>
    <row r="137" spans="1:7" ht="15.75" customHeight="1" x14ac:dyDescent="0.3">
      <c r="A137" s="36">
        <v>30802</v>
      </c>
      <c r="B137" s="17" t="s">
        <v>319</v>
      </c>
      <c r="C137" s="3">
        <v>27.522935779816514</v>
      </c>
      <c r="D137" s="10">
        <v>12.315270935960593</v>
      </c>
      <c r="G137" s="35"/>
    </row>
    <row r="138" spans="1:7" ht="15.75" customHeight="1" x14ac:dyDescent="0.3">
      <c r="A138" s="36">
        <v>30803</v>
      </c>
      <c r="B138" s="17" t="s">
        <v>19</v>
      </c>
      <c r="C138" s="3">
        <v>41.237113402061858</v>
      </c>
      <c r="D138" s="10">
        <v>18.315018315018317</v>
      </c>
      <c r="G138" s="35"/>
    </row>
    <row r="139" spans="1:7" ht="15.75" customHeight="1" x14ac:dyDescent="0.3">
      <c r="A139" s="36">
        <v>30901</v>
      </c>
      <c r="B139" s="17" t="s">
        <v>299</v>
      </c>
      <c r="C139" s="3">
        <v>8.9872105081230558</v>
      </c>
      <c r="D139" s="10">
        <v>6.1112608969174076</v>
      </c>
      <c r="G139" s="35"/>
    </row>
    <row r="140" spans="1:7" ht="15.75" customHeight="1" x14ac:dyDescent="0.3">
      <c r="A140" s="36">
        <v>30902</v>
      </c>
      <c r="B140" s="17" t="s">
        <v>292</v>
      </c>
      <c r="C140" s="3">
        <v>17.875920084121976</v>
      </c>
      <c r="D140" s="10">
        <v>9.9844686043931663</v>
      </c>
      <c r="G140" s="35"/>
    </row>
    <row r="141" spans="1:7" ht="15.75" customHeight="1" x14ac:dyDescent="0.3">
      <c r="A141" s="36">
        <v>30903</v>
      </c>
      <c r="B141" s="17" t="s">
        <v>283</v>
      </c>
      <c r="C141" s="3">
        <v>8.9766606822262123</v>
      </c>
      <c r="D141" s="10">
        <v>8.0103359173126627</v>
      </c>
      <c r="G141" s="35"/>
    </row>
    <row r="142" spans="1:7" ht="15.75" customHeight="1" x14ac:dyDescent="0.3">
      <c r="A142" s="36">
        <v>30904</v>
      </c>
      <c r="B142" s="17" t="s">
        <v>288</v>
      </c>
      <c r="C142" s="3">
        <v>13.547840812870449</v>
      </c>
      <c r="D142" s="10">
        <v>6.643700787401575</v>
      </c>
      <c r="G142" s="35"/>
    </row>
    <row r="143" spans="1:7" ht="15.75" customHeight="1" x14ac:dyDescent="0.3">
      <c r="A143" s="36">
        <v>30905</v>
      </c>
      <c r="B143" s="17" t="s">
        <v>213</v>
      </c>
      <c r="C143" s="3">
        <v>8.9552238805970159</v>
      </c>
      <c r="D143" s="10">
        <v>5.8898847631241997</v>
      </c>
      <c r="G143" s="35"/>
    </row>
    <row r="144" spans="1:7" ht="15.75" customHeight="1" x14ac:dyDescent="0.3">
      <c r="A144" s="36">
        <v>31001</v>
      </c>
      <c r="B144" s="17" t="s">
        <v>303</v>
      </c>
      <c r="C144" s="3">
        <v>23.408506994005137</v>
      </c>
      <c r="D144" s="10">
        <v>7.6362617346223907</v>
      </c>
      <c r="G144" s="35"/>
    </row>
    <row r="145" spans="1:7" ht="15.75" customHeight="1" x14ac:dyDescent="0.3">
      <c r="A145" s="36">
        <v>31002</v>
      </c>
      <c r="B145" s="17" t="s">
        <v>275</v>
      </c>
      <c r="C145" s="3">
        <v>33.472803347280333</v>
      </c>
      <c r="D145" s="10">
        <v>14.184397163120567</v>
      </c>
      <c r="G145" s="35"/>
    </row>
    <row r="146" spans="1:7" ht="15.75" customHeight="1" x14ac:dyDescent="0.3">
      <c r="A146" s="36">
        <v>31003</v>
      </c>
      <c r="B146" s="17" t="s">
        <v>195</v>
      </c>
      <c r="C146" s="3">
        <v>33.640803038524147</v>
      </c>
      <c r="D146" s="10">
        <v>15.10919248349416</v>
      </c>
      <c r="G146" s="35"/>
    </row>
    <row r="147" spans="1:7" ht="15.75" customHeight="1" x14ac:dyDescent="0.3">
      <c r="A147" s="36">
        <v>31101</v>
      </c>
      <c r="B147" s="17" t="s">
        <v>63</v>
      </c>
      <c r="C147" s="3">
        <v>49.450549450549445</v>
      </c>
      <c r="D147" s="10">
        <v>26.543209876543212</v>
      </c>
      <c r="G147" s="35"/>
    </row>
    <row r="148" spans="1:7" ht="15.75" customHeight="1" x14ac:dyDescent="0.3">
      <c r="A148" s="36">
        <v>31201</v>
      </c>
      <c r="B148" s="17" t="s">
        <v>180</v>
      </c>
      <c r="C148" s="3">
        <v>41.666666666666664</v>
      </c>
      <c r="D148" s="10">
        <v>11.494252873563218</v>
      </c>
      <c r="G148" s="35"/>
    </row>
    <row r="149" spans="1:7" ht="15.75" customHeight="1" x14ac:dyDescent="0.3">
      <c r="A149" s="36">
        <v>31202</v>
      </c>
      <c r="B149" s="17" t="s">
        <v>205</v>
      </c>
      <c r="C149" s="3">
        <v>33.333333333333336</v>
      </c>
      <c r="D149" s="10">
        <v>7.3684210526315788</v>
      </c>
      <c r="G149" s="35"/>
    </row>
    <row r="150" spans="1:7" ht="15.75" customHeight="1" x14ac:dyDescent="0.3">
      <c r="A150" s="36">
        <v>31203</v>
      </c>
      <c r="B150" s="17" t="s">
        <v>242</v>
      </c>
      <c r="C150" s="3">
        <v>22.831050228310502</v>
      </c>
      <c r="D150" s="10">
        <v>12.345679012345679</v>
      </c>
      <c r="G150" s="35"/>
    </row>
    <row r="151" spans="1:7" ht="15.75" customHeight="1" x14ac:dyDescent="0.3">
      <c r="A151" s="36">
        <v>31204</v>
      </c>
      <c r="B151" s="17" t="s">
        <v>237</v>
      </c>
      <c r="C151" s="3">
        <v>32.590051457975989</v>
      </c>
      <c r="D151" s="10">
        <v>14.971378247468076</v>
      </c>
      <c r="G151" s="35"/>
    </row>
    <row r="152" spans="1:7" ht="15.75" customHeight="1" x14ac:dyDescent="0.3">
      <c r="A152" s="36">
        <v>31205</v>
      </c>
      <c r="B152" s="17" t="s">
        <v>270</v>
      </c>
      <c r="C152" s="3">
        <v>20.29220779220779</v>
      </c>
      <c r="D152" s="10">
        <v>10.475852272727272</v>
      </c>
      <c r="G152" s="35"/>
    </row>
    <row r="153" spans="1:7" ht="15.75" customHeight="1" x14ac:dyDescent="0.3">
      <c r="A153" s="36">
        <v>31206</v>
      </c>
      <c r="B153" s="17" t="s">
        <v>223</v>
      </c>
      <c r="C153" s="3">
        <v>14.527845036319613</v>
      </c>
      <c r="D153" s="10">
        <v>10.311936065996392</v>
      </c>
      <c r="G153" s="35"/>
    </row>
    <row r="154" spans="1:7" ht="15.75" customHeight="1" x14ac:dyDescent="0.3">
      <c r="A154" s="36">
        <v>31301</v>
      </c>
      <c r="B154" s="17" t="s">
        <v>224</v>
      </c>
      <c r="C154" s="3">
        <v>17.341040462427745</v>
      </c>
      <c r="D154" s="10">
        <v>12.320328542094456</v>
      </c>
      <c r="G154" s="35"/>
    </row>
    <row r="155" spans="1:7" ht="15.75" customHeight="1" x14ac:dyDescent="0.3">
      <c r="A155" s="36">
        <v>31302</v>
      </c>
      <c r="B155" s="17" t="s">
        <v>38</v>
      </c>
      <c r="C155" s="3">
        <v>18.518518518518519</v>
      </c>
      <c r="D155" s="10">
        <v>20.887728459530027</v>
      </c>
      <c r="G155" s="35"/>
    </row>
    <row r="156" spans="1:7" ht="15.75" customHeight="1" x14ac:dyDescent="0.3">
      <c r="A156" s="36">
        <v>31303</v>
      </c>
      <c r="B156" s="17" t="s">
        <v>21</v>
      </c>
      <c r="C156" s="3">
        <v>12.195121951219512</v>
      </c>
      <c r="D156" s="10">
        <v>4.6728971962616823</v>
      </c>
      <c r="G156" s="35"/>
    </row>
    <row r="157" spans="1:7" ht="15.75" customHeight="1" x14ac:dyDescent="0.3">
      <c r="A157" s="37">
        <v>31304</v>
      </c>
      <c r="B157" s="17" t="s">
        <v>320</v>
      </c>
      <c r="C157" s="3">
        <v>17.341040462427745</v>
      </c>
      <c r="D157" s="10">
        <v>31.802120141342755</v>
      </c>
      <c r="G157" s="35"/>
    </row>
    <row r="158" spans="1:7" ht="15.75" customHeight="1" x14ac:dyDescent="0.3">
      <c r="A158" s="36">
        <v>31401</v>
      </c>
      <c r="B158" s="17" t="s">
        <v>240</v>
      </c>
      <c r="C158" s="3">
        <v>14.925373134328359</v>
      </c>
      <c r="D158" s="10">
        <v>9.2186128182616329</v>
      </c>
      <c r="G158" s="35"/>
    </row>
    <row r="159" spans="1:7" ht="15.75" customHeight="1" x14ac:dyDescent="0.3">
      <c r="A159" s="36">
        <v>31402</v>
      </c>
      <c r="B159" s="17" t="s">
        <v>163</v>
      </c>
      <c r="C159" s="3">
        <v>0</v>
      </c>
      <c r="D159" s="10">
        <v>8.8339222614840995</v>
      </c>
      <c r="G159" s="35"/>
    </row>
    <row r="160" spans="1:7" ht="15.75" customHeight="1" x14ac:dyDescent="0.3">
      <c r="A160" s="36">
        <v>31403</v>
      </c>
      <c r="B160" s="17" t="s">
        <v>156</v>
      </c>
      <c r="C160" s="3">
        <v>27.649769585253459</v>
      </c>
      <c r="D160" s="10">
        <v>12.180267965895249</v>
      </c>
      <c r="G160" s="35"/>
    </row>
    <row r="161" spans="1:7" ht="15.75" customHeight="1" x14ac:dyDescent="0.3">
      <c r="A161" s="36">
        <v>31404</v>
      </c>
      <c r="B161" s="17" t="s">
        <v>7</v>
      </c>
      <c r="C161" s="3">
        <v>43.478260869565219</v>
      </c>
      <c r="D161" s="10">
        <v>27.397260273972602</v>
      </c>
      <c r="G161" s="35"/>
    </row>
    <row r="162" spans="1:7" ht="15.75" customHeight="1" x14ac:dyDescent="0.3">
      <c r="A162" s="36">
        <v>31405</v>
      </c>
      <c r="B162" s="17" t="s">
        <v>321</v>
      </c>
      <c r="C162" s="3">
        <v>0</v>
      </c>
      <c r="D162" s="10">
        <v>0</v>
      </c>
      <c r="G162" s="35"/>
    </row>
    <row r="163" spans="1:7" ht="15.75" customHeight="1" x14ac:dyDescent="0.3">
      <c r="A163" s="36">
        <v>31501</v>
      </c>
      <c r="B163" s="17" t="s">
        <v>322</v>
      </c>
      <c r="C163" s="3">
        <v>59.25925925925926</v>
      </c>
      <c r="D163" s="10">
        <v>46.218487394957982</v>
      </c>
      <c r="G163" s="35"/>
    </row>
    <row r="164" spans="1:7" ht="15.75" customHeight="1" x14ac:dyDescent="0.3">
      <c r="A164" s="36">
        <v>31601</v>
      </c>
      <c r="B164" s="17" t="s">
        <v>282</v>
      </c>
      <c r="C164" s="3">
        <v>29.850746268656717</v>
      </c>
      <c r="D164" s="10">
        <v>9.8765432098765427</v>
      </c>
      <c r="G164" s="35"/>
    </row>
    <row r="165" spans="1:7" ht="15.75" customHeight="1" x14ac:dyDescent="0.3">
      <c r="A165" s="36">
        <v>31602</v>
      </c>
      <c r="B165" s="17" t="s">
        <v>243</v>
      </c>
      <c r="C165" s="3">
        <v>8.9285714285714288</v>
      </c>
      <c r="D165" s="10">
        <v>11.812812358019082</v>
      </c>
      <c r="G165" s="35"/>
    </row>
    <row r="166" spans="1:7" ht="15.75" customHeight="1" x14ac:dyDescent="0.3">
      <c r="A166" s="36">
        <v>40101</v>
      </c>
      <c r="B166" s="17" t="s">
        <v>57</v>
      </c>
      <c r="C166" s="3">
        <v>5.3059780686239826</v>
      </c>
      <c r="D166" s="10">
        <v>12.404393018238871</v>
      </c>
      <c r="G166" s="35"/>
    </row>
    <row r="167" spans="1:7" ht="15.75" customHeight="1" x14ac:dyDescent="0.3">
      <c r="A167" s="36">
        <v>40102</v>
      </c>
      <c r="B167" s="17" t="s">
        <v>286</v>
      </c>
      <c r="C167" s="3">
        <v>54.585152838427952</v>
      </c>
      <c r="D167" s="10">
        <v>18.679119412941962</v>
      </c>
      <c r="G167" s="35"/>
    </row>
    <row r="168" spans="1:7" ht="15.75" customHeight="1" x14ac:dyDescent="0.3">
      <c r="A168" s="36">
        <v>40103</v>
      </c>
      <c r="B168" s="17" t="s">
        <v>32</v>
      </c>
      <c r="C168" s="3">
        <v>27.210884353741495</v>
      </c>
      <c r="D168" s="10">
        <v>6.9930069930069934</v>
      </c>
      <c r="G168" s="35"/>
    </row>
    <row r="169" spans="1:7" ht="15.75" customHeight="1" x14ac:dyDescent="0.3">
      <c r="A169" s="36">
        <v>40104</v>
      </c>
      <c r="B169" s="17" t="s">
        <v>227</v>
      </c>
      <c r="C169" s="3">
        <v>60.377358490566039</v>
      </c>
      <c r="D169" s="10">
        <v>9.1324200913241995</v>
      </c>
      <c r="G169" s="35"/>
    </row>
    <row r="170" spans="1:7" ht="15.75" customHeight="1" x14ac:dyDescent="0.3">
      <c r="A170" s="36">
        <v>40201</v>
      </c>
      <c r="B170" s="17" t="s">
        <v>247</v>
      </c>
      <c r="C170" s="3">
        <v>62.593144560357679</v>
      </c>
      <c r="D170" s="10">
        <v>12.321144674085851</v>
      </c>
      <c r="G170" s="35"/>
    </row>
    <row r="171" spans="1:7" ht="15.75" customHeight="1" x14ac:dyDescent="0.3">
      <c r="A171" s="36">
        <v>40202</v>
      </c>
      <c r="B171" s="17" t="s">
        <v>323</v>
      </c>
      <c r="C171" s="3">
        <v>61.728395061728392</v>
      </c>
      <c r="D171" s="10">
        <v>19.841269841269842</v>
      </c>
      <c r="G171" s="35"/>
    </row>
    <row r="172" spans="1:7" ht="15.75" customHeight="1" x14ac:dyDescent="0.3">
      <c r="A172" s="36">
        <v>40301</v>
      </c>
      <c r="B172" s="17" t="s">
        <v>190</v>
      </c>
      <c r="C172" s="3">
        <v>12.269938650306749</v>
      </c>
      <c r="D172" s="10">
        <v>10.21566401816118</v>
      </c>
      <c r="G172" s="35"/>
    </row>
    <row r="173" spans="1:7" ht="15.75" customHeight="1" x14ac:dyDescent="0.3">
      <c r="A173" s="36">
        <v>40302</v>
      </c>
      <c r="B173" s="17" t="s">
        <v>324</v>
      </c>
      <c r="C173" s="3">
        <v>33.333333333333336</v>
      </c>
      <c r="D173" s="10">
        <v>14.598540145985401</v>
      </c>
      <c r="G173" s="35"/>
    </row>
    <row r="174" spans="1:7" ht="15.75" customHeight="1" x14ac:dyDescent="0.3">
      <c r="A174" s="36">
        <v>40401</v>
      </c>
      <c r="B174" s="17" t="s">
        <v>110</v>
      </c>
      <c r="C174" s="3">
        <v>64.102564102564102</v>
      </c>
      <c r="D174" s="10">
        <v>21.978021978021978</v>
      </c>
      <c r="G174" s="35"/>
    </row>
    <row r="175" spans="1:7" ht="15.75" customHeight="1" x14ac:dyDescent="0.3">
      <c r="A175" s="36">
        <v>40402</v>
      </c>
      <c r="B175" s="17" t="s">
        <v>144</v>
      </c>
      <c r="C175" s="3">
        <v>72.916666666666671</v>
      </c>
      <c r="D175" s="10">
        <v>6.3291139240506329</v>
      </c>
      <c r="G175" s="35"/>
    </row>
    <row r="176" spans="1:7" ht="15.75" customHeight="1" x14ac:dyDescent="0.3">
      <c r="A176" s="36">
        <v>40501</v>
      </c>
      <c r="B176" s="17" t="s">
        <v>6</v>
      </c>
      <c r="C176" s="3">
        <v>0</v>
      </c>
      <c r="D176" s="10">
        <v>4.3668122270742353</v>
      </c>
      <c r="G176" s="35"/>
    </row>
    <row r="177" spans="1:7" ht="15.75" customHeight="1" x14ac:dyDescent="0.3">
      <c r="A177" s="36">
        <v>40502</v>
      </c>
      <c r="B177" s="17" t="s">
        <v>111</v>
      </c>
      <c r="C177" s="3">
        <v>25.641025641025639</v>
      </c>
      <c r="D177" s="10">
        <v>4.3103448275862064</v>
      </c>
      <c r="G177" s="35"/>
    </row>
    <row r="178" spans="1:7" ht="15.75" customHeight="1" x14ac:dyDescent="0.3">
      <c r="A178" s="36">
        <v>40503</v>
      </c>
      <c r="B178" s="17" t="s">
        <v>40</v>
      </c>
      <c r="C178" s="3">
        <v>58.823529411764703</v>
      </c>
      <c r="D178" s="10">
        <v>0</v>
      </c>
      <c r="G178" s="35"/>
    </row>
    <row r="179" spans="1:7" ht="15.75" customHeight="1" x14ac:dyDescent="0.3">
      <c r="A179" s="36">
        <v>40504</v>
      </c>
      <c r="B179" s="17" t="s">
        <v>325</v>
      </c>
      <c r="C179" s="3">
        <v>0</v>
      </c>
      <c r="D179" s="10">
        <v>0</v>
      </c>
      <c r="G179" s="35"/>
    </row>
    <row r="180" spans="1:7" ht="15.75" customHeight="1" x14ac:dyDescent="0.3">
      <c r="A180" s="36">
        <v>40505</v>
      </c>
      <c r="B180" s="17" t="s">
        <v>22</v>
      </c>
      <c r="C180" s="3">
        <v>0</v>
      </c>
      <c r="D180" s="10">
        <v>8.6206896551724128</v>
      </c>
      <c r="G180" s="35"/>
    </row>
    <row r="181" spans="1:7" ht="15.75" customHeight="1" x14ac:dyDescent="0.3">
      <c r="A181" s="36">
        <v>40601</v>
      </c>
      <c r="B181" s="17" t="s">
        <v>208</v>
      </c>
      <c r="C181" s="3">
        <v>84.033613445378151</v>
      </c>
      <c r="D181" s="10">
        <v>12.638230647709321</v>
      </c>
      <c r="G181" s="35"/>
    </row>
    <row r="182" spans="1:7" ht="15.75" customHeight="1" x14ac:dyDescent="0.3">
      <c r="A182" s="36">
        <v>40602</v>
      </c>
      <c r="B182" s="17" t="s">
        <v>137</v>
      </c>
      <c r="C182" s="3">
        <v>26.785714285714285</v>
      </c>
      <c r="D182" s="10">
        <v>4.3478260869565215</v>
      </c>
      <c r="G182" s="35"/>
    </row>
    <row r="183" spans="1:7" ht="15.75" customHeight="1" x14ac:dyDescent="0.3">
      <c r="A183" s="36">
        <v>40603</v>
      </c>
      <c r="B183" s="17" t="s">
        <v>45</v>
      </c>
      <c r="C183" s="3">
        <v>16.393442622950822</v>
      </c>
      <c r="D183" s="10">
        <v>0</v>
      </c>
      <c r="G183" s="35"/>
    </row>
    <row r="184" spans="1:7" ht="15.75" customHeight="1" x14ac:dyDescent="0.3">
      <c r="A184" s="36">
        <v>40701</v>
      </c>
      <c r="B184" s="17" t="s">
        <v>215</v>
      </c>
      <c r="C184" s="3">
        <v>18.975332068311193</v>
      </c>
      <c r="D184" s="10">
        <v>16.260162601626018</v>
      </c>
      <c r="G184" s="35"/>
    </row>
    <row r="185" spans="1:7" ht="15.75" customHeight="1" x14ac:dyDescent="0.3">
      <c r="A185" s="36">
        <v>40702</v>
      </c>
      <c r="B185" s="17" t="s">
        <v>47</v>
      </c>
      <c r="C185" s="3">
        <v>22.727272727272727</v>
      </c>
      <c r="D185" s="10">
        <v>15.915119363395226</v>
      </c>
      <c r="G185" s="35"/>
    </row>
    <row r="186" spans="1:7" ht="15.75" customHeight="1" x14ac:dyDescent="0.3">
      <c r="A186" s="36">
        <v>40801</v>
      </c>
      <c r="B186" s="17" t="s">
        <v>326</v>
      </c>
      <c r="C186" s="3">
        <v>35.714285714285715</v>
      </c>
      <c r="D186" s="10">
        <v>13.360739979445015</v>
      </c>
      <c r="G186" s="35"/>
    </row>
    <row r="187" spans="1:7" ht="15.75" customHeight="1" x14ac:dyDescent="0.3">
      <c r="A187" s="36">
        <v>40802</v>
      </c>
      <c r="B187" s="17" t="s">
        <v>69</v>
      </c>
      <c r="C187" s="3">
        <v>0</v>
      </c>
      <c r="D187" s="10">
        <v>5.2356020942408383</v>
      </c>
      <c r="G187" s="35"/>
    </row>
    <row r="188" spans="1:7" ht="15.75" customHeight="1" x14ac:dyDescent="0.3">
      <c r="A188" s="36">
        <v>40901</v>
      </c>
      <c r="B188" s="17" t="s">
        <v>173</v>
      </c>
      <c r="C188" s="3">
        <v>22.598870056497177</v>
      </c>
      <c r="D188" s="10">
        <v>7.2007200720072007</v>
      </c>
      <c r="G188" s="35"/>
    </row>
    <row r="189" spans="1:7" ht="15.75" customHeight="1" x14ac:dyDescent="0.3">
      <c r="A189" s="36">
        <v>40902</v>
      </c>
      <c r="B189" s="17" t="s">
        <v>0</v>
      </c>
      <c r="C189" s="3">
        <v>0</v>
      </c>
      <c r="D189" s="10">
        <v>8.064516129032258</v>
      </c>
      <c r="G189" s="35"/>
    </row>
    <row r="190" spans="1:7" ht="15.75" customHeight="1" x14ac:dyDescent="0.3">
      <c r="A190" s="36">
        <v>40903</v>
      </c>
      <c r="B190" s="17" t="s">
        <v>23</v>
      </c>
      <c r="C190" s="3">
        <v>58.823529411764703</v>
      </c>
      <c r="D190" s="10">
        <v>16.759776536312849</v>
      </c>
      <c r="G190" s="35"/>
    </row>
    <row r="191" spans="1:7" ht="15.75" customHeight="1" x14ac:dyDescent="0.3">
      <c r="A191" s="36">
        <v>41001</v>
      </c>
      <c r="B191" s="17" t="s">
        <v>125</v>
      </c>
      <c r="C191" s="3">
        <v>27.586206896551722</v>
      </c>
      <c r="D191" s="10">
        <v>15.901060070671377</v>
      </c>
      <c r="G191" s="35"/>
    </row>
    <row r="192" spans="1:7" ht="15.75" customHeight="1" x14ac:dyDescent="0.3">
      <c r="A192" s="36">
        <v>41101</v>
      </c>
      <c r="B192" s="17" t="s">
        <v>127</v>
      </c>
      <c r="C192" s="3">
        <v>60.606060606060609</v>
      </c>
      <c r="D192" s="10">
        <v>23.668639053254438</v>
      </c>
      <c r="G192" s="35"/>
    </row>
    <row r="193" spans="1:7" ht="15.75" customHeight="1" x14ac:dyDescent="0.3">
      <c r="A193" s="36">
        <v>41201</v>
      </c>
      <c r="B193" s="17" t="s">
        <v>152</v>
      </c>
      <c r="C193" s="3">
        <v>50.632911392405063</v>
      </c>
      <c r="D193" s="10">
        <v>7.4349442379182156</v>
      </c>
      <c r="G193" s="35"/>
    </row>
    <row r="194" spans="1:7" ht="15.75" customHeight="1" x14ac:dyDescent="0.3">
      <c r="A194" s="36">
        <v>41202</v>
      </c>
      <c r="B194" s="17" t="s">
        <v>55</v>
      </c>
      <c r="C194" s="3">
        <v>0</v>
      </c>
      <c r="D194" s="10">
        <v>18.867924528301884</v>
      </c>
      <c r="G194" s="35"/>
    </row>
    <row r="195" spans="1:7" ht="15.75" customHeight="1" x14ac:dyDescent="0.3">
      <c r="A195" s="36">
        <v>41301</v>
      </c>
      <c r="B195" s="17" t="s">
        <v>134</v>
      </c>
      <c r="C195" s="3">
        <v>0</v>
      </c>
      <c r="D195" s="10">
        <v>19.886363636363637</v>
      </c>
      <c r="G195" s="35"/>
    </row>
    <row r="196" spans="1:7" ht="15.75" customHeight="1" x14ac:dyDescent="0.3">
      <c r="A196" s="36">
        <v>41401</v>
      </c>
      <c r="B196" s="17" t="s">
        <v>327</v>
      </c>
      <c r="C196" s="3">
        <v>41.841004184100413</v>
      </c>
      <c r="D196" s="10">
        <v>7.716049382716049</v>
      </c>
      <c r="G196" s="35"/>
    </row>
    <row r="197" spans="1:7" ht="15.75" customHeight="1" x14ac:dyDescent="0.3">
      <c r="A197" s="36">
        <v>41501</v>
      </c>
      <c r="B197" s="17" t="s">
        <v>1</v>
      </c>
      <c r="C197" s="3">
        <v>0</v>
      </c>
      <c r="D197" s="10">
        <v>0</v>
      </c>
      <c r="G197" s="35"/>
    </row>
    <row r="198" spans="1:7" ht="15.75" customHeight="1" x14ac:dyDescent="0.3">
      <c r="A198" s="36">
        <v>41502</v>
      </c>
      <c r="B198" s="17" t="s">
        <v>5</v>
      </c>
      <c r="C198" s="3">
        <v>0</v>
      </c>
      <c r="D198" s="10">
        <v>11.235955056179774</v>
      </c>
      <c r="G198" s="35"/>
    </row>
    <row r="199" spans="1:7" ht="15.75" customHeight="1" x14ac:dyDescent="0.3">
      <c r="A199" s="36">
        <v>41503</v>
      </c>
      <c r="B199" s="17" t="s">
        <v>8</v>
      </c>
      <c r="C199" s="3">
        <v>0</v>
      </c>
      <c r="D199" s="10">
        <v>0</v>
      </c>
      <c r="G199" s="35"/>
    </row>
    <row r="200" spans="1:7" ht="15.75" customHeight="1" x14ac:dyDescent="0.3">
      <c r="A200" s="36">
        <v>41601</v>
      </c>
      <c r="B200" s="17" t="s">
        <v>389</v>
      </c>
      <c r="C200" s="3">
        <v>66.666666666666671</v>
      </c>
      <c r="D200" s="10">
        <v>19.920318725099602</v>
      </c>
      <c r="G200" s="35"/>
    </row>
    <row r="201" spans="1:7" ht="15.75" customHeight="1" x14ac:dyDescent="0.3">
      <c r="A201" s="36">
        <v>50101</v>
      </c>
      <c r="B201" s="17" t="s">
        <v>302</v>
      </c>
      <c r="C201" s="3">
        <v>35.079829098268497</v>
      </c>
      <c r="D201" s="10">
        <v>11.345506115936891</v>
      </c>
      <c r="G201" s="35"/>
    </row>
    <row r="202" spans="1:7" ht="15.75" customHeight="1" x14ac:dyDescent="0.3">
      <c r="A202" s="36">
        <v>50102</v>
      </c>
      <c r="B202" s="17" t="s">
        <v>34</v>
      </c>
      <c r="C202" s="3">
        <v>99.688473520249218</v>
      </c>
      <c r="D202" s="10">
        <v>24.97551420176298</v>
      </c>
      <c r="G202" s="35"/>
    </row>
    <row r="203" spans="1:7" ht="15.75" customHeight="1" x14ac:dyDescent="0.3">
      <c r="A203" s="36">
        <v>50103</v>
      </c>
      <c r="B203" s="17" t="s">
        <v>207</v>
      </c>
      <c r="C203" s="3">
        <v>6.4516129032258061</v>
      </c>
      <c r="D203" s="10">
        <v>14.686248331108143</v>
      </c>
      <c r="G203" s="35"/>
    </row>
    <row r="204" spans="1:7" ht="15.75" customHeight="1" x14ac:dyDescent="0.3">
      <c r="A204" s="36">
        <v>50104</v>
      </c>
      <c r="B204" s="17" t="s">
        <v>391</v>
      </c>
      <c r="C204" s="3">
        <v>16.666666666666668</v>
      </c>
      <c r="D204" s="10">
        <v>6.4516129032258061</v>
      </c>
      <c r="G204" s="35"/>
    </row>
    <row r="205" spans="1:7" ht="15.75" customHeight="1" x14ac:dyDescent="0.3">
      <c r="A205" s="36">
        <v>50201</v>
      </c>
      <c r="B205" s="17" t="s">
        <v>264</v>
      </c>
      <c r="C205" s="3">
        <v>96.846846846846844</v>
      </c>
      <c r="D205" s="10">
        <v>23.544800523217791</v>
      </c>
      <c r="G205" s="35"/>
    </row>
    <row r="206" spans="1:7" ht="15.75" customHeight="1" x14ac:dyDescent="0.3">
      <c r="A206" s="36">
        <v>50202</v>
      </c>
      <c r="B206" s="17" t="s">
        <v>228</v>
      </c>
      <c r="C206" s="3">
        <v>71.794871794871796</v>
      </c>
      <c r="D206" s="10">
        <v>31.924882629107984</v>
      </c>
      <c r="G206" s="35"/>
    </row>
    <row r="207" spans="1:7" ht="15.75" customHeight="1" x14ac:dyDescent="0.3">
      <c r="A207" s="36">
        <v>50203</v>
      </c>
      <c r="B207" s="17" t="s">
        <v>295</v>
      </c>
      <c r="C207" s="3">
        <v>33.932135728542917</v>
      </c>
      <c r="D207" s="10">
        <v>14.280856851411086</v>
      </c>
      <c r="G207" s="35"/>
    </row>
    <row r="208" spans="1:7" ht="15.75" customHeight="1" x14ac:dyDescent="0.3">
      <c r="A208" s="36">
        <v>50204</v>
      </c>
      <c r="B208" s="17" t="s">
        <v>393</v>
      </c>
      <c r="C208" s="3">
        <v>59.28853754940711</v>
      </c>
      <c r="D208" s="10">
        <v>20</v>
      </c>
      <c r="G208" s="35"/>
    </row>
    <row r="209" spans="1:7" ht="15.75" customHeight="1" x14ac:dyDescent="0.3">
      <c r="A209" s="36">
        <v>50301</v>
      </c>
      <c r="B209" s="17" t="s">
        <v>266</v>
      </c>
      <c r="C209" s="3">
        <v>56.162246489859598</v>
      </c>
      <c r="D209" s="10">
        <v>16.682113067655237</v>
      </c>
      <c r="G209" s="35"/>
    </row>
    <row r="210" spans="1:7" ht="15.75" customHeight="1" x14ac:dyDescent="0.3">
      <c r="A210" s="36">
        <v>50302</v>
      </c>
      <c r="B210" s="17" t="s">
        <v>219</v>
      </c>
      <c r="C210" s="3">
        <v>52.941176470588232</v>
      </c>
      <c r="D210" s="10">
        <v>10.344827586206897</v>
      </c>
      <c r="G210" s="35"/>
    </row>
    <row r="211" spans="1:7" ht="15.75" customHeight="1" x14ac:dyDescent="0.3">
      <c r="A211" s="36">
        <v>50303</v>
      </c>
      <c r="B211" s="17" t="s">
        <v>15</v>
      </c>
      <c r="C211" s="3">
        <v>51.587301587301582</v>
      </c>
      <c r="D211" s="10">
        <v>7.3839662447257384</v>
      </c>
      <c r="G211" s="35"/>
    </row>
    <row r="212" spans="1:7" ht="15.75" customHeight="1" x14ac:dyDescent="0.3">
      <c r="A212" s="36">
        <v>50401</v>
      </c>
      <c r="B212" s="17" t="s">
        <v>119</v>
      </c>
      <c r="C212" s="3">
        <v>115.65420560747664</v>
      </c>
      <c r="D212" s="10">
        <v>38.112522686025407</v>
      </c>
      <c r="G212" s="35"/>
    </row>
    <row r="213" spans="1:7" ht="15.75" customHeight="1" x14ac:dyDescent="0.3">
      <c r="A213" s="36">
        <v>50402</v>
      </c>
      <c r="B213" s="17" t="s">
        <v>46</v>
      </c>
      <c r="C213" s="3">
        <v>34.64203233256351</v>
      </c>
      <c r="D213" s="10">
        <v>13.948497854077255</v>
      </c>
      <c r="G213" s="35"/>
    </row>
    <row r="214" spans="1:7" ht="15.75" customHeight="1" x14ac:dyDescent="0.3">
      <c r="A214" s="36">
        <v>50403</v>
      </c>
      <c r="B214" s="17" t="s">
        <v>52</v>
      </c>
      <c r="C214" s="3">
        <v>71.813285457809698</v>
      </c>
      <c r="D214" s="10">
        <v>30.798845043310877</v>
      </c>
      <c r="G214" s="35"/>
    </row>
    <row r="215" spans="1:7" ht="15.75" customHeight="1" x14ac:dyDescent="0.3">
      <c r="A215" s="36">
        <v>50404</v>
      </c>
      <c r="B215" s="17" t="s">
        <v>42</v>
      </c>
      <c r="C215" s="3">
        <v>111.67512690355331</v>
      </c>
      <c r="D215" s="10">
        <v>15.330188679245284</v>
      </c>
      <c r="G215" s="35"/>
    </row>
    <row r="216" spans="1:7" ht="15.75" customHeight="1" x14ac:dyDescent="0.3">
      <c r="A216" s="36">
        <v>50405</v>
      </c>
      <c r="B216" s="34" t="s">
        <v>328</v>
      </c>
      <c r="C216" s="3">
        <v>115.65420560747664</v>
      </c>
      <c r="D216" s="10">
        <v>34.188034188034194</v>
      </c>
      <c r="G216" s="35"/>
    </row>
    <row r="217" spans="1:7" ht="15.75" customHeight="1" x14ac:dyDescent="0.3">
      <c r="A217" s="36">
        <v>50501</v>
      </c>
      <c r="B217" s="17" t="s">
        <v>396</v>
      </c>
      <c r="C217" s="3">
        <v>87.912087912087912</v>
      </c>
      <c r="D217" s="10">
        <v>25.78361981799798</v>
      </c>
      <c r="G217" s="35"/>
    </row>
    <row r="218" spans="1:7" ht="15.75" customHeight="1" x14ac:dyDescent="0.3">
      <c r="A218" s="36">
        <v>50502</v>
      </c>
      <c r="B218" s="17" t="s">
        <v>61</v>
      </c>
      <c r="C218" s="3">
        <v>76.923076923076934</v>
      </c>
      <c r="D218" s="10">
        <v>16.331658291457288</v>
      </c>
      <c r="G218" s="35"/>
    </row>
    <row r="219" spans="1:7" ht="15.75" customHeight="1" x14ac:dyDescent="0.3">
      <c r="A219" s="36">
        <v>50601</v>
      </c>
      <c r="B219" s="17" t="s">
        <v>114</v>
      </c>
      <c r="C219" s="3">
        <v>9.9337748344370862</v>
      </c>
      <c r="D219" s="10">
        <v>6.1281337047353759</v>
      </c>
      <c r="G219" s="35"/>
    </row>
    <row r="220" spans="1:7" ht="15.75" customHeight="1" x14ac:dyDescent="0.3">
      <c r="A220" s="36">
        <v>50602</v>
      </c>
      <c r="B220" s="17" t="s">
        <v>234</v>
      </c>
      <c r="C220" s="3">
        <v>20.833333333333332</v>
      </c>
      <c r="D220" s="10">
        <v>11.475409836065573</v>
      </c>
      <c r="G220" s="35"/>
    </row>
    <row r="221" spans="1:7" ht="15.75" customHeight="1" x14ac:dyDescent="0.3">
      <c r="A221" s="36">
        <v>50701</v>
      </c>
      <c r="B221" s="17" t="s">
        <v>399</v>
      </c>
      <c r="C221" s="3">
        <v>30.23758099352052</v>
      </c>
      <c r="D221" s="10">
        <v>30.017152658662091</v>
      </c>
      <c r="G221" s="35"/>
    </row>
    <row r="222" spans="1:7" ht="15.75" customHeight="1" x14ac:dyDescent="0.3">
      <c r="A222" s="36">
        <v>50702</v>
      </c>
      <c r="B222" s="17" t="s">
        <v>78</v>
      </c>
      <c r="C222" s="3">
        <v>37.914691943127963</v>
      </c>
      <c r="D222" s="10">
        <v>35.447761194029852</v>
      </c>
      <c r="G222" s="35"/>
    </row>
    <row r="223" spans="1:7" ht="15.75" customHeight="1" x14ac:dyDescent="0.3">
      <c r="A223" s="36">
        <v>50801</v>
      </c>
      <c r="B223" s="17" t="s">
        <v>290</v>
      </c>
      <c r="C223" s="3">
        <v>10.834236186348862</v>
      </c>
      <c r="D223" s="10">
        <v>7.7544426494345711</v>
      </c>
      <c r="G223" s="35"/>
    </row>
    <row r="224" spans="1:7" ht="15.75" customHeight="1" x14ac:dyDescent="0.3">
      <c r="A224" s="36">
        <v>50802</v>
      </c>
      <c r="B224" s="17" t="s">
        <v>120</v>
      </c>
      <c r="C224" s="3">
        <v>3.8167938931297707</v>
      </c>
      <c r="D224" s="10">
        <v>13.986013986013987</v>
      </c>
      <c r="G224" s="35"/>
    </row>
    <row r="225" spans="1:7" ht="15.75" customHeight="1" x14ac:dyDescent="0.3">
      <c r="A225" s="36">
        <v>50901</v>
      </c>
      <c r="B225" s="17" t="s">
        <v>402</v>
      </c>
      <c r="C225" s="3">
        <v>3.4722222222222219</v>
      </c>
      <c r="D225" s="10">
        <v>15.081206496519721</v>
      </c>
      <c r="G225" s="35"/>
    </row>
    <row r="226" spans="1:7" ht="15.75" customHeight="1" x14ac:dyDescent="0.3">
      <c r="A226" s="36">
        <v>50902</v>
      </c>
      <c r="B226" s="17" t="s">
        <v>13</v>
      </c>
      <c r="C226" s="3">
        <v>0</v>
      </c>
      <c r="D226" s="10">
        <v>22.727272727272727</v>
      </c>
      <c r="G226" s="35"/>
    </row>
    <row r="227" spans="1:7" ht="15.75" customHeight="1" x14ac:dyDescent="0.3">
      <c r="A227" s="36">
        <v>51001</v>
      </c>
      <c r="B227" s="17" t="s">
        <v>86</v>
      </c>
      <c r="C227" s="3">
        <v>10.638297872340425</v>
      </c>
      <c r="D227" s="10">
        <v>18.779342723004696</v>
      </c>
      <c r="G227" s="35"/>
    </row>
    <row r="228" spans="1:7" ht="15.75" customHeight="1" x14ac:dyDescent="0.3">
      <c r="A228" s="36">
        <v>51002</v>
      </c>
      <c r="B228" s="17" t="s">
        <v>16</v>
      </c>
      <c r="C228" s="3">
        <v>0</v>
      </c>
      <c r="D228" s="10">
        <v>16.129032258064516</v>
      </c>
      <c r="G228" s="35"/>
    </row>
    <row r="229" spans="1:7" ht="15.75" customHeight="1" x14ac:dyDescent="0.3">
      <c r="A229" s="36">
        <v>51003</v>
      </c>
      <c r="B229" s="17" t="s">
        <v>60</v>
      </c>
      <c r="C229" s="3">
        <v>0</v>
      </c>
      <c r="D229" s="10">
        <v>34.965034965034967</v>
      </c>
      <c r="G229" s="35"/>
    </row>
    <row r="230" spans="1:7" ht="15.75" customHeight="1" x14ac:dyDescent="0.3">
      <c r="A230" s="36">
        <v>51101</v>
      </c>
      <c r="B230" s="17" t="s">
        <v>265</v>
      </c>
      <c r="C230" s="3">
        <v>11.210762331838565</v>
      </c>
      <c r="D230" s="10">
        <v>12.1012101210121</v>
      </c>
      <c r="G230" s="35"/>
    </row>
    <row r="231" spans="1:7" ht="15.75" customHeight="1" x14ac:dyDescent="0.3">
      <c r="A231" s="36">
        <v>51102</v>
      </c>
      <c r="B231" s="17" t="s">
        <v>329</v>
      </c>
      <c r="C231" s="3">
        <v>13.698630136986301</v>
      </c>
      <c r="D231" s="10">
        <v>15.037593984962406</v>
      </c>
      <c r="G231" s="35"/>
    </row>
    <row r="232" spans="1:7" ht="15.75" customHeight="1" x14ac:dyDescent="0.3">
      <c r="A232" s="36">
        <v>51103</v>
      </c>
      <c r="B232" s="17" t="s">
        <v>175</v>
      </c>
      <c r="C232" s="3">
        <v>23.255813953488371</v>
      </c>
      <c r="D232" s="10">
        <v>13.120899718837862</v>
      </c>
      <c r="G232" s="35"/>
    </row>
    <row r="233" spans="1:7" ht="15.75" customHeight="1" x14ac:dyDescent="0.3">
      <c r="A233" s="36">
        <v>51201</v>
      </c>
      <c r="B233" s="17" t="s">
        <v>289</v>
      </c>
      <c r="C233" s="3">
        <v>11.577424023154848</v>
      </c>
      <c r="D233" s="10">
        <v>17.96875</v>
      </c>
      <c r="G233" s="35"/>
    </row>
    <row r="234" spans="1:7" ht="15.75" customHeight="1" x14ac:dyDescent="0.3">
      <c r="A234" s="36">
        <v>51202</v>
      </c>
      <c r="B234" s="17" t="s">
        <v>130</v>
      </c>
      <c r="C234" s="3">
        <v>16.5016501650165</v>
      </c>
      <c r="D234" s="10">
        <v>18.789144050104383</v>
      </c>
      <c r="G234" s="35"/>
    </row>
    <row r="235" spans="1:7" ht="15.75" customHeight="1" x14ac:dyDescent="0.3">
      <c r="A235" s="36">
        <v>51203</v>
      </c>
      <c r="B235" s="17" t="s">
        <v>166</v>
      </c>
      <c r="C235" s="3">
        <v>6.2893081761006293</v>
      </c>
      <c r="D235" s="10">
        <v>10.16419077404222</v>
      </c>
      <c r="G235" s="35"/>
    </row>
    <row r="236" spans="1:7" ht="15.75" customHeight="1" x14ac:dyDescent="0.3">
      <c r="A236" s="36">
        <v>51204</v>
      </c>
      <c r="B236" s="34" t="s">
        <v>406</v>
      </c>
      <c r="C236" s="3">
        <v>16.5016501650165</v>
      </c>
      <c r="D236" s="10">
        <v>23.136246786632391</v>
      </c>
      <c r="G236" s="35"/>
    </row>
    <row r="237" spans="1:7" ht="15.75" customHeight="1" x14ac:dyDescent="0.3">
      <c r="A237" s="36">
        <v>51301</v>
      </c>
      <c r="B237" s="17" t="s">
        <v>104</v>
      </c>
      <c r="C237" s="3">
        <v>27.27272727272727</v>
      </c>
      <c r="D237" s="10">
        <v>25.316455696202532</v>
      </c>
      <c r="G237" s="35"/>
    </row>
    <row r="238" spans="1:7" ht="15.75" customHeight="1" x14ac:dyDescent="0.3">
      <c r="A238" s="36">
        <v>51302</v>
      </c>
      <c r="B238" s="17" t="s">
        <v>169</v>
      </c>
      <c r="C238" s="3">
        <v>23.255813953488371</v>
      </c>
      <c r="D238" s="10">
        <v>28.985507246376812</v>
      </c>
      <c r="G238" s="35"/>
    </row>
    <row r="239" spans="1:7" ht="15.75" customHeight="1" x14ac:dyDescent="0.3">
      <c r="A239" s="36">
        <v>51401</v>
      </c>
      <c r="B239" s="17" t="s">
        <v>151</v>
      </c>
      <c r="C239" s="3">
        <v>12.195121951219512</v>
      </c>
      <c r="D239" s="10">
        <v>27.027027027027028</v>
      </c>
      <c r="G239" s="35"/>
    </row>
    <row r="240" spans="1:7" ht="15.75" customHeight="1" x14ac:dyDescent="0.3">
      <c r="A240" s="36">
        <v>51402</v>
      </c>
      <c r="B240" s="17" t="s">
        <v>25</v>
      </c>
      <c r="C240" s="3">
        <v>0</v>
      </c>
      <c r="D240" s="10">
        <v>0</v>
      </c>
      <c r="G240" s="35"/>
    </row>
    <row r="241" spans="1:7" ht="15.75" customHeight="1" x14ac:dyDescent="0.3">
      <c r="A241" s="36">
        <v>51501</v>
      </c>
      <c r="B241" s="17" t="s">
        <v>293</v>
      </c>
      <c r="C241" s="3">
        <v>3.0581039755351682</v>
      </c>
      <c r="D241" s="10">
        <v>12.11734693877551</v>
      </c>
      <c r="G241" s="35"/>
    </row>
    <row r="242" spans="1:7" ht="15.75" customHeight="1" x14ac:dyDescent="0.3">
      <c r="A242" s="36">
        <v>51601</v>
      </c>
      <c r="B242" s="17" t="s">
        <v>29</v>
      </c>
      <c r="C242" s="3">
        <v>0</v>
      </c>
      <c r="D242" s="10">
        <v>14.598540145985401</v>
      </c>
      <c r="G242" s="35"/>
    </row>
    <row r="243" spans="1:7" ht="15.75" customHeight="1" x14ac:dyDescent="0.3">
      <c r="A243" s="36">
        <v>60101</v>
      </c>
      <c r="B243" s="17" t="s">
        <v>76</v>
      </c>
      <c r="C243" s="3">
        <v>11.360634081902244</v>
      </c>
      <c r="D243" s="10">
        <v>5.6265984654731458</v>
      </c>
      <c r="G243" s="35"/>
    </row>
    <row r="244" spans="1:7" ht="15.75" customHeight="1" x14ac:dyDescent="0.3">
      <c r="A244" s="36">
        <v>60201</v>
      </c>
      <c r="B244" s="17" t="s">
        <v>274</v>
      </c>
      <c r="C244" s="3">
        <v>18.348623853211009</v>
      </c>
      <c r="D244" s="10">
        <v>5.7581573896353166</v>
      </c>
      <c r="G244" s="35"/>
    </row>
    <row r="245" spans="1:7" ht="15.75" customHeight="1" x14ac:dyDescent="0.3">
      <c r="A245" s="36">
        <v>60202</v>
      </c>
      <c r="B245" s="17" t="s">
        <v>254</v>
      </c>
      <c r="C245" s="3">
        <v>25.751072961373392</v>
      </c>
      <c r="D245" s="10">
        <v>4.6550994498518836</v>
      </c>
      <c r="G245" s="35"/>
    </row>
    <row r="246" spans="1:7" ht="15.75" customHeight="1" x14ac:dyDescent="0.3">
      <c r="A246" s="36">
        <v>60301</v>
      </c>
      <c r="B246" s="17" t="s">
        <v>297</v>
      </c>
      <c r="C246" s="3">
        <v>23.006955591225257</v>
      </c>
      <c r="D246" s="10">
        <v>9.1324200913241995</v>
      </c>
      <c r="G246" s="35"/>
    </row>
    <row r="247" spans="1:7" ht="15.75" customHeight="1" x14ac:dyDescent="0.3">
      <c r="A247" s="36">
        <v>60302</v>
      </c>
      <c r="B247" s="17" t="s">
        <v>193</v>
      </c>
      <c r="C247" s="3">
        <v>7.0671378091872787</v>
      </c>
      <c r="D247" s="10">
        <v>4.4483985765124556</v>
      </c>
      <c r="G247" s="35"/>
    </row>
    <row r="248" spans="1:7" ht="15.75" customHeight="1" x14ac:dyDescent="0.3">
      <c r="A248" s="36">
        <v>60303</v>
      </c>
      <c r="B248" s="17" t="s">
        <v>330</v>
      </c>
      <c r="C248" s="3">
        <v>27.149321266968325</v>
      </c>
      <c r="D248" s="10">
        <v>4.6918986549890525</v>
      </c>
      <c r="G248" s="35"/>
    </row>
    <row r="249" spans="1:7" ht="15.75" customHeight="1" x14ac:dyDescent="0.3">
      <c r="A249" s="36">
        <v>60401</v>
      </c>
      <c r="B249" s="17" t="s">
        <v>235</v>
      </c>
      <c r="C249" s="3">
        <v>6.968641114982578</v>
      </c>
      <c r="D249" s="10">
        <v>4.9800796812749004</v>
      </c>
      <c r="G249" s="35"/>
    </row>
    <row r="250" spans="1:7" ht="15.75" customHeight="1" x14ac:dyDescent="0.3">
      <c r="A250" s="36">
        <v>60402</v>
      </c>
      <c r="B250" s="17" t="s">
        <v>105</v>
      </c>
      <c r="C250" s="3">
        <v>34.188034188034194</v>
      </c>
      <c r="D250" s="10">
        <v>6.2305295950155761</v>
      </c>
      <c r="G250" s="35"/>
    </row>
    <row r="251" spans="1:7" ht="15.75" customHeight="1" x14ac:dyDescent="0.3">
      <c r="A251" s="36">
        <v>60501</v>
      </c>
      <c r="B251" s="17" t="s">
        <v>271</v>
      </c>
      <c r="C251" s="3">
        <v>19.323671497584542</v>
      </c>
      <c r="D251" s="10">
        <v>4.4395116537180908</v>
      </c>
      <c r="G251" s="35"/>
    </row>
    <row r="252" spans="1:7" ht="15.75" customHeight="1" x14ac:dyDescent="0.3">
      <c r="A252" s="36">
        <v>60502</v>
      </c>
      <c r="B252" s="17" t="s">
        <v>88</v>
      </c>
      <c r="C252" s="3">
        <v>17.857142857142858</v>
      </c>
      <c r="D252" s="10">
        <v>8.5910652920962214</v>
      </c>
      <c r="G252" s="35"/>
    </row>
    <row r="253" spans="1:7" ht="15.75" customHeight="1" x14ac:dyDescent="0.3">
      <c r="A253" s="36">
        <v>60601</v>
      </c>
      <c r="B253" s="17" t="s">
        <v>223</v>
      </c>
      <c r="C253" s="3">
        <v>7.0588235294117654</v>
      </c>
      <c r="D253" s="10">
        <v>5.9568131049888313</v>
      </c>
      <c r="G253" s="35"/>
    </row>
    <row r="254" spans="1:7" ht="15.75" customHeight="1" x14ac:dyDescent="0.3">
      <c r="A254" s="36">
        <v>70101</v>
      </c>
      <c r="B254" s="17" t="s">
        <v>304</v>
      </c>
      <c r="C254" s="3">
        <v>14.541142696664275</v>
      </c>
      <c r="D254" s="10">
        <v>5.6152159116690612</v>
      </c>
      <c r="G254" s="35"/>
    </row>
    <row r="255" spans="1:7" ht="15.75" customHeight="1" x14ac:dyDescent="0.3">
      <c r="A255" s="36">
        <v>70102</v>
      </c>
      <c r="B255" s="17" t="s">
        <v>263</v>
      </c>
      <c r="C255" s="3">
        <v>29.156816390858946</v>
      </c>
      <c r="D255" s="10">
        <v>6.9541029207232272</v>
      </c>
      <c r="G255" s="35"/>
    </row>
    <row r="256" spans="1:7" ht="15.75" customHeight="1" x14ac:dyDescent="0.3">
      <c r="A256" s="36">
        <v>70103</v>
      </c>
      <c r="B256" s="17" t="s">
        <v>188</v>
      </c>
      <c r="C256" s="3">
        <v>6.25</v>
      </c>
      <c r="D256" s="10">
        <v>6.2413314840499305</v>
      </c>
      <c r="G256" s="35"/>
    </row>
    <row r="257" spans="1:7" ht="15.75" customHeight="1" x14ac:dyDescent="0.3">
      <c r="A257" s="36">
        <v>70104</v>
      </c>
      <c r="B257" s="17" t="s">
        <v>294</v>
      </c>
      <c r="C257" s="3">
        <v>8.5470085470085486</v>
      </c>
      <c r="D257" s="10">
        <v>5.3257589206461917</v>
      </c>
      <c r="G257" s="35"/>
    </row>
    <row r="258" spans="1:7" ht="15.75" customHeight="1" x14ac:dyDescent="0.3">
      <c r="A258" s="36">
        <v>70105</v>
      </c>
      <c r="B258" s="17" t="s">
        <v>291</v>
      </c>
      <c r="C258" s="3">
        <v>13.440860215053764</v>
      </c>
      <c r="D258" s="10">
        <v>7.2772898368883316</v>
      </c>
      <c r="G258" s="35"/>
    </row>
    <row r="259" spans="1:7" ht="15.75" customHeight="1" x14ac:dyDescent="0.3">
      <c r="A259" s="36">
        <v>70201</v>
      </c>
      <c r="B259" s="17" t="s">
        <v>298</v>
      </c>
      <c r="C259" s="3">
        <v>9.4197437829691033</v>
      </c>
      <c r="D259" s="10">
        <v>7.4289129877892579</v>
      </c>
      <c r="G259" s="35"/>
    </row>
    <row r="260" spans="1:7" ht="15.75" customHeight="1" x14ac:dyDescent="0.3">
      <c r="A260" s="36">
        <v>70202</v>
      </c>
      <c r="B260" s="17" t="s">
        <v>91</v>
      </c>
      <c r="C260" s="3">
        <v>16.556291390728479</v>
      </c>
      <c r="D260" s="10">
        <v>8.905852417302798</v>
      </c>
      <c r="G260" s="35"/>
    </row>
    <row r="261" spans="1:7" ht="15.75" customHeight="1" x14ac:dyDescent="0.3">
      <c r="A261" s="36">
        <v>70301</v>
      </c>
      <c r="B261" s="17" t="s">
        <v>279</v>
      </c>
      <c r="C261" s="3">
        <v>18.601667735728029</v>
      </c>
      <c r="D261" s="10">
        <v>11.080804636890555</v>
      </c>
      <c r="G261" s="35"/>
    </row>
    <row r="262" spans="1:7" ht="15.75" customHeight="1" x14ac:dyDescent="0.3">
      <c r="A262" s="36">
        <v>70302</v>
      </c>
      <c r="B262" s="17" t="s">
        <v>201</v>
      </c>
      <c r="C262" s="3">
        <v>38.869257950530034</v>
      </c>
      <c r="D262" s="10">
        <v>19.98097050428164</v>
      </c>
      <c r="G262" s="35"/>
    </row>
    <row r="263" spans="1:7" ht="15.75" customHeight="1" x14ac:dyDescent="0.3">
      <c r="A263" s="36">
        <v>70303</v>
      </c>
      <c r="B263" s="17" t="s">
        <v>79</v>
      </c>
      <c r="C263" s="3">
        <v>34.722222222222221</v>
      </c>
      <c r="D263" s="10">
        <v>12.968299711815563</v>
      </c>
      <c r="G263" s="35"/>
    </row>
    <row r="264" spans="1:7" ht="15.75" customHeight="1" x14ac:dyDescent="0.3">
      <c r="A264" s="36">
        <v>70401</v>
      </c>
      <c r="B264" s="17" t="s">
        <v>164</v>
      </c>
      <c r="C264" s="3">
        <v>12.658227848101266</v>
      </c>
      <c r="D264" s="10">
        <v>3.0832476875642341</v>
      </c>
      <c r="G264" s="35"/>
    </row>
    <row r="265" spans="1:7" ht="15.75" customHeight="1" x14ac:dyDescent="0.3">
      <c r="A265" s="36">
        <v>70402</v>
      </c>
      <c r="B265" s="17" t="s">
        <v>225</v>
      </c>
      <c r="C265" s="3">
        <v>13.7524557956778</v>
      </c>
      <c r="D265" s="10">
        <v>7.9710144927536231</v>
      </c>
      <c r="G265" s="35"/>
    </row>
    <row r="266" spans="1:7" ht="15.75" customHeight="1" x14ac:dyDescent="0.3">
      <c r="A266" s="36">
        <v>70403</v>
      </c>
      <c r="B266" s="17" t="s">
        <v>278</v>
      </c>
      <c r="C266" s="3">
        <v>23.045267489711936</v>
      </c>
      <c r="D266" s="10">
        <v>7.8630897317298798</v>
      </c>
      <c r="G266" s="35"/>
    </row>
    <row r="267" spans="1:7" ht="15.75" customHeight="1" x14ac:dyDescent="0.3">
      <c r="A267" s="36">
        <v>70404</v>
      </c>
      <c r="B267" s="17" t="s">
        <v>331</v>
      </c>
      <c r="C267" s="3">
        <v>21.459227467811157</v>
      </c>
      <c r="D267" s="10">
        <v>4.2313117066290555</v>
      </c>
      <c r="G267" s="35"/>
    </row>
    <row r="268" spans="1:7" ht="15.75" customHeight="1" x14ac:dyDescent="0.3">
      <c r="A268" s="36">
        <v>70501</v>
      </c>
      <c r="B268" s="17" t="s">
        <v>332</v>
      </c>
      <c r="C268" s="3">
        <v>11.984021304926763</v>
      </c>
      <c r="D268" s="10">
        <v>12.824336415150611</v>
      </c>
      <c r="G268" s="35"/>
    </row>
    <row r="269" spans="1:7" ht="15.75" customHeight="1" x14ac:dyDescent="0.3">
      <c r="A269" s="36">
        <v>70502</v>
      </c>
      <c r="B269" s="17" t="s">
        <v>272</v>
      </c>
      <c r="C269" s="3">
        <v>20.329138431752177</v>
      </c>
      <c r="D269" s="10">
        <v>14.395782643957826</v>
      </c>
      <c r="G269" s="35"/>
    </row>
    <row r="270" spans="1:7" ht="15.75" customHeight="1" x14ac:dyDescent="0.3">
      <c r="A270" s="36">
        <v>70503</v>
      </c>
      <c r="B270" s="17" t="s">
        <v>162</v>
      </c>
      <c r="C270" s="3">
        <v>12.195121951219512</v>
      </c>
      <c r="D270" s="10">
        <v>5.32724505327245</v>
      </c>
      <c r="G270" s="35"/>
    </row>
    <row r="271" spans="1:7" ht="15.75" customHeight="1" x14ac:dyDescent="0.3">
      <c r="A271" s="36">
        <v>70601</v>
      </c>
      <c r="B271" s="17" t="s">
        <v>158</v>
      </c>
      <c r="C271" s="3">
        <v>4.5766590389016022</v>
      </c>
      <c r="D271" s="10">
        <v>5.2945069490403709</v>
      </c>
      <c r="G271" s="35"/>
    </row>
    <row r="272" spans="1:7" ht="15.75" customHeight="1" x14ac:dyDescent="0.3">
      <c r="A272" s="36">
        <v>70602</v>
      </c>
      <c r="B272" s="17" t="s">
        <v>256</v>
      </c>
      <c r="C272" s="3">
        <v>14.056224899598392</v>
      </c>
      <c r="D272" s="10">
        <v>11.574074074074073</v>
      </c>
      <c r="G272" s="35"/>
    </row>
    <row r="273" spans="1:7" ht="15.75" customHeight="1" x14ac:dyDescent="0.3">
      <c r="A273" s="36">
        <v>70603</v>
      </c>
      <c r="B273" s="17" t="s">
        <v>333</v>
      </c>
      <c r="C273" s="3">
        <v>13.333333333333334</v>
      </c>
      <c r="D273" s="10">
        <v>6.6518847006651889</v>
      </c>
      <c r="G273" s="35"/>
    </row>
    <row r="274" spans="1:7" ht="15.75" customHeight="1" x14ac:dyDescent="0.3">
      <c r="A274" s="36">
        <v>70701</v>
      </c>
      <c r="B274" s="17" t="s">
        <v>74</v>
      </c>
      <c r="C274" s="3">
        <v>15.503875968992247</v>
      </c>
      <c r="D274" s="10">
        <v>11.135857461024498</v>
      </c>
      <c r="G274" s="35"/>
    </row>
    <row r="275" spans="1:7" ht="15.75" customHeight="1" x14ac:dyDescent="0.3">
      <c r="A275" s="36">
        <v>70702</v>
      </c>
      <c r="B275" s="17" t="s">
        <v>95</v>
      </c>
      <c r="C275" s="3">
        <v>29.147982062780269</v>
      </c>
      <c r="D275" s="10">
        <v>22.097625329815301</v>
      </c>
      <c r="G275" s="35"/>
    </row>
    <row r="276" spans="1:7" ht="15.75" customHeight="1" x14ac:dyDescent="0.3">
      <c r="A276" s="36">
        <v>70703</v>
      </c>
      <c r="B276" s="17" t="s">
        <v>250</v>
      </c>
      <c r="C276" s="3">
        <v>13.412816691505217</v>
      </c>
      <c r="D276" s="10">
        <v>7.9425113464447801</v>
      </c>
      <c r="G276" s="35"/>
    </row>
    <row r="277" spans="1:7" ht="15.75" customHeight="1" x14ac:dyDescent="0.3">
      <c r="A277" s="36">
        <v>70704</v>
      </c>
      <c r="B277" s="17" t="s">
        <v>73</v>
      </c>
      <c r="C277" s="3">
        <v>0</v>
      </c>
      <c r="D277" s="10">
        <v>6.9930069930069934</v>
      </c>
      <c r="G277" s="35"/>
    </row>
    <row r="278" spans="1:7" ht="15.75" customHeight="1" x14ac:dyDescent="0.3">
      <c r="A278" s="36">
        <v>70705</v>
      </c>
      <c r="B278" s="17" t="s">
        <v>141</v>
      </c>
      <c r="C278" s="3">
        <v>47.337278106508876</v>
      </c>
      <c r="D278" s="10">
        <v>22.961203483768806</v>
      </c>
      <c r="G278" s="35"/>
    </row>
    <row r="279" spans="1:7" ht="15.75" customHeight="1" x14ac:dyDescent="0.3">
      <c r="A279" s="36">
        <v>70706</v>
      </c>
      <c r="B279" s="17" t="s">
        <v>221</v>
      </c>
      <c r="C279" s="3">
        <v>10.479041916167663</v>
      </c>
      <c r="D279" s="10">
        <v>7.4147305981216016</v>
      </c>
      <c r="G279" s="35"/>
    </row>
    <row r="280" spans="1:7" ht="15.75" customHeight="1" x14ac:dyDescent="0.3">
      <c r="A280" s="36">
        <v>70707</v>
      </c>
      <c r="B280" s="17" t="s">
        <v>53</v>
      </c>
      <c r="C280" s="3">
        <v>0</v>
      </c>
      <c r="D280" s="10">
        <v>4.6728971962616823</v>
      </c>
      <c r="G280" s="35"/>
    </row>
    <row r="281" spans="1:7" ht="15.75" customHeight="1" x14ac:dyDescent="0.3">
      <c r="A281" s="36">
        <v>70801</v>
      </c>
      <c r="B281" s="17" t="s">
        <v>257</v>
      </c>
      <c r="C281" s="3">
        <v>9.2592592592592595</v>
      </c>
      <c r="D281" s="10">
        <v>3.9525691699604741</v>
      </c>
      <c r="G281" s="35"/>
    </row>
    <row r="282" spans="1:7" ht="15.75" customHeight="1" x14ac:dyDescent="0.3">
      <c r="A282" s="36">
        <v>70802</v>
      </c>
      <c r="B282" s="17" t="s">
        <v>10</v>
      </c>
      <c r="C282" s="3">
        <v>0</v>
      </c>
      <c r="D282" s="10">
        <v>16.528925619834713</v>
      </c>
      <c r="G282" s="35"/>
    </row>
    <row r="283" spans="1:7" ht="15.75" customHeight="1" x14ac:dyDescent="0.3">
      <c r="A283" s="36">
        <v>70803</v>
      </c>
      <c r="B283" s="17" t="s">
        <v>36</v>
      </c>
      <c r="C283" s="3">
        <v>0</v>
      </c>
      <c r="D283" s="10">
        <v>0</v>
      </c>
      <c r="G283" s="35"/>
    </row>
    <row r="284" spans="1:7" ht="15.75" customHeight="1" x14ac:dyDescent="0.3">
      <c r="A284" s="36">
        <v>70804</v>
      </c>
      <c r="B284" s="17" t="s">
        <v>334</v>
      </c>
      <c r="C284" s="3">
        <v>0</v>
      </c>
      <c r="D284" s="10">
        <v>0</v>
      </c>
      <c r="G284" s="35"/>
    </row>
    <row r="285" spans="1:7" ht="15.75" customHeight="1" x14ac:dyDescent="0.3">
      <c r="A285" s="36">
        <v>70805</v>
      </c>
      <c r="B285" s="17" t="s">
        <v>335</v>
      </c>
      <c r="C285" s="3">
        <v>0</v>
      </c>
      <c r="D285" s="10">
        <v>8.4033613445378155</v>
      </c>
      <c r="G285" s="35"/>
    </row>
    <row r="286" spans="1:7" ht="15.75" customHeight="1" x14ac:dyDescent="0.3">
      <c r="A286" s="36">
        <v>70901</v>
      </c>
      <c r="B286" s="17" t="s">
        <v>192</v>
      </c>
      <c r="C286" s="3">
        <v>0</v>
      </c>
      <c r="D286" s="10">
        <v>9.4850948509485082</v>
      </c>
      <c r="G286" s="35"/>
    </row>
    <row r="287" spans="1:7" ht="15.75" customHeight="1" x14ac:dyDescent="0.3">
      <c r="A287" s="36">
        <v>70902</v>
      </c>
      <c r="B287" s="17" t="s">
        <v>160</v>
      </c>
      <c r="C287" s="3">
        <v>13.698630136986301</v>
      </c>
      <c r="D287" s="10">
        <v>6.459948320413436</v>
      </c>
      <c r="G287" s="35"/>
    </row>
    <row r="288" spans="1:7" ht="15.75" customHeight="1" x14ac:dyDescent="0.3">
      <c r="A288" s="36">
        <v>70903</v>
      </c>
      <c r="B288" s="17" t="s">
        <v>122</v>
      </c>
      <c r="C288" s="3">
        <v>19.607843137254903</v>
      </c>
      <c r="D288" s="10">
        <v>7.1868583162217661</v>
      </c>
      <c r="G288" s="35"/>
    </row>
    <row r="289" spans="1:7" ht="15.75" customHeight="1" x14ac:dyDescent="0.3">
      <c r="A289" s="36">
        <v>70904</v>
      </c>
      <c r="B289" s="17" t="s">
        <v>20</v>
      </c>
      <c r="C289" s="3">
        <v>21.276595744680851</v>
      </c>
      <c r="D289" s="10">
        <v>0</v>
      </c>
      <c r="G289" s="35"/>
    </row>
    <row r="290" spans="1:7" ht="15.75" customHeight="1" x14ac:dyDescent="0.3">
      <c r="A290" s="36">
        <v>71001</v>
      </c>
      <c r="B290" s="17" t="s">
        <v>300</v>
      </c>
      <c r="C290" s="3">
        <v>14.754703061600885</v>
      </c>
      <c r="D290" s="10">
        <v>6.238303181534623</v>
      </c>
      <c r="G290" s="35"/>
    </row>
    <row r="291" spans="1:7" ht="15.75" customHeight="1" x14ac:dyDescent="0.3">
      <c r="A291" s="36">
        <v>71002</v>
      </c>
      <c r="B291" s="17" t="s">
        <v>336</v>
      </c>
      <c r="C291" s="3">
        <v>8.2191780821917799</v>
      </c>
      <c r="D291" s="10">
        <v>10.347376201034738</v>
      </c>
      <c r="G291" s="35"/>
    </row>
    <row r="292" spans="1:7" ht="15.75" customHeight="1" x14ac:dyDescent="0.3">
      <c r="A292" s="36">
        <v>71003</v>
      </c>
      <c r="B292" s="17" t="s">
        <v>230</v>
      </c>
      <c r="C292" s="3">
        <v>18.838304552590266</v>
      </c>
      <c r="D292" s="10">
        <v>10.303687635574839</v>
      </c>
      <c r="G292" s="35"/>
    </row>
    <row r="293" spans="1:7" ht="15.75" customHeight="1" x14ac:dyDescent="0.3">
      <c r="A293" s="36">
        <v>71004</v>
      </c>
      <c r="B293" s="17" t="s">
        <v>161</v>
      </c>
      <c r="C293" s="3">
        <v>29.325513196480941</v>
      </c>
      <c r="D293" s="10">
        <v>8.7040618955512574</v>
      </c>
      <c r="G293" s="35"/>
    </row>
    <row r="294" spans="1:7" ht="15.75" customHeight="1" x14ac:dyDescent="0.3">
      <c r="A294" s="36">
        <v>71005</v>
      </c>
      <c r="B294" s="17" t="s">
        <v>9</v>
      </c>
      <c r="C294" s="3">
        <v>16.666666666666668</v>
      </c>
      <c r="D294" s="10">
        <v>7.6923076923076925</v>
      </c>
      <c r="G294" s="35"/>
    </row>
    <row r="295" spans="1:7" ht="15.75" customHeight="1" x14ac:dyDescent="0.3">
      <c r="A295" s="36">
        <v>71101</v>
      </c>
      <c r="B295" s="17" t="s">
        <v>248</v>
      </c>
      <c r="C295" s="3">
        <v>18.726591760299627</v>
      </c>
      <c r="D295" s="10">
        <v>12.085769980506823</v>
      </c>
      <c r="G295" s="35"/>
    </row>
    <row r="296" spans="1:7" ht="15.75" customHeight="1" x14ac:dyDescent="0.3">
      <c r="A296" s="36">
        <v>71102</v>
      </c>
      <c r="B296" s="17" t="s">
        <v>75</v>
      </c>
      <c r="C296" s="3">
        <v>42.492917847025495</v>
      </c>
      <c r="D296" s="10">
        <v>14.249790444258172</v>
      </c>
      <c r="G296" s="35"/>
    </row>
    <row r="297" spans="1:7" ht="15.75" customHeight="1" x14ac:dyDescent="0.3">
      <c r="A297" s="36">
        <v>71103</v>
      </c>
      <c r="B297" s="17" t="s">
        <v>44</v>
      </c>
      <c r="C297" s="3">
        <v>25.806451612903224</v>
      </c>
      <c r="D297" s="10">
        <v>51.724137931034484</v>
      </c>
      <c r="G297" s="35"/>
    </row>
    <row r="298" spans="1:7" ht="15.75" customHeight="1" x14ac:dyDescent="0.3">
      <c r="A298" s="36">
        <v>71104</v>
      </c>
      <c r="B298" s="17" t="s">
        <v>285</v>
      </c>
      <c r="C298" s="3">
        <v>78.703703703703709</v>
      </c>
      <c r="D298" s="10">
        <v>2.1739130434782608</v>
      </c>
      <c r="G298" s="35"/>
    </row>
    <row r="299" spans="1:7" ht="15.75" customHeight="1" x14ac:dyDescent="0.3">
      <c r="A299" s="36">
        <v>71105</v>
      </c>
      <c r="B299" s="17" t="s">
        <v>337</v>
      </c>
      <c r="C299" s="3">
        <v>6.6170388751033915</v>
      </c>
      <c r="D299" s="10">
        <v>9.4339622641509422</v>
      </c>
      <c r="G299" s="35"/>
    </row>
    <row r="300" spans="1:7" ht="15.75" customHeight="1" x14ac:dyDescent="0.3">
      <c r="A300" s="36">
        <v>71106</v>
      </c>
      <c r="B300" s="17" t="s">
        <v>239</v>
      </c>
      <c r="C300" s="3">
        <v>20.654044750430295</v>
      </c>
      <c r="D300" s="10">
        <v>11.644154634373546</v>
      </c>
      <c r="G300" s="35"/>
    </row>
    <row r="301" spans="1:7" ht="15.75" customHeight="1" x14ac:dyDescent="0.3">
      <c r="A301" s="36">
        <v>71201</v>
      </c>
      <c r="B301" s="17" t="s">
        <v>212</v>
      </c>
      <c r="C301" s="3">
        <v>19.662921348314605</v>
      </c>
      <c r="D301" s="10">
        <v>5.2552552552552561</v>
      </c>
      <c r="G301" s="35"/>
    </row>
    <row r="302" spans="1:7" ht="15.75" customHeight="1" x14ac:dyDescent="0.3">
      <c r="A302" s="36">
        <v>71301</v>
      </c>
      <c r="B302" s="17" t="s">
        <v>209</v>
      </c>
      <c r="C302" s="3">
        <v>6.6964285714285712</v>
      </c>
      <c r="D302" s="10">
        <v>13.322884012539186</v>
      </c>
      <c r="G302" s="35"/>
    </row>
    <row r="303" spans="1:7" ht="15.75" customHeight="1" x14ac:dyDescent="0.3">
      <c r="A303" s="36">
        <v>71302</v>
      </c>
      <c r="B303" s="17" t="s">
        <v>58</v>
      </c>
      <c r="C303" s="3">
        <v>5.7142857142857144</v>
      </c>
      <c r="D303" s="10">
        <v>4.4543429844097995</v>
      </c>
      <c r="G303" s="35"/>
    </row>
    <row r="304" spans="1:7" ht="15.75" customHeight="1" x14ac:dyDescent="0.3">
      <c r="A304" s="36">
        <v>71401</v>
      </c>
      <c r="B304" s="17" t="s">
        <v>206</v>
      </c>
      <c r="C304" s="3">
        <v>18.276762402088774</v>
      </c>
      <c r="D304" s="10">
        <v>6.8728522336769755</v>
      </c>
      <c r="G304" s="35"/>
    </row>
    <row r="305" spans="1:7" ht="15.75" customHeight="1" x14ac:dyDescent="0.3">
      <c r="A305" s="36">
        <v>71402</v>
      </c>
      <c r="B305" s="17" t="s">
        <v>165</v>
      </c>
      <c r="C305" s="3">
        <v>23.584905660377359</v>
      </c>
      <c r="D305" s="10">
        <v>7.8740157480314963</v>
      </c>
      <c r="G305" s="35"/>
    </row>
    <row r="306" spans="1:7" ht="15.75" customHeight="1" x14ac:dyDescent="0.3">
      <c r="A306" s="36">
        <v>71403</v>
      </c>
      <c r="B306" s="17" t="s">
        <v>338</v>
      </c>
      <c r="C306" s="3">
        <v>7.6335877862595414</v>
      </c>
      <c r="D306" s="10">
        <v>17.391304347826086</v>
      </c>
      <c r="G306" s="35"/>
    </row>
    <row r="307" spans="1:7" ht="15.75" customHeight="1" x14ac:dyDescent="0.3">
      <c r="A307" s="36">
        <v>71501</v>
      </c>
      <c r="B307" s="17" t="s">
        <v>339</v>
      </c>
      <c r="C307" s="3">
        <v>13.793103448275861</v>
      </c>
      <c r="D307" s="10">
        <v>10.480664980122878</v>
      </c>
      <c r="G307" s="35"/>
    </row>
    <row r="308" spans="1:7" ht="15.75" customHeight="1" x14ac:dyDescent="0.3">
      <c r="A308" s="36">
        <v>71502</v>
      </c>
      <c r="B308" s="17" t="s">
        <v>77</v>
      </c>
      <c r="C308" s="3">
        <v>16.574585635359114</v>
      </c>
      <c r="D308" s="10">
        <v>17.543859649122805</v>
      </c>
      <c r="G308" s="35"/>
    </row>
    <row r="309" spans="1:7" ht="15.75" customHeight="1" x14ac:dyDescent="0.3">
      <c r="A309" s="36">
        <v>71503</v>
      </c>
      <c r="B309" s="17" t="s">
        <v>88</v>
      </c>
      <c r="C309" s="3">
        <v>24.875621890547265</v>
      </c>
      <c r="D309" s="10">
        <v>8.1037277147487838</v>
      </c>
      <c r="G309" s="35"/>
    </row>
    <row r="310" spans="1:7" ht="15.75" customHeight="1" x14ac:dyDescent="0.3">
      <c r="A310" s="36">
        <v>80101</v>
      </c>
      <c r="B310" s="17" t="s">
        <v>301</v>
      </c>
      <c r="C310" s="3">
        <v>21.189591078066915</v>
      </c>
      <c r="D310" s="10">
        <v>5.1394204483324222</v>
      </c>
      <c r="G310" s="35"/>
    </row>
    <row r="311" spans="1:7" ht="15.75" customHeight="1" x14ac:dyDescent="0.3">
      <c r="A311" s="36">
        <v>80102</v>
      </c>
      <c r="B311" s="17" t="s">
        <v>75</v>
      </c>
      <c r="C311" s="3">
        <v>35.087719298245609</v>
      </c>
      <c r="D311" s="10">
        <v>13.289036544850498</v>
      </c>
      <c r="G311" s="35"/>
    </row>
    <row r="312" spans="1:7" ht="15.75" customHeight="1" x14ac:dyDescent="0.3">
      <c r="A312" s="36">
        <v>80201</v>
      </c>
      <c r="B312" s="17" t="s">
        <v>296</v>
      </c>
      <c r="C312" s="3">
        <v>27.220142905750254</v>
      </c>
      <c r="D312" s="10">
        <v>8.7863811092806152</v>
      </c>
      <c r="G312" s="35"/>
    </row>
    <row r="313" spans="1:7" ht="15.75" customHeight="1" x14ac:dyDescent="0.3">
      <c r="A313" s="36">
        <v>80202</v>
      </c>
      <c r="B313" s="17" t="s">
        <v>287</v>
      </c>
      <c r="C313" s="3">
        <v>23.275145469659186</v>
      </c>
      <c r="D313" s="10">
        <v>6.7178502879078694</v>
      </c>
      <c r="G313" s="35"/>
    </row>
    <row r="314" spans="1:7" ht="15.75" customHeight="1" x14ac:dyDescent="0.3">
      <c r="A314" s="36">
        <v>80301</v>
      </c>
      <c r="B314" s="17" t="s">
        <v>216</v>
      </c>
      <c r="C314" s="3">
        <v>36.923076923076927</v>
      </c>
      <c r="D314" s="10">
        <v>15.447991761071062</v>
      </c>
      <c r="G314" s="35"/>
    </row>
    <row r="315" spans="1:7" ht="15.75" customHeight="1" x14ac:dyDescent="0.3">
      <c r="A315" s="36">
        <v>80302</v>
      </c>
      <c r="B315" s="17" t="s">
        <v>276</v>
      </c>
      <c r="C315" s="3">
        <v>58.666666666666664</v>
      </c>
      <c r="D315" s="10">
        <v>13.621177075301977</v>
      </c>
      <c r="G315" s="35"/>
    </row>
    <row r="316" spans="1:7" ht="15.75" customHeight="1" x14ac:dyDescent="0.3">
      <c r="A316" s="36">
        <v>80303</v>
      </c>
      <c r="B316" s="17" t="s">
        <v>35</v>
      </c>
      <c r="C316" s="3">
        <v>18.18181818181818</v>
      </c>
      <c r="D316" s="10">
        <v>8.5836909871244629</v>
      </c>
      <c r="G316" s="35"/>
    </row>
    <row r="317" spans="1:7" ht="15.75" customHeight="1" x14ac:dyDescent="0.3">
      <c r="A317" s="36">
        <v>80304</v>
      </c>
      <c r="B317" s="17" t="s">
        <v>246</v>
      </c>
      <c r="C317" s="3">
        <v>25.362318840579711</v>
      </c>
      <c r="D317" s="10">
        <v>10.925819436457735</v>
      </c>
      <c r="G317" s="35"/>
    </row>
    <row r="318" spans="1:7" ht="15.75" customHeight="1" x14ac:dyDescent="0.3">
      <c r="A318" s="36">
        <v>80401</v>
      </c>
      <c r="B318" s="17" t="s">
        <v>204</v>
      </c>
      <c r="C318" s="3">
        <v>26.915113871635612</v>
      </c>
      <c r="D318" s="10">
        <v>4.7201618341200273</v>
      </c>
      <c r="G318" s="35"/>
    </row>
    <row r="319" spans="1:7" ht="15.75" customHeight="1" x14ac:dyDescent="0.3">
      <c r="A319" s="36">
        <v>80402</v>
      </c>
      <c r="B319" s="17" t="s">
        <v>98</v>
      </c>
      <c r="C319" s="3">
        <v>5.4644808743169397</v>
      </c>
      <c r="D319" s="10">
        <v>3.669724770642202</v>
      </c>
      <c r="G319" s="35"/>
    </row>
    <row r="320" spans="1:7" ht="15.75" customHeight="1" x14ac:dyDescent="0.3">
      <c r="A320" s="36">
        <v>80501</v>
      </c>
      <c r="B320" s="17" t="s">
        <v>262</v>
      </c>
      <c r="C320" s="3">
        <v>21.739130434782609</v>
      </c>
      <c r="D320" s="10">
        <v>9.4537815126050422</v>
      </c>
      <c r="G320" s="35"/>
    </row>
    <row r="321" spans="1:7" ht="15.75" customHeight="1" x14ac:dyDescent="0.3">
      <c r="A321" s="36">
        <v>80601</v>
      </c>
      <c r="B321" s="17" t="s">
        <v>83</v>
      </c>
      <c r="C321" s="3">
        <v>23.4375</v>
      </c>
      <c r="D321" s="10">
        <v>13.586956521739131</v>
      </c>
      <c r="G321" s="35"/>
    </row>
    <row r="322" spans="1:7" ht="15.75" customHeight="1" x14ac:dyDescent="0.3">
      <c r="A322" s="36">
        <v>80602</v>
      </c>
      <c r="B322" s="17" t="s">
        <v>214</v>
      </c>
      <c r="C322" s="3">
        <v>16.853932584269664</v>
      </c>
      <c r="D322" s="10">
        <v>16.267123287671232</v>
      </c>
      <c r="G322" s="35"/>
    </row>
    <row r="323" spans="1:7" ht="15.75" customHeight="1" x14ac:dyDescent="0.3">
      <c r="A323" s="36">
        <v>80701</v>
      </c>
      <c r="B323" s="17" t="s">
        <v>64</v>
      </c>
      <c r="C323" s="3">
        <v>34.883720930232556</v>
      </c>
      <c r="D323" s="10">
        <v>8.4033613445378155</v>
      </c>
      <c r="G323" s="35"/>
    </row>
    <row r="324" spans="1:7" ht="15.75" customHeight="1" x14ac:dyDescent="0.3">
      <c r="A324" s="36">
        <v>80702</v>
      </c>
      <c r="B324" s="17" t="s">
        <v>44</v>
      </c>
      <c r="C324" s="3">
        <v>24.590163934426229</v>
      </c>
      <c r="D324" s="10">
        <v>9.9255583126550864</v>
      </c>
      <c r="G324" s="35"/>
    </row>
    <row r="325" spans="1:7" ht="15.75" customHeight="1" x14ac:dyDescent="0.3">
      <c r="A325" s="36">
        <v>80703</v>
      </c>
      <c r="B325" s="17" t="s">
        <v>2</v>
      </c>
      <c r="C325" s="3">
        <v>64.516129032258064</v>
      </c>
      <c r="D325" s="10">
        <v>0</v>
      </c>
      <c r="G325" s="35"/>
    </row>
    <row r="326" spans="1:7" ht="15.75" customHeight="1" x14ac:dyDescent="0.3">
      <c r="A326" s="36">
        <v>80801</v>
      </c>
      <c r="B326" s="17" t="s">
        <v>142</v>
      </c>
      <c r="C326" s="3">
        <v>3.3444816053511706</v>
      </c>
      <c r="D326" s="10">
        <v>7.4152542372881358</v>
      </c>
      <c r="G326" s="35"/>
    </row>
    <row r="327" spans="1:7" ht="15.75" customHeight="1" x14ac:dyDescent="0.3">
      <c r="A327" s="36">
        <v>80802</v>
      </c>
      <c r="B327" s="17" t="s">
        <v>118</v>
      </c>
      <c r="C327" s="3">
        <v>12.820512820512819</v>
      </c>
      <c r="D327" s="10">
        <v>14.553014553014554</v>
      </c>
      <c r="G327" s="35"/>
    </row>
    <row r="328" spans="1:7" ht="15.75" customHeight="1" x14ac:dyDescent="0.3">
      <c r="A328" s="36">
        <v>80803</v>
      </c>
      <c r="B328" s="17" t="s">
        <v>17</v>
      </c>
      <c r="C328" s="3">
        <v>17.094017094017097</v>
      </c>
      <c r="D328" s="10">
        <v>2.8818443804034581</v>
      </c>
      <c r="G328" s="35"/>
    </row>
    <row r="329" spans="1:7" ht="15.75" customHeight="1" x14ac:dyDescent="0.3">
      <c r="A329" s="36">
        <v>80901</v>
      </c>
      <c r="B329" s="34" t="s">
        <v>436</v>
      </c>
      <c r="C329" s="3">
        <v>23.957409050576754</v>
      </c>
      <c r="D329" s="10">
        <v>29.197080291970803</v>
      </c>
      <c r="G329" s="35"/>
    </row>
    <row r="330" spans="1:7" ht="15.75" customHeight="1" x14ac:dyDescent="0.3">
      <c r="A330" s="36">
        <v>90101</v>
      </c>
      <c r="B330" s="17" t="s">
        <v>281</v>
      </c>
      <c r="C330" s="3">
        <v>5.1736881005173689</v>
      </c>
      <c r="D330" s="10">
        <v>9.2421441774491697</v>
      </c>
      <c r="G330" s="35"/>
    </row>
    <row r="331" spans="1:7" ht="15.75" customHeight="1" x14ac:dyDescent="0.3">
      <c r="A331" s="36">
        <v>90102</v>
      </c>
      <c r="B331" s="17" t="s">
        <v>115</v>
      </c>
      <c r="C331" s="3">
        <v>0</v>
      </c>
      <c r="D331" s="10">
        <v>1.5151515151515151</v>
      </c>
      <c r="G331" s="35"/>
    </row>
    <row r="332" spans="1:7" ht="15.75" customHeight="1" x14ac:dyDescent="0.3">
      <c r="A332" s="36">
        <v>90103</v>
      </c>
      <c r="B332" s="17" t="s">
        <v>4</v>
      </c>
      <c r="C332" s="3">
        <v>0</v>
      </c>
      <c r="D332" s="10">
        <v>0</v>
      </c>
      <c r="G332" s="35"/>
    </row>
    <row r="333" spans="1:7" ht="15.75" customHeight="1" x14ac:dyDescent="0.3">
      <c r="A333" s="36">
        <v>90104</v>
      </c>
      <c r="B333" s="17" t="s">
        <v>81</v>
      </c>
      <c r="C333" s="3">
        <v>0</v>
      </c>
      <c r="D333" s="10">
        <v>3.7174721189591078</v>
      </c>
      <c r="G333" s="35"/>
    </row>
    <row r="334" spans="1:7" ht="15.75" customHeight="1" x14ac:dyDescent="0.3">
      <c r="A334" s="36">
        <v>90201</v>
      </c>
      <c r="B334" s="17" t="s">
        <v>131</v>
      </c>
      <c r="C334" s="3">
        <v>0</v>
      </c>
      <c r="D334" s="10">
        <v>6.4516129032258061</v>
      </c>
      <c r="G334" s="35"/>
    </row>
    <row r="335" spans="1:7" ht="15.75" customHeight="1" x14ac:dyDescent="0.3">
      <c r="A335" s="36">
        <v>90202</v>
      </c>
      <c r="B335" s="17" t="s">
        <v>9</v>
      </c>
      <c r="C335" s="3">
        <v>0</v>
      </c>
      <c r="D335" s="10">
        <v>0</v>
      </c>
      <c r="G335" s="35"/>
    </row>
    <row r="336" spans="1:7" ht="15.75" customHeight="1" x14ac:dyDescent="0.3">
      <c r="A336" s="36">
        <v>90203</v>
      </c>
      <c r="B336" s="17" t="s">
        <v>37</v>
      </c>
      <c r="C336" s="3">
        <v>0</v>
      </c>
      <c r="D336" s="10">
        <v>4.4642857142857144</v>
      </c>
      <c r="G336" s="35"/>
    </row>
    <row r="337" spans="1:7" ht="15.75" customHeight="1" x14ac:dyDescent="0.3">
      <c r="A337" s="36">
        <v>90301</v>
      </c>
      <c r="B337" s="17" t="s">
        <v>340</v>
      </c>
      <c r="C337" s="3">
        <v>4.5871559633027523</v>
      </c>
      <c r="D337" s="10">
        <v>5.5865921787709496</v>
      </c>
      <c r="G337" s="35"/>
    </row>
    <row r="338" spans="1:7" ht="15.75" customHeight="1" x14ac:dyDescent="0.3">
      <c r="A338" s="36">
        <v>90302</v>
      </c>
      <c r="B338" s="17" t="s">
        <v>59</v>
      </c>
      <c r="C338" s="3">
        <v>0</v>
      </c>
      <c r="D338" s="10">
        <v>2.3446658851113713</v>
      </c>
      <c r="G338" s="35"/>
    </row>
    <row r="339" spans="1:7" ht="15.75" customHeight="1" x14ac:dyDescent="0.3">
      <c r="A339" s="36">
        <v>90303</v>
      </c>
      <c r="B339" s="17" t="s">
        <v>341</v>
      </c>
      <c r="C339" s="3">
        <v>6.4102564102564097</v>
      </c>
      <c r="D339" s="10">
        <v>11.066398390342052</v>
      </c>
      <c r="G339" s="35"/>
    </row>
    <row r="340" spans="1:7" ht="15.75" customHeight="1" x14ac:dyDescent="0.3">
      <c r="A340" s="36">
        <v>90401</v>
      </c>
      <c r="B340" s="17" t="s">
        <v>441</v>
      </c>
      <c r="C340" s="3">
        <v>0</v>
      </c>
      <c r="D340" s="10">
        <v>4.2553191489361701</v>
      </c>
      <c r="G340" s="35"/>
    </row>
    <row r="341" spans="1:7" ht="15.75" customHeight="1" x14ac:dyDescent="0.3">
      <c r="A341" s="36">
        <v>90402</v>
      </c>
      <c r="B341" s="17" t="s">
        <v>14</v>
      </c>
      <c r="C341" s="3">
        <v>19.607843137254903</v>
      </c>
      <c r="D341" s="10">
        <v>9.0090090090090094</v>
      </c>
      <c r="G341" s="35"/>
    </row>
    <row r="342" spans="1:7" ht="15.75" customHeight="1" x14ac:dyDescent="0.3">
      <c r="A342" s="36">
        <v>90501</v>
      </c>
      <c r="B342" s="17" t="s">
        <v>26</v>
      </c>
      <c r="C342" s="3">
        <v>35.087719298245609</v>
      </c>
      <c r="D342" s="10">
        <v>7.7519379844961236</v>
      </c>
      <c r="G342" s="35"/>
    </row>
    <row r="343" spans="1:7" ht="15.75" customHeight="1" x14ac:dyDescent="0.3">
      <c r="A343" s="36">
        <v>90502</v>
      </c>
      <c r="B343" s="17" t="s">
        <v>443</v>
      </c>
      <c r="C343" s="3">
        <v>21.739130434782609</v>
      </c>
      <c r="D343" s="10">
        <v>17.391304347826086</v>
      </c>
      <c r="G343" s="35"/>
    </row>
    <row r="344" spans="1:7" ht="15.75" customHeight="1" x14ac:dyDescent="0.3">
      <c r="A344" s="36">
        <v>90503</v>
      </c>
      <c r="B344" s="17" t="s">
        <v>24</v>
      </c>
      <c r="C344" s="3">
        <v>0</v>
      </c>
      <c r="D344" s="10">
        <v>21.621621621621621</v>
      </c>
      <c r="G344" s="35"/>
    </row>
    <row r="345" spans="1:7" ht="15.75" customHeight="1" x14ac:dyDescent="0.3">
      <c r="B345" s="19"/>
      <c r="C345" s="8"/>
      <c r="D345" s="7"/>
    </row>
    <row r="346" spans="1:7" ht="15.75" customHeight="1" x14ac:dyDescent="0.3">
      <c r="B346" s="19"/>
      <c r="C346" s="8"/>
      <c r="D346" s="7"/>
    </row>
    <row r="347" spans="1:7" ht="15.75" customHeight="1" x14ac:dyDescent="0.3">
      <c r="B347" s="19"/>
      <c r="C347" s="8"/>
      <c r="D347" s="7"/>
    </row>
    <row r="348" spans="1:7" ht="15.75" customHeight="1" x14ac:dyDescent="0.3">
      <c r="B348" s="19"/>
      <c r="C348" s="8"/>
    </row>
    <row r="349" spans="1:7" ht="15.75" customHeight="1" x14ac:dyDescent="0.3">
      <c r="B349" s="19"/>
      <c r="C349" s="8"/>
    </row>
    <row r="350" spans="1:7" ht="15.75" customHeight="1" x14ac:dyDescent="0.3">
      <c r="B350" s="19"/>
      <c r="C350" s="8"/>
      <c r="D350" s="8"/>
    </row>
    <row r="351" spans="1:7" ht="15.75" customHeight="1" x14ac:dyDescent="0.3">
      <c r="B351" s="19"/>
      <c r="C351" s="8"/>
      <c r="D351" s="8"/>
    </row>
    <row r="352" spans="1:7" ht="15.75" customHeight="1" x14ac:dyDescent="0.3">
      <c r="B352" s="19"/>
      <c r="C352" s="8"/>
      <c r="D352" s="8"/>
    </row>
    <row r="353" spans="2:4" ht="15.75" customHeight="1" x14ac:dyDescent="0.3">
      <c r="B353" s="22"/>
      <c r="C353" s="8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00000000-0001-0000-0100-000000000000}">
    <sortState xmlns:xlrd2="http://schemas.microsoft.com/office/spreadsheetml/2017/richdata2" ref="A2:D344">
      <sortCondition ref="A1"/>
    </sortState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E9" sqref="E9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8.19921875" customWidth="1"/>
    <col min="4" max="4" width="17.8984375" customWidth="1"/>
    <col min="5" max="26" width="9.3984375" customWidth="1"/>
  </cols>
  <sheetData>
    <row r="1" spans="1:4" ht="51.75" customHeight="1" x14ac:dyDescent="0.3">
      <c r="A1" s="15" t="s">
        <v>306</v>
      </c>
      <c r="B1" s="16" t="s">
        <v>344</v>
      </c>
      <c r="C1" s="1" t="s">
        <v>456</v>
      </c>
      <c r="D1" s="1" t="s">
        <v>457</v>
      </c>
    </row>
    <row r="2" spans="1:4" ht="14.4" x14ac:dyDescent="0.3">
      <c r="A2" s="36">
        <v>10101</v>
      </c>
      <c r="B2" s="17" t="s">
        <v>11</v>
      </c>
      <c r="C2" s="23">
        <v>106</v>
      </c>
      <c r="D2" s="23">
        <v>132</v>
      </c>
    </row>
    <row r="3" spans="1:4" ht="14.4" x14ac:dyDescent="0.3">
      <c r="A3" s="36">
        <v>10102</v>
      </c>
      <c r="B3" s="17" t="s">
        <v>39</v>
      </c>
      <c r="C3" s="23">
        <v>4</v>
      </c>
      <c r="D3" s="23">
        <v>9</v>
      </c>
    </row>
    <row r="4" spans="1:4" ht="14.4" x14ac:dyDescent="0.3">
      <c r="A4" s="36">
        <v>10103</v>
      </c>
      <c r="B4" s="17" t="s">
        <v>18</v>
      </c>
      <c r="C4" s="23">
        <v>14</v>
      </c>
      <c r="D4" s="23">
        <v>17</v>
      </c>
    </row>
    <row r="5" spans="1:4" ht="14.4" x14ac:dyDescent="0.3">
      <c r="A5" s="36">
        <v>10201</v>
      </c>
      <c r="B5" s="17" t="s">
        <v>311</v>
      </c>
      <c r="C5" s="23">
        <v>6</v>
      </c>
      <c r="D5" s="23">
        <v>9</v>
      </c>
    </row>
    <row r="6" spans="1:4" ht="14.4" x14ac:dyDescent="0.3">
      <c r="A6" s="36">
        <v>10202</v>
      </c>
      <c r="B6" s="17" t="s">
        <v>65</v>
      </c>
      <c r="C6" s="23">
        <v>6</v>
      </c>
      <c r="D6" s="23">
        <v>12</v>
      </c>
    </row>
    <row r="7" spans="1:4" ht="14.4" x14ac:dyDescent="0.3">
      <c r="A7" s="36">
        <v>10301</v>
      </c>
      <c r="B7" s="17" t="s">
        <v>72</v>
      </c>
      <c r="C7" s="23">
        <v>8</v>
      </c>
      <c r="D7" s="23">
        <v>3</v>
      </c>
    </row>
    <row r="8" spans="1:4" ht="14.4" x14ac:dyDescent="0.3">
      <c r="A8" s="36">
        <v>10302</v>
      </c>
      <c r="B8" s="17" t="s">
        <v>80</v>
      </c>
      <c r="C8" s="23">
        <v>16</v>
      </c>
      <c r="D8" s="23">
        <v>8</v>
      </c>
    </row>
    <row r="9" spans="1:4" ht="14.4" x14ac:dyDescent="0.3">
      <c r="A9" s="36">
        <v>10303</v>
      </c>
      <c r="B9" s="17" t="s">
        <v>312</v>
      </c>
      <c r="C9" s="23">
        <v>7</v>
      </c>
      <c r="D9" s="23">
        <v>5</v>
      </c>
    </row>
    <row r="10" spans="1:4" ht="14.4" x14ac:dyDescent="0.3">
      <c r="A10" s="36">
        <v>10304</v>
      </c>
      <c r="B10" s="17" t="s">
        <v>99</v>
      </c>
      <c r="C10" s="23">
        <v>2</v>
      </c>
      <c r="D10" s="23">
        <v>5</v>
      </c>
    </row>
    <row r="11" spans="1:4" ht="14.4" x14ac:dyDescent="0.3">
      <c r="A11" s="36">
        <v>10401</v>
      </c>
      <c r="B11" s="17" t="s">
        <v>106</v>
      </c>
      <c r="C11" s="23">
        <v>7</v>
      </c>
      <c r="D11" s="23">
        <v>3</v>
      </c>
    </row>
    <row r="12" spans="1:4" ht="14.4" x14ac:dyDescent="0.3">
      <c r="A12" s="36">
        <v>10402</v>
      </c>
      <c r="B12" s="17" t="s">
        <v>117</v>
      </c>
      <c r="C12" s="23">
        <v>6</v>
      </c>
      <c r="D12" s="23">
        <v>3</v>
      </c>
    </row>
    <row r="13" spans="1:4" ht="14.4" x14ac:dyDescent="0.3">
      <c r="A13" s="36">
        <v>10403</v>
      </c>
      <c r="B13" s="17" t="s">
        <v>121</v>
      </c>
      <c r="C13" s="23">
        <v>2</v>
      </c>
      <c r="D13" s="23">
        <v>3</v>
      </c>
    </row>
    <row r="14" spans="1:4" ht="14.4" x14ac:dyDescent="0.3">
      <c r="A14" s="36">
        <v>10404</v>
      </c>
      <c r="B14" s="17" t="s">
        <v>84</v>
      </c>
      <c r="C14" s="23">
        <v>0</v>
      </c>
      <c r="D14" s="23">
        <v>1</v>
      </c>
    </row>
    <row r="15" spans="1:4" ht="14.4" x14ac:dyDescent="0.3">
      <c r="A15" s="36">
        <v>10405</v>
      </c>
      <c r="B15" s="17" t="s">
        <v>126</v>
      </c>
      <c r="C15" s="23">
        <v>2</v>
      </c>
      <c r="D15" s="23">
        <v>4</v>
      </c>
    </row>
    <row r="16" spans="1:4" ht="14.4" x14ac:dyDescent="0.3">
      <c r="A16" s="36">
        <v>10501</v>
      </c>
      <c r="B16" s="17" t="s">
        <v>129</v>
      </c>
      <c r="C16" s="23">
        <v>17</v>
      </c>
      <c r="D16" s="23">
        <v>10</v>
      </c>
    </row>
    <row r="17" spans="1:4" ht="14.4" x14ac:dyDescent="0.3">
      <c r="A17" s="36">
        <v>10502</v>
      </c>
      <c r="B17" s="17" t="s">
        <v>313</v>
      </c>
      <c r="C17" s="23">
        <v>2</v>
      </c>
      <c r="D17" s="23">
        <v>4</v>
      </c>
    </row>
    <row r="18" spans="1:4" ht="14.4" x14ac:dyDescent="0.3">
      <c r="A18" s="36">
        <v>10601</v>
      </c>
      <c r="B18" s="17" t="s">
        <v>136</v>
      </c>
      <c r="C18" s="23">
        <v>13</v>
      </c>
      <c r="D18" s="23">
        <v>13</v>
      </c>
    </row>
    <row r="19" spans="1:4" ht="14.4" x14ac:dyDescent="0.3">
      <c r="A19" s="36">
        <v>10602</v>
      </c>
      <c r="B19" s="17" t="s">
        <v>139</v>
      </c>
      <c r="C19" s="23">
        <v>2</v>
      </c>
      <c r="D19" s="23">
        <v>4</v>
      </c>
    </row>
    <row r="20" spans="1:4" ht="14.4" x14ac:dyDescent="0.3">
      <c r="A20" s="36">
        <v>10701</v>
      </c>
      <c r="B20" s="17" t="s">
        <v>143</v>
      </c>
      <c r="C20" s="23">
        <v>3</v>
      </c>
      <c r="D20" s="23">
        <v>11</v>
      </c>
    </row>
    <row r="21" spans="1:4" ht="15.75" customHeight="1" x14ac:dyDescent="0.3">
      <c r="A21" s="36">
        <v>10702</v>
      </c>
      <c r="B21" s="17" t="s">
        <v>147</v>
      </c>
      <c r="C21" s="23">
        <v>22</v>
      </c>
      <c r="D21" s="23">
        <v>31</v>
      </c>
    </row>
    <row r="22" spans="1:4" ht="15.75" customHeight="1" x14ac:dyDescent="0.3">
      <c r="A22" s="36">
        <v>10703</v>
      </c>
      <c r="B22" s="17" t="s">
        <v>87</v>
      </c>
      <c r="C22" s="23">
        <v>9</v>
      </c>
      <c r="D22" s="23">
        <v>16</v>
      </c>
    </row>
    <row r="23" spans="1:4" ht="15.75" customHeight="1" x14ac:dyDescent="0.3">
      <c r="A23" s="36">
        <v>10704</v>
      </c>
      <c r="B23" s="17" t="s">
        <v>150</v>
      </c>
      <c r="C23" s="23">
        <v>17</v>
      </c>
      <c r="D23" s="23">
        <v>9</v>
      </c>
    </row>
    <row r="24" spans="1:4" ht="15.75" customHeight="1" x14ac:dyDescent="0.3">
      <c r="A24" s="36">
        <v>10801</v>
      </c>
      <c r="B24" s="17" t="s">
        <v>154</v>
      </c>
      <c r="C24" s="23">
        <v>1</v>
      </c>
      <c r="D24" s="23">
        <v>5</v>
      </c>
    </row>
    <row r="25" spans="1:4" ht="15.75" customHeight="1" x14ac:dyDescent="0.3">
      <c r="A25" s="36">
        <v>10901</v>
      </c>
      <c r="B25" s="17" t="s">
        <v>71</v>
      </c>
      <c r="C25" s="23">
        <v>1</v>
      </c>
      <c r="D25" s="23">
        <v>2</v>
      </c>
    </row>
    <row r="26" spans="1:4" ht="15.75" customHeight="1" x14ac:dyDescent="0.3">
      <c r="A26" s="36">
        <v>10902</v>
      </c>
      <c r="B26" s="17" t="s">
        <v>157</v>
      </c>
      <c r="C26" s="23">
        <v>7</v>
      </c>
      <c r="D26" s="23">
        <v>17</v>
      </c>
    </row>
    <row r="27" spans="1:4" ht="15.75" customHeight="1" x14ac:dyDescent="0.3">
      <c r="A27" s="36">
        <v>10903</v>
      </c>
      <c r="B27" s="17" t="s">
        <v>89</v>
      </c>
      <c r="C27" s="23">
        <v>1</v>
      </c>
      <c r="D27" s="23">
        <v>1</v>
      </c>
    </row>
    <row r="28" spans="1:4" ht="15.75" customHeight="1" x14ac:dyDescent="0.3">
      <c r="A28" s="36">
        <v>11001</v>
      </c>
      <c r="B28" s="17" t="s">
        <v>352</v>
      </c>
      <c r="C28" s="23">
        <v>4</v>
      </c>
      <c r="D28" s="23">
        <v>4</v>
      </c>
    </row>
    <row r="29" spans="1:4" ht="15.75" customHeight="1" x14ac:dyDescent="0.3">
      <c r="A29" s="36">
        <v>11002</v>
      </c>
      <c r="B29" s="17" t="s">
        <v>33</v>
      </c>
      <c r="C29" s="23">
        <v>1</v>
      </c>
      <c r="D29" s="23">
        <v>3</v>
      </c>
    </row>
    <row r="30" spans="1:4" ht="15.75" customHeight="1" x14ac:dyDescent="0.3">
      <c r="A30" s="36">
        <v>11003</v>
      </c>
      <c r="B30" s="17" t="s">
        <v>146</v>
      </c>
      <c r="C30" s="23">
        <v>1</v>
      </c>
      <c r="D30" s="23">
        <v>8</v>
      </c>
    </row>
    <row r="31" spans="1:4" ht="15.75" customHeight="1" x14ac:dyDescent="0.3">
      <c r="A31" s="36">
        <v>20101</v>
      </c>
      <c r="B31" s="17" t="s">
        <v>314</v>
      </c>
      <c r="C31" s="23">
        <v>398</v>
      </c>
      <c r="D31" s="23">
        <v>380</v>
      </c>
    </row>
    <row r="32" spans="1:4" ht="15.75" customHeight="1" x14ac:dyDescent="0.3">
      <c r="A32" s="36">
        <v>20102</v>
      </c>
      <c r="B32" s="17" t="s">
        <v>168</v>
      </c>
      <c r="C32" s="23">
        <v>23</v>
      </c>
      <c r="D32" s="23">
        <v>28</v>
      </c>
    </row>
    <row r="33" spans="1:4" ht="15.75" customHeight="1" x14ac:dyDescent="0.3">
      <c r="A33" s="36">
        <v>20103</v>
      </c>
      <c r="B33" s="17" t="s">
        <v>170</v>
      </c>
      <c r="C33" s="23">
        <v>12</v>
      </c>
      <c r="D33" s="23">
        <v>14</v>
      </c>
    </row>
    <row r="34" spans="1:4" ht="15.75" customHeight="1" x14ac:dyDescent="0.3">
      <c r="A34" s="36">
        <v>20104</v>
      </c>
      <c r="B34" s="17" t="s">
        <v>174</v>
      </c>
      <c r="C34" s="23">
        <v>24</v>
      </c>
      <c r="D34" s="23">
        <v>40</v>
      </c>
    </row>
    <row r="35" spans="1:4" ht="15.75" customHeight="1" x14ac:dyDescent="0.3">
      <c r="A35" s="36">
        <v>20105</v>
      </c>
      <c r="B35" s="17" t="s">
        <v>178</v>
      </c>
      <c r="C35" s="23">
        <v>575</v>
      </c>
      <c r="D35" s="23">
        <v>794</v>
      </c>
    </row>
    <row r="36" spans="1:4" ht="15.75" customHeight="1" x14ac:dyDescent="0.3">
      <c r="A36" s="36">
        <v>20201</v>
      </c>
      <c r="B36" s="17" t="s">
        <v>181</v>
      </c>
      <c r="C36" s="23">
        <v>3</v>
      </c>
      <c r="D36" s="23">
        <v>43</v>
      </c>
    </row>
    <row r="37" spans="1:4" ht="15.75" customHeight="1" x14ac:dyDescent="0.3">
      <c r="A37" s="36">
        <v>20202</v>
      </c>
      <c r="B37" s="17" t="s">
        <v>183</v>
      </c>
      <c r="C37" s="23">
        <v>7</v>
      </c>
      <c r="D37" s="23">
        <v>11</v>
      </c>
    </row>
    <row r="38" spans="1:4" ht="15.75" customHeight="1" x14ac:dyDescent="0.3">
      <c r="A38" s="36">
        <v>20203</v>
      </c>
      <c r="B38" s="17" t="s">
        <v>159</v>
      </c>
      <c r="C38" s="23">
        <v>2</v>
      </c>
      <c r="D38" s="23">
        <v>7</v>
      </c>
    </row>
    <row r="39" spans="1:4" ht="15.75" customHeight="1" x14ac:dyDescent="0.3">
      <c r="A39" s="36">
        <v>20204</v>
      </c>
      <c r="B39" s="17" t="s">
        <v>187</v>
      </c>
      <c r="C39" s="23">
        <v>3</v>
      </c>
      <c r="D39" s="23">
        <v>8</v>
      </c>
    </row>
    <row r="40" spans="1:4" ht="15.75" customHeight="1" x14ac:dyDescent="0.3">
      <c r="A40" s="36">
        <v>20205</v>
      </c>
      <c r="B40" s="17" t="s">
        <v>189</v>
      </c>
      <c r="C40" s="23">
        <v>4</v>
      </c>
      <c r="D40" s="23">
        <v>6</v>
      </c>
    </row>
    <row r="41" spans="1:4" ht="15.75" customHeight="1" x14ac:dyDescent="0.3">
      <c r="A41" s="36">
        <v>20206</v>
      </c>
      <c r="B41" s="17" t="s">
        <v>103</v>
      </c>
      <c r="C41" s="23">
        <v>0</v>
      </c>
      <c r="D41" s="23">
        <v>3</v>
      </c>
    </row>
    <row r="42" spans="1:4" ht="15.75" customHeight="1" x14ac:dyDescent="0.3">
      <c r="A42" s="36">
        <v>20301</v>
      </c>
      <c r="B42" s="17" t="s">
        <v>196</v>
      </c>
      <c r="C42" s="23">
        <v>2</v>
      </c>
      <c r="D42" s="23">
        <v>17</v>
      </c>
    </row>
    <row r="43" spans="1:4" ht="15.75" customHeight="1" x14ac:dyDescent="0.3">
      <c r="A43" s="36">
        <v>20302</v>
      </c>
      <c r="B43" s="17" t="s">
        <v>82</v>
      </c>
      <c r="C43" s="23">
        <v>4</v>
      </c>
      <c r="D43" s="23">
        <v>12</v>
      </c>
    </row>
    <row r="44" spans="1:4" ht="15.75" customHeight="1" x14ac:dyDescent="0.3">
      <c r="A44" s="36">
        <v>20303</v>
      </c>
      <c r="B44" s="17" t="s">
        <v>30</v>
      </c>
      <c r="C44" s="23">
        <v>0</v>
      </c>
      <c r="D44" s="23">
        <v>11</v>
      </c>
    </row>
    <row r="45" spans="1:4" ht="15.75" customHeight="1" x14ac:dyDescent="0.3">
      <c r="A45" s="36">
        <v>20304</v>
      </c>
      <c r="B45" s="17" t="s">
        <v>148</v>
      </c>
      <c r="C45" s="23">
        <v>0</v>
      </c>
      <c r="D45" s="23">
        <v>4</v>
      </c>
    </row>
    <row r="46" spans="1:4" ht="15.75" customHeight="1" x14ac:dyDescent="0.3">
      <c r="A46" s="36">
        <v>20305</v>
      </c>
      <c r="B46" s="17" t="s">
        <v>93</v>
      </c>
      <c r="C46" s="23">
        <v>0</v>
      </c>
      <c r="D46" s="23">
        <v>6</v>
      </c>
    </row>
    <row r="47" spans="1:4" ht="15.75" customHeight="1" x14ac:dyDescent="0.3">
      <c r="A47" s="36">
        <v>20306</v>
      </c>
      <c r="B47" s="17" t="s">
        <v>97</v>
      </c>
      <c r="C47" s="23">
        <v>2</v>
      </c>
      <c r="D47" s="23">
        <v>7</v>
      </c>
    </row>
    <row r="48" spans="1:4" ht="15.75" customHeight="1" x14ac:dyDescent="0.3">
      <c r="A48" s="36">
        <v>20307</v>
      </c>
      <c r="B48" s="17" t="s">
        <v>12</v>
      </c>
      <c r="C48" s="23">
        <v>0</v>
      </c>
      <c r="D48" s="23">
        <v>1</v>
      </c>
    </row>
    <row r="49" spans="1:4" ht="15.75" customHeight="1" x14ac:dyDescent="0.3">
      <c r="A49" s="36">
        <v>20308</v>
      </c>
      <c r="B49" s="17" t="s">
        <v>315</v>
      </c>
      <c r="C49" s="23">
        <v>0</v>
      </c>
      <c r="D49" s="23">
        <v>3</v>
      </c>
    </row>
    <row r="50" spans="1:4" ht="15.75" customHeight="1" x14ac:dyDescent="0.3">
      <c r="A50" s="36">
        <v>20401</v>
      </c>
      <c r="B50" s="17" t="s">
        <v>124</v>
      </c>
      <c r="C50" s="23">
        <v>6</v>
      </c>
      <c r="D50" s="23">
        <v>10</v>
      </c>
    </row>
    <row r="51" spans="1:4" ht="15.75" customHeight="1" x14ac:dyDescent="0.3">
      <c r="A51" s="36">
        <v>20402</v>
      </c>
      <c r="B51" s="17" t="s">
        <v>112</v>
      </c>
      <c r="C51" s="23">
        <v>14</v>
      </c>
      <c r="D51" s="23">
        <v>11</v>
      </c>
    </row>
    <row r="52" spans="1:4" ht="15.75" customHeight="1" x14ac:dyDescent="0.3">
      <c r="A52" s="36">
        <v>20403</v>
      </c>
      <c r="B52" s="17" t="s">
        <v>316</v>
      </c>
      <c r="C52" s="23">
        <v>14</v>
      </c>
      <c r="D52" s="23">
        <v>17</v>
      </c>
    </row>
    <row r="53" spans="1:4" ht="15.75" customHeight="1" x14ac:dyDescent="0.3">
      <c r="A53" s="36">
        <v>20404</v>
      </c>
      <c r="B53" s="17" t="s">
        <v>116</v>
      </c>
      <c r="C53" s="23">
        <v>9</v>
      </c>
      <c r="D53" s="23">
        <v>2</v>
      </c>
    </row>
    <row r="54" spans="1:4" ht="15.75" customHeight="1" x14ac:dyDescent="0.3">
      <c r="A54" s="36">
        <v>20405</v>
      </c>
      <c r="B54" s="17" t="s">
        <v>222</v>
      </c>
      <c r="C54" s="23">
        <v>3</v>
      </c>
      <c r="D54" s="23">
        <v>6</v>
      </c>
    </row>
    <row r="55" spans="1:4" ht="15.75" customHeight="1" x14ac:dyDescent="0.3">
      <c r="A55" s="36">
        <v>20501</v>
      </c>
      <c r="B55" s="17" t="s">
        <v>226</v>
      </c>
      <c r="C55" s="23">
        <v>7</v>
      </c>
      <c r="D55" s="23">
        <v>8</v>
      </c>
    </row>
    <row r="56" spans="1:4" ht="15.75" customHeight="1" x14ac:dyDescent="0.3">
      <c r="A56" s="36">
        <v>20502</v>
      </c>
      <c r="B56" s="17" t="s">
        <v>101</v>
      </c>
      <c r="C56" s="23">
        <v>10</v>
      </c>
      <c r="D56" s="23">
        <v>3</v>
      </c>
    </row>
    <row r="57" spans="1:4" ht="15.75" customHeight="1" x14ac:dyDescent="0.3">
      <c r="A57" s="36">
        <v>20503</v>
      </c>
      <c r="B57" s="17" t="s">
        <v>182</v>
      </c>
      <c r="C57" s="23">
        <v>4</v>
      </c>
      <c r="D57" s="23">
        <v>4</v>
      </c>
    </row>
    <row r="58" spans="1:4" ht="15.75" customHeight="1" x14ac:dyDescent="0.3">
      <c r="A58" s="36">
        <v>20601</v>
      </c>
      <c r="B58" s="17" t="s">
        <v>233</v>
      </c>
      <c r="C58" s="23">
        <v>20</v>
      </c>
      <c r="D58" s="23">
        <v>23</v>
      </c>
    </row>
    <row r="59" spans="1:4" ht="15.75" customHeight="1" x14ac:dyDescent="0.3">
      <c r="A59" s="36">
        <v>20602</v>
      </c>
      <c r="B59" s="17" t="s">
        <v>236</v>
      </c>
      <c r="C59" s="23">
        <v>25</v>
      </c>
      <c r="D59" s="23">
        <v>23</v>
      </c>
    </row>
    <row r="60" spans="1:4" ht="15.75" customHeight="1" x14ac:dyDescent="0.3">
      <c r="A60" s="36">
        <v>20603</v>
      </c>
      <c r="B60" s="17" t="s">
        <v>203</v>
      </c>
      <c r="C60" s="23">
        <v>7</v>
      </c>
      <c r="D60" s="23">
        <v>1</v>
      </c>
    </row>
    <row r="61" spans="1:4" ht="15.75" customHeight="1" x14ac:dyDescent="0.3">
      <c r="A61" s="36">
        <v>20604</v>
      </c>
      <c r="B61" s="17" t="s">
        <v>54</v>
      </c>
      <c r="C61" s="23">
        <v>5</v>
      </c>
      <c r="D61" s="23">
        <v>8</v>
      </c>
    </row>
    <row r="62" spans="1:4" ht="15.75" customHeight="1" x14ac:dyDescent="0.3">
      <c r="A62" s="36">
        <v>20605</v>
      </c>
      <c r="B62" s="17" t="s">
        <v>62</v>
      </c>
      <c r="C62" s="23">
        <v>2</v>
      </c>
      <c r="D62" s="23">
        <v>2</v>
      </c>
    </row>
    <row r="63" spans="1:4" ht="15.75" customHeight="1" x14ac:dyDescent="0.3">
      <c r="A63" s="36">
        <v>20606</v>
      </c>
      <c r="B63" s="17" t="s">
        <v>140</v>
      </c>
      <c r="C63" s="23">
        <v>13</v>
      </c>
      <c r="D63" s="23">
        <v>12</v>
      </c>
    </row>
    <row r="64" spans="1:4" ht="15.75" customHeight="1" x14ac:dyDescent="0.3">
      <c r="A64" s="36">
        <v>20607</v>
      </c>
      <c r="B64" s="17" t="s">
        <v>167</v>
      </c>
      <c r="C64" s="23">
        <v>13</v>
      </c>
      <c r="D64" s="23">
        <v>26</v>
      </c>
    </row>
    <row r="65" spans="1:4" ht="15.75" customHeight="1" x14ac:dyDescent="0.3">
      <c r="A65" s="36">
        <v>20608</v>
      </c>
      <c r="B65" s="17" t="s">
        <v>200</v>
      </c>
      <c r="C65" s="23">
        <v>9</v>
      </c>
      <c r="D65" s="23">
        <v>15</v>
      </c>
    </row>
    <row r="66" spans="1:4" ht="15.75" customHeight="1" x14ac:dyDescent="0.3">
      <c r="A66" s="36">
        <v>20701</v>
      </c>
      <c r="B66" s="17" t="s">
        <v>241</v>
      </c>
      <c r="C66" s="23">
        <v>19</v>
      </c>
      <c r="D66" s="23">
        <v>31</v>
      </c>
    </row>
    <row r="67" spans="1:4" ht="15.75" customHeight="1" x14ac:dyDescent="0.3">
      <c r="A67" s="36">
        <v>20702</v>
      </c>
      <c r="B67" s="17" t="s">
        <v>41</v>
      </c>
      <c r="C67" s="23">
        <v>7</v>
      </c>
      <c r="D67" s="23">
        <v>7</v>
      </c>
    </row>
    <row r="68" spans="1:4" ht="15.75" customHeight="1" x14ac:dyDescent="0.3">
      <c r="A68" s="36">
        <v>20801</v>
      </c>
      <c r="B68" s="17" t="s">
        <v>244</v>
      </c>
      <c r="C68" s="23">
        <v>72</v>
      </c>
      <c r="D68" s="23">
        <v>108</v>
      </c>
    </row>
    <row r="69" spans="1:4" ht="15.75" customHeight="1" x14ac:dyDescent="0.3">
      <c r="A69" s="36">
        <v>20802</v>
      </c>
      <c r="B69" s="17" t="s">
        <v>186</v>
      </c>
      <c r="C69" s="23">
        <v>5</v>
      </c>
      <c r="D69" s="23">
        <v>11</v>
      </c>
    </row>
    <row r="70" spans="1:4" ht="15.75" customHeight="1" x14ac:dyDescent="0.3">
      <c r="A70" s="36">
        <v>20803</v>
      </c>
      <c r="B70" s="17" t="s">
        <v>217</v>
      </c>
      <c r="C70" s="23">
        <v>11</v>
      </c>
      <c r="D70" s="23">
        <v>8</v>
      </c>
    </row>
    <row r="71" spans="1:4" ht="15.75" customHeight="1" x14ac:dyDescent="0.3">
      <c r="A71" s="36">
        <v>20804</v>
      </c>
      <c r="B71" s="17" t="s">
        <v>113</v>
      </c>
      <c r="C71" s="23">
        <v>7</v>
      </c>
      <c r="D71" s="23">
        <v>8</v>
      </c>
    </row>
    <row r="72" spans="1:4" ht="15.75" customHeight="1" x14ac:dyDescent="0.3">
      <c r="A72" s="36">
        <v>20805</v>
      </c>
      <c r="B72" s="17" t="s">
        <v>90</v>
      </c>
      <c r="C72" s="23">
        <v>1</v>
      </c>
      <c r="D72" s="23">
        <v>5</v>
      </c>
    </row>
    <row r="73" spans="1:4" ht="15.75" customHeight="1" x14ac:dyDescent="0.3">
      <c r="A73" s="36">
        <v>20806</v>
      </c>
      <c r="B73" s="17" t="s">
        <v>210</v>
      </c>
      <c r="C73" s="23">
        <v>9</v>
      </c>
      <c r="D73" s="23">
        <v>5</v>
      </c>
    </row>
    <row r="74" spans="1:4" ht="15.75" customHeight="1" x14ac:dyDescent="0.3">
      <c r="A74" s="36">
        <v>20807</v>
      </c>
      <c r="B74" s="17" t="s">
        <v>123</v>
      </c>
      <c r="C74" s="23">
        <v>1</v>
      </c>
      <c r="D74" s="23">
        <v>2</v>
      </c>
    </row>
    <row r="75" spans="1:4" ht="15.75" customHeight="1" x14ac:dyDescent="0.3">
      <c r="A75" s="36">
        <v>20901</v>
      </c>
      <c r="B75" s="17" t="s">
        <v>253</v>
      </c>
      <c r="C75" s="23">
        <v>9</v>
      </c>
      <c r="D75" s="23">
        <v>3</v>
      </c>
    </row>
    <row r="76" spans="1:4" ht="15.75" customHeight="1" x14ac:dyDescent="0.3">
      <c r="A76" s="36">
        <v>20902</v>
      </c>
      <c r="B76" s="17" t="s">
        <v>172</v>
      </c>
      <c r="C76" s="23">
        <v>8</v>
      </c>
      <c r="D76" s="23">
        <v>20</v>
      </c>
    </row>
    <row r="77" spans="1:4" ht="15.75" customHeight="1" x14ac:dyDescent="0.3">
      <c r="A77" s="36">
        <v>20903</v>
      </c>
      <c r="B77" s="17" t="s">
        <v>198</v>
      </c>
      <c r="C77" s="23">
        <v>7</v>
      </c>
      <c r="D77" s="23">
        <v>9</v>
      </c>
    </row>
    <row r="78" spans="1:4" ht="15.75" customHeight="1" x14ac:dyDescent="0.3">
      <c r="A78" s="36">
        <v>20904</v>
      </c>
      <c r="B78" s="17" t="s">
        <v>107</v>
      </c>
      <c r="C78" s="23">
        <v>4</v>
      </c>
      <c r="D78" s="23">
        <v>1</v>
      </c>
    </row>
    <row r="79" spans="1:4" ht="15.75" customHeight="1" x14ac:dyDescent="0.3">
      <c r="A79" s="36">
        <v>20905</v>
      </c>
      <c r="B79" s="17" t="s">
        <v>191</v>
      </c>
      <c r="C79" s="23">
        <v>17</v>
      </c>
      <c r="D79" s="23">
        <v>11</v>
      </c>
    </row>
    <row r="80" spans="1:4" ht="15.75" customHeight="1" x14ac:dyDescent="0.3">
      <c r="A80" s="36">
        <v>21001</v>
      </c>
      <c r="B80" s="17" t="s">
        <v>138</v>
      </c>
      <c r="C80" s="23">
        <v>14</v>
      </c>
      <c r="D80" s="23">
        <v>12</v>
      </c>
    </row>
    <row r="81" spans="1:4" ht="15.75" customHeight="1" x14ac:dyDescent="0.3">
      <c r="A81" s="36">
        <v>21002</v>
      </c>
      <c r="B81" s="17" t="s">
        <v>231</v>
      </c>
      <c r="C81" s="23">
        <v>10</v>
      </c>
      <c r="D81" s="23">
        <v>15</v>
      </c>
    </row>
    <row r="82" spans="1:4" ht="15.75" customHeight="1" x14ac:dyDescent="0.3">
      <c r="A82" s="36">
        <v>21003</v>
      </c>
      <c r="B82" s="17" t="s">
        <v>149</v>
      </c>
      <c r="C82" s="23">
        <v>12</v>
      </c>
      <c r="D82" s="23">
        <v>15</v>
      </c>
    </row>
    <row r="83" spans="1:4" ht="15.75" customHeight="1" x14ac:dyDescent="0.3">
      <c r="A83" s="36">
        <v>21004</v>
      </c>
      <c r="B83" s="17" t="s">
        <v>268</v>
      </c>
      <c r="C83" s="23">
        <v>21</v>
      </c>
      <c r="D83" s="23">
        <v>29</v>
      </c>
    </row>
    <row r="84" spans="1:4" ht="15.75" customHeight="1" x14ac:dyDescent="0.3">
      <c r="A84" s="36">
        <v>21005</v>
      </c>
      <c r="B84" s="17" t="s">
        <v>132</v>
      </c>
      <c r="C84" s="23">
        <v>4</v>
      </c>
      <c r="D84" s="23">
        <v>5</v>
      </c>
    </row>
    <row r="85" spans="1:4" ht="15.75" customHeight="1" x14ac:dyDescent="0.3">
      <c r="A85" s="36">
        <v>21006</v>
      </c>
      <c r="B85" s="17" t="s">
        <v>67</v>
      </c>
      <c r="C85" s="23">
        <v>1</v>
      </c>
      <c r="D85" s="23">
        <v>4</v>
      </c>
    </row>
    <row r="86" spans="1:4" ht="15.75" customHeight="1" x14ac:dyDescent="0.3">
      <c r="A86" s="36">
        <v>21101</v>
      </c>
      <c r="B86" s="17" t="s">
        <v>245</v>
      </c>
      <c r="C86" s="23">
        <v>12</v>
      </c>
      <c r="D86" s="23">
        <v>29</v>
      </c>
    </row>
    <row r="87" spans="1:4" ht="15.75" customHeight="1" x14ac:dyDescent="0.3">
      <c r="A87" s="36">
        <v>21102</v>
      </c>
      <c r="B87" s="17" t="s">
        <v>273</v>
      </c>
      <c r="C87" s="23">
        <v>10</v>
      </c>
      <c r="D87" s="23">
        <v>23</v>
      </c>
    </row>
    <row r="88" spans="1:4" ht="15.75" customHeight="1" x14ac:dyDescent="0.3">
      <c r="A88" s="36">
        <v>21103</v>
      </c>
      <c r="B88" s="17" t="s">
        <v>94</v>
      </c>
      <c r="C88" s="23">
        <v>5</v>
      </c>
      <c r="D88" s="23">
        <v>3</v>
      </c>
    </row>
    <row r="89" spans="1:4" ht="15.75" customHeight="1" x14ac:dyDescent="0.3">
      <c r="A89" s="36">
        <v>21104</v>
      </c>
      <c r="B89" s="17" t="s">
        <v>258</v>
      </c>
      <c r="C89" s="23">
        <v>17</v>
      </c>
      <c r="D89" s="23">
        <v>30</v>
      </c>
    </row>
    <row r="90" spans="1:4" ht="15.75" customHeight="1" x14ac:dyDescent="0.3">
      <c r="A90" s="36">
        <v>21105</v>
      </c>
      <c r="B90" s="17" t="s">
        <v>70</v>
      </c>
      <c r="C90" s="23">
        <v>42</v>
      </c>
      <c r="D90" s="23">
        <v>59</v>
      </c>
    </row>
    <row r="91" spans="1:4" ht="15.75" customHeight="1" x14ac:dyDescent="0.3">
      <c r="A91" s="36">
        <v>21201</v>
      </c>
      <c r="B91" s="17" t="s">
        <v>255</v>
      </c>
      <c r="C91" s="23">
        <v>32</v>
      </c>
      <c r="D91" s="23">
        <v>44</v>
      </c>
    </row>
    <row r="92" spans="1:4" ht="15.75" customHeight="1" x14ac:dyDescent="0.3">
      <c r="A92" s="36">
        <v>21202</v>
      </c>
      <c r="B92" s="17" t="s">
        <v>267</v>
      </c>
      <c r="C92" s="23">
        <v>18</v>
      </c>
      <c r="D92" s="23">
        <v>28</v>
      </c>
    </row>
    <row r="93" spans="1:4" ht="15.75" customHeight="1" x14ac:dyDescent="0.3">
      <c r="A93" s="36">
        <v>21203</v>
      </c>
      <c r="B93" s="17" t="s">
        <v>277</v>
      </c>
      <c r="C93" s="23">
        <v>6</v>
      </c>
      <c r="D93" s="23">
        <v>20</v>
      </c>
    </row>
    <row r="94" spans="1:4" ht="15.75" customHeight="1" x14ac:dyDescent="0.3">
      <c r="A94" s="36">
        <v>21204</v>
      </c>
      <c r="B94" s="17" t="s">
        <v>199</v>
      </c>
      <c r="C94" s="23">
        <v>9</v>
      </c>
      <c r="D94" s="23">
        <v>3</v>
      </c>
    </row>
    <row r="95" spans="1:4" ht="15.75" customHeight="1" x14ac:dyDescent="0.3">
      <c r="A95" s="36">
        <v>21301</v>
      </c>
      <c r="B95" s="17" t="s">
        <v>261</v>
      </c>
      <c r="C95" s="23">
        <v>28</v>
      </c>
      <c r="D95" s="23">
        <v>31</v>
      </c>
    </row>
    <row r="96" spans="1:4" ht="15.75" customHeight="1" x14ac:dyDescent="0.3">
      <c r="A96" s="36">
        <v>21302</v>
      </c>
      <c r="B96" s="17" t="s">
        <v>232</v>
      </c>
      <c r="C96" s="23">
        <v>6</v>
      </c>
      <c r="D96" s="23">
        <v>6</v>
      </c>
    </row>
    <row r="97" spans="1:4" ht="15.75" customHeight="1" x14ac:dyDescent="0.3">
      <c r="A97" s="36">
        <v>21303</v>
      </c>
      <c r="B97" s="17" t="s">
        <v>218</v>
      </c>
      <c r="C97" s="23">
        <v>3</v>
      </c>
      <c r="D97" s="23">
        <v>21</v>
      </c>
    </row>
    <row r="98" spans="1:4" ht="15.75" customHeight="1" x14ac:dyDescent="0.3">
      <c r="A98" s="36">
        <v>21304</v>
      </c>
      <c r="B98" s="17" t="s">
        <v>249</v>
      </c>
      <c r="C98" s="23">
        <v>4</v>
      </c>
      <c r="D98" s="23">
        <v>7</v>
      </c>
    </row>
    <row r="99" spans="1:4" ht="15.75" customHeight="1" x14ac:dyDescent="0.3">
      <c r="A99" s="36">
        <v>21305</v>
      </c>
      <c r="B99" s="17" t="s">
        <v>280</v>
      </c>
      <c r="C99" s="23">
        <v>6</v>
      </c>
      <c r="D99" s="23">
        <v>31</v>
      </c>
    </row>
    <row r="100" spans="1:4" ht="15.75" customHeight="1" x14ac:dyDescent="0.3">
      <c r="A100" s="36">
        <v>21306</v>
      </c>
      <c r="B100" s="17" t="s">
        <v>229</v>
      </c>
      <c r="C100" s="23">
        <v>2</v>
      </c>
      <c r="D100" s="23">
        <v>18</v>
      </c>
    </row>
    <row r="101" spans="1:4" ht="15.75" customHeight="1" x14ac:dyDescent="0.3">
      <c r="A101" s="36">
        <v>21307</v>
      </c>
      <c r="B101" s="17" t="s">
        <v>100</v>
      </c>
      <c r="C101" s="23">
        <v>0</v>
      </c>
      <c r="D101" s="23">
        <v>5</v>
      </c>
    </row>
    <row r="102" spans="1:4" ht="15.75" customHeight="1" x14ac:dyDescent="0.3">
      <c r="A102" s="36">
        <v>21401</v>
      </c>
      <c r="B102" s="17" t="s">
        <v>284</v>
      </c>
      <c r="C102" s="23">
        <v>5</v>
      </c>
      <c r="D102" s="23">
        <v>21</v>
      </c>
    </row>
    <row r="103" spans="1:4" ht="15.75" customHeight="1" x14ac:dyDescent="0.3">
      <c r="A103" s="36">
        <v>21402</v>
      </c>
      <c r="B103" s="17" t="s">
        <v>220</v>
      </c>
      <c r="C103" s="23">
        <v>10</v>
      </c>
      <c r="D103" s="23">
        <v>17</v>
      </c>
    </row>
    <row r="104" spans="1:4" ht="15.75" customHeight="1" x14ac:dyDescent="0.3">
      <c r="A104" s="36">
        <v>21501</v>
      </c>
      <c r="B104" s="17" t="s">
        <v>194</v>
      </c>
      <c r="C104" s="23">
        <v>2</v>
      </c>
      <c r="D104" s="23">
        <v>16</v>
      </c>
    </row>
    <row r="105" spans="1:4" ht="15.75" customHeight="1" x14ac:dyDescent="0.3">
      <c r="A105" s="36">
        <v>21502</v>
      </c>
      <c r="B105" s="17" t="s">
        <v>133</v>
      </c>
      <c r="C105" s="23">
        <v>2</v>
      </c>
      <c r="D105" s="23">
        <v>18</v>
      </c>
    </row>
    <row r="106" spans="1:4" ht="15.75" customHeight="1" x14ac:dyDescent="0.3">
      <c r="A106" s="36">
        <v>21601</v>
      </c>
      <c r="B106" s="17" t="s">
        <v>317</v>
      </c>
      <c r="C106" s="23">
        <v>6</v>
      </c>
      <c r="D106" s="23">
        <v>10</v>
      </c>
    </row>
    <row r="107" spans="1:4" ht="15.75" customHeight="1" x14ac:dyDescent="0.3">
      <c r="A107" s="36">
        <v>21602</v>
      </c>
      <c r="B107" s="17" t="s">
        <v>108</v>
      </c>
      <c r="C107" s="23">
        <v>1</v>
      </c>
      <c r="D107" s="23">
        <v>4</v>
      </c>
    </row>
    <row r="108" spans="1:4" ht="15.75" customHeight="1" x14ac:dyDescent="0.3">
      <c r="A108" s="36">
        <v>21701</v>
      </c>
      <c r="B108" s="17" t="s">
        <v>251</v>
      </c>
      <c r="C108" s="23">
        <v>5</v>
      </c>
      <c r="D108" s="23">
        <v>9</v>
      </c>
    </row>
    <row r="109" spans="1:4" ht="15.75" customHeight="1" x14ac:dyDescent="0.3">
      <c r="A109" s="36">
        <v>21702</v>
      </c>
      <c r="B109" s="17" t="s">
        <v>184</v>
      </c>
      <c r="C109" s="23">
        <v>0</v>
      </c>
      <c r="D109" s="23">
        <v>10</v>
      </c>
    </row>
    <row r="110" spans="1:4" ht="15.75" customHeight="1" x14ac:dyDescent="0.3">
      <c r="A110" s="36">
        <v>21703</v>
      </c>
      <c r="B110" s="17" t="s">
        <v>135</v>
      </c>
      <c r="C110" s="23">
        <v>0</v>
      </c>
      <c r="D110" s="23">
        <v>0</v>
      </c>
    </row>
    <row r="111" spans="1:4" ht="15.75" customHeight="1" x14ac:dyDescent="0.3">
      <c r="A111" s="36">
        <v>21801</v>
      </c>
      <c r="B111" s="17" t="s">
        <v>318</v>
      </c>
      <c r="C111" s="23">
        <v>1</v>
      </c>
      <c r="D111" s="23">
        <v>7</v>
      </c>
    </row>
    <row r="112" spans="1:4" ht="15.75" customHeight="1" x14ac:dyDescent="0.3">
      <c r="A112" s="36">
        <v>21802</v>
      </c>
      <c r="B112" s="17" t="s">
        <v>197</v>
      </c>
      <c r="C112" s="23">
        <v>1</v>
      </c>
      <c r="D112" s="23">
        <v>6</v>
      </c>
    </row>
    <row r="113" spans="1:4" ht="15.75" customHeight="1" x14ac:dyDescent="0.3">
      <c r="A113" s="36">
        <v>21803</v>
      </c>
      <c r="B113" s="17" t="s">
        <v>49</v>
      </c>
      <c r="C113" s="23">
        <v>0</v>
      </c>
      <c r="D113" s="23">
        <v>0</v>
      </c>
    </row>
    <row r="114" spans="1:4" ht="15.75" customHeight="1" x14ac:dyDescent="0.3">
      <c r="A114" s="36">
        <v>21901</v>
      </c>
      <c r="B114" s="17" t="s">
        <v>50</v>
      </c>
      <c r="C114" s="23">
        <v>0</v>
      </c>
      <c r="D114" s="23">
        <v>11</v>
      </c>
    </row>
    <row r="115" spans="1:4" ht="15.75" customHeight="1" x14ac:dyDescent="0.3">
      <c r="A115" s="36">
        <v>21902</v>
      </c>
      <c r="B115" s="17" t="s">
        <v>28</v>
      </c>
      <c r="C115" s="23">
        <v>0</v>
      </c>
      <c r="D115" s="23">
        <v>1</v>
      </c>
    </row>
    <row r="116" spans="1:4" ht="15.75" customHeight="1" x14ac:dyDescent="0.3">
      <c r="A116" s="36">
        <v>22001</v>
      </c>
      <c r="B116" s="17" t="s">
        <v>260</v>
      </c>
      <c r="C116" s="23">
        <v>20</v>
      </c>
      <c r="D116" s="23">
        <v>43</v>
      </c>
    </row>
    <row r="117" spans="1:4" ht="15.75" customHeight="1" x14ac:dyDescent="0.3">
      <c r="A117" s="36">
        <v>22002</v>
      </c>
      <c r="B117" s="17" t="s">
        <v>185</v>
      </c>
      <c r="C117" s="23">
        <v>13</v>
      </c>
      <c r="D117" s="23">
        <v>13</v>
      </c>
    </row>
    <row r="118" spans="1:4" ht="15.75" customHeight="1" x14ac:dyDescent="0.3">
      <c r="A118" s="36">
        <v>30101</v>
      </c>
      <c r="B118" s="17" t="s">
        <v>51</v>
      </c>
      <c r="C118" s="23">
        <v>288</v>
      </c>
      <c r="D118" s="23">
        <v>307</v>
      </c>
    </row>
    <row r="119" spans="1:4" ht="15.75" customHeight="1" x14ac:dyDescent="0.3">
      <c r="A119" s="36">
        <v>30201</v>
      </c>
      <c r="B119" s="17" t="s">
        <v>252</v>
      </c>
      <c r="C119" s="23">
        <v>14</v>
      </c>
      <c r="D119" s="23">
        <v>8</v>
      </c>
    </row>
    <row r="120" spans="1:4" ht="15.75" customHeight="1" x14ac:dyDescent="0.3">
      <c r="A120" s="36">
        <v>30202</v>
      </c>
      <c r="B120" s="17" t="s">
        <v>145</v>
      </c>
      <c r="C120" s="23">
        <v>0</v>
      </c>
      <c r="D120" s="23">
        <v>1</v>
      </c>
    </row>
    <row r="121" spans="1:4" ht="15.75" customHeight="1" x14ac:dyDescent="0.3">
      <c r="A121" s="36">
        <v>30203</v>
      </c>
      <c r="B121" s="17" t="s">
        <v>56</v>
      </c>
      <c r="C121" s="23">
        <v>3</v>
      </c>
      <c r="D121" s="23">
        <v>1</v>
      </c>
    </row>
    <row r="122" spans="1:4" ht="15.75" customHeight="1" x14ac:dyDescent="0.3">
      <c r="A122" s="36">
        <v>30301</v>
      </c>
      <c r="B122" s="17" t="s">
        <v>211</v>
      </c>
      <c r="C122" s="23">
        <v>41</v>
      </c>
      <c r="D122" s="23">
        <v>28</v>
      </c>
    </row>
    <row r="123" spans="1:4" ht="15.75" customHeight="1" x14ac:dyDescent="0.3">
      <c r="A123" s="36">
        <v>30302</v>
      </c>
      <c r="B123" s="17" t="s">
        <v>177</v>
      </c>
      <c r="C123" s="23">
        <v>18</v>
      </c>
      <c r="D123" s="23">
        <v>13</v>
      </c>
    </row>
    <row r="124" spans="1:4" ht="15.75" customHeight="1" x14ac:dyDescent="0.3">
      <c r="A124" s="36">
        <v>30303</v>
      </c>
      <c r="B124" s="17" t="s">
        <v>66</v>
      </c>
      <c r="C124" s="23">
        <v>29</v>
      </c>
      <c r="D124" s="23">
        <v>42</v>
      </c>
    </row>
    <row r="125" spans="1:4" ht="15.75" customHeight="1" x14ac:dyDescent="0.3">
      <c r="A125" s="36">
        <v>30401</v>
      </c>
      <c r="B125" s="17" t="s">
        <v>171</v>
      </c>
      <c r="C125" s="23">
        <v>8</v>
      </c>
      <c r="D125" s="23">
        <v>11</v>
      </c>
    </row>
    <row r="126" spans="1:4" ht="15.75" customHeight="1" x14ac:dyDescent="0.3">
      <c r="A126" s="36">
        <v>30402</v>
      </c>
      <c r="B126" s="17" t="s">
        <v>153</v>
      </c>
      <c r="C126" s="23">
        <v>3</v>
      </c>
      <c r="D126" s="23">
        <v>8</v>
      </c>
    </row>
    <row r="127" spans="1:4" ht="15.75" customHeight="1" x14ac:dyDescent="0.3">
      <c r="A127" s="36">
        <v>30403</v>
      </c>
      <c r="B127" s="17" t="s">
        <v>259</v>
      </c>
      <c r="C127" s="23">
        <v>26</v>
      </c>
      <c r="D127" s="23">
        <v>22</v>
      </c>
    </row>
    <row r="128" spans="1:4" ht="15.75" customHeight="1" x14ac:dyDescent="0.3">
      <c r="A128" s="36">
        <v>30404</v>
      </c>
      <c r="B128" s="17" t="s">
        <v>155</v>
      </c>
      <c r="C128" s="23">
        <v>0</v>
      </c>
      <c r="D128" s="23">
        <v>7</v>
      </c>
    </row>
    <row r="129" spans="1:4" ht="15.75" customHeight="1" x14ac:dyDescent="0.3">
      <c r="A129" s="36">
        <v>30501</v>
      </c>
      <c r="B129" s="17" t="s">
        <v>179</v>
      </c>
      <c r="C129" s="23">
        <v>12</v>
      </c>
      <c r="D129" s="23">
        <v>11</v>
      </c>
    </row>
    <row r="130" spans="1:4" ht="15.75" customHeight="1" x14ac:dyDescent="0.3">
      <c r="A130" s="36">
        <v>30502</v>
      </c>
      <c r="B130" s="17" t="s">
        <v>238</v>
      </c>
      <c r="C130" s="23">
        <v>4</v>
      </c>
      <c r="D130" s="23">
        <v>9</v>
      </c>
    </row>
    <row r="131" spans="1:4" ht="15.75" customHeight="1" x14ac:dyDescent="0.3">
      <c r="A131" s="36">
        <v>30601</v>
      </c>
      <c r="B131" s="17" t="s">
        <v>128</v>
      </c>
      <c r="C131" s="23">
        <v>18</v>
      </c>
      <c r="D131" s="23">
        <v>19</v>
      </c>
    </row>
    <row r="132" spans="1:4" ht="15.75" customHeight="1" x14ac:dyDescent="0.3">
      <c r="A132" s="36">
        <v>30602</v>
      </c>
      <c r="B132" s="17" t="s">
        <v>48</v>
      </c>
      <c r="C132" s="23">
        <v>10</v>
      </c>
      <c r="D132" s="23">
        <v>13</v>
      </c>
    </row>
    <row r="133" spans="1:4" ht="15.75" customHeight="1" x14ac:dyDescent="0.3">
      <c r="A133" s="36">
        <v>30701</v>
      </c>
      <c r="B133" s="17" t="s">
        <v>269</v>
      </c>
      <c r="C133" s="23">
        <v>6</v>
      </c>
      <c r="D133" s="23">
        <v>19</v>
      </c>
    </row>
    <row r="134" spans="1:4" ht="15.75" customHeight="1" x14ac:dyDescent="0.3">
      <c r="A134" s="36">
        <v>30702</v>
      </c>
      <c r="B134" s="17" t="s">
        <v>176</v>
      </c>
      <c r="C134" s="23">
        <v>3</v>
      </c>
      <c r="D134" s="23">
        <v>5</v>
      </c>
    </row>
    <row r="135" spans="1:4" ht="15.75" customHeight="1" x14ac:dyDescent="0.3">
      <c r="A135" s="36">
        <v>30703</v>
      </c>
      <c r="B135" s="17" t="s">
        <v>96</v>
      </c>
      <c r="C135" s="23">
        <v>8</v>
      </c>
      <c r="D135" s="23">
        <v>3</v>
      </c>
    </row>
    <row r="136" spans="1:4" ht="15.75" customHeight="1" x14ac:dyDescent="0.3">
      <c r="A136" s="36">
        <v>30801</v>
      </c>
      <c r="B136" s="17" t="s">
        <v>202</v>
      </c>
      <c r="C136" s="23">
        <v>8</v>
      </c>
      <c r="D136" s="23">
        <v>7</v>
      </c>
    </row>
    <row r="137" spans="1:4" ht="15.75" customHeight="1" x14ac:dyDescent="0.3">
      <c r="A137" s="36">
        <v>30802</v>
      </c>
      <c r="B137" s="17" t="s">
        <v>319</v>
      </c>
      <c r="C137" s="23">
        <v>3</v>
      </c>
      <c r="D137" s="23">
        <v>7</v>
      </c>
    </row>
    <row r="138" spans="1:4" ht="15.75" customHeight="1" x14ac:dyDescent="0.3">
      <c r="A138" s="36">
        <v>30803</v>
      </c>
      <c r="B138" s="17" t="s">
        <v>19</v>
      </c>
      <c r="C138" s="23">
        <v>4</v>
      </c>
      <c r="D138" s="23">
        <v>10</v>
      </c>
    </row>
    <row r="139" spans="1:4" ht="15.75" customHeight="1" x14ac:dyDescent="0.3">
      <c r="A139" s="36">
        <v>30901</v>
      </c>
      <c r="B139" s="17" t="s">
        <v>299</v>
      </c>
      <c r="C139" s="23">
        <v>26</v>
      </c>
      <c r="D139" s="23">
        <v>75</v>
      </c>
    </row>
    <row r="140" spans="1:4" ht="15.75" customHeight="1" x14ac:dyDescent="0.3">
      <c r="A140" s="36">
        <v>30902</v>
      </c>
      <c r="B140" s="17" t="s">
        <v>292</v>
      </c>
      <c r="C140" s="23">
        <v>17</v>
      </c>
      <c r="D140" s="23">
        <v>47</v>
      </c>
    </row>
    <row r="141" spans="1:4" ht="15.75" customHeight="1" x14ac:dyDescent="0.3">
      <c r="A141" s="36">
        <v>30903</v>
      </c>
      <c r="B141" s="17" t="s">
        <v>283</v>
      </c>
      <c r="C141" s="23">
        <v>10</v>
      </c>
      <c r="D141" s="23">
        <v>31</v>
      </c>
    </row>
    <row r="142" spans="1:4" ht="15.75" customHeight="1" x14ac:dyDescent="0.3">
      <c r="A142" s="36">
        <v>30904</v>
      </c>
      <c r="B142" s="17" t="s">
        <v>288</v>
      </c>
      <c r="C142" s="23">
        <v>16</v>
      </c>
      <c r="D142" s="23">
        <v>28</v>
      </c>
    </row>
    <row r="143" spans="1:4" ht="15.75" customHeight="1" x14ac:dyDescent="0.3">
      <c r="A143" s="36">
        <v>30905</v>
      </c>
      <c r="B143" s="17" t="s">
        <v>213</v>
      </c>
      <c r="C143" s="23">
        <v>9</v>
      </c>
      <c r="D143" s="23">
        <v>25</v>
      </c>
    </row>
    <row r="144" spans="1:4" ht="15.75" customHeight="1" x14ac:dyDescent="0.3">
      <c r="A144" s="36">
        <v>31001</v>
      </c>
      <c r="B144" s="17" t="s">
        <v>303</v>
      </c>
      <c r="C144" s="23">
        <v>82</v>
      </c>
      <c r="D144" s="23">
        <v>115</v>
      </c>
    </row>
    <row r="145" spans="1:4" ht="15.75" customHeight="1" x14ac:dyDescent="0.3">
      <c r="A145" s="36">
        <v>31002</v>
      </c>
      <c r="B145" s="17" t="s">
        <v>275</v>
      </c>
      <c r="C145" s="23">
        <v>16</v>
      </c>
      <c r="D145" s="23">
        <v>24</v>
      </c>
    </row>
    <row r="146" spans="1:4" ht="15.75" customHeight="1" x14ac:dyDescent="0.3">
      <c r="A146" s="36">
        <v>31003</v>
      </c>
      <c r="B146" s="17" t="s">
        <v>195</v>
      </c>
      <c r="C146" s="23">
        <v>62</v>
      </c>
      <c r="D146" s="23">
        <v>125</v>
      </c>
    </row>
    <row r="147" spans="1:4" ht="15.75" customHeight="1" x14ac:dyDescent="0.3">
      <c r="A147" s="36">
        <v>31101</v>
      </c>
      <c r="B147" s="17" t="s">
        <v>63</v>
      </c>
      <c r="C147" s="23">
        <v>27</v>
      </c>
      <c r="D147" s="23">
        <v>46</v>
      </c>
    </row>
    <row r="148" spans="1:4" ht="15.75" customHeight="1" x14ac:dyDescent="0.3">
      <c r="A148" s="36">
        <v>31201</v>
      </c>
      <c r="B148" s="17" t="s">
        <v>180</v>
      </c>
      <c r="C148" s="23">
        <v>14</v>
      </c>
      <c r="D148" s="23">
        <v>15</v>
      </c>
    </row>
    <row r="149" spans="1:4" ht="15.75" customHeight="1" x14ac:dyDescent="0.3">
      <c r="A149" s="36">
        <v>31202</v>
      </c>
      <c r="B149" s="17" t="s">
        <v>205</v>
      </c>
      <c r="C149" s="23">
        <v>9</v>
      </c>
      <c r="D149" s="23">
        <v>8</v>
      </c>
    </row>
    <row r="150" spans="1:4" ht="15.75" customHeight="1" x14ac:dyDescent="0.3">
      <c r="A150" s="36">
        <v>31203</v>
      </c>
      <c r="B150" s="17" t="s">
        <v>242</v>
      </c>
      <c r="C150" s="23">
        <v>5</v>
      </c>
      <c r="D150" s="23">
        <v>11</v>
      </c>
    </row>
    <row r="151" spans="1:4" ht="15.75" customHeight="1" x14ac:dyDescent="0.3">
      <c r="A151" s="36">
        <v>31204</v>
      </c>
      <c r="B151" s="17" t="s">
        <v>237</v>
      </c>
      <c r="C151" s="23">
        <v>19</v>
      </c>
      <c r="D151" s="23">
        <v>34</v>
      </c>
    </row>
    <row r="152" spans="1:4" ht="15.75" customHeight="1" x14ac:dyDescent="0.3">
      <c r="A152" s="36">
        <v>31205</v>
      </c>
      <c r="B152" s="17" t="s">
        <v>270</v>
      </c>
      <c r="C152" s="23">
        <v>25</v>
      </c>
      <c r="D152" s="23">
        <v>59</v>
      </c>
    </row>
    <row r="153" spans="1:4" ht="15.75" customHeight="1" x14ac:dyDescent="0.3">
      <c r="A153" s="36">
        <v>31206</v>
      </c>
      <c r="B153" s="17" t="s">
        <v>223</v>
      </c>
      <c r="C153" s="23">
        <v>12</v>
      </c>
      <c r="D153" s="23">
        <v>42</v>
      </c>
    </row>
    <row r="154" spans="1:4" ht="15.75" customHeight="1" x14ac:dyDescent="0.3">
      <c r="A154" s="36">
        <v>31301</v>
      </c>
      <c r="B154" s="17" t="s">
        <v>224</v>
      </c>
      <c r="C154" s="23">
        <v>12</v>
      </c>
      <c r="D154" s="23">
        <v>18</v>
      </c>
    </row>
    <row r="155" spans="1:4" ht="15.75" customHeight="1" x14ac:dyDescent="0.3">
      <c r="A155" s="36">
        <v>31302</v>
      </c>
      <c r="B155" s="17" t="s">
        <v>38</v>
      </c>
      <c r="C155" s="23">
        <v>2</v>
      </c>
      <c r="D155" s="23">
        <v>8</v>
      </c>
    </row>
    <row r="156" spans="1:4" ht="15.75" customHeight="1" x14ac:dyDescent="0.3">
      <c r="A156" s="36">
        <v>31303</v>
      </c>
      <c r="B156" s="17" t="s">
        <v>21</v>
      </c>
      <c r="C156" s="23">
        <v>1</v>
      </c>
      <c r="D156" s="23">
        <v>1</v>
      </c>
    </row>
    <row r="157" spans="1:4" ht="15.75" customHeight="1" x14ac:dyDescent="0.3">
      <c r="A157" s="37">
        <v>31304</v>
      </c>
      <c r="B157" s="17" t="s">
        <v>320</v>
      </c>
      <c r="C157" s="23">
        <v>12</v>
      </c>
      <c r="D157" s="23">
        <v>18</v>
      </c>
    </row>
    <row r="158" spans="1:4" ht="15.75" customHeight="1" x14ac:dyDescent="0.3">
      <c r="A158" s="36">
        <v>31401</v>
      </c>
      <c r="B158" s="17" t="s">
        <v>240</v>
      </c>
      <c r="C158" s="23">
        <v>8</v>
      </c>
      <c r="D158" s="23">
        <v>23</v>
      </c>
    </row>
    <row r="159" spans="1:4" ht="15.75" customHeight="1" x14ac:dyDescent="0.3">
      <c r="A159" s="36">
        <v>31402</v>
      </c>
      <c r="B159" s="17" t="s">
        <v>163</v>
      </c>
      <c r="C159" s="23">
        <v>0</v>
      </c>
      <c r="D159" s="23">
        <v>5</v>
      </c>
    </row>
    <row r="160" spans="1:4" ht="15.75" customHeight="1" x14ac:dyDescent="0.3">
      <c r="A160" s="36">
        <v>31403</v>
      </c>
      <c r="B160" s="17" t="s">
        <v>156</v>
      </c>
      <c r="C160" s="23">
        <v>6</v>
      </c>
      <c r="D160" s="23">
        <v>10</v>
      </c>
    </row>
    <row r="161" spans="1:4" ht="15.75" customHeight="1" x14ac:dyDescent="0.3">
      <c r="A161" s="36">
        <v>31404</v>
      </c>
      <c r="B161" s="17" t="s">
        <v>7</v>
      </c>
      <c r="C161" s="23">
        <v>1</v>
      </c>
      <c r="D161" s="23">
        <v>2</v>
      </c>
    </row>
    <row r="162" spans="1:4" ht="15.75" customHeight="1" x14ac:dyDescent="0.3">
      <c r="A162" s="36">
        <v>31405</v>
      </c>
      <c r="B162" s="17" t="s">
        <v>321</v>
      </c>
      <c r="C162" s="23">
        <v>0</v>
      </c>
      <c r="D162" s="23">
        <v>0</v>
      </c>
    </row>
    <row r="163" spans="1:4" ht="15.75" customHeight="1" x14ac:dyDescent="0.3">
      <c r="A163" s="36">
        <v>31501</v>
      </c>
      <c r="B163" s="17" t="s">
        <v>322</v>
      </c>
      <c r="C163" s="23">
        <v>8</v>
      </c>
      <c r="D163" s="23">
        <v>24</v>
      </c>
    </row>
    <row r="164" spans="1:4" ht="15.75" customHeight="1" x14ac:dyDescent="0.3">
      <c r="A164" s="36">
        <v>31601</v>
      </c>
      <c r="B164" s="17" t="s">
        <v>282</v>
      </c>
      <c r="C164" s="23">
        <v>14</v>
      </c>
      <c r="D164" s="23">
        <v>14</v>
      </c>
    </row>
    <row r="165" spans="1:4" ht="15.75" customHeight="1" x14ac:dyDescent="0.3">
      <c r="A165" s="36">
        <v>31602</v>
      </c>
      <c r="B165" s="17" t="s">
        <v>243</v>
      </c>
      <c r="C165" s="23">
        <v>5</v>
      </c>
      <c r="D165" s="23">
        <v>27</v>
      </c>
    </row>
    <row r="166" spans="1:4" ht="15.75" customHeight="1" x14ac:dyDescent="0.3">
      <c r="A166" s="36">
        <v>40101</v>
      </c>
      <c r="B166" s="17" t="s">
        <v>57</v>
      </c>
      <c r="C166" s="23">
        <v>30</v>
      </c>
      <c r="D166" s="23">
        <v>258</v>
      </c>
    </row>
    <row r="167" spans="1:4" ht="15.75" customHeight="1" x14ac:dyDescent="0.3">
      <c r="A167" s="36">
        <v>40102</v>
      </c>
      <c r="B167" s="17" t="s">
        <v>286</v>
      </c>
      <c r="C167" s="23">
        <v>25</v>
      </c>
      <c r="D167" s="23">
        <v>29</v>
      </c>
    </row>
    <row r="168" spans="1:4" ht="15.75" customHeight="1" x14ac:dyDescent="0.3">
      <c r="A168" s="36">
        <v>40103</v>
      </c>
      <c r="B168" s="17" t="s">
        <v>32</v>
      </c>
      <c r="C168" s="23">
        <v>4</v>
      </c>
      <c r="D168" s="23">
        <v>3</v>
      </c>
    </row>
    <row r="169" spans="1:4" ht="15.75" customHeight="1" x14ac:dyDescent="0.3">
      <c r="A169" s="36">
        <v>40104</v>
      </c>
      <c r="B169" s="17" t="s">
        <v>227</v>
      </c>
      <c r="C169" s="23">
        <v>16</v>
      </c>
      <c r="D169" s="23">
        <v>12</v>
      </c>
    </row>
    <row r="170" spans="1:4" ht="15.75" customHeight="1" x14ac:dyDescent="0.3">
      <c r="A170" s="36">
        <v>40201</v>
      </c>
      <c r="B170" s="17" t="s">
        <v>247</v>
      </c>
      <c r="C170" s="23">
        <v>42</v>
      </c>
      <c r="D170" s="23">
        <v>32</v>
      </c>
    </row>
    <row r="171" spans="1:4" ht="15.75" customHeight="1" x14ac:dyDescent="0.3">
      <c r="A171" s="36">
        <v>40202</v>
      </c>
      <c r="B171" s="17" t="s">
        <v>323</v>
      </c>
      <c r="C171" s="23">
        <v>5</v>
      </c>
      <c r="D171" s="23">
        <v>5</v>
      </c>
    </row>
    <row r="172" spans="1:4" ht="15.75" customHeight="1" x14ac:dyDescent="0.3">
      <c r="A172" s="36">
        <v>40301</v>
      </c>
      <c r="B172" s="17" t="s">
        <v>190</v>
      </c>
      <c r="C172" s="23">
        <v>2</v>
      </c>
      <c r="D172" s="23">
        <v>11</v>
      </c>
    </row>
    <row r="173" spans="1:4" ht="15.75" customHeight="1" x14ac:dyDescent="0.3">
      <c r="A173" s="36">
        <v>40302</v>
      </c>
      <c r="B173" s="17" t="s">
        <v>324</v>
      </c>
      <c r="C173" s="23">
        <v>1</v>
      </c>
      <c r="D173" s="23">
        <v>2</v>
      </c>
    </row>
    <row r="174" spans="1:4" ht="15.75" customHeight="1" x14ac:dyDescent="0.3">
      <c r="A174" s="36">
        <v>40401</v>
      </c>
      <c r="B174" s="17" t="s">
        <v>110</v>
      </c>
      <c r="C174" s="23">
        <v>5</v>
      </c>
      <c r="D174" s="23">
        <v>9</v>
      </c>
    </row>
    <row r="175" spans="1:4" ht="15.75" customHeight="1" x14ac:dyDescent="0.3">
      <c r="A175" s="36">
        <v>40402</v>
      </c>
      <c r="B175" s="17" t="s">
        <v>144</v>
      </c>
      <c r="C175" s="23">
        <v>7</v>
      </c>
      <c r="D175" s="23">
        <v>2</v>
      </c>
    </row>
    <row r="176" spans="1:4" ht="15.75" customHeight="1" x14ac:dyDescent="0.3">
      <c r="A176" s="36">
        <v>40501</v>
      </c>
      <c r="B176" s="17" t="s">
        <v>6</v>
      </c>
      <c r="C176" s="23">
        <v>0</v>
      </c>
      <c r="D176" s="23">
        <v>1</v>
      </c>
    </row>
    <row r="177" spans="1:4" ht="15.75" customHeight="1" x14ac:dyDescent="0.3">
      <c r="A177" s="36">
        <v>40502</v>
      </c>
      <c r="B177" s="17" t="s">
        <v>111</v>
      </c>
      <c r="C177" s="23">
        <v>2</v>
      </c>
      <c r="D177" s="23">
        <v>1</v>
      </c>
    </row>
    <row r="178" spans="1:4" ht="15.75" customHeight="1" x14ac:dyDescent="0.3">
      <c r="A178" s="36">
        <v>40503</v>
      </c>
      <c r="B178" s="17" t="s">
        <v>40</v>
      </c>
      <c r="C178" s="23">
        <v>2</v>
      </c>
      <c r="D178" s="23">
        <v>0</v>
      </c>
    </row>
    <row r="179" spans="1:4" ht="15.75" customHeight="1" x14ac:dyDescent="0.3">
      <c r="A179" s="36">
        <v>40504</v>
      </c>
      <c r="B179" s="17" t="s">
        <v>325</v>
      </c>
      <c r="C179" s="23">
        <v>0</v>
      </c>
      <c r="D179" s="23">
        <v>0</v>
      </c>
    </row>
    <row r="180" spans="1:4" ht="15.75" customHeight="1" x14ac:dyDescent="0.3">
      <c r="A180" s="36">
        <v>40505</v>
      </c>
      <c r="B180" s="17" t="s">
        <v>22</v>
      </c>
      <c r="C180" s="23">
        <v>0</v>
      </c>
      <c r="D180" s="23">
        <v>2</v>
      </c>
    </row>
    <row r="181" spans="1:4" ht="15.75" customHeight="1" x14ac:dyDescent="0.3">
      <c r="A181" s="36">
        <v>40601</v>
      </c>
      <c r="B181" s="17" t="s">
        <v>208</v>
      </c>
      <c r="C181" s="23">
        <v>10</v>
      </c>
      <c r="D181" s="23">
        <v>8</v>
      </c>
    </row>
    <row r="182" spans="1:4" ht="15.75" customHeight="1" x14ac:dyDescent="0.3">
      <c r="A182" s="36">
        <v>40602</v>
      </c>
      <c r="B182" s="17" t="s">
        <v>137</v>
      </c>
      <c r="C182" s="23">
        <v>3</v>
      </c>
      <c r="D182" s="23">
        <v>1</v>
      </c>
    </row>
    <row r="183" spans="1:4" ht="15.75" customHeight="1" x14ac:dyDescent="0.3">
      <c r="A183" s="36">
        <v>40603</v>
      </c>
      <c r="B183" s="17" t="s">
        <v>45</v>
      </c>
      <c r="C183" s="23">
        <v>1</v>
      </c>
      <c r="D183" s="23">
        <v>1</v>
      </c>
    </row>
    <row r="184" spans="1:4" ht="15.75" customHeight="1" x14ac:dyDescent="0.3">
      <c r="A184" s="36">
        <v>40701</v>
      </c>
      <c r="B184" s="17" t="s">
        <v>215</v>
      </c>
      <c r="C184" s="23">
        <v>10</v>
      </c>
      <c r="D184" s="23">
        <v>21</v>
      </c>
    </row>
    <row r="185" spans="1:4" ht="15.75" customHeight="1" x14ac:dyDescent="0.3">
      <c r="A185" s="36">
        <v>40702</v>
      </c>
      <c r="B185" s="17" t="s">
        <v>47</v>
      </c>
      <c r="C185" s="23">
        <v>2</v>
      </c>
      <c r="D185" s="23">
        <v>6</v>
      </c>
    </row>
    <row r="186" spans="1:4" ht="15.75" customHeight="1" x14ac:dyDescent="0.3">
      <c r="A186" s="36">
        <v>40801</v>
      </c>
      <c r="B186" s="17" t="s">
        <v>326</v>
      </c>
      <c r="C186" s="23">
        <v>7</v>
      </c>
      <c r="D186" s="23">
        <v>14</v>
      </c>
    </row>
    <row r="187" spans="1:4" ht="15.75" customHeight="1" x14ac:dyDescent="0.3">
      <c r="A187" s="36">
        <v>40802</v>
      </c>
      <c r="B187" s="17" t="s">
        <v>69</v>
      </c>
      <c r="C187" s="23">
        <v>0</v>
      </c>
      <c r="D187" s="23">
        <v>1</v>
      </c>
    </row>
    <row r="188" spans="1:4" ht="15.75" customHeight="1" x14ac:dyDescent="0.3">
      <c r="A188" s="36">
        <v>40901</v>
      </c>
      <c r="B188" s="17" t="s">
        <v>173</v>
      </c>
      <c r="C188" s="23">
        <v>4</v>
      </c>
      <c r="D188" s="23">
        <v>8</v>
      </c>
    </row>
    <row r="189" spans="1:4" ht="15.75" customHeight="1" x14ac:dyDescent="0.3">
      <c r="A189" s="36">
        <v>40902</v>
      </c>
      <c r="B189" s="17" t="s">
        <v>0</v>
      </c>
      <c r="C189" s="23">
        <v>0</v>
      </c>
      <c r="D189" s="23">
        <v>1</v>
      </c>
    </row>
    <row r="190" spans="1:4" ht="15.75" customHeight="1" x14ac:dyDescent="0.3">
      <c r="A190" s="36">
        <v>40903</v>
      </c>
      <c r="B190" s="17" t="s">
        <v>23</v>
      </c>
      <c r="C190" s="23">
        <v>3</v>
      </c>
      <c r="D190" s="23">
        <v>3</v>
      </c>
    </row>
    <row r="191" spans="1:4" ht="15.75" customHeight="1" x14ac:dyDescent="0.3">
      <c r="A191" s="36">
        <v>41001</v>
      </c>
      <c r="B191" s="17" t="s">
        <v>125</v>
      </c>
      <c r="C191" s="23">
        <v>4</v>
      </c>
      <c r="D191" s="23">
        <v>9</v>
      </c>
    </row>
    <row r="192" spans="1:4" ht="15.75" customHeight="1" x14ac:dyDescent="0.3">
      <c r="A192" s="36">
        <v>41101</v>
      </c>
      <c r="B192" s="17" t="s">
        <v>127</v>
      </c>
      <c r="C192" s="23">
        <v>6</v>
      </c>
      <c r="D192" s="23">
        <v>8</v>
      </c>
    </row>
    <row r="193" spans="1:4" ht="15.75" customHeight="1" x14ac:dyDescent="0.3">
      <c r="A193" s="36">
        <v>41201</v>
      </c>
      <c r="B193" s="17" t="s">
        <v>152</v>
      </c>
      <c r="C193" s="23">
        <v>4</v>
      </c>
      <c r="D193" s="23">
        <v>2</v>
      </c>
    </row>
    <row r="194" spans="1:4" ht="15.75" customHeight="1" x14ac:dyDescent="0.3">
      <c r="A194" s="36">
        <v>41202</v>
      </c>
      <c r="B194" s="17" t="s">
        <v>55</v>
      </c>
      <c r="C194" s="23">
        <v>0</v>
      </c>
      <c r="D194" s="23">
        <v>3</v>
      </c>
    </row>
    <row r="195" spans="1:4" ht="15.75" customHeight="1" x14ac:dyDescent="0.3">
      <c r="A195" s="36">
        <v>41301</v>
      </c>
      <c r="B195" s="17" t="s">
        <v>134</v>
      </c>
      <c r="C195" s="23">
        <v>0</v>
      </c>
      <c r="D195" s="23">
        <v>7</v>
      </c>
    </row>
    <row r="196" spans="1:4" ht="15.75" customHeight="1" x14ac:dyDescent="0.3">
      <c r="A196" s="36">
        <v>41401</v>
      </c>
      <c r="B196" s="17" t="s">
        <v>327</v>
      </c>
      <c r="C196" s="23">
        <v>10</v>
      </c>
      <c r="D196" s="23">
        <v>6</v>
      </c>
    </row>
    <row r="197" spans="1:4" ht="15.75" customHeight="1" x14ac:dyDescent="0.3">
      <c r="A197" s="36">
        <v>41501</v>
      </c>
      <c r="B197" s="17" t="s">
        <v>1</v>
      </c>
      <c r="C197" s="23">
        <v>0</v>
      </c>
      <c r="D197" s="23">
        <v>0</v>
      </c>
    </row>
    <row r="198" spans="1:4" ht="15.75" customHeight="1" x14ac:dyDescent="0.3">
      <c r="A198" s="36">
        <v>41502</v>
      </c>
      <c r="B198" s="17" t="s">
        <v>5</v>
      </c>
      <c r="C198" s="23">
        <v>0</v>
      </c>
      <c r="D198" s="23">
        <v>1</v>
      </c>
    </row>
    <row r="199" spans="1:4" ht="15.75" customHeight="1" x14ac:dyDescent="0.3">
      <c r="A199" s="36">
        <v>41503</v>
      </c>
      <c r="B199" s="17" t="s">
        <v>8</v>
      </c>
      <c r="C199" s="23">
        <v>0</v>
      </c>
      <c r="D199" s="23">
        <v>0</v>
      </c>
    </row>
    <row r="200" spans="1:4" ht="15.75" customHeight="1" x14ac:dyDescent="0.3">
      <c r="A200" s="36">
        <v>41601</v>
      </c>
      <c r="B200" s="17" t="s">
        <v>389</v>
      </c>
      <c r="C200" s="23">
        <v>5</v>
      </c>
      <c r="D200" s="23">
        <v>6</v>
      </c>
    </row>
    <row r="201" spans="1:4" ht="15.75" customHeight="1" x14ac:dyDescent="0.3">
      <c r="A201" s="36">
        <v>50101</v>
      </c>
      <c r="B201" s="17" t="s">
        <v>302</v>
      </c>
      <c r="C201" s="23">
        <v>156</v>
      </c>
      <c r="D201" s="23">
        <v>203</v>
      </c>
    </row>
    <row r="202" spans="1:4" ht="15.75" customHeight="1" x14ac:dyDescent="0.3">
      <c r="A202" s="36">
        <v>50102</v>
      </c>
      <c r="B202" s="17" t="s">
        <v>34</v>
      </c>
      <c r="C202" s="23">
        <v>64</v>
      </c>
      <c r="D202" s="23">
        <v>56</v>
      </c>
    </row>
    <row r="203" spans="1:4" ht="15.75" customHeight="1" x14ac:dyDescent="0.3">
      <c r="A203" s="36">
        <v>50103</v>
      </c>
      <c r="B203" s="17" t="s">
        <v>207</v>
      </c>
      <c r="C203" s="23">
        <v>1</v>
      </c>
      <c r="D203" s="23">
        <v>12</v>
      </c>
    </row>
    <row r="204" spans="1:4" ht="15.75" customHeight="1" x14ac:dyDescent="0.3">
      <c r="A204" s="36">
        <v>50104</v>
      </c>
      <c r="B204" s="17" t="s">
        <v>391</v>
      </c>
      <c r="C204" s="23">
        <v>1</v>
      </c>
      <c r="D204" s="23">
        <v>1</v>
      </c>
    </row>
    <row r="205" spans="1:4" ht="15.75" customHeight="1" x14ac:dyDescent="0.3">
      <c r="A205" s="36">
        <v>50201</v>
      </c>
      <c r="B205" s="17" t="s">
        <v>264</v>
      </c>
      <c r="C205" s="23">
        <v>43</v>
      </c>
      <c r="D205" s="23">
        <v>37</v>
      </c>
    </row>
    <row r="206" spans="1:4" ht="15.75" customHeight="1" x14ac:dyDescent="0.3">
      <c r="A206" s="36">
        <v>50202</v>
      </c>
      <c r="B206" s="17" t="s">
        <v>228</v>
      </c>
      <c r="C206" s="23">
        <v>28</v>
      </c>
      <c r="D206" s="23">
        <v>35</v>
      </c>
    </row>
    <row r="207" spans="1:4" ht="15.75" customHeight="1" x14ac:dyDescent="0.3">
      <c r="A207" s="36">
        <v>50203</v>
      </c>
      <c r="B207" s="17" t="s">
        <v>295</v>
      </c>
      <c r="C207" s="23">
        <v>34</v>
      </c>
      <c r="D207" s="23">
        <v>43</v>
      </c>
    </row>
    <row r="208" spans="1:4" ht="15.75" customHeight="1" x14ac:dyDescent="0.3">
      <c r="A208" s="36">
        <v>50204</v>
      </c>
      <c r="B208" s="17" t="s">
        <v>393</v>
      </c>
      <c r="C208" s="23">
        <v>15</v>
      </c>
      <c r="D208" s="23">
        <v>14</v>
      </c>
    </row>
    <row r="209" spans="1:4" ht="15.75" customHeight="1" x14ac:dyDescent="0.3">
      <c r="A209" s="36">
        <v>50301</v>
      </c>
      <c r="B209" s="17" t="s">
        <v>266</v>
      </c>
      <c r="C209" s="23">
        <v>36</v>
      </c>
      <c r="D209" s="23">
        <v>39</v>
      </c>
    </row>
    <row r="210" spans="1:4" ht="15.75" customHeight="1" x14ac:dyDescent="0.3">
      <c r="A210" s="36">
        <v>50302</v>
      </c>
      <c r="B210" s="17" t="s">
        <v>219</v>
      </c>
      <c r="C210" s="23">
        <v>9</v>
      </c>
      <c r="D210" s="23">
        <v>8</v>
      </c>
    </row>
    <row r="211" spans="1:4" ht="15.75" customHeight="1" x14ac:dyDescent="0.3">
      <c r="A211" s="36">
        <v>50303</v>
      </c>
      <c r="B211" s="17" t="s">
        <v>15</v>
      </c>
      <c r="C211" s="23">
        <v>13</v>
      </c>
      <c r="D211" s="23">
        <v>7</v>
      </c>
    </row>
    <row r="212" spans="1:4" ht="15.75" customHeight="1" x14ac:dyDescent="0.3">
      <c r="A212" s="36">
        <v>50401</v>
      </c>
      <c r="B212" s="17" t="s">
        <v>119</v>
      </c>
      <c r="C212" s="23">
        <v>99</v>
      </c>
      <c r="D212" s="23">
        <v>45</v>
      </c>
    </row>
    <row r="213" spans="1:4" ht="15.75" customHeight="1" x14ac:dyDescent="0.3">
      <c r="A213" s="36">
        <v>50402</v>
      </c>
      <c r="B213" s="17" t="s">
        <v>46</v>
      </c>
      <c r="C213" s="23">
        <v>15</v>
      </c>
      <c r="D213" s="23">
        <v>13</v>
      </c>
    </row>
    <row r="214" spans="1:4" ht="15.75" customHeight="1" x14ac:dyDescent="0.3">
      <c r="A214" s="36">
        <v>50403</v>
      </c>
      <c r="B214" s="17" t="s">
        <v>52</v>
      </c>
      <c r="C214" s="23">
        <v>40</v>
      </c>
      <c r="D214" s="23">
        <v>64</v>
      </c>
    </row>
    <row r="215" spans="1:4" ht="15.75" customHeight="1" x14ac:dyDescent="0.3">
      <c r="A215" s="36">
        <v>50404</v>
      </c>
      <c r="B215" s="17" t="s">
        <v>42</v>
      </c>
      <c r="C215" s="23">
        <v>44</v>
      </c>
      <c r="D215" s="23">
        <v>15</v>
      </c>
    </row>
    <row r="216" spans="1:4" ht="15.75" customHeight="1" x14ac:dyDescent="0.3">
      <c r="A216" s="36">
        <v>50405</v>
      </c>
      <c r="B216" s="34" t="s">
        <v>328</v>
      </c>
      <c r="C216" s="23">
        <v>99</v>
      </c>
      <c r="D216" s="23">
        <v>45</v>
      </c>
    </row>
    <row r="217" spans="1:4" ht="15.75" customHeight="1" x14ac:dyDescent="0.3">
      <c r="A217" s="36">
        <v>50501</v>
      </c>
      <c r="B217" s="17" t="s">
        <v>396</v>
      </c>
      <c r="C217" s="23">
        <v>64</v>
      </c>
      <c r="D217" s="23">
        <v>54</v>
      </c>
    </row>
    <row r="218" spans="1:4" ht="15.75" customHeight="1" x14ac:dyDescent="0.3">
      <c r="A218" s="36">
        <v>50502</v>
      </c>
      <c r="B218" s="17" t="s">
        <v>61</v>
      </c>
      <c r="C218" s="23">
        <v>20</v>
      </c>
      <c r="D218" s="23">
        <v>13</v>
      </c>
    </row>
    <row r="219" spans="1:4" ht="15.75" customHeight="1" x14ac:dyDescent="0.3">
      <c r="A219" s="36">
        <v>50601</v>
      </c>
      <c r="B219" s="17" t="s">
        <v>114</v>
      </c>
      <c r="C219" s="23">
        <v>6</v>
      </c>
      <c r="D219" s="23">
        <v>11</v>
      </c>
    </row>
    <row r="220" spans="1:4" ht="15.75" customHeight="1" x14ac:dyDescent="0.3">
      <c r="A220" s="36">
        <v>50602</v>
      </c>
      <c r="B220" s="17" t="s">
        <v>234</v>
      </c>
      <c r="C220" s="23">
        <v>4</v>
      </c>
      <c r="D220" s="23">
        <v>7</v>
      </c>
    </row>
    <row r="221" spans="1:4" ht="15.75" customHeight="1" x14ac:dyDescent="0.3">
      <c r="A221" s="36">
        <v>50701</v>
      </c>
      <c r="B221" s="17" t="s">
        <v>399</v>
      </c>
      <c r="C221" s="23">
        <v>14</v>
      </c>
      <c r="D221" s="23">
        <v>38</v>
      </c>
    </row>
    <row r="222" spans="1:4" ht="15.75" customHeight="1" x14ac:dyDescent="0.3">
      <c r="A222" s="36">
        <v>50702</v>
      </c>
      <c r="B222" s="17" t="s">
        <v>78</v>
      </c>
      <c r="C222" s="23">
        <v>8</v>
      </c>
      <c r="D222" s="23">
        <v>21</v>
      </c>
    </row>
    <row r="223" spans="1:4" ht="15.75" customHeight="1" x14ac:dyDescent="0.3">
      <c r="A223" s="36">
        <v>50801</v>
      </c>
      <c r="B223" s="17" t="s">
        <v>290</v>
      </c>
      <c r="C223" s="23">
        <v>10</v>
      </c>
      <c r="D223" s="23">
        <v>24</v>
      </c>
    </row>
    <row r="224" spans="1:4" ht="15.75" customHeight="1" x14ac:dyDescent="0.3">
      <c r="A224" s="36">
        <v>50802</v>
      </c>
      <c r="B224" s="17" t="s">
        <v>120</v>
      </c>
      <c r="C224" s="23">
        <v>1</v>
      </c>
      <c r="D224" s="23">
        <v>10</v>
      </c>
    </row>
    <row r="225" spans="1:4" ht="15.75" customHeight="1" x14ac:dyDescent="0.3">
      <c r="A225" s="36">
        <v>50901</v>
      </c>
      <c r="B225" s="17" t="s">
        <v>402</v>
      </c>
      <c r="C225" s="23">
        <v>1</v>
      </c>
      <c r="D225" s="23">
        <v>13</v>
      </c>
    </row>
    <row r="226" spans="1:4" ht="15.75" customHeight="1" x14ac:dyDescent="0.3">
      <c r="A226" s="36">
        <v>50902</v>
      </c>
      <c r="B226" s="17" t="s">
        <v>13</v>
      </c>
      <c r="C226" s="23">
        <v>0</v>
      </c>
      <c r="D226" s="23">
        <v>2</v>
      </c>
    </row>
    <row r="227" spans="1:4" ht="15.75" customHeight="1" x14ac:dyDescent="0.3">
      <c r="A227" s="36">
        <v>51001</v>
      </c>
      <c r="B227" s="17" t="s">
        <v>86</v>
      </c>
      <c r="C227" s="23">
        <v>1</v>
      </c>
      <c r="D227" s="23">
        <v>5</v>
      </c>
    </row>
    <row r="228" spans="1:4" ht="15.75" customHeight="1" x14ac:dyDescent="0.3">
      <c r="A228" s="36">
        <v>51002</v>
      </c>
      <c r="B228" s="17" t="s">
        <v>16</v>
      </c>
      <c r="C228" s="23">
        <v>0</v>
      </c>
      <c r="D228" s="23">
        <v>1</v>
      </c>
    </row>
    <row r="229" spans="1:4" ht="15.75" customHeight="1" x14ac:dyDescent="0.3">
      <c r="A229" s="36">
        <v>51003</v>
      </c>
      <c r="B229" s="17" t="s">
        <v>60</v>
      </c>
      <c r="C229" s="23">
        <v>0</v>
      </c>
      <c r="D229" s="23">
        <v>5</v>
      </c>
    </row>
    <row r="230" spans="1:4" ht="15.75" customHeight="1" x14ac:dyDescent="0.3">
      <c r="A230" s="36">
        <v>51101</v>
      </c>
      <c r="B230" s="17" t="s">
        <v>265</v>
      </c>
      <c r="C230" s="23">
        <v>5</v>
      </c>
      <c r="D230" s="23">
        <v>12</v>
      </c>
    </row>
    <row r="231" spans="1:4" ht="15.75" customHeight="1" x14ac:dyDescent="0.3">
      <c r="A231" s="36">
        <v>51102</v>
      </c>
      <c r="B231" s="17" t="s">
        <v>329</v>
      </c>
      <c r="C231" s="23">
        <v>3</v>
      </c>
      <c r="D231" s="23">
        <v>14</v>
      </c>
    </row>
    <row r="232" spans="1:4" ht="15.75" customHeight="1" x14ac:dyDescent="0.3">
      <c r="A232" s="36">
        <v>51103</v>
      </c>
      <c r="B232" s="17" t="s">
        <v>175</v>
      </c>
      <c r="C232" s="23">
        <v>10</v>
      </c>
      <c r="D232" s="23">
        <v>14</v>
      </c>
    </row>
    <row r="233" spans="1:4" ht="15.75" customHeight="1" x14ac:dyDescent="0.3">
      <c r="A233" s="36">
        <v>51201</v>
      </c>
      <c r="B233" s="17" t="s">
        <v>289</v>
      </c>
      <c r="C233" s="23">
        <v>8</v>
      </c>
      <c r="D233" s="23">
        <v>46</v>
      </c>
    </row>
    <row r="234" spans="1:4" ht="15.75" customHeight="1" x14ac:dyDescent="0.3">
      <c r="A234" s="36">
        <v>51202</v>
      </c>
      <c r="B234" s="17" t="s">
        <v>130</v>
      </c>
      <c r="C234" s="23">
        <v>5</v>
      </c>
      <c r="D234" s="23">
        <v>9</v>
      </c>
    </row>
    <row r="235" spans="1:4" ht="15.75" customHeight="1" x14ac:dyDescent="0.3">
      <c r="A235" s="36">
        <v>51203</v>
      </c>
      <c r="B235" s="17" t="s">
        <v>166</v>
      </c>
      <c r="C235" s="23">
        <v>2</v>
      </c>
      <c r="D235" s="23">
        <v>15</v>
      </c>
    </row>
    <row r="236" spans="1:4" ht="15.75" customHeight="1" x14ac:dyDescent="0.3">
      <c r="A236" s="36">
        <v>51204</v>
      </c>
      <c r="B236" s="34" t="s">
        <v>406</v>
      </c>
      <c r="C236" s="23">
        <v>5</v>
      </c>
      <c r="D236" s="23">
        <v>10</v>
      </c>
    </row>
    <row r="237" spans="1:4" ht="15.75" customHeight="1" x14ac:dyDescent="0.3">
      <c r="A237" s="36">
        <v>51301</v>
      </c>
      <c r="B237" s="17" t="s">
        <v>104</v>
      </c>
      <c r="C237" s="23">
        <v>3</v>
      </c>
      <c r="D237" s="23">
        <v>6</v>
      </c>
    </row>
    <row r="238" spans="1:4" ht="15.75" customHeight="1" x14ac:dyDescent="0.3">
      <c r="A238" s="36">
        <v>51302</v>
      </c>
      <c r="B238" s="17" t="s">
        <v>169</v>
      </c>
      <c r="C238" s="23">
        <v>3</v>
      </c>
      <c r="D238" s="23">
        <v>8</v>
      </c>
    </row>
    <row r="239" spans="1:4" ht="15.75" customHeight="1" x14ac:dyDescent="0.3">
      <c r="A239" s="36">
        <v>51401</v>
      </c>
      <c r="B239" s="17" t="s">
        <v>151</v>
      </c>
      <c r="C239" s="23">
        <v>1</v>
      </c>
      <c r="D239" s="23">
        <v>8</v>
      </c>
    </row>
    <row r="240" spans="1:4" ht="15.75" customHeight="1" x14ac:dyDescent="0.3">
      <c r="A240" s="36">
        <v>51402</v>
      </c>
      <c r="B240" s="17" t="s">
        <v>25</v>
      </c>
      <c r="C240" s="23">
        <v>0</v>
      </c>
      <c r="D240" s="23">
        <v>0</v>
      </c>
    </row>
    <row r="241" spans="1:4" ht="15.75" customHeight="1" x14ac:dyDescent="0.3">
      <c r="A241" s="36">
        <v>51501</v>
      </c>
      <c r="B241" s="17" t="s">
        <v>293</v>
      </c>
      <c r="C241" s="23">
        <v>3</v>
      </c>
      <c r="D241" s="23">
        <v>39</v>
      </c>
    </row>
    <row r="242" spans="1:4" ht="15.75" customHeight="1" x14ac:dyDescent="0.3">
      <c r="A242" s="36">
        <v>51601</v>
      </c>
      <c r="B242" s="17" t="s">
        <v>29</v>
      </c>
      <c r="C242" s="23">
        <v>0</v>
      </c>
      <c r="D242" s="23">
        <v>2</v>
      </c>
    </row>
    <row r="243" spans="1:4" ht="15.75" customHeight="1" x14ac:dyDescent="0.3">
      <c r="A243" s="36">
        <v>60101</v>
      </c>
      <c r="B243" s="17" t="s">
        <v>76</v>
      </c>
      <c r="C243" s="23">
        <v>43</v>
      </c>
      <c r="D243" s="23">
        <v>78</v>
      </c>
    </row>
    <row r="244" spans="1:4" ht="15.75" customHeight="1" x14ac:dyDescent="0.3">
      <c r="A244" s="36">
        <v>60201</v>
      </c>
      <c r="B244" s="17" t="s">
        <v>274</v>
      </c>
      <c r="C244" s="23">
        <v>6</v>
      </c>
      <c r="D244" s="23">
        <v>6</v>
      </c>
    </row>
    <row r="245" spans="1:4" ht="15.75" customHeight="1" x14ac:dyDescent="0.3">
      <c r="A245" s="36">
        <v>60202</v>
      </c>
      <c r="B245" s="17" t="s">
        <v>254</v>
      </c>
      <c r="C245" s="23">
        <v>18</v>
      </c>
      <c r="D245" s="23">
        <v>11</v>
      </c>
    </row>
    <row r="246" spans="1:4" ht="15.75" customHeight="1" x14ac:dyDescent="0.3">
      <c r="A246" s="36">
        <v>60301</v>
      </c>
      <c r="B246" s="17" t="s">
        <v>297</v>
      </c>
      <c r="C246" s="23">
        <v>43</v>
      </c>
      <c r="D246" s="23">
        <v>62</v>
      </c>
    </row>
    <row r="247" spans="1:4" ht="15.75" customHeight="1" x14ac:dyDescent="0.3">
      <c r="A247" s="36">
        <v>60302</v>
      </c>
      <c r="B247" s="17" t="s">
        <v>193</v>
      </c>
      <c r="C247" s="23">
        <v>2</v>
      </c>
      <c r="D247" s="23">
        <v>7</v>
      </c>
    </row>
    <row r="248" spans="1:4" ht="15.75" customHeight="1" x14ac:dyDescent="0.3">
      <c r="A248" s="36">
        <v>60303</v>
      </c>
      <c r="B248" s="17" t="s">
        <v>330</v>
      </c>
      <c r="C248" s="23">
        <v>24</v>
      </c>
      <c r="D248" s="23">
        <v>17</v>
      </c>
    </row>
    <row r="249" spans="1:4" ht="15.75" customHeight="1" x14ac:dyDescent="0.3">
      <c r="A249" s="36">
        <v>60401</v>
      </c>
      <c r="B249" s="17" t="s">
        <v>235</v>
      </c>
      <c r="C249" s="23">
        <v>2</v>
      </c>
      <c r="D249" s="23">
        <v>5</v>
      </c>
    </row>
    <row r="250" spans="1:4" ht="15.75" customHeight="1" x14ac:dyDescent="0.3">
      <c r="A250" s="36">
        <v>60402</v>
      </c>
      <c r="B250" s="17" t="s">
        <v>105</v>
      </c>
      <c r="C250" s="23">
        <v>4</v>
      </c>
      <c r="D250" s="23">
        <v>2</v>
      </c>
    </row>
    <row r="251" spans="1:4" ht="15.75" customHeight="1" x14ac:dyDescent="0.3">
      <c r="A251" s="36">
        <v>60501</v>
      </c>
      <c r="B251" s="17" t="s">
        <v>271</v>
      </c>
      <c r="C251" s="23">
        <v>8</v>
      </c>
      <c r="D251" s="23">
        <v>8</v>
      </c>
    </row>
    <row r="252" spans="1:4" ht="15.75" customHeight="1" x14ac:dyDescent="0.3">
      <c r="A252" s="36">
        <v>60502</v>
      </c>
      <c r="B252" s="17" t="s">
        <v>88</v>
      </c>
      <c r="C252" s="23">
        <v>4</v>
      </c>
      <c r="D252" s="23">
        <v>5</v>
      </c>
    </row>
    <row r="253" spans="1:4" ht="15.75" customHeight="1" x14ac:dyDescent="0.3">
      <c r="A253" s="36">
        <v>60601</v>
      </c>
      <c r="B253" s="17" t="s">
        <v>223</v>
      </c>
      <c r="C253" s="23">
        <v>3</v>
      </c>
      <c r="D253" s="23">
        <v>9</v>
      </c>
    </row>
    <row r="254" spans="1:4" ht="15.75" customHeight="1" x14ac:dyDescent="0.3">
      <c r="A254" s="36">
        <v>70101</v>
      </c>
      <c r="B254" s="17" t="s">
        <v>304</v>
      </c>
      <c r="C254" s="23">
        <v>466</v>
      </c>
      <c r="D254" s="23">
        <v>628</v>
      </c>
    </row>
    <row r="255" spans="1:4" ht="15.75" customHeight="1" x14ac:dyDescent="0.3">
      <c r="A255" s="36">
        <v>70102</v>
      </c>
      <c r="B255" s="17" t="s">
        <v>263</v>
      </c>
      <c r="C255" s="23">
        <v>37</v>
      </c>
      <c r="D255" s="23">
        <v>62</v>
      </c>
    </row>
    <row r="256" spans="1:4" ht="15.75" customHeight="1" x14ac:dyDescent="0.3">
      <c r="A256" s="36">
        <v>70103</v>
      </c>
      <c r="B256" s="17" t="s">
        <v>188</v>
      </c>
      <c r="C256" s="23">
        <v>2</v>
      </c>
      <c r="D256" s="23">
        <v>9</v>
      </c>
    </row>
    <row r="257" spans="1:4" ht="15.75" customHeight="1" x14ac:dyDescent="0.3">
      <c r="A257" s="36">
        <v>70104</v>
      </c>
      <c r="B257" s="17" t="s">
        <v>294</v>
      </c>
      <c r="C257" s="23">
        <v>19</v>
      </c>
      <c r="D257" s="23">
        <v>66</v>
      </c>
    </row>
    <row r="258" spans="1:4" ht="15.75" customHeight="1" x14ac:dyDescent="0.3">
      <c r="A258" s="36">
        <v>70105</v>
      </c>
      <c r="B258" s="17" t="s">
        <v>291</v>
      </c>
      <c r="C258" s="23">
        <v>15</v>
      </c>
      <c r="D258" s="23">
        <v>31</v>
      </c>
    </row>
    <row r="259" spans="1:4" ht="15.75" customHeight="1" x14ac:dyDescent="0.3">
      <c r="A259" s="36">
        <v>70201</v>
      </c>
      <c r="B259" s="17" t="s">
        <v>298</v>
      </c>
      <c r="C259" s="23">
        <v>25</v>
      </c>
      <c r="D259" s="23">
        <v>94</v>
      </c>
    </row>
    <row r="260" spans="1:4" ht="15.75" customHeight="1" x14ac:dyDescent="0.3">
      <c r="A260" s="36">
        <v>70202</v>
      </c>
      <c r="B260" s="17" t="s">
        <v>91</v>
      </c>
      <c r="C260" s="23">
        <v>5</v>
      </c>
      <c r="D260" s="23">
        <v>7</v>
      </c>
    </row>
    <row r="261" spans="1:4" ht="15.75" customHeight="1" x14ac:dyDescent="0.3">
      <c r="A261" s="36">
        <v>70301</v>
      </c>
      <c r="B261" s="17" t="s">
        <v>279</v>
      </c>
      <c r="C261" s="23">
        <v>29</v>
      </c>
      <c r="D261" s="23">
        <v>69</v>
      </c>
    </row>
    <row r="262" spans="1:4" ht="15.75" customHeight="1" x14ac:dyDescent="0.3">
      <c r="A262" s="36">
        <v>70302</v>
      </c>
      <c r="B262" s="17" t="s">
        <v>201</v>
      </c>
      <c r="C262" s="23">
        <v>11</v>
      </c>
      <c r="D262" s="23">
        <v>21</v>
      </c>
    </row>
    <row r="263" spans="1:4" ht="15.75" customHeight="1" x14ac:dyDescent="0.3">
      <c r="A263" s="36">
        <v>70303</v>
      </c>
      <c r="B263" s="17" t="s">
        <v>79</v>
      </c>
      <c r="C263" s="23">
        <v>5</v>
      </c>
      <c r="D263" s="23">
        <v>9</v>
      </c>
    </row>
    <row r="264" spans="1:4" ht="15.75" customHeight="1" x14ac:dyDescent="0.3">
      <c r="A264" s="36">
        <v>70401</v>
      </c>
      <c r="B264" s="17" t="s">
        <v>164</v>
      </c>
      <c r="C264" s="23">
        <v>4</v>
      </c>
      <c r="D264" s="23">
        <v>3</v>
      </c>
    </row>
    <row r="265" spans="1:4" ht="15.75" customHeight="1" x14ac:dyDescent="0.3">
      <c r="A265" s="36">
        <v>70402</v>
      </c>
      <c r="B265" s="17" t="s">
        <v>225</v>
      </c>
      <c r="C265" s="23">
        <v>7</v>
      </c>
      <c r="D265" s="23">
        <v>11</v>
      </c>
    </row>
    <row r="266" spans="1:4" ht="15.75" customHeight="1" x14ac:dyDescent="0.3">
      <c r="A266" s="36">
        <v>70403</v>
      </c>
      <c r="B266" s="17" t="s">
        <v>278</v>
      </c>
      <c r="C266" s="23">
        <v>28</v>
      </c>
      <c r="D266" s="23">
        <v>36</v>
      </c>
    </row>
    <row r="267" spans="1:4" ht="15.75" customHeight="1" x14ac:dyDescent="0.3">
      <c r="A267" s="36">
        <v>70404</v>
      </c>
      <c r="B267" s="17" t="s">
        <v>331</v>
      </c>
      <c r="C267" s="23">
        <v>5</v>
      </c>
      <c r="D267" s="23">
        <v>3</v>
      </c>
    </row>
    <row r="268" spans="1:4" ht="15.75" customHeight="1" x14ac:dyDescent="0.3">
      <c r="A268" s="36">
        <v>70501</v>
      </c>
      <c r="B268" s="17" t="s">
        <v>332</v>
      </c>
      <c r="C268" s="23">
        <v>9</v>
      </c>
      <c r="D268" s="23">
        <v>45</v>
      </c>
    </row>
    <row r="269" spans="1:4" ht="15.75" customHeight="1" x14ac:dyDescent="0.3">
      <c r="A269" s="36">
        <v>70502</v>
      </c>
      <c r="B269" s="17" t="s">
        <v>272</v>
      </c>
      <c r="C269" s="23">
        <v>21</v>
      </c>
      <c r="D269" s="23">
        <v>74</v>
      </c>
    </row>
    <row r="270" spans="1:4" ht="15.75" customHeight="1" x14ac:dyDescent="0.3">
      <c r="A270" s="36">
        <v>70503</v>
      </c>
      <c r="B270" s="17" t="s">
        <v>162</v>
      </c>
      <c r="C270" s="23">
        <v>4</v>
      </c>
      <c r="D270" s="23">
        <v>8</v>
      </c>
    </row>
    <row r="271" spans="1:4" ht="15.75" customHeight="1" x14ac:dyDescent="0.3">
      <c r="A271" s="36">
        <v>70601</v>
      </c>
      <c r="B271" s="17" t="s">
        <v>158</v>
      </c>
      <c r="C271" s="23">
        <v>2</v>
      </c>
      <c r="D271" s="23">
        <v>8</v>
      </c>
    </row>
    <row r="272" spans="1:4" ht="15.75" customHeight="1" x14ac:dyDescent="0.3">
      <c r="A272" s="36">
        <v>70602</v>
      </c>
      <c r="B272" s="17" t="s">
        <v>256</v>
      </c>
      <c r="C272" s="23">
        <v>7</v>
      </c>
      <c r="D272" s="23">
        <v>15</v>
      </c>
    </row>
    <row r="273" spans="1:4" ht="15.75" customHeight="1" x14ac:dyDescent="0.3">
      <c r="A273" s="36">
        <v>70603</v>
      </c>
      <c r="B273" s="17" t="s">
        <v>333</v>
      </c>
      <c r="C273" s="23">
        <v>2</v>
      </c>
      <c r="D273" s="23">
        <v>3</v>
      </c>
    </row>
    <row r="274" spans="1:4" ht="15.75" customHeight="1" x14ac:dyDescent="0.3">
      <c r="A274" s="36">
        <v>70701</v>
      </c>
      <c r="B274" s="17" t="s">
        <v>74</v>
      </c>
      <c r="C274" s="23">
        <v>2</v>
      </c>
      <c r="D274" s="23">
        <v>5</v>
      </c>
    </row>
    <row r="275" spans="1:4" ht="15.75" customHeight="1" x14ac:dyDescent="0.3">
      <c r="A275" s="36">
        <v>70702</v>
      </c>
      <c r="B275" s="17" t="s">
        <v>95</v>
      </c>
      <c r="C275" s="23">
        <v>26</v>
      </c>
      <c r="D275" s="23">
        <v>70</v>
      </c>
    </row>
    <row r="276" spans="1:4" ht="15.75" customHeight="1" x14ac:dyDescent="0.3">
      <c r="A276" s="36">
        <v>70703</v>
      </c>
      <c r="B276" s="17" t="s">
        <v>250</v>
      </c>
      <c r="C276" s="23">
        <v>9</v>
      </c>
      <c r="D276" s="23">
        <v>23</v>
      </c>
    </row>
    <row r="277" spans="1:4" ht="15.75" customHeight="1" x14ac:dyDescent="0.3">
      <c r="A277" s="36">
        <v>70704</v>
      </c>
      <c r="B277" s="17" t="s">
        <v>73</v>
      </c>
      <c r="C277" s="23">
        <v>0</v>
      </c>
      <c r="D277" s="23">
        <v>2</v>
      </c>
    </row>
    <row r="278" spans="1:4" ht="15.75" customHeight="1" x14ac:dyDescent="0.3">
      <c r="A278" s="36">
        <v>70705</v>
      </c>
      <c r="B278" s="17" t="s">
        <v>141</v>
      </c>
      <c r="C278" s="23">
        <v>16</v>
      </c>
      <c r="D278" s="23">
        <v>30</v>
      </c>
    </row>
    <row r="279" spans="1:4" ht="15.75" customHeight="1" x14ac:dyDescent="0.3">
      <c r="A279" s="36">
        <v>70706</v>
      </c>
      <c r="B279" s="17" t="s">
        <v>221</v>
      </c>
      <c r="C279" s="23">
        <v>7</v>
      </c>
      <c r="D279" s="23">
        <v>15</v>
      </c>
    </row>
    <row r="280" spans="1:4" ht="15.75" customHeight="1" x14ac:dyDescent="0.3">
      <c r="A280" s="36">
        <v>70707</v>
      </c>
      <c r="B280" s="17" t="s">
        <v>53</v>
      </c>
      <c r="C280" s="23">
        <v>0</v>
      </c>
      <c r="D280" s="23">
        <v>2</v>
      </c>
    </row>
    <row r="281" spans="1:4" ht="15.75" customHeight="1" x14ac:dyDescent="0.3">
      <c r="A281" s="36">
        <v>70801</v>
      </c>
      <c r="B281" s="17" t="s">
        <v>257</v>
      </c>
      <c r="C281" s="23">
        <v>3</v>
      </c>
      <c r="D281" s="23">
        <v>6</v>
      </c>
    </row>
    <row r="282" spans="1:4" ht="15.75" customHeight="1" x14ac:dyDescent="0.3">
      <c r="A282" s="36">
        <v>70802</v>
      </c>
      <c r="B282" s="17" t="s">
        <v>10</v>
      </c>
      <c r="C282" s="23">
        <v>0</v>
      </c>
      <c r="D282" s="23">
        <v>2</v>
      </c>
    </row>
    <row r="283" spans="1:4" ht="15.75" customHeight="1" x14ac:dyDescent="0.3">
      <c r="A283" s="36">
        <v>70803</v>
      </c>
      <c r="B283" s="17" t="s">
        <v>36</v>
      </c>
      <c r="C283" s="23">
        <v>0</v>
      </c>
      <c r="D283" s="23">
        <v>0</v>
      </c>
    </row>
    <row r="284" spans="1:4" ht="15.75" customHeight="1" x14ac:dyDescent="0.3">
      <c r="A284" s="36">
        <v>70804</v>
      </c>
      <c r="B284" s="17" t="s">
        <v>334</v>
      </c>
      <c r="C284" s="23">
        <v>0</v>
      </c>
      <c r="D284" s="23">
        <v>0</v>
      </c>
    </row>
    <row r="285" spans="1:4" ht="15.75" customHeight="1" x14ac:dyDescent="0.3">
      <c r="A285" s="36">
        <v>70805</v>
      </c>
      <c r="B285" s="17" t="s">
        <v>335</v>
      </c>
      <c r="C285" s="23">
        <v>0</v>
      </c>
      <c r="D285" s="23">
        <v>1</v>
      </c>
    </row>
    <row r="286" spans="1:4" ht="15.75" customHeight="1" x14ac:dyDescent="0.3">
      <c r="A286" s="36">
        <v>70901</v>
      </c>
      <c r="B286" s="17" t="s">
        <v>192</v>
      </c>
      <c r="C286" s="23">
        <v>0</v>
      </c>
      <c r="D286" s="23">
        <v>8</v>
      </c>
    </row>
    <row r="287" spans="1:4" ht="15.75" customHeight="1" x14ac:dyDescent="0.3">
      <c r="A287" s="36">
        <v>70902</v>
      </c>
      <c r="B287" s="17" t="s">
        <v>160</v>
      </c>
      <c r="C287" s="23">
        <v>3</v>
      </c>
      <c r="D287" s="23">
        <v>5</v>
      </c>
    </row>
    <row r="288" spans="1:4" ht="15.75" customHeight="1" x14ac:dyDescent="0.3">
      <c r="A288" s="36">
        <v>70903</v>
      </c>
      <c r="B288" s="17" t="s">
        <v>122</v>
      </c>
      <c r="C288" s="23">
        <v>5</v>
      </c>
      <c r="D288" s="23">
        <v>7</v>
      </c>
    </row>
    <row r="289" spans="1:4" ht="15.75" customHeight="1" x14ac:dyDescent="0.3">
      <c r="A289" s="36">
        <v>70904</v>
      </c>
      <c r="B289" s="17" t="s">
        <v>20</v>
      </c>
      <c r="C289" s="23">
        <v>1</v>
      </c>
      <c r="D289" s="23">
        <v>0</v>
      </c>
    </row>
    <row r="290" spans="1:4" ht="15.75" customHeight="1" x14ac:dyDescent="0.3">
      <c r="A290" s="36">
        <v>71001</v>
      </c>
      <c r="B290" s="17" t="s">
        <v>300</v>
      </c>
      <c r="C290" s="23">
        <v>40</v>
      </c>
      <c r="D290" s="23">
        <v>62</v>
      </c>
    </row>
    <row r="291" spans="1:4" ht="15.75" customHeight="1" x14ac:dyDescent="0.3">
      <c r="A291" s="36">
        <v>71002</v>
      </c>
      <c r="B291" s="17" t="s">
        <v>336</v>
      </c>
      <c r="C291" s="23">
        <v>3</v>
      </c>
      <c r="D291" s="23">
        <v>14</v>
      </c>
    </row>
    <row r="292" spans="1:4" ht="15.75" customHeight="1" x14ac:dyDescent="0.3">
      <c r="A292" s="36">
        <v>71003</v>
      </c>
      <c r="B292" s="17" t="s">
        <v>230</v>
      </c>
      <c r="C292" s="23">
        <v>12</v>
      </c>
      <c r="D292" s="23">
        <v>21</v>
      </c>
    </row>
    <row r="293" spans="1:4" ht="15.75" customHeight="1" x14ac:dyDescent="0.3">
      <c r="A293" s="36">
        <v>71004</v>
      </c>
      <c r="B293" s="17" t="s">
        <v>161</v>
      </c>
      <c r="C293" s="23">
        <v>10</v>
      </c>
      <c r="D293" s="23">
        <v>11</v>
      </c>
    </row>
    <row r="294" spans="1:4" ht="15.75" customHeight="1" x14ac:dyDescent="0.3">
      <c r="A294" s="36">
        <v>71005</v>
      </c>
      <c r="B294" s="17" t="s">
        <v>9</v>
      </c>
      <c r="C294" s="23">
        <v>7</v>
      </c>
      <c r="D294" s="23">
        <v>8</v>
      </c>
    </row>
    <row r="295" spans="1:4" ht="15.75" customHeight="1" x14ac:dyDescent="0.3">
      <c r="A295" s="36">
        <v>71101</v>
      </c>
      <c r="B295" s="17" t="s">
        <v>248</v>
      </c>
      <c r="C295" s="23">
        <v>10</v>
      </c>
      <c r="D295" s="23">
        <v>33</v>
      </c>
    </row>
    <row r="296" spans="1:4" ht="15.75" customHeight="1" x14ac:dyDescent="0.3">
      <c r="A296" s="36">
        <v>71102</v>
      </c>
      <c r="B296" s="17" t="s">
        <v>75</v>
      </c>
      <c r="C296" s="23">
        <v>15</v>
      </c>
      <c r="D296" s="23">
        <v>17</v>
      </c>
    </row>
    <row r="297" spans="1:4" ht="15.75" customHeight="1" x14ac:dyDescent="0.3">
      <c r="A297" s="36">
        <v>71103</v>
      </c>
      <c r="B297" s="17" t="s">
        <v>44</v>
      </c>
      <c r="C297" s="23">
        <v>4</v>
      </c>
      <c r="D297" s="23">
        <v>38</v>
      </c>
    </row>
    <row r="298" spans="1:4" ht="15.75" customHeight="1" x14ac:dyDescent="0.3">
      <c r="A298" s="36">
        <v>71104</v>
      </c>
      <c r="B298" s="17" t="s">
        <v>285</v>
      </c>
      <c r="C298" s="23">
        <v>17</v>
      </c>
      <c r="D298" s="23">
        <v>8</v>
      </c>
    </row>
    <row r="299" spans="1:4" ht="15.75" customHeight="1" x14ac:dyDescent="0.3">
      <c r="A299" s="36">
        <v>71105</v>
      </c>
      <c r="B299" s="17" t="s">
        <v>337</v>
      </c>
      <c r="C299" s="23">
        <v>8</v>
      </c>
      <c r="D299" s="23">
        <v>5</v>
      </c>
    </row>
    <row r="300" spans="1:4" ht="15.75" customHeight="1" x14ac:dyDescent="0.3">
      <c r="A300" s="36">
        <v>71106</v>
      </c>
      <c r="B300" s="17" t="s">
        <v>239</v>
      </c>
      <c r="C300" s="23">
        <v>12</v>
      </c>
      <c r="D300" s="23">
        <v>27</v>
      </c>
    </row>
    <row r="301" spans="1:4" ht="15.75" customHeight="1" x14ac:dyDescent="0.3">
      <c r="A301" s="36">
        <v>71201</v>
      </c>
      <c r="B301" s="17" t="s">
        <v>212</v>
      </c>
      <c r="C301" s="23">
        <v>7</v>
      </c>
      <c r="D301" s="23">
        <v>7</v>
      </c>
    </row>
    <row r="302" spans="1:4" ht="15.75" customHeight="1" x14ac:dyDescent="0.3">
      <c r="A302" s="36">
        <v>71301</v>
      </c>
      <c r="B302" s="17" t="s">
        <v>209</v>
      </c>
      <c r="C302" s="23">
        <v>3</v>
      </c>
      <c r="D302" s="23">
        <v>17</v>
      </c>
    </row>
    <row r="303" spans="1:4" ht="15.75" customHeight="1" x14ac:dyDescent="0.3">
      <c r="A303" s="36">
        <v>71302</v>
      </c>
      <c r="B303" s="17" t="s">
        <v>58</v>
      </c>
      <c r="C303" s="23">
        <v>1</v>
      </c>
      <c r="D303" s="23">
        <v>2</v>
      </c>
    </row>
    <row r="304" spans="1:4" ht="15.75" customHeight="1" x14ac:dyDescent="0.3">
      <c r="A304" s="36">
        <v>71401</v>
      </c>
      <c r="B304" s="17" t="s">
        <v>206</v>
      </c>
      <c r="C304" s="23">
        <v>7</v>
      </c>
      <c r="D304" s="23">
        <v>12</v>
      </c>
    </row>
    <row r="305" spans="1:4" ht="15.75" customHeight="1" x14ac:dyDescent="0.3">
      <c r="A305" s="36">
        <v>71402</v>
      </c>
      <c r="B305" s="17" t="s">
        <v>165</v>
      </c>
      <c r="C305" s="23">
        <v>10</v>
      </c>
      <c r="D305" s="23">
        <v>10</v>
      </c>
    </row>
    <row r="306" spans="1:4" ht="15.75" customHeight="1" x14ac:dyDescent="0.3">
      <c r="A306" s="36">
        <v>71403</v>
      </c>
      <c r="B306" s="17" t="s">
        <v>338</v>
      </c>
      <c r="C306" s="23">
        <v>1</v>
      </c>
      <c r="D306" s="23">
        <v>12</v>
      </c>
    </row>
    <row r="307" spans="1:4" ht="15.75" customHeight="1" x14ac:dyDescent="0.3">
      <c r="A307" s="36">
        <v>71501</v>
      </c>
      <c r="B307" s="17" t="s">
        <v>339</v>
      </c>
      <c r="C307" s="23">
        <v>10</v>
      </c>
      <c r="D307" s="23">
        <v>30</v>
      </c>
    </row>
    <row r="308" spans="1:4" ht="15.75" customHeight="1" x14ac:dyDescent="0.3">
      <c r="A308" s="36">
        <v>71502</v>
      </c>
      <c r="B308" s="17" t="s">
        <v>77</v>
      </c>
      <c r="C308" s="23">
        <v>3</v>
      </c>
      <c r="D308" s="23">
        <v>10</v>
      </c>
    </row>
    <row r="309" spans="1:4" ht="15.75" customHeight="1" x14ac:dyDescent="0.3">
      <c r="A309" s="36">
        <v>71503</v>
      </c>
      <c r="B309" s="17" t="s">
        <v>88</v>
      </c>
      <c r="C309" s="23">
        <v>10</v>
      </c>
      <c r="D309" s="23">
        <v>10</v>
      </c>
    </row>
    <row r="310" spans="1:4" ht="15.75" customHeight="1" x14ac:dyDescent="0.3">
      <c r="A310" s="36">
        <v>80101</v>
      </c>
      <c r="B310" s="17" t="s">
        <v>301</v>
      </c>
      <c r="C310" s="23">
        <v>57</v>
      </c>
      <c r="D310" s="23">
        <v>50</v>
      </c>
    </row>
    <row r="311" spans="1:4" ht="15.75" customHeight="1" x14ac:dyDescent="0.3">
      <c r="A311" s="36">
        <v>80102</v>
      </c>
      <c r="B311" s="17" t="s">
        <v>75</v>
      </c>
      <c r="C311" s="23">
        <v>6</v>
      </c>
      <c r="D311" s="23">
        <v>8</v>
      </c>
    </row>
    <row r="312" spans="1:4" ht="15.75" customHeight="1" x14ac:dyDescent="0.3">
      <c r="A312" s="36">
        <v>80201</v>
      </c>
      <c r="B312" s="17" t="s">
        <v>296</v>
      </c>
      <c r="C312" s="23">
        <v>80</v>
      </c>
      <c r="D312" s="23">
        <v>83</v>
      </c>
    </row>
    <row r="313" spans="1:4" ht="15.75" customHeight="1" x14ac:dyDescent="0.3">
      <c r="A313" s="36">
        <v>80202</v>
      </c>
      <c r="B313" s="17" t="s">
        <v>287</v>
      </c>
      <c r="C313" s="23">
        <v>28</v>
      </c>
      <c r="D313" s="23">
        <v>23</v>
      </c>
    </row>
    <row r="314" spans="1:4" ht="15.75" customHeight="1" x14ac:dyDescent="0.3">
      <c r="A314" s="36">
        <v>80301</v>
      </c>
      <c r="B314" s="17" t="s">
        <v>216</v>
      </c>
      <c r="C314" s="23">
        <v>12</v>
      </c>
      <c r="D314" s="23">
        <v>15</v>
      </c>
    </row>
    <row r="315" spans="1:4" ht="15.75" customHeight="1" x14ac:dyDescent="0.3">
      <c r="A315" s="36">
        <v>80302</v>
      </c>
      <c r="B315" s="17" t="s">
        <v>276</v>
      </c>
      <c r="C315" s="23">
        <v>66</v>
      </c>
      <c r="D315" s="23">
        <v>57</v>
      </c>
    </row>
    <row r="316" spans="1:4" ht="15.75" customHeight="1" x14ac:dyDescent="0.3">
      <c r="A316" s="36">
        <v>80303</v>
      </c>
      <c r="B316" s="17" t="s">
        <v>35</v>
      </c>
      <c r="C316" s="23">
        <v>6</v>
      </c>
      <c r="D316" s="23">
        <v>11</v>
      </c>
    </row>
    <row r="317" spans="1:4" ht="15.75" customHeight="1" x14ac:dyDescent="0.3">
      <c r="A317" s="36">
        <v>80304</v>
      </c>
      <c r="B317" s="17" t="s">
        <v>246</v>
      </c>
      <c r="C317" s="23">
        <v>14</v>
      </c>
      <c r="D317" s="23">
        <v>19</v>
      </c>
    </row>
    <row r="318" spans="1:4" ht="15.75" customHeight="1" x14ac:dyDescent="0.3">
      <c r="A318" s="36">
        <v>80401</v>
      </c>
      <c r="B318" s="17" t="s">
        <v>204</v>
      </c>
      <c r="C318" s="23">
        <v>13</v>
      </c>
      <c r="D318" s="23">
        <v>7</v>
      </c>
    </row>
    <row r="319" spans="1:4" ht="15.75" customHeight="1" x14ac:dyDescent="0.3">
      <c r="A319" s="36">
        <v>80402</v>
      </c>
      <c r="B319" s="17" t="s">
        <v>98</v>
      </c>
      <c r="C319" s="23">
        <v>1</v>
      </c>
      <c r="D319" s="23">
        <v>2</v>
      </c>
    </row>
    <row r="320" spans="1:4" ht="15.75" customHeight="1" x14ac:dyDescent="0.3">
      <c r="A320" s="36">
        <v>80501</v>
      </c>
      <c r="B320" s="17" t="s">
        <v>262</v>
      </c>
      <c r="C320" s="23">
        <v>14</v>
      </c>
      <c r="D320" s="23">
        <v>21</v>
      </c>
    </row>
    <row r="321" spans="1:4" ht="15.75" customHeight="1" x14ac:dyDescent="0.3">
      <c r="A321" s="36">
        <v>80601</v>
      </c>
      <c r="B321" s="17" t="s">
        <v>83</v>
      </c>
      <c r="C321" s="23">
        <v>3</v>
      </c>
      <c r="D321" s="23">
        <v>5</v>
      </c>
    </row>
    <row r="322" spans="1:4" ht="15.75" customHeight="1" x14ac:dyDescent="0.3">
      <c r="A322" s="36">
        <v>80602</v>
      </c>
      <c r="B322" s="17" t="s">
        <v>214</v>
      </c>
      <c r="C322" s="23">
        <v>6</v>
      </c>
      <c r="D322" s="23">
        <v>19</v>
      </c>
    </row>
    <row r="323" spans="1:4" ht="15.75" customHeight="1" x14ac:dyDescent="0.3">
      <c r="A323" s="36">
        <v>80701</v>
      </c>
      <c r="B323" s="17" t="s">
        <v>64</v>
      </c>
      <c r="C323" s="23">
        <v>6</v>
      </c>
      <c r="D323" s="23">
        <v>4</v>
      </c>
    </row>
    <row r="324" spans="1:4" ht="15.75" customHeight="1" x14ac:dyDescent="0.3">
      <c r="A324" s="36">
        <v>80702</v>
      </c>
      <c r="B324" s="17" t="s">
        <v>44</v>
      </c>
      <c r="C324" s="23">
        <v>3</v>
      </c>
      <c r="D324" s="23">
        <v>4</v>
      </c>
    </row>
    <row r="325" spans="1:4" ht="15.75" customHeight="1" x14ac:dyDescent="0.3">
      <c r="A325" s="36">
        <v>80703</v>
      </c>
      <c r="B325" s="17" t="s">
        <v>2</v>
      </c>
      <c r="C325" s="23">
        <v>2</v>
      </c>
      <c r="D325" s="23">
        <v>0</v>
      </c>
    </row>
    <row r="326" spans="1:4" ht="15.75" customHeight="1" x14ac:dyDescent="0.3">
      <c r="A326" s="36">
        <v>80801</v>
      </c>
      <c r="B326" s="17" t="s">
        <v>142</v>
      </c>
      <c r="C326" s="23">
        <v>1</v>
      </c>
      <c r="D326" s="23">
        <v>7</v>
      </c>
    </row>
    <row r="327" spans="1:4" ht="15.75" customHeight="1" x14ac:dyDescent="0.3">
      <c r="A327" s="36">
        <v>80802</v>
      </c>
      <c r="B327" s="17" t="s">
        <v>118</v>
      </c>
      <c r="C327" s="23">
        <v>2</v>
      </c>
      <c r="D327" s="23">
        <v>7</v>
      </c>
    </row>
    <row r="328" spans="1:4" ht="15.75" customHeight="1" x14ac:dyDescent="0.3">
      <c r="A328" s="36">
        <v>80803</v>
      </c>
      <c r="B328" s="17" t="s">
        <v>17</v>
      </c>
      <c r="C328" s="23">
        <v>2</v>
      </c>
      <c r="D328" s="23">
        <v>1</v>
      </c>
    </row>
    <row r="329" spans="1:4" ht="15.75" customHeight="1" x14ac:dyDescent="0.3">
      <c r="A329" s="36">
        <v>80901</v>
      </c>
      <c r="B329" s="34" t="s">
        <v>436</v>
      </c>
      <c r="C329" s="23">
        <v>21</v>
      </c>
      <c r="D329" s="23">
        <v>12</v>
      </c>
    </row>
    <row r="330" spans="1:4" ht="15.75" customHeight="1" x14ac:dyDescent="0.3">
      <c r="A330" s="36">
        <v>90101</v>
      </c>
      <c r="B330" s="17" t="s">
        <v>281</v>
      </c>
      <c r="C330" s="23">
        <v>7</v>
      </c>
      <c r="D330" s="23">
        <v>35</v>
      </c>
    </row>
    <row r="331" spans="1:4" ht="15.75" customHeight="1" x14ac:dyDescent="0.3">
      <c r="A331" s="36">
        <v>90102</v>
      </c>
      <c r="B331" s="17" t="s">
        <v>115</v>
      </c>
      <c r="C331" s="23">
        <v>0</v>
      </c>
      <c r="D331" s="23">
        <v>1</v>
      </c>
    </row>
    <row r="332" spans="1:4" ht="15.75" customHeight="1" x14ac:dyDescent="0.3">
      <c r="A332" s="36">
        <v>90103</v>
      </c>
      <c r="B332" s="17" t="s">
        <v>4</v>
      </c>
      <c r="C332" s="23">
        <v>0</v>
      </c>
      <c r="D332" s="23">
        <v>0</v>
      </c>
    </row>
    <row r="333" spans="1:4" ht="15.75" customHeight="1" x14ac:dyDescent="0.3">
      <c r="A333" s="36">
        <v>90104</v>
      </c>
      <c r="B333" s="17" t="s">
        <v>81</v>
      </c>
      <c r="C333" s="23">
        <v>0</v>
      </c>
      <c r="D333" s="23">
        <v>1</v>
      </c>
    </row>
    <row r="334" spans="1:4" ht="15.75" customHeight="1" x14ac:dyDescent="0.3">
      <c r="A334" s="36">
        <v>90201</v>
      </c>
      <c r="B334" s="17" t="s">
        <v>131</v>
      </c>
      <c r="C334" s="23">
        <v>0</v>
      </c>
      <c r="D334" s="23">
        <v>4</v>
      </c>
    </row>
    <row r="335" spans="1:4" ht="15.75" customHeight="1" x14ac:dyDescent="0.3">
      <c r="A335" s="36">
        <v>90202</v>
      </c>
      <c r="B335" s="17" t="s">
        <v>9</v>
      </c>
      <c r="C335" s="23">
        <v>0</v>
      </c>
      <c r="D335" s="23">
        <v>0</v>
      </c>
    </row>
    <row r="336" spans="1:4" ht="15.75" customHeight="1" x14ac:dyDescent="0.3">
      <c r="A336" s="36">
        <v>90203</v>
      </c>
      <c r="B336" s="17" t="s">
        <v>37</v>
      </c>
      <c r="C336" s="23">
        <v>0</v>
      </c>
      <c r="D336" s="23">
        <v>4</v>
      </c>
    </row>
    <row r="337" spans="1:4" ht="15.75" customHeight="1" x14ac:dyDescent="0.3">
      <c r="A337" s="36">
        <v>90301</v>
      </c>
      <c r="B337" s="17" t="s">
        <v>340</v>
      </c>
      <c r="C337" s="23">
        <v>1</v>
      </c>
      <c r="D337" s="23">
        <v>6</v>
      </c>
    </row>
    <row r="338" spans="1:4" ht="15.75" customHeight="1" x14ac:dyDescent="0.3">
      <c r="A338" s="36">
        <v>90302</v>
      </c>
      <c r="B338" s="17" t="s">
        <v>59</v>
      </c>
      <c r="C338" s="23">
        <v>0</v>
      </c>
      <c r="D338" s="23">
        <v>2</v>
      </c>
    </row>
    <row r="339" spans="1:4" ht="15.75" customHeight="1" x14ac:dyDescent="0.3">
      <c r="A339" s="36">
        <v>90303</v>
      </c>
      <c r="B339" s="17" t="s">
        <v>341</v>
      </c>
      <c r="C339" s="23">
        <v>2</v>
      </c>
      <c r="D339" s="23">
        <v>11</v>
      </c>
    </row>
    <row r="340" spans="1:4" ht="15.75" customHeight="1" x14ac:dyDescent="0.3">
      <c r="A340" s="36">
        <v>90401</v>
      </c>
      <c r="B340" s="17" t="s">
        <v>441</v>
      </c>
      <c r="C340" s="23">
        <v>0</v>
      </c>
      <c r="D340" s="23">
        <v>1</v>
      </c>
    </row>
    <row r="341" spans="1:4" ht="15.75" customHeight="1" x14ac:dyDescent="0.3">
      <c r="A341" s="36">
        <v>90402</v>
      </c>
      <c r="B341" s="17" t="s">
        <v>14</v>
      </c>
      <c r="C341" s="23">
        <v>1</v>
      </c>
      <c r="D341" s="23">
        <v>2</v>
      </c>
    </row>
    <row r="342" spans="1:4" ht="15.75" customHeight="1" x14ac:dyDescent="0.3">
      <c r="A342" s="36">
        <v>90501</v>
      </c>
      <c r="B342" s="17" t="s">
        <v>26</v>
      </c>
      <c r="C342" s="23">
        <v>2</v>
      </c>
      <c r="D342" s="23">
        <v>1</v>
      </c>
    </row>
    <row r="343" spans="1:4" ht="15.75" customHeight="1" x14ac:dyDescent="0.3">
      <c r="A343" s="36">
        <v>90502</v>
      </c>
      <c r="B343" s="17" t="s">
        <v>443</v>
      </c>
      <c r="C343" s="23">
        <v>2</v>
      </c>
      <c r="D343" s="23">
        <v>4</v>
      </c>
    </row>
    <row r="344" spans="1:4" ht="15.75" customHeight="1" x14ac:dyDescent="0.3">
      <c r="A344" s="36">
        <v>90503</v>
      </c>
      <c r="B344" s="17" t="s">
        <v>24</v>
      </c>
      <c r="C344" s="23">
        <v>0</v>
      </c>
      <c r="D344" s="23">
        <v>4</v>
      </c>
    </row>
    <row r="345" spans="1:4" ht="15.75" customHeight="1" x14ac:dyDescent="0.3">
      <c r="B345" s="19"/>
      <c r="C345">
        <v>0</v>
      </c>
      <c r="D345" s="7"/>
    </row>
    <row r="346" spans="1:4" ht="15.75" customHeight="1" x14ac:dyDescent="0.3">
      <c r="B346" s="19"/>
      <c r="D346" s="7"/>
    </row>
    <row r="347" spans="1:4" ht="15.75" customHeight="1" x14ac:dyDescent="0.3">
      <c r="B347" s="19"/>
      <c r="D347" s="7"/>
    </row>
    <row r="348" spans="1:4" ht="15.75" customHeight="1" x14ac:dyDescent="0.3">
      <c r="B348" s="19"/>
    </row>
    <row r="349" spans="1:4" ht="15.75" customHeight="1" x14ac:dyDescent="0.3">
      <c r="B349" s="19"/>
    </row>
    <row r="350" spans="1:4" ht="15.75" customHeight="1" x14ac:dyDescent="0.3">
      <c r="B350" s="19"/>
      <c r="D350" s="8"/>
    </row>
    <row r="351" spans="1:4" ht="15.75" customHeight="1" x14ac:dyDescent="0.3">
      <c r="B351" s="19"/>
      <c r="D351" s="8"/>
    </row>
    <row r="352" spans="1:4" ht="15.75" customHeight="1" x14ac:dyDescent="0.3">
      <c r="B352" s="19"/>
      <c r="D352" s="8"/>
    </row>
    <row r="353" spans="2:4" ht="15.75" customHeight="1" x14ac:dyDescent="0.3">
      <c r="B353" s="22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EB13DACB-5E3B-4F2C-A65A-451C61BF1967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E3C77-B52D-4D52-9D5B-CBA215EBEBA3}">
  <sheetPr>
    <tabColor rgb="FFC00000"/>
  </sheetPr>
  <dimension ref="A1:D1010"/>
  <sheetViews>
    <sheetView workbookViewId="0">
      <selection activeCell="E4" sqref="E4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3" width="18.19921875" customWidth="1"/>
    <col min="4" max="4" width="22.59765625" customWidth="1"/>
    <col min="5" max="26" width="9.3984375" customWidth="1"/>
  </cols>
  <sheetData>
    <row r="1" spans="1:4" ht="51.75" customHeight="1" x14ac:dyDescent="0.3">
      <c r="A1" s="15" t="s">
        <v>306</v>
      </c>
      <c r="B1" s="16" t="s">
        <v>344</v>
      </c>
      <c r="C1" s="1" t="s">
        <v>459</v>
      </c>
      <c r="D1" s="1" t="s">
        <v>458</v>
      </c>
    </row>
    <row r="2" spans="1:4" ht="14.4" x14ac:dyDescent="0.3">
      <c r="A2" s="36">
        <v>10101</v>
      </c>
      <c r="B2" s="17" t="s">
        <v>11</v>
      </c>
      <c r="C2" s="23">
        <v>222</v>
      </c>
      <c r="D2" s="23">
        <v>233</v>
      </c>
    </row>
    <row r="3" spans="1:4" ht="14.4" x14ac:dyDescent="0.3">
      <c r="A3" s="36">
        <v>10102</v>
      </c>
      <c r="B3" s="17" t="s">
        <v>39</v>
      </c>
      <c r="C3" s="23">
        <v>10</v>
      </c>
      <c r="D3" s="23">
        <v>7</v>
      </c>
    </row>
    <row r="4" spans="1:4" ht="14.4" x14ac:dyDescent="0.3">
      <c r="A4" s="36">
        <v>10103</v>
      </c>
      <c r="B4" s="17" t="s">
        <v>18</v>
      </c>
      <c r="C4" s="23">
        <v>36</v>
      </c>
      <c r="D4" s="23">
        <v>16</v>
      </c>
    </row>
    <row r="5" spans="1:4" ht="14.4" x14ac:dyDescent="0.3">
      <c r="A5" s="36">
        <v>10201</v>
      </c>
      <c r="B5" s="17" t="s">
        <v>311</v>
      </c>
      <c r="C5" s="23">
        <v>12</v>
      </c>
      <c r="D5" s="23">
        <v>3</v>
      </c>
    </row>
    <row r="6" spans="1:4" ht="14.4" x14ac:dyDescent="0.3">
      <c r="A6" s="36">
        <v>10202</v>
      </c>
      <c r="B6" s="17" t="s">
        <v>65</v>
      </c>
      <c r="C6" s="23">
        <v>24</v>
      </c>
      <c r="D6" s="23">
        <v>16</v>
      </c>
    </row>
    <row r="7" spans="1:4" ht="14.4" x14ac:dyDescent="0.3">
      <c r="A7" s="36">
        <v>10301</v>
      </c>
      <c r="B7" s="17" t="s">
        <v>72</v>
      </c>
      <c r="C7" s="23">
        <v>13</v>
      </c>
      <c r="D7" s="23">
        <v>4</v>
      </c>
    </row>
    <row r="8" spans="1:4" ht="14.4" x14ac:dyDescent="0.3">
      <c r="A8" s="36">
        <v>10302</v>
      </c>
      <c r="B8" s="17" t="s">
        <v>80</v>
      </c>
      <c r="C8" s="23">
        <v>34</v>
      </c>
      <c r="D8" s="23">
        <v>10</v>
      </c>
    </row>
    <row r="9" spans="1:4" ht="14.4" x14ac:dyDescent="0.3">
      <c r="A9" s="36">
        <v>10303</v>
      </c>
      <c r="B9" s="17" t="s">
        <v>312</v>
      </c>
      <c r="C9" s="23">
        <v>13</v>
      </c>
      <c r="D9" s="23">
        <v>3</v>
      </c>
    </row>
    <row r="10" spans="1:4" ht="14.4" x14ac:dyDescent="0.3">
      <c r="A10" s="36">
        <v>10304</v>
      </c>
      <c r="B10" s="17" t="s">
        <v>99</v>
      </c>
      <c r="C10" s="23">
        <v>4</v>
      </c>
      <c r="D10" s="23">
        <v>3</v>
      </c>
    </row>
    <row r="11" spans="1:4" ht="14.4" x14ac:dyDescent="0.3">
      <c r="A11" s="36">
        <v>10401</v>
      </c>
      <c r="B11" s="17" t="s">
        <v>106</v>
      </c>
      <c r="C11" s="23">
        <v>8</v>
      </c>
      <c r="D11" s="23">
        <v>11</v>
      </c>
    </row>
    <row r="12" spans="1:4" ht="14.4" x14ac:dyDescent="0.3">
      <c r="A12" s="36">
        <v>10402</v>
      </c>
      <c r="B12" s="17" t="s">
        <v>117</v>
      </c>
      <c r="C12" s="23">
        <v>10</v>
      </c>
      <c r="D12" s="23">
        <v>13</v>
      </c>
    </row>
    <row r="13" spans="1:4" ht="14.4" x14ac:dyDescent="0.3">
      <c r="A13" s="36">
        <v>10403</v>
      </c>
      <c r="B13" s="17" t="s">
        <v>121</v>
      </c>
      <c r="C13" s="23">
        <v>2</v>
      </c>
      <c r="D13" s="23">
        <v>5</v>
      </c>
    </row>
    <row r="14" spans="1:4" ht="14.4" x14ac:dyDescent="0.3">
      <c r="A14" s="36">
        <v>10404</v>
      </c>
      <c r="B14" s="17" t="s">
        <v>84</v>
      </c>
      <c r="C14" s="23">
        <v>1</v>
      </c>
      <c r="D14" s="23">
        <v>8</v>
      </c>
    </row>
    <row r="15" spans="1:4" ht="14.4" x14ac:dyDescent="0.3">
      <c r="A15" s="36">
        <v>10405</v>
      </c>
      <c r="B15" s="17" t="s">
        <v>126</v>
      </c>
      <c r="C15" s="23">
        <v>7</v>
      </c>
      <c r="D15" s="23">
        <v>0</v>
      </c>
    </row>
    <row r="16" spans="1:4" ht="14.4" x14ac:dyDescent="0.3">
      <c r="A16" s="36">
        <v>10501</v>
      </c>
      <c r="B16" s="17" t="s">
        <v>129</v>
      </c>
      <c r="C16" s="23">
        <v>21</v>
      </c>
      <c r="D16" s="23">
        <v>4</v>
      </c>
    </row>
    <row r="17" spans="1:4" ht="14.4" x14ac:dyDescent="0.3">
      <c r="A17" s="36">
        <v>10502</v>
      </c>
      <c r="B17" s="17" t="s">
        <v>313</v>
      </c>
      <c r="C17" s="23">
        <v>4</v>
      </c>
      <c r="D17" s="23">
        <v>7</v>
      </c>
    </row>
    <row r="18" spans="1:4" ht="14.4" x14ac:dyDescent="0.3">
      <c r="A18" s="36">
        <v>10601</v>
      </c>
      <c r="B18" s="17" t="s">
        <v>136</v>
      </c>
      <c r="C18" s="23">
        <v>23</v>
      </c>
      <c r="D18" s="23">
        <v>12</v>
      </c>
    </row>
    <row r="19" spans="1:4" ht="14.4" x14ac:dyDescent="0.3">
      <c r="A19" s="36">
        <v>10602</v>
      </c>
      <c r="B19" s="17" t="s">
        <v>139</v>
      </c>
      <c r="C19" s="23">
        <v>6</v>
      </c>
      <c r="D19" s="23">
        <v>15</v>
      </c>
    </row>
    <row r="20" spans="1:4" ht="14.4" x14ac:dyDescent="0.3">
      <c r="A20" s="36">
        <v>10701</v>
      </c>
      <c r="B20" s="17" t="s">
        <v>143</v>
      </c>
      <c r="C20" s="23">
        <v>10</v>
      </c>
      <c r="D20" s="23">
        <v>22</v>
      </c>
    </row>
    <row r="21" spans="1:4" ht="15.75" customHeight="1" x14ac:dyDescent="0.3">
      <c r="A21" s="36">
        <v>10702</v>
      </c>
      <c r="B21" s="17" t="s">
        <v>147</v>
      </c>
      <c r="C21" s="23">
        <v>42</v>
      </c>
      <c r="D21" s="23">
        <v>37</v>
      </c>
    </row>
    <row r="22" spans="1:4" ht="15.75" customHeight="1" x14ac:dyDescent="0.3">
      <c r="A22" s="36">
        <v>10703</v>
      </c>
      <c r="B22" s="17" t="s">
        <v>87</v>
      </c>
      <c r="C22" s="23">
        <v>15</v>
      </c>
      <c r="D22" s="23">
        <v>11</v>
      </c>
    </row>
    <row r="23" spans="1:4" ht="15.75" customHeight="1" x14ac:dyDescent="0.3">
      <c r="A23" s="36">
        <v>10704</v>
      </c>
      <c r="B23" s="17" t="s">
        <v>150</v>
      </c>
      <c r="C23" s="23">
        <v>24</v>
      </c>
      <c r="D23" s="23">
        <v>16</v>
      </c>
    </row>
    <row r="24" spans="1:4" ht="15.75" customHeight="1" x14ac:dyDescent="0.3">
      <c r="A24" s="36">
        <v>10801</v>
      </c>
      <c r="B24" s="17" t="s">
        <v>154</v>
      </c>
      <c r="C24" s="23">
        <v>6</v>
      </c>
      <c r="D24" s="23">
        <v>11</v>
      </c>
    </row>
    <row r="25" spans="1:4" ht="15.75" customHeight="1" x14ac:dyDescent="0.3">
      <c r="A25" s="36">
        <v>10901</v>
      </c>
      <c r="B25" s="17" t="s">
        <v>71</v>
      </c>
      <c r="C25" s="23">
        <v>1</v>
      </c>
      <c r="D25" s="23">
        <v>2</v>
      </c>
    </row>
    <row r="26" spans="1:4" ht="15.75" customHeight="1" x14ac:dyDescent="0.3">
      <c r="A26" s="36">
        <v>10902</v>
      </c>
      <c r="B26" s="17" t="s">
        <v>157</v>
      </c>
      <c r="C26" s="23">
        <v>11</v>
      </c>
      <c r="D26" s="23">
        <v>24</v>
      </c>
    </row>
    <row r="27" spans="1:4" ht="15.75" customHeight="1" x14ac:dyDescent="0.3">
      <c r="A27" s="36">
        <v>10903</v>
      </c>
      <c r="B27" s="17" t="s">
        <v>89</v>
      </c>
      <c r="C27" s="23">
        <v>1</v>
      </c>
      <c r="D27" s="23">
        <v>8</v>
      </c>
    </row>
    <row r="28" spans="1:4" ht="15.75" customHeight="1" x14ac:dyDescent="0.3">
      <c r="A28" s="36">
        <v>11001</v>
      </c>
      <c r="B28" s="17" t="s">
        <v>352</v>
      </c>
      <c r="C28" s="23">
        <v>7</v>
      </c>
      <c r="D28" s="23">
        <v>12</v>
      </c>
    </row>
    <row r="29" spans="1:4" ht="15.75" customHeight="1" x14ac:dyDescent="0.3">
      <c r="A29" s="36">
        <v>11002</v>
      </c>
      <c r="B29" s="17" t="s">
        <v>33</v>
      </c>
      <c r="C29" s="23">
        <v>1</v>
      </c>
      <c r="D29" s="23">
        <v>0</v>
      </c>
    </row>
    <row r="30" spans="1:4" ht="15.75" customHeight="1" x14ac:dyDescent="0.3">
      <c r="A30" s="36">
        <v>11003</v>
      </c>
      <c r="B30" s="17" t="s">
        <v>146</v>
      </c>
      <c r="C30" s="23">
        <v>2</v>
      </c>
      <c r="D30" s="23">
        <v>2</v>
      </c>
    </row>
    <row r="31" spans="1:4" ht="15.75" customHeight="1" x14ac:dyDescent="0.3">
      <c r="A31" s="36">
        <v>20101</v>
      </c>
      <c r="B31" s="17" t="s">
        <v>314</v>
      </c>
      <c r="C31" s="23">
        <v>598</v>
      </c>
      <c r="D31" s="23">
        <v>459</v>
      </c>
    </row>
    <row r="32" spans="1:4" ht="15.75" customHeight="1" x14ac:dyDescent="0.3">
      <c r="A32" s="36">
        <v>20102</v>
      </c>
      <c r="B32" s="17" t="s">
        <v>168</v>
      </c>
      <c r="C32" s="23">
        <v>46</v>
      </c>
      <c r="D32" s="23">
        <v>34</v>
      </c>
    </row>
    <row r="33" spans="1:4" ht="15.75" customHeight="1" x14ac:dyDescent="0.3">
      <c r="A33" s="36">
        <v>20103</v>
      </c>
      <c r="B33" s="17" t="s">
        <v>170</v>
      </c>
      <c r="C33" s="23">
        <v>25</v>
      </c>
      <c r="D33" s="23">
        <v>25</v>
      </c>
    </row>
    <row r="34" spans="1:4" ht="15.75" customHeight="1" x14ac:dyDescent="0.3">
      <c r="A34" s="36">
        <v>20104</v>
      </c>
      <c r="B34" s="17" t="s">
        <v>174</v>
      </c>
      <c r="C34" s="23">
        <v>61</v>
      </c>
      <c r="D34" s="23">
        <v>70</v>
      </c>
    </row>
    <row r="35" spans="1:4" ht="15.75" customHeight="1" x14ac:dyDescent="0.3">
      <c r="A35" s="36">
        <v>20105</v>
      </c>
      <c r="B35" s="17" t="s">
        <v>178</v>
      </c>
      <c r="C35" s="23">
        <v>1168</v>
      </c>
      <c r="D35" s="23">
        <v>946</v>
      </c>
    </row>
    <row r="36" spans="1:4" ht="15.75" customHeight="1" x14ac:dyDescent="0.3">
      <c r="A36" s="36">
        <v>20201</v>
      </c>
      <c r="B36" s="17" t="s">
        <v>181</v>
      </c>
      <c r="C36" s="23">
        <v>73</v>
      </c>
      <c r="D36" s="23">
        <v>62</v>
      </c>
    </row>
    <row r="37" spans="1:4" ht="15.75" customHeight="1" x14ac:dyDescent="0.3">
      <c r="A37" s="36">
        <v>20202</v>
      </c>
      <c r="B37" s="17" t="s">
        <v>183</v>
      </c>
      <c r="C37" s="23">
        <v>41</v>
      </c>
      <c r="D37" s="23">
        <v>29</v>
      </c>
    </row>
    <row r="38" spans="1:4" ht="15.75" customHeight="1" x14ac:dyDescent="0.3">
      <c r="A38" s="36">
        <v>20203</v>
      </c>
      <c r="B38" s="17" t="s">
        <v>159</v>
      </c>
      <c r="C38" s="23">
        <v>6</v>
      </c>
      <c r="D38" s="23">
        <v>6</v>
      </c>
    </row>
    <row r="39" spans="1:4" ht="15.75" customHeight="1" x14ac:dyDescent="0.3">
      <c r="A39" s="36">
        <v>20204</v>
      </c>
      <c r="B39" s="17" t="s">
        <v>187</v>
      </c>
      <c r="C39" s="23">
        <v>13</v>
      </c>
      <c r="D39" s="23">
        <v>15</v>
      </c>
    </row>
    <row r="40" spans="1:4" ht="15.75" customHeight="1" x14ac:dyDescent="0.3">
      <c r="A40" s="36">
        <v>20205</v>
      </c>
      <c r="B40" s="17" t="s">
        <v>189</v>
      </c>
      <c r="C40" s="23">
        <v>8</v>
      </c>
      <c r="D40" s="23">
        <v>17</v>
      </c>
    </row>
    <row r="41" spans="1:4" ht="15.75" customHeight="1" x14ac:dyDescent="0.3">
      <c r="A41" s="36">
        <v>20206</v>
      </c>
      <c r="B41" s="17" t="s">
        <v>103</v>
      </c>
      <c r="C41" s="23">
        <v>14</v>
      </c>
      <c r="D41" s="23">
        <v>0</v>
      </c>
    </row>
    <row r="42" spans="1:4" ht="15.75" customHeight="1" x14ac:dyDescent="0.3">
      <c r="A42" s="36">
        <v>20301</v>
      </c>
      <c r="B42" s="17" t="s">
        <v>196</v>
      </c>
      <c r="C42" s="23">
        <v>10</v>
      </c>
      <c r="D42" s="23">
        <v>34</v>
      </c>
    </row>
    <row r="43" spans="1:4" ht="15.75" customHeight="1" x14ac:dyDescent="0.3">
      <c r="A43" s="36">
        <v>20302</v>
      </c>
      <c r="B43" s="17" t="s">
        <v>82</v>
      </c>
      <c r="C43" s="23">
        <v>13</v>
      </c>
      <c r="D43" s="23">
        <v>18</v>
      </c>
    </row>
    <row r="44" spans="1:4" ht="15.75" customHeight="1" x14ac:dyDescent="0.3">
      <c r="A44" s="36">
        <v>20303</v>
      </c>
      <c r="B44" s="17" t="s">
        <v>30</v>
      </c>
      <c r="C44" s="23">
        <v>8</v>
      </c>
      <c r="D44" s="23">
        <v>21</v>
      </c>
    </row>
    <row r="45" spans="1:4" ht="15.75" customHeight="1" x14ac:dyDescent="0.3">
      <c r="A45" s="36">
        <v>20304</v>
      </c>
      <c r="B45" s="17" t="s">
        <v>148</v>
      </c>
      <c r="C45" s="23">
        <v>3</v>
      </c>
      <c r="D45" s="23">
        <v>0</v>
      </c>
    </row>
    <row r="46" spans="1:4" ht="15.75" customHeight="1" x14ac:dyDescent="0.3">
      <c r="A46" s="36">
        <v>20305</v>
      </c>
      <c r="B46" s="17" t="s">
        <v>93</v>
      </c>
      <c r="C46" s="23">
        <v>4</v>
      </c>
      <c r="D46" s="23">
        <v>11</v>
      </c>
    </row>
    <row r="47" spans="1:4" ht="15.75" customHeight="1" x14ac:dyDescent="0.3">
      <c r="A47" s="36">
        <v>20306</v>
      </c>
      <c r="B47" s="17" t="s">
        <v>97</v>
      </c>
      <c r="C47" s="23">
        <v>7</v>
      </c>
      <c r="D47" s="23">
        <v>0</v>
      </c>
    </row>
    <row r="48" spans="1:4" ht="15.75" customHeight="1" x14ac:dyDescent="0.3">
      <c r="A48" s="36">
        <v>20307</v>
      </c>
      <c r="B48" s="17" t="s">
        <v>12</v>
      </c>
      <c r="C48" s="23">
        <v>0</v>
      </c>
      <c r="D48" s="23">
        <v>1</v>
      </c>
    </row>
    <row r="49" spans="1:4" ht="15.75" customHeight="1" x14ac:dyDescent="0.3">
      <c r="A49" s="36">
        <v>20308</v>
      </c>
      <c r="B49" s="17" t="s">
        <v>315</v>
      </c>
      <c r="C49" s="23">
        <v>8</v>
      </c>
      <c r="D49" s="23">
        <v>15</v>
      </c>
    </row>
    <row r="50" spans="1:4" ht="15.75" customHeight="1" x14ac:dyDescent="0.3">
      <c r="A50" s="36">
        <v>20401</v>
      </c>
      <c r="B50" s="17" t="s">
        <v>124</v>
      </c>
      <c r="C50" s="23">
        <v>16</v>
      </c>
      <c r="D50" s="23">
        <v>12</v>
      </c>
    </row>
    <row r="51" spans="1:4" ht="15.75" customHeight="1" x14ac:dyDescent="0.3">
      <c r="A51" s="36">
        <v>20402</v>
      </c>
      <c r="B51" s="17" t="s">
        <v>112</v>
      </c>
      <c r="C51" s="23">
        <v>34</v>
      </c>
      <c r="D51" s="23">
        <v>17</v>
      </c>
    </row>
    <row r="52" spans="1:4" ht="15.75" customHeight="1" x14ac:dyDescent="0.3">
      <c r="A52" s="36">
        <v>20403</v>
      </c>
      <c r="B52" s="17" t="s">
        <v>316</v>
      </c>
      <c r="C52" s="23">
        <v>29</v>
      </c>
      <c r="D52" s="23">
        <v>25</v>
      </c>
    </row>
    <row r="53" spans="1:4" ht="15.75" customHeight="1" x14ac:dyDescent="0.3">
      <c r="A53" s="36">
        <v>20404</v>
      </c>
      <c r="B53" s="17" t="s">
        <v>116</v>
      </c>
      <c r="C53" s="23">
        <v>20</v>
      </c>
      <c r="D53" s="23">
        <v>3</v>
      </c>
    </row>
    <row r="54" spans="1:4" ht="15.75" customHeight="1" x14ac:dyDescent="0.3">
      <c r="A54" s="36">
        <v>20405</v>
      </c>
      <c r="B54" s="17" t="s">
        <v>222</v>
      </c>
      <c r="C54" s="23">
        <v>23</v>
      </c>
      <c r="D54" s="23">
        <v>16</v>
      </c>
    </row>
    <row r="55" spans="1:4" ht="15.75" customHeight="1" x14ac:dyDescent="0.3">
      <c r="A55" s="36">
        <v>20501</v>
      </c>
      <c r="B55" s="17" t="s">
        <v>226</v>
      </c>
      <c r="C55" s="23">
        <v>33</v>
      </c>
      <c r="D55" s="23">
        <v>17</v>
      </c>
    </row>
    <row r="56" spans="1:4" ht="15.75" customHeight="1" x14ac:dyDescent="0.3">
      <c r="A56" s="36">
        <v>20502</v>
      </c>
      <c r="B56" s="17" t="s">
        <v>101</v>
      </c>
      <c r="C56" s="23">
        <v>22</v>
      </c>
      <c r="D56" s="23">
        <v>12</v>
      </c>
    </row>
    <row r="57" spans="1:4" ht="15.75" customHeight="1" x14ac:dyDescent="0.3">
      <c r="A57" s="36">
        <v>20503</v>
      </c>
      <c r="B57" s="17" t="s">
        <v>182</v>
      </c>
      <c r="C57" s="23">
        <v>13</v>
      </c>
      <c r="D57" s="23">
        <v>2</v>
      </c>
    </row>
    <row r="58" spans="1:4" ht="15.75" customHeight="1" x14ac:dyDescent="0.3">
      <c r="A58" s="36">
        <v>20601</v>
      </c>
      <c r="B58" s="17" t="s">
        <v>233</v>
      </c>
      <c r="C58" s="23">
        <v>37</v>
      </c>
      <c r="D58" s="23">
        <v>27</v>
      </c>
    </row>
    <row r="59" spans="1:4" ht="15.75" customHeight="1" x14ac:dyDescent="0.3">
      <c r="A59" s="36">
        <v>20602</v>
      </c>
      <c r="B59" s="17" t="s">
        <v>236</v>
      </c>
      <c r="C59" s="23">
        <v>38</v>
      </c>
      <c r="D59" s="23">
        <v>31</v>
      </c>
    </row>
    <row r="60" spans="1:4" ht="15.75" customHeight="1" x14ac:dyDescent="0.3">
      <c r="A60" s="36">
        <v>20603</v>
      </c>
      <c r="B60" s="17" t="s">
        <v>203</v>
      </c>
      <c r="C60" s="23">
        <v>14</v>
      </c>
      <c r="D60" s="23">
        <v>5</v>
      </c>
    </row>
    <row r="61" spans="1:4" ht="15.75" customHeight="1" x14ac:dyDescent="0.3">
      <c r="A61" s="36">
        <v>20604</v>
      </c>
      <c r="B61" s="17" t="s">
        <v>54</v>
      </c>
      <c r="C61" s="23">
        <v>15</v>
      </c>
      <c r="D61" s="23">
        <v>4</v>
      </c>
    </row>
    <row r="62" spans="1:4" ht="15.75" customHeight="1" x14ac:dyDescent="0.3">
      <c r="A62" s="36">
        <v>20605</v>
      </c>
      <c r="B62" s="17" t="s">
        <v>62</v>
      </c>
      <c r="C62" s="23">
        <v>5</v>
      </c>
      <c r="D62" s="23">
        <v>0</v>
      </c>
    </row>
    <row r="63" spans="1:4" ht="15.75" customHeight="1" x14ac:dyDescent="0.3">
      <c r="A63" s="36">
        <v>20606</v>
      </c>
      <c r="B63" s="17" t="s">
        <v>140</v>
      </c>
      <c r="C63" s="23">
        <v>25</v>
      </c>
      <c r="D63" s="23">
        <v>18</v>
      </c>
    </row>
    <row r="64" spans="1:4" ht="15.75" customHeight="1" x14ac:dyDescent="0.3">
      <c r="A64" s="36">
        <v>20607</v>
      </c>
      <c r="B64" s="17" t="s">
        <v>167</v>
      </c>
      <c r="C64" s="23">
        <v>27</v>
      </c>
      <c r="D64" s="23">
        <v>43</v>
      </c>
    </row>
    <row r="65" spans="1:4" ht="15.75" customHeight="1" x14ac:dyDescent="0.3">
      <c r="A65" s="36">
        <v>20608</v>
      </c>
      <c r="B65" s="17" t="s">
        <v>200</v>
      </c>
      <c r="C65" s="23">
        <v>21</v>
      </c>
      <c r="D65" s="23">
        <v>31</v>
      </c>
    </row>
    <row r="66" spans="1:4" ht="15.75" customHeight="1" x14ac:dyDescent="0.3">
      <c r="A66" s="36">
        <v>20701</v>
      </c>
      <c r="B66" s="17" t="s">
        <v>241</v>
      </c>
      <c r="C66" s="23">
        <v>47</v>
      </c>
      <c r="D66" s="23">
        <v>31</v>
      </c>
    </row>
    <row r="67" spans="1:4" ht="15.75" customHeight="1" x14ac:dyDescent="0.3">
      <c r="A67" s="36">
        <v>20702</v>
      </c>
      <c r="B67" s="17" t="s">
        <v>41</v>
      </c>
      <c r="C67" s="23">
        <v>13</v>
      </c>
      <c r="D67" s="23">
        <v>13</v>
      </c>
    </row>
    <row r="68" spans="1:4" ht="15.75" customHeight="1" x14ac:dyDescent="0.3">
      <c r="A68" s="36">
        <v>20801</v>
      </c>
      <c r="B68" s="17" t="s">
        <v>244</v>
      </c>
      <c r="C68" s="23">
        <v>135</v>
      </c>
      <c r="D68" s="23">
        <v>146</v>
      </c>
    </row>
    <row r="69" spans="1:4" ht="15.75" customHeight="1" x14ac:dyDescent="0.3">
      <c r="A69" s="36">
        <v>20802</v>
      </c>
      <c r="B69" s="17" t="s">
        <v>186</v>
      </c>
      <c r="C69" s="23">
        <v>10</v>
      </c>
      <c r="D69" s="23">
        <v>14</v>
      </c>
    </row>
    <row r="70" spans="1:4" ht="15.75" customHeight="1" x14ac:dyDescent="0.3">
      <c r="A70" s="36">
        <v>20803</v>
      </c>
      <c r="B70" s="17" t="s">
        <v>217</v>
      </c>
      <c r="C70" s="23">
        <v>20</v>
      </c>
      <c r="D70" s="23">
        <v>18</v>
      </c>
    </row>
    <row r="71" spans="1:4" ht="15.75" customHeight="1" x14ac:dyDescent="0.3">
      <c r="A71" s="36">
        <v>20804</v>
      </c>
      <c r="B71" s="17" t="s">
        <v>113</v>
      </c>
      <c r="C71" s="23">
        <v>8</v>
      </c>
      <c r="D71" s="23">
        <v>17</v>
      </c>
    </row>
    <row r="72" spans="1:4" ht="15.75" customHeight="1" x14ac:dyDescent="0.3">
      <c r="A72" s="36">
        <v>20805</v>
      </c>
      <c r="B72" s="17" t="s">
        <v>90</v>
      </c>
      <c r="C72" s="23">
        <v>4</v>
      </c>
      <c r="D72" s="23">
        <v>1</v>
      </c>
    </row>
    <row r="73" spans="1:4" ht="15.75" customHeight="1" x14ac:dyDescent="0.3">
      <c r="A73" s="36">
        <v>20806</v>
      </c>
      <c r="B73" s="17" t="s">
        <v>210</v>
      </c>
      <c r="C73" s="23">
        <v>17</v>
      </c>
      <c r="D73" s="23">
        <v>16</v>
      </c>
    </row>
    <row r="74" spans="1:4" ht="15.75" customHeight="1" x14ac:dyDescent="0.3">
      <c r="A74" s="36">
        <v>20807</v>
      </c>
      <c r="B74" s="17" t="s">
        <v>123</v>
      </c>
      <c r="C74" s="23">
        <v>6</v>
      </c>
      <c r="D74" s="23">
        <v>7</v>
      </c>
    </row>
    <row r="75" spans="1:4" ht="15.75" customHeight="1" x14ac:dyDescent="0.3">
      <c r="A75" s="36">
        <v>20901</v>
      </c>
      <c r="B75" s="17" t="s">
        <v>253</v>
      </c>
      <c r="C75" s="23">
        <v>21</v>
      </c>
      <c r="D75" s="23">
        <v>10</v>
      </c>
    </row>
    <row r="76" spans="1:4" ht="15.75" customHeight="1" x14ac:dyDescent="0.3">
      <c r="A76" s="36">
        <v>20902</v>
      </c>
      <c r="B76" s="17" t="s">
        <v>172</v>
      </c>
      <c r="C76" s="23">
        <v>19</v>
      </c>
      <c r="D76" s="23">
        <v>19</v>
      </c>
    </row>
    <row r="77" spans="1:4" ht="15.75" customHeight="1" x14ac:dyDescent="0.3">
      <c r="A77" s="36">
        <v>20903</v>
      </c>
      <c r="B77" s="17" t="s">
        <v>198</v>
      </c>
      <c r="C77" s="23">
        <v>13</v>
      </c>
      <c r="D77" s="23">
        <v>16</v>
      </c>
    </row>
    <row r="78" spans="1:4" ht="15.75" customHeight="1" x14ac:dyDescent="0.3">
      <c r="A78" s="36">
        <v>20904</v>
      </c>
      <c r="B78" s="17" t="s">
        <v>107</v>
      </c>
      <c r="C78" s="23">
        <v>8</v>
      </c>
      <c r="D78" s="23">
        <v>5</v>
      </c>
    </row>
    <row r="79" spans="1:4" ht="15.75" customHeight="1" x14ac:dyDescent="0.3">
      <c r="A79" s="36">
        <v>20905</v>
      </c>
      <c r="B79" s="17" t="s">
        <v>191</v>
      </c>
      <c r="C79" s="23">
        <v>26</v>
      </c>
      <c r="D79" s="23">
        <v>30</v>
      </c>
    </row>
    <row r="80" spans="1:4" ht="15.75" customHeight="1" x14ac:dyDescent="0.3">
      <c r="A80" s="36">
        <v>21001</v>
      </c>
      <c r="B80" s="17" t="s">
        <v>138</v>
      </c>
      <c r="C80" s="23">
        <v>22</v>
      </c>
      <c r="D80" s="23">
        <v>44</v>
      </c>
    </row>
    <row r="81" spans="1:4" ht="15.75" customHeight="1" x14ac:dyDescent="0.3">
      <c r="A81" s="36">
        <v>21002</v>
      </c>
      <c r="B81" s="17" t="s">
        <v>231</v>
      </c>
      <c r="C81" s="23">
        <v>20</v>
      </c>
      <c r="D81" s="23">
        <v>15</v>
      </c>
    </row>
    <row r="82" spans="1:4" ht="15.75" customHeight="1" x14ac:dyDescent="0.3">
      <c r="A82" s="36">
        <v>21003</v>
      </c>
      <c r="B82" s="17" t="s">
        <v>149</v>
      </c>
      <c r="C82" s="23">
        <v>22</v>
      </c>
      <c r="D82" s="23">
        <v>22</v>
      </c>
    </row>
    <row r="83" spans="1:4" ht="15.75" customHeight="1" x14ac:dyDescent="0.3">
      <c r="A83" s="36">
        <v>21004</v>
      </c>
      <c r="B83" s="17" t="s">
        <v>268</v>
      </c>
      <c r="C83" s="23">
        <v>43</v>
      </c>
      <c r="D83" s="23">
        <v>30</v>
      </c>
    </row>
    <row r="84" spans="1:4" ht="15.75" customHeight="1" x14ac:dyDescent="0.3">
      <c r="A84" s="36">
        <v>21005</v>
      </c>
      <c r="B84" s="17" t="s">
        <v>132</v>
      </c>
      <c r="C84" s="23">
        <v>10</v>
      </c>
      <c r="D84" s="23">
        <v>14</v>
      </c>
    </row>
    <row r="85" spans="1:4" ht="15.75" customHeight="1" x14ac:dyDescent="0.3">
      <c r="A85" s="36">
        <v>21006</v>
      </c>
      <c r="B85" s="17" t="s">
        <v>67</v>
      </c>
      <c r="C85" s="23">
        <v>2</v>
      </c>
      <c r="D85" s="23">
        <v>3</v>
      </c>
    </row>
    <row r="86" spans="1:4" ht="15.75" customHeight="1" x14ac:dyDescent="0.3">
      <c r="A86" s="36">
        <v>21101</v>
      </c>
      <c r="B86" s="17" t="s">
        <v>245</v>
      </c>
      <c r="C86" s="23">
        <v>23</v>
      </c>
      <c r="D86" s="23">
        <v>31</v>
      </c>
    </row>
    <row r="87" spans="1:4" ht="15.75" customHeight="1" x14ac:dyDescent="0.3">
      <c r="A87" s="36">
        <v>21102</v>
      </c>
      <c r="B87" s="17" t="s">
        <v>273</v>
      </c>
      <c r="C87" s="23">
        <v>20</v>
      </c>
      <c r="D87" s="23">
        <v>38</v>
      </c>
    </row>
    <row r="88" spans="1:4" ht="15.75" customHeight="1" x14ac:dyDescent="0.3">
      <c r="A88" s="36">
        <v>21103</v>
      </c>
      <c r="B88" s="17" t="s">
        <v>94</v>
      </c>
      <c r="C88" s="23">
        <v>9</v>
      </c>
      <c r="D88" s="23">
        <v>2</v>
      </c>
    </row>
    <row r="89" spans="1:4" ht="15.75" customHeight="1" x14ac:dyDescent="0.3">
      <c r="A89" s="36">
        <v>21104</v>
      </c>
      <c r="B89" s="17" t="s">
        <v>258</v>
      </c>
      <c r="C89" s="23">
        <v>63</v>
      </c>
      <c r="D89" s="23">
        <v>78</v>
      </c>
    </row>
    <row r="90" spans="1:4" ht="15.75" customHeight="1" x14ac:dyDescent="0.3">
      <c r="A90" s="36">
        <v>21105</v>
      </c>
      <c r="B90" s="17" t="s">
        <v>70</v>
      </c>
      <c r="C90" s="23">
        <v>84</v>
      </c>
      <c r="D90" s="23">
        <v>115</v>
      </c>
    </row>
    <row r="91" spans="1:4" ht="15.75" customHeight="1" x14ac:dyDescent="0.3">
      <c r="A91" s="36">
        <v>21201</v>
      </c>
      <c r="B91" s="17" t="s">
        <v>255</v>
      </c>
      <c r="C91" s="23">
        <v>77</v>
      </c>
      <c r="D91" s="23">
        <v>98</v>
      </c>
    </row>
    <row r="92" spans="1:4" ht="15.75" customHeight="1" x14ac:dyDescent="0.3">
      <c r="A92" s="36">
        <v>21202</v>
      </c>
      <c r="B92" s="17" t="s">
        <v>267</v>
      </c>
      <c r="C92" s="23">
        <v>40</v>
      </c>
      <c r="D92" s="23">
        <v>52</v>
      </c>
    </row>
    <row r="93" spans="1:4" ht="15.75" customHeight="1" x14ac:dyDescent="0.3">
      <c r="A93" s="36">
        <v>21203</v>
      </c>
      <c r="B93" s="17" t="s">
        <v>277</v>
      </c>
      <c r="C93" s="23">
        <v>14</v>
      </c>
      <c r="D93" s="23">
        <v>22</v>
      </c>
    </row>
    <row r="94" spans="1:4" ht="15.75" customHeight="1" x14ac:dyDescent="0.3">
      <c r="A94" s="36">
        <v>21204</v>
      </c>
      <c r="B94" s="17" t="s">
        <v>199</v>
      </c>
      <c r="C94" s="23">
        <v>16</v>
      </c>
      <c r="D94" s="23">
        <v>3</v>
      </c>
    </row>
    <row r="95" spans="1:4" ht="15.75" customHeight="1" x14ac:dyDescent="0.3">
      <c r="A95" s="36">
        <v>21301</v>
      </c>
      <c r="B95" s="17" t="s">
        <v>261</v>
      </c>
      <c r="C95" s="23">
        <v>46</v>
      </c>
      <c r="D95" s="23">
        <v>35</v>
      </c>
    </row>
    <row r="96" spans="1:4" ht="15.75" customHeight="1" x14ac:dyDescent="0.3">
      <c r="A96" s="36">
        <v>21302</v>
      </c>
      <c r="B96" s="17" t="s">
        <v>232</v>
      </c>
      <c r="C96" s="23">
        <v>15</v>
      </c>
      <c r="D96" s="23">
        <v>24</v>
      </c>
    </row>
    <row r="97" spans="1:4" ht="15.75" customHeight="1" x14ac:dyDescent="0.3">
      <c r="A97" s="36">
        <v>21303</v>
      </c>
      <c r="B97" s="17" t="s">
        <v>218</v>
      </c>
      <c r="C97" s="23">
        <v>9</v>
      </c>
      <c r="D97" s="23">
        <v>26</v>
      </c>
    </row>
    <row r="98" spans="1:4" ht="15.75" customHeight="1" x14ac:dyDescent="0.3">
      <c r="A98" s="36">
        <v>21304</v>
      </c>
      <c r="B98" s="17" t="s">
        <v>249</v>
      </c>
      <c r="C98" s="23">
        <v>19</v>
      </c>
      <c r="D98" s="23">
        <v>47</v>
      </c>
    </row>
    <row r="99" spans="1:4" ht="15.75" customHeight="1" x14ac:dyDescent="0.3">
      <c r="A99" s="36">
        <v>21305</v>
      </c>
      <c r="B99" s="17" t="s">
        <v>280</v>
      </c>
      <c r="C99" s="23">
        <v>25</v>
      </c>
      <c r="D99" s="23">
        <v>42</v>
      </c>
    </row>
    <row r="100" spans="1:4" ht="15.75" customHeight="1" x14ac:dyDescent="0.3">
      <c r="A100" s="36">
        <v>21306</v>
      </c>
      <c r="B100" s="17" t="s">
        <v>229</v>
      </c>
      <c r="C100" s="23">
        <v>13</v>
      </c>
      <c r="D100" s="23">
        <v>12</v>
      </c>
    </row>
    <row r="101" spans="1:4" ht="15.75" customHeight="1" x14ac:dyDescent="0.3">
      <c r="A101" s="36">
        <v>21307</v>
      </c>
      <c r="B101" s="17" t="s">
        <v>100</v>
      </c>
      <c r="C101" s="23">
        <v>2</v>
      </c>
      <c r="D101" s="23">
        <v>8</v>
      </c>
    </row>
    <row r="102" spans="1:4" ht="15.75" customHeight="1" x14ac:dyDescent="0.3">
      <c r="A102" s="36">
        <v>21401</v>
      </c>
      <c r="B102" s="17" t="s">
        <v>284</v>
      </c>
      <c r="C102" s="23">
        <v>24</v>
      </c>
      <c r="D102" s="23">
        <v>54</v>
      </c>
    </row>
    <row r="103" spans="1:4" ht="15.75" customHeight="1" x14ac:dyDescent="0.3">
      <c r="A103" s="36">
        <v>21402</v>
      </c>
      <c r="B103" s="17" t="s">
        <v>220</v>
      </c>
      <c r="C103" s="23">
        <v>18</v>
      </c>
      <c r="D103" s="23">
        <v>23</v>
      </c>
    </row>
    <row r="104" spans="1:4" ht="15.75" customHeight="1" x14ac:dyDescent="0.3">
      <c r="A104" s="36">
        <v>21501</v>
      </c>
      <c r="B104" s="17" t="s">
        <v>194</v>
      </c>
      <c r="C104" s="23">
        <v>11</v>
      </c>
      <c r="D104" s="23">
        <v>32</v>
      </c>
    </row>
    <row r="105" spans="1:4" ht="15.75" customHeight="1" x14ac:dyDescent="0.3">
      <c r="A105" s="36">
        <v>21502</v>
      </c>
      <c r="B105" s="17" t="s">
        <v>133</v>
      </c>
      <c r="C105" s="23">
        <v>17</v>
      </c>
      <c r="D105" s="23">
        <v>33</v>
      </c>
    </row>
    <row r="106" spans="1:4" ht="15.75" customHeight="1" x14ac:dyDescent="0.3">
      <c r="A106" s="36">
        <v>21601</v>
      </c>
      <c r="B106" s="17" t="s">
        <v>317</v>
      </c>
      <c r="C106" s="23">
        <v>15</v>
      </c>
      <c r="D106" s="23">
        <v>12</v>
      </c>
    </row>
    <row r="107" spans="1:4" ht="15.75" customHeight="1" x14ac:dyDescent="0.3">
      <c r="A107" s="36">
        <v>21602</v>
      </c>
      <c r="B107" s="17" t="s">
        <v>108</v>
      </c>
      <c r="C107" s="23">
        <v>4</v>
      </c>
      <c r="D107" s="23">
        <v>7</v>
      </c>
    </row>
    <row r="108" spans="1:4" ht="15.75" customHeight="1" x14ac:dyDescent="0.3">
      <c r="A108" s="36">
        <v>21701</v>
      </c>
      <c r="B108" s="17" t="s">
        <v>251</v>
      </c>
      <c r="C108" s="23">
        <v>18</v>
      </c>
      <c r="D108" s="23">
        <v>20</v>
      </c>
    </row>
    <row r="109" spans="1:4" ht="15.75" customHeight="1" x14ac:dyDescent="0.3">
      <c r="A109" s="36">
        <v>21702</v>
      </c>
      <c r="B109" s="17" t="s">
        <v>184</v>
      </c>
      <c r="C109" s="23">
        <v>3</v>
      </c>
      <c r="D109" s="23">
        <v>8</v>
      </c>
    </row>
    <row r="110" spans="1:4" ht="15.75" customHeight="1" x14ac:dyDescent="0.3">
      <c r="A110" s="36">
        <v>21703</v>
      </c>
      <c r="B110" s="17" t="s">
        <v>135</v>
      </c>
      <c r="C110" s="23">
        <v>6</v>
      </c>
      <c r="D110" s="23">
        <v>8</v>
      </c>
    </row>
    <row r="111" spans="1:4" ht="15.75" customHeight="1" x14ac:dyDescent="0.3">
      <c r="A111" s="36">
        <v>21801</v>
      </c>
      <c r="B111" s="17" t="s">
        <v>318</v>
      </c>
      <c r="C111" s="23">
        <v>9</v>
      </c>
      <c r="D111" s="23">
        <v>15</v>
      </c>
    </row>
    <row r="112" spans="1:4" ht="15.75" customHeight="1" x14ac:dyDescent="0.3">
      <c r="A112" s="36">
        <v>21802</v>
      </c>
      <c r="B112" s="17" t="s">
        <v>197</v>
      </c>
      <c r="C112" s="23">
        <v>4</v>
      </c>
      <c r="D112" s="23">
        <v>13</v>
      </c>
    </row>
    <row r="113" spans="1:4" ht="15.75" customHeight="1" x14ac:dyDescent="0.3">
      <c r="A113" s="36">
        <v>21803</v>
      </c>
      <c r="B113" s="17" t="s">
        <v>49</v>
      </c>
      <c r="C113" s="23">
        <v>5</v>
      </c>
      <c r="D113" s="23">
        <v>4</v>
      </c>
    </row>
    <row r="114" spans="1:4" ht="15.75" customHeight="1" x14ac:dyDescent="0.3">
      <c r="A114" s="36">
        <v>21901</v>
      </c>
      <c r="B114" s="17" t="s">
        <v>50</v>
      </c>
      <c r="C114" s="23">
        <v>3</v>
      </c>
      <c r="D114" s="23">
        <v>7</v>
      </c>
    </row>
    <row r="115" spans="1:4" ht="15.75" customHeight="1" x14ac:dyDescent="0.3">
      <c r="A115" s="36">
        <v>21902</v>
      </c>
      <c r="B115" s="17" t="s">
        <v>28</v>
      </c>
      <c r="C115" s="23">
        <v>0</v>
      </c>
      <c r="D115" s="23">
        <v>0</v>
      </c>
    </row>
    <row r="116" spans="1:4" ht="15.75" customHeight="1" x14ac:dyDescent="0.3">
      <c r="A116" s="36">
        <v>22001</v>
      </c>
      <c r="B116" s="17" t="s">
        <v>260</v>
      </c>
      <c r="C116" s="23">
        <v>88</v>
      </c>
      <c r="D116" s="23">
        <v>59</v>
      </c>
    </row>
    <row r="117" spans="1:4" ht="15.75" customHeight="1" x14ac:dyDescent="0.3">
      <c r="A117" s="36">
        <v>22002</v>
      </c>
      <c r="B117" s="17" t="s">
        <v>185</v>
      </c>
      <c r="C117" s="23">
        <v>26</v>
      </c>
      <c r="D117" s="23">
        <v>25</v>
      </c>
    </row>
    <row r="118" spans="1:4" ht="15.75" customHeight="1" x14ac:dyDescent="0.3">
      <c r="A118" s="36">
        <v>30101</v>
      </c>
      <c r="B118" s="17" t="s">
        <v>51</v>
      </c>
      <c r="C118" s="23">
        <v>617</v>
      </c>
      <c r="D118" s="23">
        <v>404</v>
      </c>
    </row>
    <row r="119" spans="1:4" ht="15.75" customHeight="1" x14ac:dyDescent="0.3">
      <c r="A119" s="36">
        <v>30201</v>
      </c>
      <c r="B119" s="17" t="s">
        <v>252</v>
      </c>
      <c r="C119" s="23">
        <v>34</v>
      </c>
      <c r="D119" s="23">
        <v>27</v>
      </c>
    </row>
    <row r="120" spans="1:4" ht="15.75" customHeight="1" x14ac:dyDescent="0.3">
      <c r="A120" s="36">
        <v>30202</v>
      </c>
      <c r="B120" s="17" t="s">
        <v>145</v>
      </c>
      <c r="C120" s="23">
        <v>1</v>
      </c>
      <c r="D120" s="23">
        <v>3</v>
      </c>
    </row>
    <row r="121" spans="1:4" ht="15.75" customHeight="1" x14ac:dyDescent="0.3">
      <c r="A121" s="36">
        <v>30203</v>
      </c>
      <c r="B121" s="17" t="s">
        <v>56</v>
      </c>
      <c r="C121" s="23">
        <v>6</v>
      </c>
      <c r="D121" s="23">
        <v>9</v>
      </c>
    </row>
    <row r="122" spans="1:4" ht="15.75" customHeight="1" x14ac:dyDescent="0.3">
      <c r="A122" s="36">
        <v>30301</v>
      </c>
      <c r="B122" s="17" t="s">
        <v>211</v>
      </c>
      <c r="C122" s="23">
        <v>56</v>
      </c>
      <c r="D122" s="23">
        <v>60</v>
      </c>
    </row>
    <row r="123" spans="1:4" ht="15.75" customHeight="1" x14ac:dyDescent="0.3">
      <c r="A123" s="36">
        <v>30302</v>
      </c>
      <c r="B123" s="17" t="s">
        <v>177</v>
      </c>
      <c r="C123" s="23">
        <v>42</v>
      </c>
      <c r="D123" s="23">
        <v>24</v>
      </c>
    </row>
    <row r="124" spans="1:4" ht="15.75" customHeight="1" x14ac:dyDescent="0.3">
      <c r="A124" s="36">
        <v>30303</v>
      </c>
      <c r="B124" s="17" t="s">
        <v>66</v>
      </c>
      <c r="C124" s="23">
        <v>52</v>
      </c>
      <c r="D124" s="23">
        <v>41</v>
      </c>
    </row>
    <row r="125" spans="1:4" ht="15.75" customHeight="1" x14ac:dyDescent="0.3">
      <c r="A125" s="36">
        <v>30401</v>
      </c>
      <c r="B125" s="17" t="s">
        <v>171</v>
      </c>
      <c r="C125" s="23">
        <v>16</v>
      </c>
      <c r="D125" s="23">
        <v>12</v>
      </c>
    </row>
    <row r="126" spans="1:4" ht="15.75" customHeight="1" x14ac:dyDescent="0.3">
      <c r="A126" s="36">
        <v>30402</v>
      </c>
      <c r="B126" s="17" t="s">
        <v>153</v>
      </c>
      <c r="C126" s="23">
        <v>16</v>
      </c>
      <c r="D126" s="23">
        <v>19</v>
      </c>
    </row>
    <row r="127" spans="1:4" ht="15.75" customHeight="1" x14ac:dyDescent="0.3">
      <c r="A127" s="36">
        <v>30403</v>
      </c>
      <c r="B127" s="17" t="s">
        <v>259</v>
      </c>
      <c r="C127" s="23">
        <v>36</v>
      </c>
      <c r="D127" s="23">
        <v>26</v>
      </c>
    </row>
    <row r="128" spans="1:4" ht="15.75" customHeight="1" x14ac:dyDescent="0.3">
      <c r="A128" s="36">
        <v>30404</v>
      </c>
      <c r="B128" s="17" t="s">
        <v>155</v>
      </c>
      <c r="C128" s="23">
        <v>9</v>
      </c>
      <c r="D128" s="23">
        <v>4</v>
      </c>
    </row>
    <row r="129" spans="1:4" ht="15.75" customHeight="1" x14ac:dyDescent="0.3">
      <c r="A129" s="36">
        <v>30501</v>
      </c>
      <c r="B129" s="17" t="s">
        <v>179</v>
      </c>
      <c r="C129" s="23">
        <v>17</v>
      </c>
      <c r="D129" s="23">
        <v>7</v>
      </c>
    </row>
    <row r="130" spans="1:4" ht="15.75" customHeight="1" x14ac:dyDescent="0.3">
      <c r="A130" s="36">
        <v>30502</v>
      </c>
      <c r="B130" s="17" t="s">
        <v>238</v>
      </c>
      <c r="C130" s="23">
        <v>17</v>
      </c>
      <c r="D130" s="23">
        <v>15</v>
      </c>
    </row>
    <row r="131" spans="1:4" ht="15.75" customHeight="1" x14ac:dyDescent="0.3">
      <c r="A131" s="36">
        <v>30601</v>
      </c>
      <c r="B131" s="17" t="s">
        <v>128</v>
      </c>
      <c r="C131" s="23">
        <v>29</v>
      </c>
      <c r="D131" s="23">
        <v>14</v>
      </c>
    </row>
    <row r="132" spans="1:4" ht="15.75" customHeight="1" x14ac:dyDescent="0.3">
      <c r="A132" s="36">
        <v>30602</v>
      </c>
      <c r="B132" s="17" t="s">
        <v>48</v>
      </c>
      <c r="C132" s="23">
        <v>16</v>
      </c>
      <c r="D132" s="23">
        <v>27</v>
      </c>
    </row>
    <row r="133" spans="1:4" ht="15.75" customHeight="1" x14ac:dyDescent="0.3">
      <c r="A133" s="36">
        <v>30701</v>
      </c>
      <c r="B133" s="17" t="s">
        <v>269</v>
      </c>
      <c r="C133" s="23">
        <v>32</v>
      </c>
      <c r="D133" s="23">
        <v>16</v>
      </c>
    </row>
    <row r="134" spans="1:4" ht="15.75" customHeight="1" x14ac:dyDescent="0.3">
      <c r="A134" s="36">
        <v>30702</v>
      </c>
      <c r="B134" s="17" t="s">
        <v>176</v>
      </c>
      <c r="C134" s="23">
        <v>9</v>
      </c>
      <c r="D134" s="23">
        <v>7</v>
      </c>
    </row>
    <row r="135" spans="1:4" ht="15.75" customHeight="1" x14ac:dyDescent="0.3">
      <c r="A135" s="36">
        <v>30703</v>
      </c>
      <c r="B135" s="17" t="s">
        <v>96</v>
      </c>
      <c r="C135" s="23">
        <v>12</v>
      </c>
      <c r="D135" s="23">
        <v>5</v>
      </c>
    </row>
    <row r="136" spans="1:4" ht="15.75" customHeight="1" x14ac:dyDescent="0.3">
      <c r="A136" s="36">
        <v>30801</v>
      </c>
      <c r="B136" s="17" t="s">
        <v>202</v>
      </c>
      <c r="C136" s="23">
        <v>19</v>
      </c>
      <c r="D136" s="23">
        <v>28</v>
      </c>
    </row>
    <row r="137" spans="1:4" ht="15.75" customHeight="1" x14ac:dyDescent="0.3">
      <c r="A137" s="36">
        <v>30802</v>
      </c>
      <c r="B137" s="17" t="s">
        <v>319</v>
      </c>
      <c r="C137" s="23">
        <v>17</v>
      </c>
      <c r="D137" s="23">
        <v>3</v>
      </c>
    </row>
    <row r="138" spans="1:4" ht="15.75" customHeight="1" x14ac:dyDescent="0.3">
      <c r="A138" s="36">
        <v>30803</v>
      </c>
      <c r="B138" s="17" t="s">
        <v>19</v>
      </c>
      <c r="C138" s="23">
        <v>9</v>
      </c>
      <c r="D138" s="23">
        <v>1</v>
      </c>
    </row>
    <row r="139" spans="1:4" ht="15.75" customHeight="1" x14ac:dyDescent="0.3">
      <c r="A139" s="36">
        <v>30901</v>
      </c>
      <c r="B139" s="17" t="s">
        <v>299</v>
      </c>
      <c r="C139" s="23">
        <v>91</v>
      </c>
      <c r="D139" s="23">
        <v>128</v>
      </c>
    </row>
    <row r="140" spans="1:4" ht="15.75" customHeight="1" x14ac:dyDescent="0.3">
      <c r="A140" s="36">
        <v>30902</v>
      </c>
      <c r="B140" s="17" t="s">
        <v>292</v>
      </c>
      <c r="C140" s="23">
        <v>73</v>
      </c>
      <c r="D140" s="23">
        <v>53</v>
      </c>
    </row>
    <row r="141" spans="1:4" ht="15.75" customHeight="1" x14ac:dyDescent="0.3">
      <c r="A141" s="36">
        <v>30903</v>
      </c>
      <c r="B141" s="17" t="s">
        <v>283</v>
      </c>
      <c r="C141" s="23">
        <v>36</v>
      </c>
      <c r="D141" s="23">
        <v>36</v>
      </c>
    </row>
    <row r="142" spans="1:4" ht="15.75" customHeight="1" x14ac:dyDescent="0.3">
      <c r="A142" s="36">
        <v>30904</v>
      </c>
      <c r="B142" s="17" t="s">
        <v>288</v>
      </c>
      <c r="C142" s="23">
        <v>56</v>
      </c>
      <c r="D142" s="23">
        <v>47</v>
      </c>
    </row>
    <row r="143" spans="1:4" ht="15.75" customHeight="1" x14ac:dyDescent="0.3">
      <c r="A143" s="36">
        <v>30905</v>
      </c>
      <c r="B143" s="17" t="s">
        <v>213</v>
      </c>
      <c r="C143" s="23">
        <v>24</v>
      </c>
      <c r="D143" s="23">
        <v>34</v>
      </c>
    </row>
    <row r="144" spans="1:4" ht="15.75" customHeight="1" x14ac:dyDescent="0.3">
      <c r="A144" s="36">
        <v>31001</v>
      </c>
      <c r="B144" s="17" t="s">
        <v>303</v>
      </c>
      <c r="C144" s="23">
        <v>195</v>
      </c>
      <c r="D144" s="23">
        <v>185</v>
      </c>
    </row>
    <row r="145" spans="1:4" ht="15.75" customHeight="1" x14ac:dyDescent="0.3">
      <c r="A145" s="36">
        <v>31002</v>
      </c>
      <c r="B145" s="17" t="s">
        <v>275</v>
      </c>
      <c r="C145" s="23">
        <v>43</v>
      </c>
      <c r="D145" s="23">
        <v>44</v>
      </c>
    </row>
    <row r="146" spans="1:4" ht="15.75" customHeight="1" x14ac:dyDescent="0.3">
      <c r="A146" s="36">
        <v>31003</v>
      </c>
      <c r="B146" s="17" t="s">
        <v>195</v>
      </c>
      <c r="C146" s="23">
        <v>202</v>
      </c>
      <c r="D146" s="23">
        <v>187</v>
      </c>
    </row>
    <row r="147" spans="1:4" ht="15.75" customHeight="1" x14ac:dyDescent="0.3">
      <c r="A147" s="36">
        <v>31101</v>
      </c>
      <c r="B147" s="17" t="s">
        <v>63</v>
      </c>
      <c r="C147" s="23">
        <v>53</v>
      </c>
      <c r="D147" s="23">
        <v>35</v>
      </c>
    </row>
    <row r="148" spans="1:4" ht="15.75" customHeight="1" x14ac:dyDescent="0.3">
      <c r="A148" s="36">
        <v>31201</v>
      </c>
      <c r="B148" s="17" t="s">
        <v>180</v>
      </c>
      <c r="C148" s="23">
        <v>34</v>
      </c>
      <c r="D148" s="23">
        <v>20</v>
      </c>
    </row>
    <row r="149" spans="1:4" ht="15.75" customHeight="1" x14ac:dyDescent="0.3">
      <c r="A149" s="36">
        <v>31202</v>
      </c>
      <c r="B149" s="17" t="s">
        <v>205</v>
      </c>
      <c r="C149" s="23">
        <v>16</v>
      </c>
      <c r="D149" s="23">
        <v>17</v>
      </c>
    </row>
    <row r="150" spans="1:4" ht="15.75" customHeight="1" x14ac:dyDescent="0.3">
      <c r="A150" s="36">
        <v>31203</v>
      </c>
      <c r="B150" s="17" t="s">
        <v>242</v>
      </c>
      <c r="C150" s="23">
        <v>17</v>
      </c>
      <c r="D150" s="23">
        <v>15</v>
      </c>
    </row>
    <row r="151" spans="1:4" ht="15.75" customHeight="1" x14ac:dyDescent="0.3">
      <c r="A151" s="36">
        <v>31204</v>
      </c>
      <c r="B151" s="17" t="s">
        <v>237</v>
      </c>
      <c r="C151" s="23">
        <v>43</v>
      </c>
      <c r="D151" s="23">
        <v>54</v>
      </c>
    </row>
    <row r="152" spans="1:4" ht="15.75" customHeight="1" x14ac:dyDescent="0.3">
      <c r="A152" s="36">
        <v>31205</v>
      </c>
      <c r="B152" s="17" t="s">
        <v>270</v>
      </c>
      <c r="C152" s="23">
        <v>104</v>
      </c>
      <c r="D152" s="23">
        <v>72</v>
      </c>
    </row>
    <row r="153" spans="1:4" ht="15.75" customHeight="1" x14ac:dyDescent="0.3">
      <c r="A153" s="36">
        <v>31206</v>
      </c>
      <c r="B153" s="17" t="s">
        <v>223</v>
      </c>
      <c r="C153" s="23">
        <v>80</v>
      </c>
      <c r="D153" s="23">
        <v>65</v>
      </c>
    </row>
    <row r="154" spans="1:4" ht="15.75" customHeight="1" x14ac:dyDescent="0.3">
      <c r="A154" s="36">
        <v>31301</v>
      </c>
      <c r="B154" s="17" t="s">
        <v>224</v>
      </c>
      <c r="C154" s="23">
        <v>34</v>
      </c>
      <c r="D154" s="23">
        <v>18</v>
      </c>
    </row>
    <row r="155" spans="1:4" ht="15.75" customHeight="1" x14ac:dyDescent="0.3">
      <c r="A155" s="36">
        <v>31302</v>
      </c>
      <c r="B155" s="17" t="s">
        <v>38</v>
      </c>
      <c r="C155" s="23">
        <v>10</v>
      </c>
      <c r="D155" s="23">
        <v>9</v>
      </c>
    </row>
    <row r="156" spans="1:4" ht="15.75" customHeight="1" x14ac:dyDescent="0.3">
      <c r="A156" s="36">
        <v>31303</v>
      </c>
      <c r="B156" s="17" t="s">
        <v>21</v>
      </c>
      <c r="C156" s="23">
        <v>3</v>
      </c>
      <c r="D156" s="23">
        <v>9</v>
      </c>
    </row>
    <row r="157" spans="1:4" ht="15.75" customHeight="1" x14ac:dyDescent="0.3">
      <c r="A157" s="37">
        <v>31304</v>
      </c>
      <c r="B157" s="17" t="s">
        <v>320</v>
      </c>
      <c r="C157" s="23">
        <v>34</v>
      </c>
      <c r="D157" s="23">
        <v>13</v>
      </c>
    </row>
    <row r="158" spans="1:4" ht="15.75" customHeight="1" x14ac:dyDescent="0.3">
      <c r="A158" s="36">
        <v>31401</v>
      </c>
      <c r="B158" s="17" t="s">
        <v>240</v>
      </c>
      <c r="C158" s="23">
        <v>23</v>
      </c>
      <c r="D158" s="23">
        <v>23</v>
      </c>
    </row>
    <row r="159" spans="1:4" ht="15.75" customHeight="1" x14ac:dyDescent="0.3">
      <c r="A159" s="36">
        <v>31402</v>
      </c>
      <c r="B159" s="17" t="s">
        <v>163</v>
      </c>
      <c r="C159" s="23">
        <v>7</v>
      </c>
      <c r="D159" s="23">
        <v>10</v>
      </c>
    </row>
    <row r="160" spans="1:4" ht="15.75" customHeight="1" x14ac:dyDescent="0.3">
      <c r="A160" s="36">
        <v>31403</v>
      </c>
      <c r="B160" s="17" t="s">
        <v>156</v>
      </c>
      <c r="C160" s="23">
        <v>25</v>
      </c>
      <c r="D160" s="23">
        <v>20</v>
      </c>
    </row>
    <row r="161" spans="1:4" ht="15.75" customHeight="1" x14ac:dyDescent="0.3">
      <c r="A161" s="36">
        <v>31404</v>
      </c>
      <c r="B161" s="17" t="s">
        <v>7</v>
      </c>
      <c r="C161" s="23">
        <v>2</v>
      </c>
      <c r="D161" s="23">
        <v>2</v>
      </c>
    </row>
    <row r="162" spans="1:4" ht="15.75" customHeight="1" x14ac:dyDescent="0.3">
      <c r="A162" s="36">
        <v>31405</v>
      </c>
      <c r="B162" s="17" t="s">
        <v>321</v>
      </c>
      <c r="C162" s="23">
        <v>2</v>
      </c>
      <c r="D162" s="23">
        <v>0</v>
      </c>
    </row>
    <row r="163" spans="1:4" ht="15.75" customHeight="1" x14ac:dyDescent="0.3">
      <c r="A163" s="36">
        <v>31501</v>
      </c>
      <c r="B163" s="17" t="s">
        <v>322</v>
      </c>
      <c r="C163" s="23">
        <v>31</v>
      </c>
      <c r="D163" s="23">
        <v>14</v>
      </c>
    </row>
    <row r="164" spans="1:4" ht="15.75" customHeight="1" x14ac:dyDescent="0.3">
      <c r="A164" s="36">
        <v>31601</v>
      </c>
      <c r="B164" s="17" t="s">
        <v>282</v>
      </c>
      <c r="C164" s="23">
        <v>41</v>
      </c>
      <c r="D164" s="23">
        <v>33</v>
      </c>
    </row>
    <row r="165" spans="1:4" ht="15.75" customHeight="1" x14ac:dyDescent="0.3">
      <c r="A165" s="36">
        <v>31602</v>
      </c>
      <c r="B165" s="17" t="s">
        <v>243</v>
      </c>
      <c r="C165" s="23">
        <v>29</v>
      </c>
      <c r="D165" s="23">
        <v>24</v>
      </c>
    </row>
    <row r="166" spans="1:4" ht="15.75" customHeight="1" x14ac:dyDescent="0.3">
      <c r="A166" s="36">
        <v>40101</v>
      </c>
      <c r="B166" s="17" t="s">
        <v>57</v>
      </c>
      <c r="C166" s="23">
        <v>187</v>
      </c>
      <c r="D166" s="23">
        <v>312</v>
      </c>
    </row>
    <row r="167" spans="1:4" ht="15.75" customHeight="1" x14ac:dyDescent="0.3">
      <c r="A167" s="36">
        <v>40102</v>
      </c>
      <c r="B167" s="17" t="s">
        <v>286</v>
      </c>
      <c r="C167" s="23">
        <v>38</v>
      </c>
      <c r="D167" s="23">
        <v>36</v>
      </c>
    </row>
    <row r="168" spans="1:4" ht="15.75" customHeight="1" x14ac:dyDescent="0.3">
      <c r="A168" s="36">
        <v>40103</v>
      </c>
      <c r="B168" s="17" t="s">
        <v>32</v>
      </c>
      <c r="C168" s="23">
        <v>10</v>
      </c>
      <c r="D168" s="23">
        <v>3</v>
      </c>
    </row>
    <row r="169" spans="1:4" ht="15.75" customHeight="1" x14ac:dyDescent="0.3">
      <c r="A169" s="36">
        <v>40104</v>
      </c>
      <c r="B169" s="17" t="s">
        <v>227</v>
      </c>
      <c r="C169" s="23">
        <v>25</v>
      </c>
      <c r="D169" s="23">
        <v>32</v>
      </c>
    </row>
    <row r="170" spans="1:4" ht="15.75" customHeight="1" x14ac:dyDescent="0.3">
      <c r="A170" s="36">
        <v>40201</v>
      </c>
      <c r="B170" s="17" t="s">
        <v>247</v>
      </c>
      <c r="C170" s="23">
        <v>78</v>
      </c>
      <c r="D170" s="23">
        <v>39</v>
      </c>
    </row>
    <row r="171" spans="1:4" ht="15.75" customHeight="1" x14ac:dyDescent="0.3">
      <c r="A171" s="36">
        <v>40202</v>
      </c>
      <c r="B171" s="17" t="s">
        <v>323</v>
      </c>
      <c r="C171" s="23">
        <v>11</v>
      </c>
      <c r="D171" s="23">
        <v>15</v>
      </c>
    </row>
    <row r="172" spans="1:4" ht="15.75" customHeight="1" x14ac:dyDescent="0.3">
      <c r="A172" s="36">
        <v>40301</v>
      </c>
      <c r="B172" s="17" t="s">
        <v>190</v>
      </c>
      <c r="C172" s="23">
        <v>4</v>
      </c>
      <c r="D172" s="23">
        <v>14</v>
      </c>
    </row>
    <row r="173" spans="1:4" ht="15.75" customHeight="1" x14ac:dyDescent="0.3">
      <c r="A173" s="36">
        <v>40302</v>
      </c>
      <c r="B173" s="17" t="s">
        <v>324</v>
      </c>
      <c r="C173" s="23">
        <v>3</v>
      </c>
      <c r="D173" s="23">
        <v>2</v>
      </c>
    </row>
    <row r="174" spans="1:4" ht="15.75" customHeight="1" x14ac:dyDescent="0.3">
      <c r="A174" s="36">
        <v>40401</v>
      </c>
      <c r="B174" s="17" t="s">
        <v>110</v>
      </c>
      <c r="C174" s="23">
        <v>10</v>
      </c>
      <c r="D174" s="23">
        <v>14</v>
      </c>
    </row>
    <row r="175" spans="1:4" ht="15.75" customHeight="1" x14ac:dyDescent="0.3">
      <c r="A175" s="36">
        <v>40402</v>
      </c>
      <c r="B175" s="17" t="s">
        <v>144</v>
      </c>
      <c r="C175" s="23">
        <v>8</v>
      </c>
      <c r="D175" s="23">
        <v>1</v>
      </c>
    </row>
    <row r="176" spans="1:4" ht="15.75" customHeight="1" x14ac:dyDescent="0.3">
      <c r="A176" s="36">
        <v>40501</v>
      </c>
      <c r="B176" s="17" t="s">
        <v>6</v>
      </c>
      <c r="C176" s="23">
        <v>1</v>
      </c>
      <c r="D176" s="23">
        <v>1</v>
      </c>
    </row>
    <row r="177" spans="1:4" ht="15.75" customHeight="1" x14ac:dyDescent="0.3">
      <c r="A177" s="36">
        <v>40502</v>
      </c>
      <c r="B177" s="17" t="s">
        <v>111</v>
      </c>
      <c r="C177" s="23">
        <v>5</v>
      </c>
      <c r="D177" s="23">
        <v>1</v>
      </c>
    </row>
    <row r="178" spans="1:4" ht="15.75" customHeight="1" x14ac:dyDescent="0.3">
      <c r="A178" s="36">
        <v>40503</v>
      </c>
      <c r="B178" s="17" t="s">
        <v>40</v>
      </c>
      <c r="C178" s="23">
        <v>2</v>
      </c>
      <c r="D178" s="23">
        <v>1</v>
      </c>
    </row>
    <row r="179" spans="1:4" ht="15.75" customHeight="1" x14ac:dyDescent="0.3">
      <c r="A179" s="36">
        <v>40504</v>
      </c>
      <c r="B179" s="17" t="s">
        <v>325</v>
      </c>
      <c r="C179" s="23">
        <v>0</v>
      </c>
      <c r="D179" s="23">
        <v>0</v>
      </c>
    </row>
    <row r="180" spans="1:4" ht="15.75" customHeight="1" x14ac:dyDescent="0.3">
      <c r="A180" s="36">
        <v>40505</v>
      </c>
      <c r="B180" s="17" t="s">
        <v>22</v>
      </c>
      <c r="C180" s="23">
        <v>3</v>
      </c>
      <c r="D180" s="23">
        <v>3</v>
      </c>
    </row>
    <row r="181" spans="1:4" ht="15.75" customHeight="1" x14ac:dyDescent="0.3">
      <c r="A181" s="36">
        <v>40601</v>
      </c>
      <c r="B181" s="17" t="s">
        <v>208</v>
      </c>
      <c r="C181" s="23">
        <v>17</v>
      </c>
      <c r="D181" s="23">
        <v>9</v>
      </c>
    </row>
    <row r="182" spans="1:4" ht="15.75" customHeight="1" x14ac:dyDescent="0.3">
      <c r="A182" s="36">
        <v>40602</v>
      </c>
      <c r="B182" s="17" t="s">
        <v>137</v>
      </c>
      <c r="C182" s="23">
        <v>6</v>
      </c>
      <c r="D182" s="23">
        <v>3</v>
      </c>
    </row>
    <row r="183" spans="1:4" ht="15.75" customHeight="1" x14ac:dyDescent="0.3">
      <c r="A183" s="36">
        <v>40603</v>
      </c>
      <c r="B183" s="17" t="s">
        <v>45</v>
      </c>
      <c r="C183" s="23">
        <v>1</v>
      </c>
      <c r="D183" s="23">
        <v>2</v>
      </c>
    </row>
    <row r="184" spans="1:4" ht="15.75" customHeight="1" x14ac:dyDescent="0.3">
      <c r="A184" s="36">
        <v>40701</v>
      </c>
      <c r="B184" s="17" t="s">
        <v>215</v>
      </c>
      <c r="C184" s="23">
        <v>38</v>
      </c>
      <c r="D184" s="23">
        <v>37</v>
      </c>
    </row>
    <row r="185" spans="1:4" ht="15.75" customHeight="1" x14ac:dyDescent="0.3">
      <c r="A185" s="36">
        <v>40702</v>
      </c>
      <c r="B185" s="17" t="s">
        <v>47</v>
      </c>
      <c r="C185" s="23">
        <v>4</v>
      </c>
      <c r="D185" s="23">
        <v>6</v>
      </c>
    </row>
    <row r="186" spans="1:4" ht="15.75" customHeight="1" x14ac:dyDescent="0.3">
      <c r="A186" s="36">
        <v>40801</v>
      </c>
      <c r="B186" s="17" t="s">
        <v>326</v>
      </c>
      <c r="C186" s="23">
        <v>16</v>
      </c>
      <c r="D186" s="23">
        <v>9</v>
      </c>
    </row>
    <row r="187" spans="1:4" ht="15.75" customHeight="1" x14ac:dyDescent="0.3">
      <c r="A187" s="36">
        <v>40802</v>
      </c>
      <c r="B187" s="17" t="s">
        <v>69</v>
      </c>
      <c r="C187" s="23">
        <v>3</v>
      </c>
      <c r="D187" s="23">
        <v>3</v>
      </c>
    </row>
    <row r="188" spans="1:4" ht="15.75" customHeight="1" x14ac:dyDescent="0.3">
      <c r="A188" s="36">
        <v>40901</v>
      </c>
      <c r="B188" s="17" t="s">
        <v>173</v>
      </c>
      <c r="C188" s="23">
        <v>6</v>
      </c>
      <c r="D188" s="23">
        <v>9</v>
      </c>
    </row>
    <row r="189" spans="1:4" ht="15.75" customHeight="1" x14ac:dyDescent="0.3">
      <c r="A189" s="36">
        <v>40902</v>
      </c>
      <c r="B189" s="17" t="s">
        <v>0</v>
      </c>
      <c r="C189" s="23">
        <v>0</v>
      </c>
      <c r="D189" s="23">
        <v>0</v>
      </c>
    </row>
    <row r="190" spans="1:4" ht="15.75" customHeight="1" x14ac:dyDescent="0.3">
      <c r="A190" s="36">
        <v>40903</v>
      </c>
      <c r="B190" s="17" t="s">
        <v>23</v>
      </c>
      <c r="C190" s="23">
        <v>4</v>
      </c>
      <c r="D190" s="23">
        <v>1</v>
      </c>
    </row>
    <row r="191" spans="1:4" ht="15.75" customHeight="1" x14ac:dyDescent="0.3">
      <c r="A191" s="36">
        <v>41001</v>
      </c>
      <c r="B191" s="17" t="s">
        <v>125</v>
      </c>
      <c r="C191" s="23">
        <v>9</v>
      </c>
      <c r="D191" s="23">
        <v>8</v>
      </c>
    </row>
    <row r="192" spans="1:4" ht="15.75" customHeight="1" x14ac:dyDescent="0.3">
      <c r="A192" s="36">
        <v>41101</v>
      </c>
      <c r="B192" s="17" t="s">
        <v>127</v>
      </c>
      <c r="C192" s="23">
        <v>13</v>
      </c>
      <c r="D192" s="23">
        <v>13</v>
      </c>
    </row>
    <row r="193" spans="1:4" ht="15.75" customHeight="1" x14ac:dyDescent="0.3">
      <c r="A193" s="36">
        <v>41201</v>
      </c>
      <c r="B193" s="17" t="s">
        <v>152</v>
      </c>
      <c r="C193" s="23">
        <v>5</v>
      </c>
      <c r="D193" s="23">
        <v>4</v>
      </c>
    </row>
    <row r="194" spans="1:4" ht="15.75" customHeight="1" x14ac:dyDescent="0.3">
      <c r="A194" s="36">
        <v>41202</v>
      </c>
      <c r="B194" s="17" t="s">
        <v>55</v>
      </c>
      <c r="C194" s="23">
        <v>1</v>
      </c>
      <c r="D194" s="23">
        <v>0</v>
      </c>
    </row>
    <row r="195" spans="1:4" ht="15.75" customHeight="1" x14ac:dyDescent="0.3">
      <c r="A195" s="36">
        <v>41301</v>
      </c>
      <c r="B195" s="17" t="s">
        <v>134</v>
      </c>
      <c r="C195" s="23">
        <v>3</v>
      </c>
      <c r="D195" s="23">
        <v>13</v>
      </c>
    </row>
    <row r="196" spans="1:4" ht="15.75" customHeight="1" x14ac:dyDescent="0.3">
      <c r="A196" s="36">
        <v>41401</v>
      </c>
      <c r="B196" s="17" t="s">
        <v>327</v>
      </c>
      <c r="C196" s="23">
        <v>20</v>
      </c>
      <c r="D196" s="23">
        <v>6</v>
      </c>
    </row>
    <row r="197" spans="1:4" ht="15.75" customHeight="1" x14ac:dyDescent="0.3">
      <c r="A197" s="36">
        <v>41501</v>
      </c>
      <c r="B197" s="17" t="s">
        <v>1</v>
      </c>
      <c r="C197" s="23">
        <v>1</v>
      </c>
      <c r="D197" s="23">
        <v>0</v>
      </c>
    </row>
    <row r="198" spans="1:4" ht="15.75" customHeight="1" x14ac:dyDescent="0.3">
      <c r="A198" s="36">
        <v>41502</v>
      </c>
      <c r="B198" s="17" t="s">
        <v>5</v>
      </c>
      <c r="C198" s="23">
        <v>0</v>
      </c>
      <c r="D198" s="23">
        <v>0</v>
      </c>
    </row>
    <row r="199" spans="1:4" ht="15.75" customHeight="1" x14ac:dyDescent="0.3">
      <c r="A199" s="36">
        <v>41503</v>
      </c>
      <c r="B199" s="17" t="s">
        <v>8</v>
      </c>
      <c r="C199" s="23">
        <v>0</v>
      </c>
      <c r="D199" s="23">
        <v>0</v>
      </c>
    </row>
    <row r="200" spans="1:4" ht="15.75" customHeight="1" x14ac:dyDescent="0.3">
      <c r="A200" s="36">
        <v>41601</v>
      </c>
      <c r="B200" s="17" t="s">
        <v>389</v>
      </c>
      <c r="C200" s="23">
        <v>7</v>
      </c>
      <c r="D200" s="23">
        <v>5</v>
      </c>
    </row>
    <row r="201" spans="1:4" ht="15.75" customHeight="1" x14ac:dyDescent="0.3">
      <c r="A201" s="36">
        <v>50101</v>
      </c>
      <c r="B201" s="17" t="s">
        <v>302</v>
      </c>
      <c r="C201" s="23">
        <v>275</v>
      </c>
      <c r="D201" s="23">
        <v>297</v>
      </c>
    </row>
    <row r="202" spans="1:4" ht="15.75" customHeight="1" x14ac:dyDescent="0.3">
      <c r="A202" s="36">
        <v>50102</v>
      </c>
      <c r="B202" s="17" t="s">
        <v>34</v>
      </c>
      <c r="C202" s="23">
        <v>111</v>
      </c>
      <c r="D202" s="23">
        <v>84</v>
      </c>
    </row>
    <row r="203" spans="1:4" ht="15.75" customHeight="1" x14ac:dyDescent="0.3">
      <c r="A203" s="36">
        <v>50103</v>
      </c>
      <c r="B203" s="17" t="s">
        <v>207</v>
      </c>
      <c r="C203" s="23">
        <v>11</v>
      </c>
      <c r="D203" s="23">
        <v>18</v>
      </c>
    </row>
    <row r="204" spans="1:4" ht="15.75" customHeight="1" x14ac:dyDescent="0.3">
      <c r="A204" s="36">
        <v>50104</v>
      </c>
      <c r="B204" s="17" t="s">
        <v>391</v>
      </c>
      <c r="C204" s="23">
        <v>3</v>
      </c>
      <c r="D204" s="23">
        <v>2</v>
      </c>
    </row>
    <row r="205" spans="1:4" ht="15.75" customHeight="1" x14ac:dyDescent="0.3">
      <c r="A205" s="36">
        <v>50201</v>
      </c>
      <c r="B205" s="17" t="s">
        <v>264</v>
      </c>
      <c r="C205" s="23">
        <v>72</v>
      </c>
      <c r="D205" s="23">
        <v>40</v>
      </c>
    </row>
    <row r="206" spans="1:4" ht="15.75" customHeight="1" x14ac:dyDescent="0.3">
      <c r="A206" s="36">
        <v>50202</v>
      </c>
      <c r="B206" s="17" t="s">
        <v>228</v>
      </c>
      <c r="C206" s="23">
        <v>45</v>
      </c>
      <c r="D206" s="23">
        <v>13</v>
      </c>
    </row>
    <row r="207" spans="1:4" ht="15.75" customHeight="1" x14ac:dyDescent="0.3">
      <c r="A207" s="36">
        <v>50203</v>
      </c>
      <c r="B207" s="17" t="s">
        <v>295</v>
      </c>
      <c r="C207" s="23">
        <v>76</v>
      </c>
      <c r="D207" s="23">
        <v>53</v>
      </c>
    </row>
    <row r="208" spans="1:4" ht="15.75" customHeight="1" x14ac:dyDescent="0.3">
      <c r="A208" s="36">
        <v>50204</v>
      </c>
      <c r="B208" s="17" t="s">
        <v>393</v>
      </c>
      <c r="C208" s="23">
        <v>46</v>
      </c>
      <c r="D208" s="23">
        <v>19</v>
      </c>
    </row>
    <row r="209" spans="1:4" ht="15.75" customHeight="1" x14ac:dyDescent="0.3">
      <c r="A209" s="36">
        <v>50301</v>
      </c>
      <c r="B209" s="17" t="s">
        <v>266</v>
      </c>
      <c r="C209" s="23">
        <v>71</v>
      </c>
      <c r="D209" s="23">
        <v>53</v>
      </c>
    </row>
    <row r="210" spans="1:4" ht="15.75" customHeight="1" x14ac:dyDescent="0.3">
      <c r="A210" s="36">
        <v>50302</v>
      </c>
      <c r="B210" s="17" t="s">
        <v>219</v>
      </c>
      <c r="C210" s="23">
        <v>24</v>
      </c>
      <c r="D210" s="23">
        <v>36</v>
      </c>
    </row>
    <row r="211" spans="1:4" ht="15.75" customHeight="1" x14ac:dyDescent="0.3">
      <c r="A211" s="36">
        <v>50303</v>
      </c>
      <c r="B211" s="17" t="s">
        <v>15</v>
      </c>
      <c r="C211" s="23">
        <v>35</v>
      </c>
      <c r="D211" s="23">
        <v>22</v>
      </c>
    </row>
    <row r="212" spans="1:4" ht="15.75" customHeight="1" x14ac:dyDescent="0.3">
      <c r="A212" s="36">
        <v>50401</v>
      </c>
      <c r="B212" s="17" t="s">
        <v>119</v>
      </c>
      <c r="C212" s="23">
        <v>178</v>
      </c>
      <c r="D212" s="23">
        <v>54</v>
      </c>
    </row>
    <row r="213" spans="1:4" ht="15.75" customHeight="1" x14ac:dyDescent="0.3">
      <c r="A213" s="36">
        <v>50402</v>
      </c>
      <c r="B213" s="17" t="s">
        <v>46</v>
      </c>
      <c r="C213" s="23">
        <v>42</v>
      </c>
      <c r="D213" s="23">
        <v>25</v>
      </c>
    </row>
    <row r="214" spans="1:4" ht="15.75" customHeight="1" x14ac:dyDescent="0.3">
      <c r="A214" s="36">
        <v>50403</v>
      </c>
      <c r="B214" s="17" t="s">
        <v>52</v>
      </c>
      <c r="C214" s="23">
        <v>89</v>
      </c>
      <c r="D214" s="23">
        <v>88</v>
      </c>
    </row>
    <row r="215" spans="1:4" ht="15.75" customHeight="1" x14ac:dyDescent="0.3">
      <c r="A215" s="36">
        <v>50404</v>
      </c>
      <c r="B215" s="17" t="s">
        <v>42</v>
      </c>
      <c r="C215" s="23">
        <v>71</v>
      </c>
      <c r="D215" s="23">
        <v>36</v>
      </c>
    </row>
    <row r="216" spans="1:4" ht="15.75" customHeight="1" x14ac:dyDescent="0.3">
      <c r="A216" s="36">
        <v>50405</v>
      </c>
      <c r="B216" s="34" t="s">
        <v>328</v>
      </c>
      <c r="C216" s="23">
        <v>178</v>
      </c>
      <c r="D216" s="23">
        <v>54</v>
      </c>
    </row>
    <row r="217" spans="1:4" ht="15.75" customHeight="1" x14ac:dyDescent="0.3">
      <c r="A217" s="36">
        <v>50501</v>
      </c>
      <c r="B217" s="17" t="s">
        <v>396</v>
      </c>
      <c r="C217" s="23">
        <v>128</v>
      </c>
      <c r="D217" s="23">
        <v>70</v>
      </c>
    </row>
    <row r="218" spans="1:4" ht="15.75" customHeight="1" x14ac:dyDescent="0.3">
      <c r="A218" s="36">
        <v>50502</v>
      </c>
      <c r="B218" s="17" t="s">
        <v>61</v>
      </c>
      <c r="C218" s="23">
        <v>31</v>
      </c>
      <c r="D218" s="23">
        <v>27</v>
      </c>
    </row>
    <row r="219" spans="1:4" ht="15.75" customHeight="1" x14ac:dyDescent="0.3">
      <c r="A219" s="36">
        <v>50601</v>
      </c>
      <c r="B219" s="17" t="s">
        <v>114</v>
      </c>
      <c r="C219" s="23">
        <v>21</v>
      </c>
      <c r="D219" s="23">
        <v>37</v>
      </c>
    </row>
    <row r="220" spans="1:4" ht="15.75" customHeight="1" x14ac:dyDescent="0.3">
      <c r="A220" s="36">
        <v>50602</v>
      </c>
      <c r="B220" s="17" t="s">
        <v>234</v>
      </c>
      <c r="C220" s="23">
        <v>8</v>
      </c>
      <c r="D220" s="23">
        <v>10</v>
      </c>
    </row>
    <row r="221" spans="1:4" ht="15.75" customHeight="1" x14ac:dyDescent="0.3">
      <c r="A221" s="36">
        <v>50701</v>
      </c>
      <c r="B221" s="17" t="s">
        <v>399</v>
      </c>
      <c r="C221" s="23">
        <v>39</v>
      </c>
      <c r="D221" s="23">
        <v>41</v>
      </c>
    </row>
    <row r="222" spans="1:4" ht="15.75" customHeight="1" x14ac:dyDescent="0.3">
      <c r="A222" s="36">
        <v>50702</v>
      </c>
      <c r="B222" s="17" t="s">
        <v>78</v>
      </c>
      <c r="C222" s="23">
        <v>21</v>
      </c>
      <c r="D222" s="23">
        <v>14</v>
      </c>
    </row>
    <row r="223" spans="1:4" ht="15.75" customHeight="1" x14ac:dyDescent="0.3">
      <c r="A223" s="36">
        <v>50801</v>
      </c>
      <c r="B223" s="17" t="s">
        <v>290</v>
      </c>
      <c r="C223" s="23">
        <v>28</v>
      </c>
      <c r="D223" s="23">
        <v>33</v>
      </c>
    </row>
    <row r="224" spans="1:4" ht="15.75" customHeight="1" x14ac:dyDescent="0.3">
      <c r="A224" s="36">
        <v>50802</v>
      </c>
      <c r="B224" s="17" t="s">
        <v>120</v>
      </c>
      <c r="C224" s="23">
        <v>3</v>
      </c>
      <c r="D224" s="23">
        <v>14</v>
      </c>
    </row>
    <row r="225" spans="1:4" ht="15.75" customHeight="1" x14ac:dyDescent="0.3">
      <c r="A225" s="36">
        <v>50901</v>
      </c>
      <c r="B225" s="17" t="s">
        <v>402</v>
      </c>
      <c r="C225" s="23">
        <v>7</v>
      </c>
      <c r="D225" s="23">
        <v>11</v>
      </c>
    </row>
    <row r="226" spans="1:4" ht="15.75" customHeight="1" x14ac:dyDescent="0.3">
      <c r="A226" s="36">
        <v>50902</v>
      </c>
      <c r="B226" s="17" t="s">
        <v>13</v>
      </c>
      <c r="C226" s="23">
        <v>1</v>
      </c>
      <c r="D226" s="23">
        <v>1</v>
      </c>
    </row>
    <row r="227" spans="1:4" ht="15.75" customHeight="1" x14ac:dyDescent="0.3">
      <c r="A227" s="36">
        <v>51001</v>
      </c>
      <c r="B227" s="17" t="s">
        <v>86</v>
      </c>
      <c r="C227" s="23">
        <v>4</v>
      </c>
      <c r="D227" s="23">
        <v>8</v>
      </c>
    </row>
    <row r="228" spans="1:4" ht="15.75" customHeight="1" x14ac:dyDescent="0.3">
      <c r="A228" s="36">
        <v>51002</v>
      </c>
      <c r="B228" s="17" t="s">
        <v>16</v>
      </c>
      <c r="C228" s="23">
        <v>0</v>
      </c>
      <c r="D228" s="23">
        <v>0</v>
      </c>
    </row>
    <row r="229" spans="1:4" ht="15.75" customHeight="1" x14ac:dyDescent="0.3">
      <c r="A229" s="36">
        <v>51003</v>
      </c>
      <c r="B229" s="17" t="s">
        <v>60</v>
      </c>
      <c r="C229" s="23">
        <v>0</v>
      </c>
      <c r="D229" s="23">
        <v>1</v>
      </c>
    </row>
    <row r="230" spans="1:4" ht="15.75" customHeight="1" x14ac:dyDescent="0.3">
      <c r="A230" s="36">
        <v>51101</v>
      </c>
      <c r="B230" s="17" t="s">
        <v>265</v>
      </c>
      <c r="C230" s="23">
        <v>18</v>
      </c>
      <c r="D230" s="23">
        <v>11</v>
      </c>
    </row>
    <row r="231" spans="1:4" ht="15.75" customHeight="1" x14ac:dyDescent="0.3">
      <c r="A231" s="36">
        <v>51102</v>
      </c>
      <c r="B231" s="17" t="s">
        <v>329</v>
      </c>
      <c r="C231" s="23">
        <v>7</v>
      </c>
      <c r="D231" s="23">
        <v>33</v>
      </c>
    </row>
    <row r="232" spans="1:4" ht="15.75" customHeight="1" x14ac:dyDescent="0.3">
      <c r="A232" s="36">
        <v>51103</v>
      </c>
      <c r="B232" s="17" t="s">
        <v>175</v>
      </c>
      <c r="C232" s="23">
        <v>44</v>
      </c>
      <c r="D232" s="23">
        <v>26</v>
      </c>
    </row>
    <row r="233" spans="1:4" ht="15.75" customHeight="1" x14ac:dyDescent="0.3">
      <c r="A233" s="36">
        <v>51201</v>
      </c>
      <c r="B233" s="17" t="s">
        <v>289</v>
      </c>
      <c r="C233" s="23">
        <v>21</v>
      </c>
      <c r="D233" s="23">
        <v>38</v>
      </c>
    </row>
    <row r="234" spans="1:4" ht="15.75" customHeight="1" x14ac:dyDescent="0.3">
      <c r="A234" s="36">
        <v>51202</v>
      </c>
      <c r="B234" s="17" t="s">
        <v>130</v>
      </c>
      <c r="C234" s="23">
        <v>17</v>
      </c>
      <c r="D234" s="23">
        <v>10</v>
      </c>
    </row>
    <row r="235" spans="1:4" ht="15.75" customHeight="1" x14ac:dyDescent="0.3">
      <c r="A235" s="36">
        <v>51203</v>
      </c>
      <c r="B235" s="17" t="s">
        <v>166</v>
      </c>
      <c r="C235" s="23">
        <v>10</v>
      </c>
      <c r="D235" s="23">
        <v>12</v>
      </c>
    </row>
    <row r="236" spans="1:4" ht="15.75" customHeight="1" x14ac:dyDescent="0.3">
      <c r="A236" s="36">
        <v>51204</v>
      </c>
      <c r="B236" s="34" t="s">
        <v>406</v>
      </c>
      <c r="C236" s="23">
        <v>17</v>
      </c>
      <c r="D236" s="23">
        <v>3</v>
      </c>
    </row>
    <row r="237" spans="1:4" ht="15.75" customHeight="1" x14ac:dyDescent="0.3">
      <c r="A237" s="36">
        <v>51301</v>
      </c>
      <c r="B237" s="17" t="s">
        <v>104</v>
      </c>
      <c r="C237" s="23">
        <v>4</v>
      </c>
      <c r="D237" s="23">
        <v>10</v>
      </c>
    </row>
    <row r="238" spans="1:4" ht="15.75" customHeight="1" x14ac:dyDescent="0.3">
      <c r="A238" s="36">
        <v>51302</v>
      </c>
      <c r="B238" s="17" t="s">
        <v>169</v>
      </c>
      <c r="C238" s="23">
        <v>7</v>
      </c>
      <c r="D238" s="23">
        <v>10</v>
      </c>
    </row>
    <row r="239" spans="1:4" ht="15.75" customHeight="1" x14ac:dyDescent="0.3">
      <c r="A239" s="36">
        <v>51401</v>
      </c>
      <c r="B239" s="17" t="s">
        <v>151</v>
      </c>
      <c r="C239" s="23">
        <v>8</v>
      </c>
      <c r="D239" s="23">
        <v>7</v>
      </c>
    </row>
    <row r="240" spans="1:4" ht="15.75" customHeight="1" x14ac:dyDescent="0.3">
      <c r="A240" s="36">
        <v>51402</v>
      </c>
      <c r="B240" s="17" t="s">
        <v>25</v>
      </c>
      <c r="C240" s="23">
        <v>2</v>
      </c>
      <c r="D240" s="23">
        <v>0</v>
      </c>
    </row>
    <row r="241" spans="1:4" ht="15.75" customHeight="1" x14ac:dyDescent="0.3">
      <c r="A241" s="36">
        <v>51501</v>
      </c>
      <c r="B241" s="17" t="s">
        <v>293</v>
      </c>
      <c r="C241" s="23">
        <v>35</v>
      </c>
      <c r="D241" s="23">
        <v>47</v>
      </c>
    </row>
    <row r="242" spans="1:4" ht="15.75" customHeight="1" x14ac:dyDescent="0.3">
      <c r="A242" s="36">
        <v>51601</v>
      </c>
      <c r="B242" s="17" t="s">
        <v>29</v>
      </c>
      <c r="C242" s="23">
        <v>0</v>
      </c>
      <c r="D242" s="23">
        <v>6</v>
      </c>
    </row>
    <row r="243" spans="1:4" ht="15.75" customHeight="1" x14ac:dyDescent="0.3">
      <c r="A243" s="36">
        <v>60101</v>
      </c>
      <c r="B243" s="17" t="s">
        <v>76</v>
      </c>
      <c r="C243" s="23">
        <v>76</v>
      </c>
      <c r="D243" s="23">
        <v>145</v>
      </c>
    </row>
    <row r="244" spans="1:4" ht="15.75" customHeight="1" x14ac:dyDescent="0.3">
      <c r="A244" s="36">
        <v>60201</v>
      </c>
      <c r="B244" s="17" t="s">
        <v>274</v>
      </c>
      <c r="C244" s="23">
        <v>9</v>
      </c>
      <c r="D244" s="23">
        <v>12</v>
      </c>
    </row>
    <row r="245" spans="1:4" ht="15.75" customHeight="1" x14ac:dyDescent="0.3">
      <c r="A245" s="36">
        <v>60202</v>
      </c>
      <c r="B245" s="17" t="s">
        <v>254</v>
      </c>
      <c r="C245" s="23">
        <v>22</v>
      </c>
      <c r="D245" s="23">
        <v>27</v>
      </c>
    </row>
    <row r="246" spans="1:4" ht="15.75" customHeight="1" x14ac:dyDescent="0.3">
      <c r="A246" s="36">
        <v>60301</v>
      </c>
      <c r="B246" s="17" t="s">
        <v>297</v>
      </c>
      <c r="C246" s="23">
        <v>67</v>
      </c>
      <c r="D246" s="23">
        <v>91</v>
      </c>
    </row>
    <row r="247" spans="1:4" ht="15.75" customHeight="1" x14ac:dyDescent="0.3">
      <c r="A247" s="36">
        <v>60302</v>
      </c>
      <c r="B247" s="17" t="s">
        <v>193</v>
      </c>
      <c r="C247" s="23">
        <v>6</v>
      </c>
      <c r="D247" s="23">
        <v>4</v>
      </c>
    </row>
    <row r="248" spans="1:4" ht="15.75" customHeight="1" x14ac:dyDescent="0.3">
      <c r="A248" s="36">
        <v>60303</v>
      </c>
      <c r="B248" s="17" t="s">
        <v>330</v>
      </c>
      <c r="C248" s="23">
        <v>41</v>
      </c>
      <c r="D248" s="23">
        <v>35</v>
      </c>
    </row>
    <row r="249" spans="1:4" ht="15.75" customHeight="1" x14ac:dyDescent="0.3">
      <c r="A249" s="36">
        <v>60401</v>
      </c>
      <c r="B249" s="17" t="s">
        <v>235</v>
      </c>
      <c r="C249" s="23">
        <v>5</v>
      </c>
      <c r="D249" s="23">
        <v>10</v>
      </c>
    </row>
    <row r="250" spans="1:4" ht="15.75" customHeight="1" x14ac:dyDescent="0.3">
      <c r="A250" s="36">
        <v>60402</v>
      </c>
      <c r="B250" s="17" t="s">
        <v>105</v>
      </c>
      <c r="C250" s="23">
        <v>10</v>
      </c>
      <c r="D250" s="23">
        <v>6</v>
      </c>
    </row>
    <row r="251" spans="1:4" ht="15.75" customHeight="1" x14ac:dyDescent="0.3">
      <c r="A251" s="36">
        <v>60501</v>
      </c>
      <c r="B251" s="17" t="s">
        <v>271</v>
      </c>
      <c r="C251" s="23">
        <v>14</v>
      </c>
      <c r="D251" s="23">
        <v>8</v>
      </c>
    </row>
    <row r="252" spans="1:4" ht="15.75" customHeight="1" x14ac:dyDescent="0.3">
      <c r="A252" s="36">
        <v>60502</v>
      </c>
      <c r="B252" s="17" t="s">
        <v>88</v>
      </c>
      <c r="C252" s="23">
        <v>9</v>
      </c>
      <c r="D252" s="23">
        <v>18</v>
      </c>
    </row>
    <row r="253" spans="1:4" ht="15.75" customHeight="1" x14ac:dyDescent="0.3">
      <c r="A253" s="36">
        <v>60601</v>
      </c>
      <c r="B253" s="17" t="s">
        <v>223</v>
      </c>
      <c r="C253" s="23">
        <v>11</v>
      </c>
      <c r="D253" s="23">
        <v>19</v>
      </c>
    </row>
    <row r="254" spans="1:4" ht="15.75" customHeight="1" x14ac:dyDescent="0.3">
      <c r="A254" s="36">
        <v>70101</v>
      </c>
      <c r="B254" s="17" t="s">
        <v>304</v>
      </c>
      <c r="C254" s="23">
        <v>1028</v>
      </c>
      <c r="D254" s="23">
        <v>963</v>
      </c>
    </row>
    <row r="255" spans="1:4" ht="15.75" customHeight="1" x14ac:dyDescent="0.3">
      <c r="A255" s="36">
        <v>70102</v>
      </c>
      <c r="B255" s="17" t="s">
        <v>263</v>
      </c>
      <c r="C255" s="23">
        <v>74</v>
      </c>
      <c r="D255" s="23">
        <v>97</v>
      </c>
    </row>
    <row r="256" spans="1:4" ht="15.75" customHeight="1" x14ac:dyDescent="0.3">
      <c r="A256" s="36">
        <v>70103</v>
      </c>
      <c r="B256" s="17" t="s">
        <v>188</v>
      </c>
      <c r="C256" s="23">
        <v>6</v>
      </c>
      <c r="D256" s="23">
        <v>10</v>
      </c>
    </row>
    <row r="257" spans="1:4" ht="15.75" customHeight="1" x14ac:dyDescent="0.3">
      <c r="A257" s="36">
        <v>70104</v>
      </c>
      <c r="B257" s="17" t="s">
        <v>294</v>
      </c>
      <c r="C257" s="23">
        <v>60</v>
      </c>
      <c r="D257" s="23">
        <v>79</v>
      </c>
    </row>
    <row r="258" spans="1:4" ht="15.75" customHeight="1" x14ac:dyDescent="0.3">
      <c r="A258" s="36">
        <v>70105</v>
      </c>
      <c r="B258" s="17" t="s">
        <v>291</v>
      </c>
      <c r="C258" s="23">
        <v>40</v>
      </c>
      <c r="D258" s="23">
        <v>47</v>
      </c>
    </row>
    <row r="259" spans="1:4" ht="15.75" customHeight="1" x14ac:dyDescent="0.3">
      <c r="A259" s="36">
        <v>70201</v>
      </c>
      <c r="B259" s="17" t="s">
        <v>298</v>
      </c>
      <c r="C259" s="23">
        <v>76</v>
      </c>
      <c r="D259" s="23">
        <v>111</v>
      </c>
    </row>
    <row r="260" spans="1:4" ht="15.75" customHeight="1" x14ac:dyDescent="0.3">
      <c r="A260" s="36">
        <v>70202</v>
      </c>
      <c r="B260" s="17" t="s">
        <v>91</v>
      </c>
      <c r="C260" s="23">
        <v>7</v>
      </c>
      <c r="D260" s="23">
        <v>10</v>
      </c>
    </row>
    <row r="261" spans="1:4" ht="15.75" customHeight="1" x14ac:dyDescent="0.3">
      <c r="A261" s="36">
        <v>70301</v>
      </c>
      <c r="B261" s="17" t="s">
        <v>279</v>
      </c>
      <c r="C261" s="23">
        <v>68</v>
      </c>
      <c r="D261" s="23">
        <v>58</v>
      </c>
    </row>
    <row r="262" spans="1:4" ht="15.75" customHeight="1" x14ac:dyDescent="0.3">
      <c r="A262" s="36">
        <v>70302</v>
      </c>
      <c r="B262" s="17" t="s">
        <v>201</v>
      </c>
      <c r="C262" s="23">
        <v>19</v>
      </c>
      <c r="D262" s="23">
        <v>20</v>
      </c>
    </row>
    <row r="263" spans="1:4" ht="15.75" customHeight="1" x14ac:dyDescent="0.3">
      <c r="A263" s="36">
        <v>70303</v>
      </c>
      <c r="B263" s="17" t="s">
        <v>79</v>
      </c>
      <c r="C263" s="23">
        <v>10</v>
      </c>
      <c r="D263" s="23">
        <v>4</v>
      </c>
    </row>
    <row r="264" spans="1:4" ht="15.75" customHeight="1" x14ac:dyDescent="0.3">
      <c r="A264" s="36">
        <v>70401</v>
      </c>
      <c r="B264" s="17" t="s">
        <v>164</v>
      </c>
      <c r="C264" s="23">
        <v>9</v>
      </c>
      <c r="D264" s="23">
        <v>6</v>
      </c>
    </row>
    <row r="265" spans="1:4" ht="15.75" customHeight="1" x14ac:dyDescent="0.3">
      <c r="A265" s="36">
        <v>70402</v>
      </c>
      <c r="B265" s="17" t="s">
        <v>225</v>
      </c>
      <c r="C265" s="23">
        <v>16</v>
      </c>
      <c r="D265" s="23">
        <v>25</v>
      </c>
    </row>
    <row r="266" spans="1:4" ht="15.75" customHeight="1" x14ac:dyDescent="0.3">
      <c r="A266" s="36">
        <v>70403</v>
      </c>
      <c r="B266" s="17" t="s">
        <v>278</v>
      </c>
      <c r="C266" s="23">
        <v>86</v>
      </c>
      <c r="D266" s="23">
        <v>110</v>
      </c>
    </row>
    <row r="267" spans="1:4" ht="15.75" customHeight="1" x14ac:dyDescent="0.3">
      <c r="A267" s="36">
        <v>70404</v>
      </c>
      <c r="B267" s="17" t="s">
        <v>331</v>
      </c>
      <c r="C267" s="23">
        <v>11</v>
      </c>
      <c r="D267" s="23">
        <v>19</v>
      </c>
    </row>
    <row r="268" spans="1:4" ht="15.75" customHeight="1" x14ac:dyDescent="0.3">
      <c r="A268" s="36">
        <v>70501</v>
      </c>
      <c r="B268" s="17" t="s">
        <v>332</v>
      </c>
      <c r="C268" s="23">
        <v>16</v>
      </c>
      <c r="D268" s="23">
        <v>53</v>
      </c>
    </row>
    <row r="269" spans="1:4" ht="15.75" customHeight="1" x14ac:dyDescent="0.3">
      <c r="A269" s="36">
        <v>70502</v>
      </c>
      <c r="B269" s="17" t="s">
        <v>272</v>
      </c>
      <c r="C269" s="23">
        <v>30</v>
      </c>
      <c r="D269" s="23">
        <v>57</v>
      </c>
    </row>
    <row r="270" spans="1:4" ht="15.75" customHeight="1" x14ac:dyDescent="0.3">
      <c r="A270" s="36">
        <v>70503</v>
      </c>
      <c r="B270" s="17" t="s">
        <v>162</v>
      </c>
      <c r="C270" s="23">
        <v>17</v>
      </c>
      <c r="D270" s="23">
        <v>21</v>
      </c>
    </row>
    <row r="271" spans="1:4" ht="15.75" customHeight="1" x14ac:dyDescent="0.3">
      <c r="A271" s="36">
        <v>70601</v>
      </c>
      <c r="B271" s="17" t="s">
        <v>158</v>
      </c>
      <c r="C271" s="23">
        <v>9</v>
      </c>
      <c r="D271" s="23">
        <v>6</v>
      </c>
    </row>
    <row r="272" spans="1:4" ht="15.75" customHeight="1" x14ac:dyDescent="0.3">
      <c r="A272" s="36">
        <v>70602</v>
      </c>
      <c r="B272" s="17" t="s">
        <v>256</v>
      </c>
      <c r="C272" s="23">
        <v>18</v>
      </c>
      <c r="D272" s="23">
        <v>19</v>
      </c>
    </row>
    <row r="273" spans="1:4" ht="15.75" customHeight="1" x14ac:dyDescent="0.3">
      <c r="A273" s="36">
        <v>70603</v>
      </c>
      <c r="B273" s="17" t="s">
        <v>333</v>
      </c>
      <c r="C273" s="23">
        <v>5</v>
      </c>
      <c r="D273" s="23">
        <v>0</v>
      </c>
    </row>
    <row r="274" spans="1:4" ht="15.75" customHeight="1" x14ac:dyDescent="0.3">
      <c r="A274" s="36">
        <v>70701</v>
      </c>
      <c r="B274" s="17" t="s">
        <v>74</v>
      </c>
      <c r="C274" s="23">
        <v>4</v>
      </c>
      <c r="D274" s="23">
        <v>3</v>
      </c>
    </row>
    <row r="275" spans="1:4" ht="15.75" customHeight="1" x14ac:dyDescent="0.3">
      <c r="A275" s="36">
        <v>70702</v>
      </c>
      <c r="B275" s="17" t="s">
        <v>95</v>
      </c>
      <c r="C275" s="23">
        <v>44</v>
      </c>
      <c r="D275" s="23">
        <v>65</v>
      </c>
    </row>
    <row r="276" spans="1:4" ht="15.75" customHeight="1" x14ac:dyDescent="0.3">
      <c r="A276" s="36">
        <v>70703</v>
      </c>
      <c r="B276" s="17" t="s">
        <v>250</v>
      </c>
      <c r="C276" s="23">
        <v>17</v>
      </c>
      <c r="D276" s="23">
        <v>37</v>
      </c>
    </row>
    <row r="277" spans="1:4" ht="15.75" customHeight="1" x14ac:dyDescent="0.3">
      <c r="A277" s="36">
        <v>70704</v>
      </c>
      <c r="B277" s="17" t="s">
        <v>73</v>
      </c>
      <c r="C277" s="23">
        <v>2</v>
      </c>
      <c r="D277" s="23">
        <v>4</v>
      </c>
    </row>
    <row r="278" spans="1:4" ht="15.75" customHeight="1" x14ac:dyDescent="0.3">
      <c r="A278" s="36">
        <v>70705</v>
      </c>
      <c r="B278" s="17" t="s">
        <v>141</v>
      </c>
      <c r="C278" s="23">
        <v>35</v>
      </c>
      <c r="D278" s="23">
        <v>15</v>
      </c>
    </row>
    <row r="279" spans="1:4" ht="15.75" customHeight="1" x14ac:dyDescent="0.3">
      <c r="A279" s="36">
        <v>70706</v>
      </c>
      <c r="B279" s="17" t="s">
        <v>221</v>
      </c>
      <c r="C279" s="23">
        <v>20</v>
      </c>
      <c r="D279" s="23">
        <v>20</v>
      </c>
    </row>
    <row r="280" spans="1:4" ht="15.75" customHeight="1" x14ac:dyDescent="0.3">
      <c r="A280" s="36">
        <v>70707</v>
      </c>
      <c r="B280" s="17" t="s">
        <v>53</v>
      </c>
      <c r="C280" s="23">
        <v>2</v>
      </c>
      <c r="D280" s="23">
        <v>4</v>
      </c>
    </row>
    <row r="281" spans="1:4" ht="15.75" customHeight="1" x14ac:dyDescent="0.3">
      <c r="A281" s="36">
        <v>70801</v>
      </c>
      <c r="B281" s="17" t="s">
        <v>257</v>
      </c>
      <c r="C281" s="23">
        <v>8</v>
      </c>
      <c r="D281" s="23">
        <v>6</v>
      </c>
    </row>
    <row r="282" spans="1:4" ht="15.75" customHeight="1" x14ac:dyDescent="0.3">
      <c r="A282" s="36">
        <v>70802</v>
      </c>
      <c r="B282" s="17" t="s">
        <v>10</v>
      </c>
      <c r="C282" s="23">
        <v>0</v>
      </c>
      <c r="D282" s="23">
        <v>0</v>
      </c>
    </row>
    <row r="283" spans="1:4" ht="15.75" customHeight="1" x14ac:dyDescent="0.3">
      <c r="A283" s="36">
        <v>70803</v>
      </c>
      <c r="B283" s="17" t="s">
        <v>36</v>
      </c>
      <c r="C283" s="23">
        <v>0</v>
      </c>
      <c r="D283" s="23">
        <v>1</v>
      </c>
    </row>
    <row r="284" spans="1:4" ht="15.75" customHeight="1" x14ac:dyDescent="0.3">
      <c r="A284" s="36">
        <v>70804</v>
      </c>
      <c r="B284" s="17" t="s">
        <v>334</v>
      </c>
      <c r="C284" s="23">
        <v>0</v>
      </c>
      <c r="D284" s="23">
        <v>0</v>
      </c>
    </row>
    <row r="285" spans="1:4" ht="15.75" customHeight="1" x14ac:dyDescent="0.3">
      <c r="A285" s="36">
        <v>70805</v>
      </c>
      <c r="B285" s="17" t="s">
        <v>335</v>
      </c>
      <c r="C285" s="23">
        <v>0</v>
      </c>
      <c r="D285" s="23">
        <v>2</v>
      </c>
    </row>
    <row r="286" spans="1:4" ht="15.75" customHeight="1" x14ac:dyDescent="0.3">
      <c r="A286" s="36">
        <v>70901</v>
      </c>
      <c r="B286" s="17" t="s">
        <v>192</v>
      </c>
      <c r="C286" s="23">
        <v>2</v>
      </c>
      <c r="D286" s="23">
        <v>12</v>
      </c>
    </row>
    <row r="287" spans="1:4" ht="15.75" customHeight="1" x14ac:dyDescent="0.3">
      <c r="A287" s="36">
        <v>70902</v>
      </c>
      <c r="B287" s="17" t="s">
        <v>160</v>
      </c>
      <c r="C287" s="23">
        <v>8</v>
      </c>
      <c r="D287" s="23">
        <v>11</v>
      </c>
    </row>
    <row r="288" spans="1:4" ht="15.75" customHeight="1" x14ac:dyDescent="0.3">
      <c r="A288" s="36">
        <v>70903</v>
      </c>
      <c r="B288" s="17" t="s">
        <v>122</v>
      </c>
      <c r="C288" s="23">
        <v>11</v>
      </c>
      <c r="D288" s="23">
        <v>12</v>
      </c>
    </row>
    <row r="289" spans="1:4" ht="15.75" customHeight="1" x14ac:dyDescent="0.3">
      <c r="A289" s="36">
        <v>70904</v>
      </c>
      <c r="B289" s="17" t="s">
        <v>20</v>
      </c>
      <c r="C289" s="23">
        <v>2</v>
      </c>
      <c r="D289" s="23">
        <v>5</v>
      </c>
    </row>
    <row r="290" spans="1:4" ht="15.75" customHeight="1" x14ac:dyDescent="0.3">
      <c r="A290" s="36">
        <v>71001</v>
      </c>
      <c r="B290" s="17" t="s">
        <v>300</v>
      </c>
      <c r="C290" s="23">
        <v>93</v>
      </c>
      <c r="D290" s="23">
        <v>127</v>
      </c>
    </row>
    <row r="291" spans="1:4" ht="15.75" customHeight="1" x14ac:dyDescent="0.3">
      <c r="A291" s="36">
        <v>71002</v>
      </c>
      <c r="B291" s="17" t="s">
        <v>336</v>
      </c>
      <c r="C291" s="23">
        <v>12</v>
      </c>
      <c r="D291" s="23">
        <v>13</v>
      </c>
    </row>
    <row r="292" spans="1:4" ht="15.75" customHeight="1" x14ac:dyDescent="0.3">
      <c r="A292" s="36">
        <v>71003</v>
      </c>
      <c r="B292" s="17" t="s">
        <v>230</v>
      </c>
      <c r="C292" s="23">
        <v>47</v>
      </c>
      <c r="D292" s="23">
        <v>26</v>
      </c>
    </row>
    <row r="293" spans="1:4" ht="15.75" customHeight="1" x14ac:dyDescent="0.3">
      <c r="A293" s="36">
        <v>71004</v>
      </c>
      <c r="B293" s="17" t="s">
        <v>161</v>
      </c>
      <c r="C293" s="23">
        <v>20</v>
      </c>
      <c r="D293" s="23">
        <v>20</v>
      </c>
    </row>
    <row r="294" spans="1:4" ht="15.75" customHeight="1" x14ac:dyDescent="0.3">
      <c r="A294" s="36">
        <v>71005</v>
      </c>
      <c r="B294" s="17" t="s">
        <v>9</v>
      </c>
      <c r="C294" s="23">
        <v>12</v>
      </c>
      <c r="D294" s="23">
        <v>1</v>
      </c>
    </row>
    <row r="295" spans="1:4" ht="15.75" customHeight="1" x14ac:dyDescent="0.3">
      <c r="A295" s="36">
        <v>71101</v>
      </c>
      <c r="B295" s="17" t="s">
        <v>248</v>
      </c>
      <c r="C295" s="23">
        <v>25</v>
      </c>
      <c r="D295" s="23">
        <v>49</v>
      </c>
    </row>
    <row r="296" spans="1:4" ht="15.75" customHeight="1" x14ac:dyDescent="0.3">
      <c r="A296" s="36">
        <v>71102</v>
      </c>
      <c r="B296" s="17" t="s">
        <v>75</v>
      </c>
      <c r="C296" s="23">
        <v>31</v>
      </c>
      <c r="D296" s="23">
        <v>41</v>
      </c>
    </row>
    <row r="297" spans="1:4" ht="15.75" customHeight="1" x14ac:dyDescent="0.3">
      <c r="A297" s="36">
        <v>71103</v>
      </c>
      <c r="B297" s="17" t="s">
        <v>44</v>
      </c>
      <c r="C297" s="23">
        <v>7</v>
      </c>
      <c r="D297" s="23">
        <v>57</v>
      </c>
    </row>
    <row r="298" spans="1:4" ht="15.75" customHeight="1" x14ac:dyDescent="0.3">
      <c r="A298" s="36">
        <v>71104</v>
      </c>
      <c r="B298" s="17" t="s">
        <v>285</v>
      </c>
      <c r="C298" s="23">
        <v>62</v>
      </c>
      <c r="D298" s="23">
        <v>1</v>
      </c>
    </row>
    <row r="299" spans="1:4" ht="15.75" customHeight="1" x14ac:dyDescent="0.3">
      <c r="A299" s="36">
        <v>71105</v>
      </c>
      <c r="B299" s="17" t="s">
        <v>337</v>
      </c>
      <c r="C299" s="23">
        <v>21</v>
      </c>
      <c r="D299" s="23">
        <v>3</v>
      </c>
    </row>
    <row r="300" spans="1:4" ht="15.75" customHeight="1" x14ac:dyDescent="0.3">
      <c r="A300" s="36">
        <v>71106</v>
      </c>
      <c r="B300" s="17" t="s">
        <v>239</v>
      </c>
      <c r="C300" s="23">
        <v>25</v>
      </c>
      <c r="D300" s="23">
        <v>23</v>
      </c>
    </row>
    <row r="301" spans="1:4" ht="15.75" customHeight="1" x14ac:dyDescent="0.3">
      <c r="A301" s="36">
        <v>71201</v>
      </c>
      <c r="B301" s="17" t="s">
        <v>212</v>
      </c>
      <c r="C301" s="23">
        <v>12</v>
      </c>
      <c r="D301" s="23">
        <v>16</v>
      </c>
    </row>
    <row r="302" spans="1:4" ht="15.75" customHeight="1" x14ac:dyDescent="0.3">
      <c r="A302" s="36">
        <v>71301</v>
      </c>
      <c r="B302" s="17" t="s">
        <v>209</v>
      </c>
      <c r="C302" s="23">
        <v>17</v>
      </c>
      <c r="D302" s="23">
        <v>27</v>
      </c>
    </row>
    <row r="303" spans="1:4" ht="15.75" customHeight="1" x14ac:dyDescent="0.3">
      <c r="A303" s="36">
        <v>71302</v>
      </c>
      <c r="B303" s="17" t="s">
        <v>58</v>
      </c>
      <c r="C303" s="23">
        <v>6</v>
      </c>
      <c r="D303" s="23">
        <v>4</v>
      </c>
    </row>
    <row r="304" spans="1:4" ht="15.75" customHeight="1" x14ac:dyDescent="0.3">
      <c r="A304" s="36">
        <v>71401</v>
      </c>
      <c r="B304" s="17" t="s">
        <v>206</v>
      </c>
      <c r="C304" s="23">
        <v>9</v>
      </c>
      <c r="D304" s="23">
        <v>14</v>
      </c>
    </row>
    <row r="305" spans="1:4" ht="15.75" customHeight="1" x14ac:dyDescent="0.3">
      <c r="A305" s="36">
        <v>71402</v>
      </c>
      <c r="B305" s="17" t="s">
        <v>165</v>
      </c>
      <c r="C305" s="23">
        <v>17</v>
      </c>
      <c r="D305" s="23">
        <v>12</v>
      </c>
    </row>
    <row r="306" spans="1:4" ht="15.75" customHeight="1" x14ac:dyDescent="0.3">
      <c r="A306" s="36">
        <v>71403</v>
      </c>
      <c r="B306" s="17" t="s">
        <v>338</v>
      </c>
      <c r="C306" s="23">
        <v>6</v>
      </c>
      <c r="D306" s="23">
        <v>12</v>
      </c>
    </row>
    <row r="307" spans="1:4" ht="15.75" customHeight="1" x14ac:dyDescent="0.3">
      <c r="A307" s="36">
        <v>71501</v>
      </c>
      <c r="B307" s="17" t="s">
        <v>339</v>
      </c>
      <c r="C307" s="23">
        <v>27</v>
      </c>
      <c r="D307" s="23">
        <v>68</v>
      </c>
    </row>
    <row r="308" spans="1:4" ht="15.75" customHeight="1" x14ac:dyDescent="0.3">
      <c r="A308" s="36">
        <v>71502</v>
      </c>
      <c r="B308" s="17" t="s">
        <v>77</v>
      </c>
      <c r="C308" s="23">
        <v>10</v>
      </c>
      <c r="D308" s="23">
        <v>25</v>
      </c>
    </row>
    <row r="309" spans="1:4" ht="15.75" customHeight="1" x14ac:dyDescent="0.3">
      <c r="A309" s="36">
        <v>71503</v>
      </c>
      <c r="B309" s="17" t="s">
        <v>88</v>
      </c>
      <c r="C309" s="23">
        <v>16</v>
      </c>
      <c r="D309" s="23">
        <v>26</v>
      </c>
    </row>
    <row r="310" spans="1:4" ht="15.75" customHeight="1" x14ac:dyDescent="0.3">
      <c r="A310" s="36">
        <v>80101</v>
      </c>
      <c r="B310" s="17" t="s">
        <v>301</v>
      </c>
      <c r="C310" s="23">
        <v>113</v>
      </c>
      <c r="D310" s="23">
        <v>112</v>
      </c>
    </row>
    <row r="311" spans="1:4" ht="15.75" customHeight="1" x14ac:dyDescent="0.3">
      <c r="A311" s="36">
        <v>80102</v>
      </c>
      <c r="B311" s="17" t="s">
        <v>75</v>
      </c>
      <c r="C311" s="23">
        <v>10</v>
      </c>
      <c r="D311" s="23">
        <v>5</v>
      </c>
    </row>
    <row r="312" spans="1:4" ht="15.75" customHeight="1" x14ac:dyDescent="0.3">
      <c r="A312" s="36">
        <v>80201</v>
      </c>
      <c r="B312" s="17" t="s">
        <v>296</v>
      </c>
      <c r="C312" s="23">
        <v>230</v>
      </c>
      <c r="D312" s="23">
        <v>172</v>
      </c>
    </row>
    <row r="313" spans="1:4" ht="15.75" customHeight="1" x14ac:dyDescent="0.3">
      <c r="A313" s="36">
        <v>80202</v>
      </c>
      <c r="B313" s="17" t="s">
        <v>287</v>
      </c>
      <c r="C313" s="23">
        <v>59</v>
      </c>
      <c r="D313" s="23">
        <v>58</v>
      </c>
    </row>
    <row r="314" spans="1:4" ht="15.75" customHeight="1" x14ac:dyDescent="0.3">
      <c r="A314" s="36">
        <v>80301</v>
      </c>
      <c r="B314" s="17" t="s">
        <v>216</v>
      </c>
      <c r="C314" s="23">
        <v>21</v>
      </c>
      <c r="D314" s="23">
        <v>11</v>
      </c>
    </row>
    <row r="315" spans="1:4" ht="15.75" customHeight="1" x14ac:dyDescent="0.3">
      <c r="A315" s="36">
        <v>80302</v>
      </c>
      <c r="B315" s="17" t="s">
        <v>276</v>
      </c>
      <c r="C315" s="23">
        <v>132</v>
      </c>
      <c r="D315" s="23">
        <v>94</v>
      </c>
    </row>
    <row r="316" spans="1:4" ht="15.75" customHeight="1" x14ac:dyDescent="0.3">
      <c r="A316" s="36">
        <v>80303</v>
      </c>
      <c r="B316" s="17" t="s">
        <v>35</v>
      </c>
      <c r="C316" s="23">
        <v>11</v>
      </c>
      <c r="D316" s="23">
        <v>6</v>
      </c>
    </row>
    <row r="317" spans="1:4" ht="15.75" customHeight="1" x14ac:dyDescent="0.3">
      <c r="A317" s="36">
        <v>80304</v>
      </c>
      <c r="B317" s="17" t="s">
        <v>246</v>
      </c>
      <c r="C317" s="23">
        <v>32</v>
      </c>
      <c r="D317" s="23">
        <v>37</v>
      </c>
    </row>
    <row r="318" spans="1:4" ht="15.75" customHeight="1" x14ac:dyDescent="0.3">
      <c r="A318" s="36">
        <v>80401</v>
      </c>
      <c r="B318" s="17" t="s">
        <v>204</v>
      </c>
      <c r="C318" s="23">
        <v>34</v>
      </c>
      <c r="D318" s="23">
        <v>15</v>
      </c>
    </row>
    <row r="319" spans="1:4" ht="15.75" customHeight="1" x14ac:dyDescent="0.3">
      <c r="A319" s="36">
        <v>80402</v>
      </c>
      <c r="B319" s="17" t="s">
        <v>98</v>
      </c>
      <c r="C319" s="23">
        <v>4</v>
      </c>
      <c r="D319" s="23">
        <v>7</v>
      </c>
    </row>
    <row r="320" spans="1:4" ht="15.75" customHeight="1" x14ac:dyDescent="0.3">
      <c r="A320" s="36">
        <v>80501</v>
      </c>
      <c r="B320" s="17" t="s">
        <v>262</v>
      </c>
      <c r="C320" s="23">
        <v>46</v>
      </c>
      <c r="D320" s="23">
        <v>39</v>
      </c>
    </row>
    <row r="321" spans="1:4" ht="15.75" customHeight="1" x14ac:dyDescent="0.3">
      <c r="A321" s="36">
        <v>80601</v>
      </c>
      <c r="B321" s="17" t="s">
        <v>83</v>
      </c>
      <c r="C321" s="23">
        <v>6</v>
      </c>
      <c r="D321" s="23">
        <v>4</v>
      </c>
    </row>
    <row r="322" spans="1:4" ht="15.75" customHeight="1" x14ac:dyDescent="0.3">
      <c r="A322" s="36">
        <v>80602</v>
      </c>
      <c r="B322" s="17" t="s">
        <v>214</v>
      </c>
      <c r="C322" s="23">
        <v>12</v>
      </c>
      <c r="D322" s="23">
        <v>14</v>
      </c>
    </row>
    <row r="323" spans="1:4" ht="15.75" customHeight="1" x14ac:dyDescent="0.3">
      <c r="A323" s="36">
        <v>80701</v>
      </c>
      <c r="B323" s="17" t="s">
        <v>64</v>
      </c>
      <c r="C323" s="23">
        <v>9</v>
      </c>
      <c r="D323" s="23">
        <v>2</v>
      </c>
    </row>
    <row r="324" spans="1:4" ht="15.75" customHeight="1" x14ac:dyDescent="0.3">
      <c r="A324" s="36">
        <v>80702</v>
      </c>
      <c r="B324" s="17" t="s">
        <v>44</v>
      </c>
      <c r="C324" s="23">
        <v>3</v>
      </c>
      <c r="D324" s="23">
        <v>3</v>
      </c>
    </row>
    <row r="325" spans="1:4" ht="15.75" customHeight="1" x14ac:dyDescent="0.3">
      <c r="A325" s="36">
        <v>80703</v>
      </c>
      <c r="B325" s="17" t="s">
        <v>2</v>
      </c>
      <c r="C325" s="23">
        <v>3</v>
      </c>
      <c r="D325" s="23">
        <v>0</v>
      </c>
    </row>
    <row r="326" spans="1:4" ht="15.75" customHeight="1" x14ac:dyDescent="0.3">
      <c r="A326" s="36">
        <v>80801</v>
      </c>
      <c r="B326" s="17" t="s">
        <v>142</v>
      </c>
      <c r="C326" s="23">
        <v>2</v>
      </c>
      <c r="D326" s="23">
        <v>11</v>
      </c>
    </row>
    <row r="327" spans="1:4" ht="15.75" customHeight="1" x14ac:dyDescent="0.3">
      <c r="A327" s="36">
        <v>80802</v>
      </c>
      <c r="B327" s="17" t="s">
        <v>118</v>
      </c>
      <c r="C327" s="23">
        <v>4</v>
      </c>
      <c r="D327" s="23">
        <v>4</v>
      </c>
    </row>
    <row r="328" spans="1:4" ht="15.75" customHeight="1" x14ac:dyDescent="0.3">
      <c r="A328" s="36">
        <v>80803</v>
      </c>
      <c r="B328" s="17" t="s">
        <v>17</v>
      </c>
      <c r="C328" s="23">
        <v>4</v>
      </c>
      <c r="D328" s="23">
        <v>2</v>
      </c>
    </row>
    <row r="329" spans="1:4" ht="15.75" customHeight="1" x14ac:dyDescent="0.3">
      <c r="A329" s="36">
        <v>80901</v>
      </c>
      <c r="B329" s="34" t="s">
        <v>436</v>
      </c>
      <c r="C329" s="23">
        <v>51</v>
      </c>
      <c r="D329" s="23">
        <v>13</v>
      </c>
    </row>
    <row r="330" spans="1:4" ht="15.75" customHeight="1" x14ac:dyDescent="0.3">
      <c r="A330" s="36">
        <v>90101</v>
      </c>
      <c r="B330" s="17" t="s">
        <v>281</v>
      </c>
      <c r="C330" s="23">
        <v>39</v>
      </c>
      <c r="D330" s="23">
        <v>39</v>
      </c>
    </row>
    <row r="331" spans="1:4" ht="15.75" customHeight="1" x14ac:dyDescent="0.3">
      <c r="A331" s="36">
        <v>90102</v>
      </c>
      <c r="B331" s="17" t="s">
        <v>115</v>
      </c>
      <c r="C331" s="23">
        <v>4</v>
      </c>
      <c r="D331" s="23">
        <v>6</v>
      </c>
    </row>
    <row r="332" spans="1:4" ht="15.75" customHeight="1" x14ac:dyDescent="0.3">
      <c r="A332" s="36">
        <v>90103</v>
      </c>
      <c r="B332" s="17" t="s">
        <v>4</v>
      </c>
      <c r="C332" s="23">
        <v>0</v>
      </c>
      <c r="D332" s="23">
        <v>2</v>
      </c>
    </row>
    <row r="333" spans="1:4" ht="15.75" customHeight="1" x14ac:dyDescent="0.3">
      <c r="A333" s="36">
        <v>90104</v>
      </c>
      <c r="B333" s="17" t="s">
        <v>81</v>
      </c>
      <c r="C333" s="23">
        <v>2</v>
      </c>
      <c r="D333" s="23">
        <v>1</v>
      </c>
    </row>
    <row r="334" spans="1:4" ht="15.75" customHeight="1" x14ac:dyDescent="0.3">
      <c r="A334" s="36">
        <v>90201</v>
      </c>
      <c r="B334" s="17" t="s">
        <v>131</v>
      </c>
      <c r="C334" s="23">
        <v>5</v>
      </c>
      <c r="D334" s="23">
        <v>10</v>
      </c>
    </row>
    <row r="335" spans="1:4" ht="15.75" customHeight="1" x14ac:dyDescent="0.3">
      <c r="A335" s="36">
        <v>90202</v>
      </c>
      <c r="B335" s="17" t="s">
        <v>9</v>
      </c>
      <c r="C335" s="23">
        <v>4</v>
      </c>
      <c r="D335" s="23">
        <v>0</v>
      </c>
    </row>
    <row r="336" spans="1:4" ht="15.75" customHeight="1" x14ac:dyDescent="0.3">
      <c r="A336" s="36">
        <v>90203</v>
      </c>
      <c r="B336" s="17" t="s">
        <v>37</v>
      </c>
      <c r="C336" s="23">
        <v>6</v>
      </c>
      <c r="D336" s="23">
        <v>14</v>
      </c>
    </row>
    <row r="337" spans="1:4" ht="15.75" customHeight="1" x14ac:dyDescent="0.3">
      <c r="A337" s="36">
        <v>90301</v>
      </c>
      <c r="B337" s="17" t="s">
        <v>340</v>
      </c>
      <c r="C337" s="23">
        <v>2</v>
      </c>
      <c r="D337" s="23">
        <v>9</v>
      </c>
    </row>
    <row r="338" spans="1:4" ht="15.75" customHeight="1" x14ac:dyDescent="0.3">
      <c r="A338" s="36">
        <v>90302</v>
      </c>
      <c r="B338" s="17" t="s">
        <v>59</v>
      </c>
      <c r="C338" s="23">
        <v>4</v>
      </c>
      <c r="D338" s="23">
        <v>8</v>
      </c>
    </row>
    <row r="339" spans="1:4" ht="15.75" customHeight="1" x14ac:dyDescent="0.3">
      <c r="A339" s="36">
        <v>90303</v>
      </c>
      <c r="B339" s="17" t="s">
        <v>341</v>
      </c>
      <c r="C339" s="23">
        <v>10</v>
      </c>
      <c r="D339" s="23">
        <v>26</v>
      </c>
    </row>
    <row r="340" spans="1:4" ht="15.75" customHeight="1" x14ac:dyDescent="0.3">
      <c r="A340" s="36">
        <v>90401</v>
      </c>
      <c r="B340" s="17" t="s">
        <v>441</v>
      </c>
      <c r="C340" s="23">
        <v>2</v>
      </c>
      <c r="D340" s="23">
        <v>2</v>
      </c>
    </row>
    <row r="341" spans="1:4" ht="15.75" customHeight="1" x14ac:dyDescent="0.3">
      <c r="A341" s="36">
        <v>90402</v>
      </c>
      <c r="B341" s="17" t="s">
        <v>14</v>
      </c>
      <c r="C341" s="23">
        <v>3</v>
      </c>
      <c r="D341" s="23">
        <v>2</v>
      </c>
    </row>
    <row r="342" spans="1:4" ht="15.75" customHeight="1" x14ac:dyDescent="0.3">
      <c r="A342" s="36">
        <v>90501</v>
      </c>
      <c r="B342" s="17" t="s">
        <v>26</v>
      </c>
      <c r="C342" s="23">
        <v>2</v>
      </c>
      <c r="D342" s="23">
        <v>0</v>
      </c>
    </row>
    <row r="343" spans="1:4" ht="15.75" customHeight="1" x14ac:dyDescent="0.3">
      <c r="A343" s="36">
        <v>90502</v>
      </c>
      <c r="B343" s="17" t="s">
        <v>443</v>
      </c>
      <c r="C343" s="23">
        <v>2</v>
      </c>
      <c r="D343" s="23">
        <v>2</v>
      </c>
    </row>
    <row r="344" spans="1:4" ht="15.75" customHeight="1" x14ac:dyDescent="0.3">
      <c r="A344" s="36">
        <v>90503</v>
      </c>
      <c r="B344" s="17" t="s">
        <v>24</v>
      </c>
      <c r="C344" s="23">
        <v>6</v>
      </c>
      <c r="D344" s="23">
        <v>14</v>
      </c>
    </row>
    <row r="345" spans="1:4" ht="15.75" customHeight="1" x14ac:dyDescent="0.3">
      <c r="B345" s="19"/>
      <c r="C345">
        <v>0</v>
      </c>
      <c r="D345" s="7"/>
    </row>
    <row r="346" spans="1:4" ht="15.75" customHeight="1" x14ac:dyDescent="0.3">
      <c r="B346" s="19"/>
      <c r="D346" s="7"/>
    </row>
    <row r="347" spans="1:4" ht="15.75" customHeight="1" x14ac:dyDescent="0.3">
      <c r="B347" s="19"/>
      <c r="D347" s="7"/>
    </row>
    <row r="348" spans="1:4" ht="15.75" customHeight="1" x14ac:dyDescent="0.3">
      <c r="B348" s="19"/>
    </row>
    <row r="349" spans="1:4" ht="15.75" customHeight="1" x14ac:dyDescent="0.3">
      <c r="B349" s="19"/>
    </row>
    <row r="350" spans="1:4" ht="15.75" customHeight="1" x14ac:dyDescent="0.3">
      <c r="B350" s="19"/>
      <c r="D350" s="8"/>
    </row>
    <row r="351" spans="1:4" ht="15.75" customHeight="1" x14ac:dyDescent="0.3">
      <c r="B351" s="19"/>
      <c r="D351" s="8"/>
    </row>
    <row r="352" spans="1:4" ht="15.75" customHeight="1" x14ac:dyDescent="0.3">
      <c r="B352" s="19"/>
      <c r="D352" s="8"/>
    </row>
    <row r="353" spans="2:4" ht="15.75" customHeight="1" x14ac:dyDescent="0.3">
      <c r="B353" s="22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EB13DACB-5E3B-4F2C-A65A-451C61BF1967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DD94-3285-496A-B2A0-31FB16407AAF}">
  <sheetPr>
    <tabColor rgb="FFC00000"/>
  </sheetPr>
  <dimension ref="A1:G1010"/>
  <sheetViews>
    <sheetView topLeftCell="A319" zoomScale="90" zoomScaleNormal="90" workbookViewId="0">
      <selection activeCell="H344" sqref="H344:I345"/>
    </sheetView>
  </sheetViews>
  <sheetFormatPr baseColWidth="10" defaultColWidth="12.59765625" defaultRowHeight="15" customHeight="1" x14ac:dyDescent="0.25"/>
  <cols>
    <col min="1" max="1" width="12.59765625" style="18"/>
    <col min="2" max="2" width="11.69921875" customWidth="1"/>
    <col min="3" max="4" width="13" customWidth="1"/>
    <col min="5" max="26" width="9.3984375" customWidth="1"/>
  </cols>
  <sheetData>
    <row r="1" spans="1:7" ht="72" x14ac:dyDescent="0.25">
      <c r="A1" s="15" t="s">
        <v>306</v>
      </c>
      <c r="B1" s="16" t="s">
        <v>344</v>
      </c>
      <c r="C1" s="69" t="s">
        <v>455</v>
      </c>
      <c r="D1" s="69" t="s">
        <v>460</v>
      </c>
    </row>
    <row r="2" spans="1:7" ht="14.4" x14ac:dyDescent="0.3">
      <c r="A2" s="36">
        <v>10101</v>
      </c>
      <c r="B2" s="17" t="s">
        <v>11</v>
      </c>
      <c r="C2" s="23">
        <v>106</v>
      </c>
      <c r="D2" s="23">
        <v>24.4</v>
      </c>
      <c r="G2" s="35"/>
    </row>
    <row r="3" spans="1:7" ht="14.4" x14ac:dyDescent="0.3">
      <c r="A3" s="36">
        <v>10102</v>
      </c>
      <c r="B3" s="17" t="s">
        <v>39</v>
      </c>
      <c r="C3" s="23">
        <v>4</v>
      </c>
      <c r="D3" s="23">
        <v>1.8</v>
      </c>
      <c r="G3" s="35"/>
    </row>
    <row r="4" spans="1:7" ht="14.4" x14ac:dyDescent="0.3">
      <c r="A4" s="36">
        <v>10103</v>
      </c>
      <c r="B4" s="17" t="s">
        <v>18</v>
      </c>
      <c r="C4" s="23">
        <v>14</v>
      </c>
      <c r="D4" s="23">
        <v>3.2</v>
      </c>
      <c r="G4" s="35"/>
    </row>
    <row r="5" spans="1:7" ht="14.4" x14ac:dyDescent="0.3">
      <c r="A5" s="36">
        <v>10201</v>
      </c>
      <c r="B5" s="17" t="s">
        <v>311</v>
      </c>
      <c r="C5" s="23">
        <v>6</v>
      </c>
      <c r="D5" s="23">
        <v>1.6</v>
      </c>
      <c r="G5" s="35"/>
    </row>
    <row r="6" spans="1:7" ht="14.4" x14ac:dyDescent="0.3">
      <c r="A6" s="36">
        <v>10202</v>
      </c>
      <c r="B6" s="17" t="s">
        <v>65</v>
      </c>
      <c r="C6" s="23">
        <v>6</v>
      </c>
      <c r="D6" s="23">
        <v>2.2000000000000002</v>
      </c>
      <c r="G6" s="35"/>
    </row>
    <row r="7" spans="1:7" ht="14.4" x14ac:dyDescent="0.3">
      <c r="A7" s="36">
        <v>10301</v>
      </c>
      <c r="B7" s="17" t="s">
        <v>72</v>
      </c>
      <c r="C7" s="23">
        <v>8</v>
      </c>
      <c r="D7" s="23">
        <v>0.6</v>
      </c>
      <c r="G7" s="35"/>
    </row>
    <row r="8" spans="1:7" ht="14.4" x14ac:dyDescent="0.3">
      <c r="A8" s="36">
        <v>10302</v>
      </c>
      <c r="B8" s="17" t="s">
        <v>80</v>
      </c>
      <c r="C8" s="23">
        <v>16</v>
      </c>
      <c r="D8" s="23">
        <v>1.6</v>
      </c>
      <c r="G8" s="35"/>
    </row>
    <row r="9" spans="1:7" ht="14.4" x14ac:dyDescent="0.3">
      <c r="A9" s="36">
        <v>10303</v>
      </c>
      <c r="B9" s="17" t="s">
        <v>312</v>
      </c>
      <c r="C9" s="23">
        <v>7</v>
      </c>
      <c r="D9" s="23">
        <v>1</v>
      </c>
      <c r="G9" s="35"/>
    </row>
    <row r="10" spans="1:7" ht="14.4" x14ac:dyDescent="0.3">
      <c r="A10" s="36">
        <v>10304</v>
      </c>
      <c r="B10" s="17" t="s">
        <v>99</v>
      </c>
      <c r="C10" s="23">
        <v>2</v>
      </c>
      <c r="D10" s="23">
        <v>1</v>
      </c>
      <c r="G10" s="35"/>
    </row>
    <row r="11" spans="1:7" ht="14.4" x14ac:dyDescent="0.3">
      <c r="A11" s="36">
        <v>10401</v>
      </c>
      <c r="B11" s="17" t="s">
        <v>106</v>
      </c>
      <c r="C11" s="23">
        <v>7</v>
      </c>
      <c r="D11" s="23">
        <v>0.6</v>
      </c>
      <c r="G11" s="35"/>
    </row>
    <row r="12" spans="1:7" ht="14.4" x14ac:dyDescent="0.3">
      <c r="A12" s="36">
        <v>10402</v>
      </c>
      <c r="B12" s="17" t="s">
        <v>117</v>
      </c>
      <c r="C12" s="23">
        <v>6</v>
      </c>
      <c r="D12" s="23">
        <v>0.6</v>
      </c>
      <c r="G12" s="35"/>
    </row>
    <row r="13" spans="1:7" ht="14.4" x14ac:dyDescent="0.3">
      <c r="A13" s="36">
        <v>10403</v>
      </c>
      <c r="B13" s="17" t="s">
        <v>121</v>
      </c>
      <c r="C13" s="23">
        <v>2</v>
      </c>
      <c r="D13" s="23">
        <v>0.2</v>
      </c>
      <c r="G13" s="35"/>
    </row>
    <row r="14" spans="1:7" ht="14.4" x14ac:dyDescent="0.3">
      <c r="A14" s="36">
        <v>10404</v>
      </c>
      <c r="B14" s="17" t="s">
        <v>84</v>
      </c>
      <c r="C14" s="23">
        <v>0</v>
      </c>
      <c r="D14" s="23">
        <v>0.2</v>
      </c>
      <c r="G14" s="35"/>
    </row>
    <row r="15" spans="1:7" ht="14.4" x14ac:dyDescent="0.3">
      <c r="A15" s="36">
        <v>10405</v>
      </c>
      <c r="B15" s="17" t="s">
        <v>126</v>
      </c>
      <c r="C15" s="23">
        <v>2</v>
      </c>
      <c r="D15" s="23">
        <v>0.8</v>
      </c>
      <c r="G15" s="35"/>
    </row>
    <row r="16" spans="1:7" ht="14.4" x14ac:dyDescent="0.3">
      <c r="A16" s="36">
        <v>10501</v>
      </c>
      <c r="B16" s="17" t="s">
        <v>129</v>
      </c>
      <c r="C16" s="23">
        <v>17</v>
      </c>
      <c r="D16" s="23">
        <v>1.8</v>
      </c>
      <c r="G16" s="35"/>
    </row>
    <row r="17" spans="1:7" ht="14.4" x14ac:dyDescent="0.3">
      <c r="A17" s="36">
        <v>10502</v>
      </c>
      <c r="B17" s="17" t="s">
        <v>313</v>
      </c>
      <c r="C17" s="23">
        <v>2</v>
      </c>
      <c r="D17" s="23">
        <v>0.8</v>
      </c>
      <c r="G17" s="35"/>
    </row>
    <row r="18" spans="1:7" ht="14.4" x14ac:dyDescent="0.3">
      <c r="A18" s="36">
        <v>10601</v>
      </c>
      <c r="B18" s="17" t="s">
        <v>136</v>
      </c>
      <c r="C18" s="23">
        <v>13</v>
      </c>
      <c r="D18" s="23">
        <v>2.6</v>
      </c>
      <c r="G18" s="35"/>
    </row>
    <row r="19" spans="1:7" ht="14.4" x14ac:dyDescent="0.3">
      <c r="A19" s="36">
        <v>10602</v>
      </c>
      <c r="B19" s="17" t="s">
        <v>139</v>
      </c>
      <c r="C19" s="23">
        <v>2</v>
      </c>
      <c r="D19" s="23">
        <v>0.6</v>
      </c>
      <c r="G19" s="35"/>
    </row>
    <row r="20" spans="1:7" ht="14.4" x14ac:dyDescent="0.3">
      <c r="A20" s="36">
        <v>10701</v>
      </c>
      <c r="B20" s="17" t="s">
        <v>143</v>
      </c>
      <c r="C20" s="23">
        <v>3</v>
      </c>
      <c r="D20" s="23">
        <v>2.2000000000000002</v>
      </c>
      <c r="G20" s="35"/>
    </row>
    <row r="21" spans="1:7" ht="15.75" customHeight="1" x14ac:dyDescent="0.3">
      <c r="A21" s="36">
        <v>10702</v>
      </c>
      <c r="B21" s="17" t="s">
        <v>147</v>
      </c>
      <c r="C21" s="23">
        <v>22</v>
      </c>
      <c r="D21" s="23">
        <v>5.8</v>
      </c>
      <c r="G21" s="35"/>
    </row>
    <row r="22" spans="1:7" ht="15.75" customHeight="1" x14ac:dyDescent="0.3">
      <c r="A22" s="36">
        <v>10703</v>
      </c>
      <c r="B22" s="17" t="s">
        <v>87</v>
      </c>
      <c r="C22" s="23">
        <v>9</v>
      </c>
      <c r="D22" s="23">
        <v>3.2</v>
      </c>
      <c r="G22" s="35"/>
    </row>
    <row r="23" spans="1:7" ht="15.75" customHeight="1" x14ac:dyDescent="0.3">
      <c r="A23" s="36">
        <v>10704</v>
      </c>
      <c r="B23" s="17" t="s">
        <v>150</v>
      </c>
      <c r="C23" s="23">
        <v>17</v>
      </c>
      <c r="D23" s="23">
        <v>1.8</v>
      </c>
      <c r="G23" s="35"/>
    </row>
    <row r="24" spans="1:7" ht="15.75" customHeight="1" x14ac:dyDescent="0.3">
      <c r="A24" s="36">
        <v>10801</v>
      </c>
      <c r="B24" s="17" t="s">
        <v>154</v>
      </c>
      <c r="C24" s="23">
        <v>1</v>
      </c>
      <c r="D24" s="23">
        <v>1</v>
      </c>
      <c r="G24" s="35"/>
    </row>
    <row r="25" spans="1:7" ht="15.75" customHeight="1" x14ac:dyDescent="0.3">
      <c r="A25" s="36">
        <v>10901</v>
      </c>
      <c r="B25" s="17" t="s">
        <v>71</v>
      </c>
      <c r="C25" s="23">
        <v>1</v>
      </c>
      <c r="D25" s="23">
        <v>0.2</v>
      </c>
      <c r="G25" s="35"/>
    </row>
    <row r="26" spans="1:7" ht="15.75" customHeight="1" x14ac:dyDescent="0.3">
      <c r="A26" s="36">
        <v>10902</v>
      </c>
      <c r="B26" s="17" t="s">
        <v>157</v>
      </c>
      <c r="C26" s="23">
        <v>7</v>
      </c>
      <c r="D26" s="23">
        <v>3</v>
      </c>
      <c r="G26" s="35"/>
    </row>
    <row r="27" spans="1:7" ht="15.75" customHeight="1" x14ac:dyDescent="0.3">
      <c r="A27" s="36">
        <v>10903</v>
      </c>
      <c r="B27" s="17" t="s">
        <v>89</v>
      </c>
      <c r="C27" s="23">
        <v>1</v>
      </c>
      <c r="D27" s="23">
        <v>0.2</v>
      </c>
      <c r="G27" s="35"/>
    </row>
    <row r="28" spans="1:7" ht="15.75" customHeight="1" x14ac:dyDescent="0.3">
      <c r="A28" s="36">
        <v>11001</v>
      </c>
      <c r="B28" s="17" t="s">
        <v>352</v>
      </c>
      <c r="C28" s="23">
        <v>4</v>
      </c>
      <c r="D28" s="23">
        <v>0.8</v>
      </c>
      <c r="G28" s="35"/>
    </row>
    <row r="29" spans="1:7" ht="15.75" customHeight="1" x14ac:dyDescent="0.3">
      <c r="A29" s="36">
        <v>11002</v>
      </c>
      <c r="B29" s="17" t="s">
        <v>33</v>
      </c>
      <c r="C29" s="23">
        <v>1</v>
      </c>
      <c r="D29" s="23">
        <v>0.6</v>
      </c>
      <c r="G29" s="35"/>
    </row>
    <row r="30" spans="1:7" ht="15.75" customHeight="1" x14ac:dyDescent="0.3">
      <c r="A30" s="36">
        <v>11003</v>
      </c>
      <c r="B30" s="17" t="s">
        <v>146</v>
      </c>
      <c r="C30" s="23">
        <v>1</v>
      </c>
      <c r="D30" s="23">
        <v>1.6</v>
      </c>
      <c r="G30" s="35"/>
    </row>
    <row r="31" spans="1:7" ht="15.75" customHeight="1" x14ac:dyDescent="0.3">
      <c r="A31" s="36">
        <v>20101</v>
      </c>
      <c r="B31" s="17" t="s">
        <v>314</v>
      </c>
      <c r="C31" s="23">
        <v>398</v>
      </c>
      <c r="D31" s="23">
        <v>70.400000000000006</v>
      </c>
      <c r="G31" s="35"/>
    </row>
    <row r="32" spans="1:7" ht="15.75" customHeight="1" x14ac:dyDescent="0.3">
      <c r="A32" s="36">
        <v>20102</v>
      </c>
      <c r="B32" s="17" t="s">
        <v>168</v>
      </c>
      <c r="C32" s="23">
        <v>23</v>
      </c>
      <c r="D32" s="23">
        <v>5.2</v>
      </c>
      <c r="G32" s="35"/>
    </row>
    <row r="33" spans="1:7" ht="15.75" customHeight="1" x14ac:dyDescent="0.3">
      <c r="A33" s="36">
        <v>20103</v>
      </c>
      <c r="B33" s="17" t="s">
        <v>170</v>
      </c>
      <c r="C33" s="23">
        <v>12</v>
      </c>
      <c r="D33" s="23">
        <v>2.8</v>
      </c>
      <c r="G33" s="35"/>
    </row>
    <row r="34" spans="1:7" ht="15.75" customHeight="1" x14ac:dyDescent="0.3">
      <c r="A34" s="36">
        <v>20104</v>
      </c>
      <c r="B34" s="17" t="s">
        <v>174</v>
      </c>
      <c r="C34" s="23">
        <v>24</v>
      </c>
      <c r="D34" s="23">
        <v>7.6</v>
      </c>
      <c r="G34" s="35"/>
    </row>
    <row r="35" spans="1:7" ht="15.75" customHeight="1" x14ac:dyDescent="0.3">
      <c r="A35" s="36">
        <v>20105</v>
      </c>
      <c r="B35" s="17" t="s">
        <v>178</v>
      </c>
      <c r="C35" s="23">
        <v>575</v>
      </c>
      <c r="D35" s="23">
        <v>150.19999999999999</v>
      </c>
      <c r="G35" s="35"/>
    </row>
    <row r="36" spans="1:7" ht="15.75" customHeight="1" x14ac:dyDescent="0.3">
      <c r="A36" s="36">
        <v>20201</v>
      </c>
      <c r="B36" s="17" t="s">
        <v>181</v>
      </c>
      <c r="C36" s="23">
        <v>3</v>
      </c>
      <c r="D36" s="23">
        <v>8.1999999999999993</v>
      </c>
      <c r="G36" s="35"/>
    </row>
    <row r="37" spans="1:7" ht="15.75" customHeight="1" x14ac:dyDescent="0.3">
      <c r="A37" s="36">
        <v>20202</v>
      </c>
      <c r="B37" s="17" t="s">
        <v>183</v>
      </c>
      <c r="C37" s="23">
        <v>7</v>
      </c>
      <c r="D37" s="23">
        <v>2.2000000000000002</v>
      </c>
      <c r="G37" s="35"/>
    </row>
    <row r="38" spans="1:7" ht="15.75" customHeight="1" x14ac:dyDescent="0.3">
      <c r="A38" s="36">
        <v>20203</v>
      </c>
      <c r="B38" s="17" t="s">
        <v>159</v>
      </c>
      <c r="C38" s="23">
        <v>2</v>
      </c>
      <c r="D38" s="23">
        <v>1.2</v>
      </c>
      <c r="G38" s="35"/>
    </row>
    <row r="39" spans="1:7" ht="15.75" customHeight="1" x14ac:dyDescent="0.3">
      <c r="A39" s="36">
        <v>20204</v>
      </c>
      <c r="B39" s="17" t="s">
        <v>187</v>
      </c>
      <c r="C39" s="23">
        <v>3</v>
      </c>
      <c r="D39" s="23">
        <v>1.2</v>
      </c>
      <c r="G39" s="35"/>
    </row>
    <row r="40" spans="1:7" ht="15.75" customHeight="1" x14ac:dyDescent="0.3">
      <c r="A40" s="36">
        <v>20205</v>
      </c>
      <c r="B40" s="17" t="s">
        <v>189</v>
      </c>
      <c r="C40" s="23">
        <v>4</v>
      </c>
      <c r="D40" s="23">
        <v>0.6</v>
      </c>
      <c r="G40" s="35"/>
    </row>
    <row r="41" spans="1:7" ht="15.75" customHeight="1" x14ac:dyDescent="0.3">
      <c r="A41" s="36">
        <v>20206</v>
      </c>
      <c r="B41" s="17" t="s">
        <v>103</v>
      </c>
      <c r="C41" s="23">
        <v>0</v>
      </c>
      <c r="D41" s="23">
        <v>1.4</v>
      </c>
      <c r="G41" s="35"/>
    </row>
    <row r="42" spans="1:7" ht="15.75" customHeight="1" x14ac:dyDescent="0.3">
      <c r="A42" s="36">
        <v>20301</v>
      </c>
      <c r="B42" s="17" t="s">
        <v>196</v>
      </c>
      <c r="C42" s="23">
        <v>2</v>
      </c>
      <c r="D42" s="23">
        <v>3</v>
      </c>
      <c r="G42" s="35"/>
    </row>
    <row r="43" spans="1:7" ht="15.75" customHeight="1" x14ac:dyDescent="0.3">
      <c r="A43" s="36">
        <v>20302</v>
      </c>
      <c r="B43" s="17" t="s">
        <v>82</v>
      </c>
      <c r="C43" s="23">
        <v>4</v>
      </c>
      <c r="D43" s="23">
        <v>2.2000000000000002</v>
      </c>
      <c r="G43" s="35"/>
    </row>
    <row r="44" spans="1:7" ht="15.75" customHeight="1" x14ac:dyDescent="0.3">
      <c r="A44" s="36">
        <v>20303</v>
      </c>
      <c r="B44" s="17" t="s">
        <v>30</v>
      </c>
      <c r="C44" s="23">
        <v>0</v>
      </c>
      <c r="D44" s="23">
        <v>2.2000000000000002</v>
      </c>
      <c r="G44" s="35"/>
    </row>
    <row r="45" spans="1:7" ht="15.75" customHeight="1" x14ac:dyDescent="0.3">
      <c r="A45" s="36">
        <v>20304</v>
      </c>
      <c r="B45" s="17" t="s">
        <v>148</v>
      </c>
      <c r="C45" s="23">
        <v>0</v>
      </c>
      <c r="D45" s="23">
        <v>0.8</v>
      </c>
      <c r="G45" s="35"/>
    </row>
    <row r="46" spans="1:7" ht="15.75" customHeight="1" x14ac:dyDescent="0.3">
      <c r="A46" s="36">
        <v>20305</v>
      </c>
      <c r="B46" s="17" t="s">
        <v>93</v>
      </c>
      <c r="C46" s="23">
        <v>0</v>
      </c>
      <c r="D46" s="23">
        <v>1.2</v>
      </c>
      <c r="G46" s="35"/>
    </row>
    <row r="47" spans="1:7" ht="15.75" customHeight="1" x14ac:dyDescent="0.3">
      <c r="A47" s="36">
        <v>20306</v>
      </c>
      <c r="B47" s="17" t="s">
        <v>97</v>
      </c>
      <c r="C47" s="23">
        <v>2</v>
      </c>
      <c r="D47" s="23">
        <v>1.4</v>
      </c>
      <c r="G47" s="35"/>
    </row>
    <row r="48" spans="1:7" ht="15.75" customHeight="1" x14ac:dyDescent="0.3">
      <c r="A48" s="36">
        <v>20307</v>
      </c>
      <c r="B48" s="17" t="s">
        <v>12</v>
      </c>
      <c r="C48" s="23">
        <v>0</v>
      </c>
      <c r="D48" s="23">
        <v>0.2</v>
      </c>
      <c r="G48" s="35"/>
    </row>
    <row r="49" spans="1:7" ht="15.75" customHeight="1" x14ac:dyDescent="0.3">
      <c r="A49" s="36">
        <v>20308</v>
      </c>
      <c r="B49" s="17" t="s">
        <v>315</v>
      </c>
      <c r="C49" s="23">
        <v>0</v>
      </c>
      <c r="D49" s="23">
        <v>0.6</v>
      </c>
      <c r="G49" s="35"/>
    </row>
    <row r="50" spans="1:7" ht="15.75" customHeight="1" x14ac:dyDescent="0.3">
      <c r="A50" s="36">
        <v>20401</v>
      </c>
      <c r="B50" s="17" t="s">
        <v>124</v>
      </c>
      <c r="C50" s="23">
        <v>6</v>
      </c>
      <c r="D50" s="23">
        <v>1.6</v>
      </c>
      <c r="G50" s="35"/>
    </row>
    <row r="51" spans="1:7" ht="15.75" customHeight="1" x14ac:dyDescent="0.3">
      <c r="A51" s="36">
        <v>20402</v>
      </c>
      <c r="B51" s="17" t="s">
        <v>112</v>
      </c>
      <c r="C51" s="23">
        <v>14</v>
      </c>
      <c r="D51" s="23">
        <v>2.2000000000000002</v>
      </c>
      <c r="G51" s="35"/>
    </row>
    <row r="52" spans="1:7" ht="15.75" customHeight="1" x14ac:dyDescent="0.3">
      <c r="A52" s="36">
        <v>20403</v>
      </c>
      <c r="B52" s="17" t="s">
        <v>316</v>
      </c>
      <c r="C52" s="23">
        <v>14</v>
      </c>
      <c r="D52" s="23">
        <v>3.4</v>
      </c>
      <c r="G52" s="35"/>
    </row>
    <row r="53" spans="1:7" ht="15.75" customHeight="1" x14ac:dyDescent="0.3">
      <c r="A53" s="36">
        <v>20404</v>
      </c>
      <c r="B53" s="17" t="s">
        <v>116</v>
      </c>
      <c r="C53" s="23">
        <v>9</v>
      </c>
      <c r="D53" s="23">
        <v>0.4</v>
      </c>
      <c r="G53" s="35"/>
    </row>
    <row r="54" spans="1:7" ht="15.75" customHeight="1" x14ac:dyDescent="0.3">
      <c r="A54" s="36">
        <v>20405</v>
      </c>
      <c r="B54" s="17" t="s">
        <v>222</v>
      </c>
      <c r="C54" s="23">
        <v>3</v>
      </c>
      <c r="D54" s="23">
        <v>1.2</v>
      </c>
      <c r="G54" s="35"/>
    </row>
    <row r="55" spans="1:7" ht="15.75" customHeight="1" x14ac:dyDescent="0.3">
      <c r="A55" s="36">
        <v>20501</v>
      </c>
      <c r="B55" s="17" t="s">
        <v>226</v>
      </c>
      <c r="C55" s="23">
        <v>7</v>
      </c>
      <c r="D55" s="23">
        <v>1.6</v>
      </c>
      <c r="G55" s="35"/>
    </row>
    <row r="56" spans="1:7" ht="15.75" customHeight="1" x14ac:dyDescent="0.3">
      <c r="A56" s="36">
        <v>20502</v>
      </c>
      <c r="B56" s="17" t="s">
        <v>101</v>
      </c>
      <c r="C56" s="23">
        <v>10</v>
      </c>
      <c r="D56" s="23">
        <v>0.6</v>
      </c>
      <c r="G56" s="35"/>
    </row>
    <row r="57" spans="1:7" ht="15.75" customHeight="1" x14ac:dyDescent="0.3">
      <c r="A57" s="36">
        <v>20503</v>
      </c>
      <c r="B57" s="17" t="s">
        <v>182</v>
      </c>
      <c r="C57" s="23">
        <v>4</v>
      </c>
      <c r="D57" s="23">
        <v>0.8</v>
      </c>
      <c r="G57" s="35"/>
    </row>
    <row r="58" spans="1:7" ht="15.75" customHeight="1" x14ac:dyDescent="0.3">
      <c r="A58" s="36">
        <v>20601</v>
      </c>
      <c r="B58" s="17" t="s">
        <v>233</v>
      </c>
      <c r="C58" s="23">
        <v>20</v>
      </c>
      <c r="D58" s="23">
        <v>4.4000000000000004</v>
      </c>
      <c r="G58" s="35"/>
    </row>
    <row r="59" spans="1:7" ht="15.75" customHeight="1" x14ac:dyDescent="0.3">
      <c r="A59" s="36">
        <v>20602</v>
      </c>
      <c r="B59" s="17" t="s">
        <v>236</v>
      </c>
      <c r="C59" s="23">
        <v>25</v>
      </c>
      <c r="D59" s="23">
        <v>4.4000000000000004</v>
      </c>
      <c r="G59" s="35"/>
    </row>
    <row r="60" spans="1:7" ht="15.75" customHeight="1" x14ac:dyDescent="0.3">
      <c r="A60" s="36">
        <v>20603</v>
      </c>
      <c r="B60" s="17" t="s">
        <v>203</v>
      </c>
      <c r="C60" s="23">
        <v>7</v>
      </c>
      <c r="D60" s="23">
        <v>0</v>
      </c>
      <c r="G60" s="35"/>
    </row>
    <row r="61" spans="1:7" ht="15.75" customHeight="1" x14ac:dyDescent="0.3">
      <c r="A61" s="36">
        <v>20604</v>
      </c>
      <c r="B61" s="17" t="s">
        <v>54</v>
      </c>
      <c r="C61" s="23">
        <v>5</v>
      </c>
      <c r="D61" s="23">
        <v>1.6</v>
      </c>
      <c r="G61" s="35"/>
    </row>
    <row r="62" spans="1:7" ht="15.75" customHeight="1" x14ac:dyDescent="0.3">
      <c r="A62" s="36">
        <v>20605</v>
      </c>
      <c r="B62" s="17" t="s">
        <v>62</v>
      </c>
      <c r="C62" s="23">
        <v>2</v>
      </c>
      <c r="D62" s="23">
        <v>0.4</v>
      </c>
      <c r="G62" s="35"/>
    </row>
    <row r="63" spans="1:7" ht="15.75" customHeight="1" x14ac:dyDescent="0.3">
      <c r="A63" s="36">
        <v>20606</v>
      </c>
      <c r="B63" s="17" t="s">
        <v>140</v>
      </c>
      <c r="C63" s="23">
        <v>13</v>
      </c>
      <c r="D63" s="23">
        <v>2.2000000000000002</v>
      </c>
      <c r="G63" s="35"/>
    </row>
    <row r="64" spans="1:7" ht="15.75" customHeight="1" x14ac:dyDescent="0.3">
      <c r="A64" s="36">
        <v>20607</v>
      </c>
      <c r="B64" s="17" t="s">
        <v>167</v>
      </c>
      <c r="C64" s="23">
        <v>13</v>
      </c>
      <c r="D64" s="23">
        <v>4.8</v>
      </c>
      <c r="G64" s="35"/>
    </row>
    <row r="65" spans="1:7" ht="15.75" customHeight="1" x14ac:dyDescent="0.3">
      <c r="A65" s="36">
        <v>20608</v>
      </c>
      <c r="B65" s="17" t="s">
        <v>200</v>
      </c>
      <c r="C65" s="23">
        <v>9</v>
      </c>
      <c r="D65" s="23">
        <v>3</v>
      </c>
      <c r="G65" s="35"/>
    </row>
    <row r="66" spans="1:7" ht="15.75" customHeight="1" x14ac:dyDescent="0.3">
      <c r="A66" s="36">
        <v>20701</v>
      </c>
      <c r="B66" s="17" t="s">
        <v>241</v>
      </c>
      <c r="C66" s="23">
        <v>19</v>
      </c>
      <c r="D66" s="23">
        <v>5.2</v>
      </c>
      <c r="G66" s="35"/>
    </row>
    <row r="67" spans="1:7" ht="15.75" customHeight="1" x14ac:dyDescent="0.3">
      <c r="A67" s="36">
        <v>20702</v>
      </c>
      <c r="B67" s="17" t="s">
        <v>41</v>
      </c>
      <c r="C67" s="23">
        <v>7</v>
      </c>
      <c r="D67" s="23">
        <v>1.2</v>
      </c>
      <c r="G67" s="35"/>
    </row>
    <row r="68" spans="1:7" ht="15.75" customHeight="1" x14ac:dyDescent="0.3">
      <c r="A68" s="36">
        <v>20801</v>
      </c>
      <c r="B68" s="17" t="s">
        <v>244</v>
      </c>
      <c r="C68" s="23">
        <v>72</v>
      </c>
      <c r="D68" s="23">
        <v>20.2</v>
      </c>
      <c r="G68" s="35"/>
    </row>
    <row r="69" spans="1:7" ht="15.75" customHeight="1" x14ac:dyDescent="0.3">
      <c r="A69" s="36">
        <v>20802</v>
      </c>
      <c r="B69" s="17" t="s">
        <v>186</v>
      </c>
      <c r="C69" s="23">
        <v>5</v>
      </c>
      <c r="D69" s="23">
        <v>2</v>
      </c>
      <c r="G69" s="35"/>
    </row>
    <row r="70" spans="1:7" ht="15.75" customHeight="1" x14ac:dyDescent="0.3">
      <c r="A70" s="36">
        <v>20803</v>
      </c>
      <c r="B70" s="17" t="s">
        <v>217</v>
      </c>
      <c r="C70" s="23">
        <v>11</v>
      </c>
      <c r="D70" s="23">
        <v>1.4</v>
      </c>
      <c r="G70" s="35"/>
    </row>
    <row r="71" spans="1:7" ht="15.75" customHeight="1" x14ac:dyDescent="0.3">
      <c r="A71" s="36">
        <v>20804</v>
      </c>
      <c r="B71" s="17" t="s">
        <v>113</v>
      </c>
      <c r="C71" s="23">
        <v>7</v>
      </c>
      <c r="D71" s="23">
        <v>1.6</v>
      </c>
      <c r="G71" s="35"/>
    </row>
    <row r="72" spans="1:7" ht="15.75" customHeight="1" x14ac:dyDescent="0.3">
      <c r="A72" s="36">
        <v>20805</v>
      </c>
      <c r="B72" s="17" t="s">
        <v>90</v>
      </c>
      <c r="C72" s="23">
        <v>1</v>
      </c>
      <c r="D72" s="23">
        <v>1</v>
      </c>
      <c r="G72" s="35"/>
    </row>
    <row r="73" spans="1:7" ht="15.75" customHeight="1" x14ac:dyDescent="0.3">
      <c r="A73" s="36">
        <v>20806</v>
      </c>
      <c r="B73" s="17" t="s">
        <v>210</v>
      </c>
      <c r="C73" s="23">
        <v>9</v>
      </c>
      <c r="D73" s="23">
        <v>1</v>
      </c>
      <c r="G73" s="35"/>
    </row>
    <row r="74" spans="1:7" ht="15.75" customHeight="1" x14ac:dyDescent="0.3">
      <c r="A74" s="36">
        <v>20807</v>
      </c>
      <c r="B74" s="17" t="s">
        <v>123</v>
      </c>
      <c r="C74" s="23">
        <v>1</v>
      </c>
      <c r="D74" s="23">
        <v>0.4</v>
      </c>
      <c r="G74" s="35"/>
    </row>
    <row r="75" spans="1:7" ht="15.75" customHeight="1" x14ac:dyDescent="0.3">
      <c r="A75" s="36">
        <v>20901</v>
      </c>
      <c r="B75" s="17" t="s">
        <v>253</v>
      </c>
      <c r="C75" s="23">
        <v>9</v>
      </c>
      <c r="D75" s="23">
        <v>0.6</v>
      </c>
      <c r="G75" s="35"/>
    </row>
    <row r="76" spans="1:7" ht="15.75" customHeight="1" x14ac:dyDescent="0.3">
      <c r="A76" s="36">
        <v>20902</v>
      </c>
      <c r="B76" s="17" t="s">
        <v>172</v>
      </c>
      <c r="C76" s="23">
        <v>8</v>
      </c>
      <c r="D76" s="23">
        <v>4</v>
      </c>
      <c r="G76" s="35"/>
    </row>
    <row r="77" spans="1:7" ht="15.75" customHeight="1" x14ac:dyDescent="0.3">
      <c r="A77" s="36">
        <v>20903</v>
      </c>
      <c r="B77" s="17" t="s">
        <v>198</v>
      </c>
      <c r="C77" s="23">
        <v>7</v>
      </c>
      <c r="D77" s="23">
        <v>1.8</v>
      </c>
      <c r="G77" s="35"/>
    </row>
    <row r="78" spans="1:7" ht="15.75" customHeight="1" x14ac:dyDescent="0.3">
      <c r="A78" s="36">
        <v>20904</v>
      </c>
      <c r="B78" s="17" t="s">
        <v>107</v>
      </c>
      <c r="C78" s="23">
        <v>4</v>
      </c>
      <c r="D78" s="23">
        <v>0.2</v>
      </c>
      <c r="G78" s="35"/>
    </row>
    <row r="79" spans="1:7" ht="15.75" customHeight="1" x14ac:dyDescent="0.3">
      <c r="A79" s="36">
        <v>20905</v>
      </c>
      <c r="B79" s="17" t="s">
        <v>191</v>
      </c>
      <c r="C79" s="23">
        <v>17</v>
      </c>
      <c r="D79" s="23">
        <v>1.8</v>
      </c>
      <c r="G79" s="35"/>
    </row>
    <row r="80" spans="1:7" ht="15.75" customHeight="1" x14ac:dyDescent="0.3">
      <c r="A80" s="36">
        <v>21001</v>
      </c>
      <c r="B80" s="17" t="s">
        <v>138</v>
      </c>
      <c r="C80" s="23">
        <v>14</v>
      </c>
      <c r="D80" s="23">
        <v>2.2000000000000002</v>
      </c>
      <c r="G80" s="35"/>
    </row>
    <row r="81" spans="1:7" ht="15.75" customHeight="1" x14ac:dyDescent="0.3">
      <c r="A81" s="36">
        <v>21002</v>
      </c>
      <c r="B81" s="17" t="s">
        <v>231</v>
      </c>
      <c r="C81" s="23">
        <v>10</v>
      </c>
      <c r="D81" s="23">
        <v>3</v>
      </c>
      <c r="G81" s="35"/>
    </row>
    <row r="82" spans="1:7" ht="15.75" customHeight="1" x14ac:dyDescent="0.3">
      <c r="A82" s="36">
        <v>21003</v>
      </c>
      <c r="B82" s="17" t="s">
        <v>149</v>
      </c>
      <c r="C82" s="23">
        <v>12</v>
      </c>
      <c r="D82" s="23">
        <v>3</v>
      </c>
      <c r="G82" s="35"/>
    </row>
    <row r="83" spans="1:7" ht="15.75" customHeight="1" x14ac:dyDescent="0.3">
      <c r="A83" s="36">
        <v>21004</v>
      </c>
      <c r="B83" s="17" t="s">
        <v>268</v>
      </c>
      <c r="C83" s="23">
        <v>21</v>
      </c>
      <c r="D83" s="23">
        <v>5.4</v>
      </c>
      <c r="G83" s="35"/>
    </row>
    <row r="84" spans="1:7" ht="15.75" customHeight="1" x14ac:dyDescent="0.3">
      <c r="A84" s="36">
        <v>21005</v>
      </c>
      <c r="B84" s="17" t="s">
        <v>132</v>
      </c>
      <c r="C84" s="23">
        <v>4</v>
      </c>
      <c r="D84" s="23">
        <v>1</v>
      </c>
      <c r="G84" s="35"/>
    </row>
    <row r="85" spans="1:7" ht="15.75" customHeight="1" x14ac:dyDescent="0.3">
      <c r="A85" s="36">
        <v>21006</v>
      </c>
      <c r="B85" s="17" t="s">
        <v>67</v>
      </c>
      <c r="C85" s="23">
        <v>1</v>
      </c>
      <c r="D85" s="23">
        <v>0.8</v>
      </c>
      <c r="G85" s="35"/>
    </row>
    <row r="86" spans="1:7" ht="15.75" customHeight="1" x14ac:dyDescent="0.3">
      <c r="A86" s="36">
        <v>21101</v>
      </c>
      <c r="B86" s="17" t="s">
        <v>245</v>
      </c>
      <c r="C86" s="23">
        <v>12</v>
      </c>
      <c r="D86" s="23">
        <v>5.4</v>
      </c>
      <c r="G86" s="35"/>
    </row>
    <row r="87" spans="1:7" ht="15.75" customHeight="1" x14ac:dyDescent="0.3">
      <c r="A87" s="36">
        <v>21102</v>
      </c>
      <c r="B87" s="17" t="s">
        <v>273</v>
      </c>
      <c r="C87" s="23">
        <v>10</v>
      </c>
      <c r="D87" s="23">
        <v>4.4000000000000004</v>
      </c>
      <c r="G87" s="35"/>
    </row>
    <row r="88" spans="1:7" ht="15.75" customHeight="1" x14ac:dyDescent="0.3">
      <c r="A88" s="36">
        <v>21103</v>
      </c>
      <c r="B88" s="17" t="s">
        <v>94</v>
      </c>
      <c r="C88" s="23">
        <v>5</v>
      </c>
      <c r="D88" s="23">
        <v>0.6</v>
      </c>
      <c r="G88" s="35"/>
    </row>
    <row r="89" spans="1:7" ht="15.75" customHeight="1" x14ac:dyDescent="0.3">
      <c r="A89" s="36">
        <v>21104</v>
      </c>
      <c r="B89" s="17" t="s">
        <v>258</v>
      </c>
      <c r="C89" s="23">
        <v>17</v>
      </c>
      <c r="D89" s="23">
        <v>6</v>
      </c>
      <c r="G89" s="35"/>
    </row>
    <row r="90" spans="1:7" ht="15.75" customHeight="1" x14ac:dyDescent="0.3">
      <c r="A90" s="36">
        <v>21105</v>
      </c>
      <c r="B90" s="17" t="s">
        <v>70</v>
      </c>
      <c r="C90" s="23">
        <v>42</v>
      </c>
      <c r="D90" s="23">
        <v>11.2</v>
      </c>
      <c r="G90" s="35"/>
    </row>
    <row r="91" spans="1:7" ht="15.75" customHeight="1" x14ac:dyDescent="0.3">
      <c r="A91" s="36">
        <v>21201</v>
      </c>
      <c r="B91" s="17" t="s">
        <v>255</v>
      </c>
      <c r="C91" s="23">
        <v>32</v>
      </c>
      <c r="D91" s="23">
        <v>8.8000000000000007</v>
      </c>
      <c r="G91" s="35"/>
    </row>
    <row r="92" spans="1:7" ht="15.75" customHeight="1" x14ac:dyDescent="0.3">
      <c r="A92" s="36">
        <v>21202</v>
      </c>
      <c r="B92" s="17" t="s">
        <v>267</v>
      </c>
      <c r="C92" s="23">
        <v>18</v>
      </c>
      <c r="D92" s="23">
        <v>5.6</v>
      </c>
      <c r="G92" s="35"/>
    </row>
    <row r="93" spans="1:7" ht="15.75" customHeight="1" x14ac:dyDescent="0.3">
      <c r="A93" s="36">
        <v>21203</v>
      </c>
      <c r="B93" s="17" t="s">
        <v>277</v>
      </c>
      <c r="C93" s="23">
        <v>6</v>
      </c>
      <c r="D93" s="23">
        <v>3.8</v>
      </c>
      <c r="G93" s="35"/>
    </row>
    <row r="94" spans="1:7" ht="15.75" customHeight="1" x14ac:dyDescent="0.3">
      <c r="A94" s="36">
        <v>21204</v>
      </c>
      <c r="B94" s="17" t="s">
        <v>199</v>
      </c>
      <c r="C94" s="23">
        <v>9</v>
      </c>
      <c r="D94" s="23">
        <v>0.6</v>
      </c>
      <c r="G94" s="35"/>
    </row>
    <row r="95" spans="1:7" ht="15.75" customHeight="1" x14ac:dyDescent="0.3">
      <c r="A95" s="36">
        <v>21301</v>
      </c>
      <c r="B95" s="17" t="s">
        <v>261</v>
      </c>
      <c r="C95" s="23">
        <v>28</v>
      </c>
      <c r="D95" s="23">
        <v>6.2</v>
      </c>
      <c r="G95" s="35"/>
    </row>
    <row r="96" spans="1:7" ht="15.75" customHeight="1" x14ac:dyDescent="0.3">
      <c r="A96" s="36">
        <v>21302</v>
      </c>
      <c r="B96" s="17" t="s">
        <v>232</v>
      </c>
      <c r="C96" s="23">
        <v>6</v>
      </c>
      <c r="D96" s="23">
        <v>1</v>
      </c>
      <c r="G96" s="35"/>
    </row>
    <row r="97" spans="1:7" ht="15.75" customHeight="1" x14ac:dyDescent="0.3">
      <c r="A97" s="36">
        <v>21303</v>
      </c>
      <c r="B97" s="17" t="s">
        <v>218</v>
      </c>
      <c r="C97" s="23">
        <v>3</v>
      </c>
      <c r="D97" s="23">
        <v>4</v>
      </c>
      <c r="G97" s="35"/>
    </row>
    <row r="98" spans="1:7" ht="15.75" customHeight="1" x14ac:dyDescent="0.3">
      <c r="A98" s="36">
        <v>21304</v>
      </c>
      <c r="B98" s="17" t="s">
        <v>249</v>
      </c>
      <c r="C98" s="23">
        <v>4</v>
      </c>
      <c r="D98" s="23">
        <v>1.4</v>
      </c>
      <c r="G98" s="35"/>
    </row>
    <row r="99" spans="1:7" ht="15.75" customHeight="1" x14ac:dyDescent="0.3">
      <c r="A99" s="36">
        <v>21305</v>
      </c>
      <c r="B99" s="17" t="s">
        <v>280</v>
      </c>
      <c r="C99" s="23">
        <v>6</v>
      </c>
      <c r="D99" s="23">
        <v>6</v>
      </c>
      <c r="G99" s="35"/>
    </row>
    <row r="100" spans="1:7" ht="15.75" customHeight="1" x14ac:dyDescent="0.3">
      <c r="A100" s="36">
        <v>21306</v>
      </c>
      <c r="B100" s="17" t="s">
        <v>229</v>
      </c>
      <c r="C100" s="23">
        <v>2</v>
      </c>
      <c r="D100" s="23">
        <v>3.2</v>
      </c>
      <c r="G100" s="35"/>
    </row>
    <row r="101" spans="1:7" ht="15.75" customHeight="1" x14ac:dyDescent="0.3">
      <c r="A101" s="36">
        <v>21307</v>
      </c>
      <c r="B101" s="17" t="s">
        <v>100</v>
      </c>
      <c r="C101" s="23">
        <v>0</v>
      </c>
      <c r="D101" s="23">
        <v>1</v>
      </c>
      <c r="G101" s="35"/>
    </row>
    <row r="102" spans="1:7" ht="15.75" customHeight="1" x14ac:dyDescent="0.3">
      <c r="A102" s="36">
        <v>21401</v>
      </c>
      <c r="B102" s="17" t="s">
        <v>284</v>
      </c>
      <c r="C102" s="23">
        <v>5</v>
      </c>
      <c r="D102" s="23">
        <v>4</v>
      </c>
      <c r="G102" s="35"/>
    </row>
    <row r="103" spans="1:7" ht="15.75" customHeight="1" x14ac:dyDescent="0.3">
      <c r="A103" s="36">
        <v>21402</v>
      </c>
      <c r="B103" s="17" t="s">
        <v>220</v>
      </c>
      <c r="C103" s="23">
        <v>10</v>
      </c>
      <c r="D103" s="23">
        <v>3.2</v>
      </c>
      <c r="G103" s="35"/>
    </row>
    <row r="104" spans="1:7" ht="15.75" customHeight="1" x14ac:dyDescent="0.3">
      <c r="A104" s="36">
        <v>21501</v>
      </c>
      <c r="B104" s="17" t="s">
        <v>194</v>
      </c>
      <c r="C104" s="23">
        <v>2</v>
      </c>
      <c r="D104" s="23">
        <v>3</v>
      </c>
      <c r="G104" s="35"/>
    </row>
    <row r="105" spans="1:7" ht="15.75" customHeight="1" x14ac:dyDescent="0.3">
      <c r="A105" s="36">
        <v>21502</v>
      </c>
      <c r="B105" s="17" t="s">
        <v>133</v>
      </c>
      <c r="C105" s="23">
        <v>2</v>
      </c>
      <c r="D105" s="23">
        <v>3.6</v>
      </c>
      <c r="G105" s="35"/>
    </row>
    <row r="106" spans="1:7" ht="15.75" customHeight="1" x14ac:dyDescent="0.3">
      <c r="A106" s="36">
        <v>21601</v>
      </c>
      <c r="B106" s="17" t="s">
        <v>317</v>
      </c>
      <c r="C106" s="23">
        <v>6</v>
      </c>
      <c r="D106" s="23">
        <v>2</v>
      </c>
      <c r="G106" s="35"/>
    </row>
    <row r="107" spans="1:7" ht="15.75" customHeight="1" x14ac:dyDescent="0.3">
      <c r="A107" s="36">
        <v>21602</v>
      </c>
      <c r="B107" s="17" t="s">
        <v>108</v>
      </c>
      <c r="C107" s="23">
        <v>1</v>
      </c>
      <c r="D107" s="23">
        <v>0.8</v>
      </c>
      <c r="G107" s="35"/>
    </row>
    <row r="108" spans="1:7" ht="15.75" customHeight="1" x14ac:dyDescent="0.3">
      <c r="A108" s="36">
        <v>21701</v>
      </c>
      <c r="B108" s="17" t="s">
        <v>251</v>
      </c>
      <c r="C108" s="23">
        <v>5</v>
      </c>
      <c r="D108" s="23">
        <v>1.6</v>
      </c>
      <c r="G108" s="35"/>
    </row>
    <row r="109" spans="1:7" ht="15.75" customHeight="1" x14ac:dyDescent="0.3">
      <c r="A109" s="36">
        <v>21702</v>
      </c>
      <c r="B109" s="17" t="s">
        <v>184</v>
      </c>
      <c r="C109" s="23">
        <v>0</v>
      </c>
      <c r="D109" s="23">
        <v>2</v>
      </c>
      <c r="G109" s="35"/>
    </row>
    <row r="110" spans="1:7" ht="15.75" customHeight="1" x14ac:dyDescent="0.3">
      <c r="A110" s="36">
        <v>21703</v>
      </c>
      <c r="B110" s="17" t="s">
        <v>135</v>
      </c>
      <c r="C110" s="23">
        <v>0</v>
      </c>
      <c r="D110" s="23">
        <v>0</v>
      </c>
      <c r="G110" s="35"/>
    </row>
    <row r="111" spans="1:7" ht="15.75" customHeight="1" x14ac:dyDescent="0.3">
      <c r="A111" s="36">
        <v>21801</v>
      </c>
      <c r="B111" s="17" t="s">
        <v>318</v>
      </c>
      <c r="C111" s="23">
        <v>1</v>
      </c>
      <c r="D111" s="23">
        <v>1.4</v>
      </c>
      <c r="G111" s="35"/>
    </row>
    <row r="112" spans="1:7" ht="15.75" customHeight="1" x14ac:dyDescent="0.3">
      <c r="A112" s="36">
        <v>21802</v>
      </c>
      <c r="B112" s="17" t="s">
        <v>197</v>
      </c>
      <c r="C112" s="23">
        <v>1</v>
      </c>
      <c r="D112" s="23">
        <v>1</v>
      </c>
      <c r="G112" s="35"/>
    </row>
    <row r="113" spans="1:7" ht="15.75" customHeight="1" x14ac:dyDescent="0.3">
      <c r="A113" s="36">
        <v>21803</v>
      </c>
      <c r="B113" s="17" t="s">
        <v>49</v>
      </c>
      <c r="C113" s="23">
        <v>0</v>
      </c>
      <c r="D113" s="23">
        <v>0</v>
      </c>
      <c r="G113" s="35"/>
    </row>
    <row r="114" spans="1:7" ht="15.75" customHeight="1" x14ac:dyDescent="0.3">
      <c r="A114" s="36">
        <v>21901</v>
      </c>
      <c r="B114" s="17" t="s">
        <v>50</v>
      </c>
      <c r="C114" s="23">
        <v>0</v>
      </c>
      <c r="D114" s="23">
        <v>2.2000000000000002</v>
      </c>
      <c r="G114" s="35"/>
    </row>
    <row r="115" spans="1:7" ht="15.75" customHeight="1" x14ac:dyDescent="0.3">
      <c r="A115" s="36">
        <v>21902</v>
      </c>
      <c r="B115" s="17" t="s">
        <v>28</v>
      </c>
      <c r="C115" s="23">
        <v>0</v>
      </c>
      <c r="D115" s="23">
        <v>0.2</v>
      </c>
      <c r="G115" s="35"/>
    </row>
    <row r="116" spans="1:7" ht="15.75" customHeight="1" x14ac:dyDescent="0.3">
      <c r="A116" s="36">
        <v>22001</v>
      </c>
      <c r="B116" s="17" t="s">
        <v>260</v>
      </c>
      <c r="C116" s="23">
        <v>20</v>
      </c>
      <c r="D116" s="23">
        <v>8</v>
      </c>
      <c r="G116" s="35"/>
    </row>
    <row r="117" spans="1:7" ht="15.75" customHeight="1" x14ac:dyDescent="0.3">
      <c r="A117" s="36">
        <v>22002</v>
      </c>
      <c r="B117" s="17" t="s">
        <v>185</v>
      </c>
      <c r="C117" s="23">
        <v>13</v>
      </c>
      <c r="D117" s="23">
        <v>2.4</v>
      </c>
      <c r="G117" s="35"/>
    </row>
    <row r="118" spans="1:7" ht="15.75" customHeight="1" x14ac:dyDescent="0.3">
      <c r="A118" s="36">
        <v>30101</v>
      </c>
      <c r="B118" s="17" t="s">
        <v>51</v>
      </c>
      <c r="C118" s="23">
        <v>288</v>
      </c>
      <c r="D118" s="23">
        <v>59.8</v>
      </c>
      <c r="G118" s="35"/>
    </row>
    <row r="119" spans="1:7" ht="15.75" customHeight="1" x14ac:dyDescent="0.3">
      <c r="A119" s="36">
        <v>30201</v>
      </c>
      <c r="B119" s="17" t="s">
        <v>252</v>
      </c>
      <c r="C119" s="23">
        <v>14</v>
      </c>
      <c r="D119" s="23">
        <v>1.4</v>
      </c>
      <c r="G119" s="35"/>
    </row>
    <row r="120" spans="1:7" ht="15.75" customHeight="1" x14ac:dyDescent="0.3">
      <c r="A120" s="36">
        <v>30202</v>
      </c>
      <c r="B120" s="17" t="s">
        <v>145</v>
      </c>
      <c r="C120" s="23">
        <v>0</v>
      </c>
      <c r="D120" s="23">
        <v>0.2</v>
      </c>
      <c r="G120" s="35"/>
    </row>
    <row r="121" spans="1:7" ht="15.75" customHeight="1" x14ac:dyDescent="0.3">
      <c r="A121" s="36">
        <v>30203</v>
      </c>
      <c r="B121" s="17" t="s">
        <v>56</v>
      </c>
      <c r="C121" s="23">
        <v>3</v>
      </c>
      <c r="D121" s="23">
        <v>0.2</v>
      </c>
      <c r="G121" s="35"/>
    </row>
    <row r="122" spans="1:7" ht="15.75" customHeight="1" x14ac:dyDescent="0.3">
      <c r="A122" s="36">
        <v>30301</v>
      </c>
      <c r="B122" s="17" t="s">
        <v>211</v>
      </c>
      <c r="C122" s="23">
        <v>41</v>
      </c>
      <c r="D122" s="23">
        <v>5.2</v>
      </c>
      <c r="G122" s="35"/>
    </row>
    <row r="123" spans="1:7" ht="15.75" customHeight="1" x14ac:dyDescent="0.3">
      <c r="A123" s="36">
        <v>30302</v>
      </c>
      <c r="B123" s="17" t="s">
        <v>177</v>
      </c>
      <c r="C123" s="23">
        <v>18</v>
      </c>
      <c r="D123" s="23">
        <v>2.4</v>
      </c>
      <c r="G123" s="35"/>
    </row>
    <row r="124" spans="1:7" ht="15.75" customHeight="1" x14ac:dyDescent="0.3">
      <c r="A124" s="36">
        <v>30303</v>
      </c>
      <c r="B124" s="17" t="s">
        <v>66</v>
      </c>
      <c r="C124" s="23">
        <v>29</v>
      </c>
      <c r="D124" s="23">
        <v>8.1999999999999993</v>
      </c>
      <c r="G124" s="35"/>
    </row>
    <row r="125" spans="1:7" ht="15.75" customHeight="1" x14ac:dyDescent="0.3">
      <c r="A125" s="36">
        <v>30401</v>
      </c>
      <c r="B125" s="17" t="s">
        <v>171</v>
      </c>
      <c r="C125" s="23">
        <v>8</v>
      </c>
      <c r="D125" s="23">
        <v>2.2000000000000002</v>
      </c>
      <c r="G125" s="35"/>
    </row>
    <row r="126" spans="1:7" ht="15.75" customHeight="1" x14ac:dyDescent="0.3">
      <c r="A126" s="36">
        <v>30402</v>
      </c>
      <c r="B126" s="17" t="s">
        <v>153</v>
      </c>
      <c r="C126" s="23">
        <v>3</v>
      </c>
      <c r="D126" s="23">
        <v>1.6</v>
      </c>
      <c r="G126" s="35"/>
    </row>
    <row r="127" spans="1:7" ht="15.75" customHeight="1" x14ac:dyDescent="0.3">
      <c r="A127" s="36">
        <v>30403</v>
      </c>
      <c r="B127" s="17" t="s">
        <v>259</v>
      </c>
      <c r="C127" s="23">
        <v>26</v>
      </c>
      <c r="D127" s="23">
        <v>4.4000000000000004</v>
      </c>
      <c r="G127" s="35"/>
    </row>
    <row r="128" spans="1:7" ht="15.75" customHeight="1" x14ac:dyDescent="0.3">
      <c r="A128" s="36">
        <v>30404</v>
      </c>
      <c r="B128" s="17" t="s">
        <v>155</v>
      </c>
      <c r="C128" s="23">
        <v>0</v>
      </c>
      <c r="D128" s="23">
        <v>1.4</v>
      </c>
      <c r="G128" s="35"/>
    </row>
    <row r="129" spans="1:7" ht="15.75" customHeight="1" x14ac:dyDescent="0.3">
      <c r="A129" s="36">
        <v>30501</v>
      </c>
      <c r="B129" s="17" t="s">
        <v>179</v>
      </c>
      <c r="C129" s="23">
        <v>12</v>
      </c>
      <c r="D129" s="23">
        <v>2</v>
      </c>
      <c r="G129" s="35"/>
    </row>
    <row r="130" spans="1:7" ht="15.75" customHeight="1" x14ac:dyDescent="0.3">
      <c r="A130" s="36">
        <v>30502</v>
      </c>
      <c r="B130" s="17" t="s">
        <v>238</v>
      </c>
      <c r="C130" s="23">
        <v>4</v>
      </c>
      <c r="D130" s="23">
        <v>1.6</v>
      </c>
      <c r="G130" s="35"/>
    </row>
    <row r="131" spans="1:7" ht="15.75" customHeight="1" x14ac:dyDescent="0.3">
      <c r="A131" s="36">
        <v>30601</v>
      </c>
      <c r="B131" s="17" t="s">
        <v>128</v>
      </c>
      <c r="C131" s="23">
        <v>18</v>
      </c>
      <c r="D131" s="23">
        <v>3.8</v>
      </c>
      <c r="G131" s="35"/>
    </row>
    <row r="132" spans="1:7" ht="15.75" customHeight="1" x14ac:dyDescent="0.3">
      <c r="A132" s="36">
        <v>30602</v>
      </c>
      <c r="B132" s="17" t="s">
        <v>48</v>
      </c>
      <c r="C132" s="23">
        <v>10</v>
      </c>
      <c r="D132" s="23">
        <v>2.2000000000000002</v>
      </c>
      <c r="G132" s="35"/>
    </row>
    <row r="133" spans="1:7" ht="15.75" customHeight="1" x14ac:dyDescent="0.3">
      <c r="A133" s="36">
        <v>30701</v>
      </c>
      <c r="B133" s="17" t="s">
        <v>269</v>
      </c>
      <c r="C133" s="23">
        <v>6</v>
      </c>
      <c r="D133" s="23">
        <v>3.8</v>
      </c>
      <c r="G133" s="35"/>
    </row>
    <row r="134" spans="1:7" ht="15.75" customHeight="1" x14ac:dyDescent="0.3">
      <c r="A134" s="36">
        <v>30702</v>
      </c>
      <c r="B134" s="17" t="s">
        <v>176</v>
      </c>
      <c r="C134" s="23">
        <v>3</v>
      </c>
      <c r="D134" s="23">
        <v>0.8</v>
      </c>
      <c r="G134" s="35"/>
    </row>
    <row r="135" spans="1:7" ht="15.75" customHeight="1" x14ac:dyDescent="0.3">
      <c r="A135" s="36">
        <v>30703</v>
      </c>
      <c r="B135" s="17" t="s">
        <v>96</v>
      </c>
      <c r="C135" s="23">
        <v>8</v>
      </c>
      <c r="D135" s="23">
        <v>0</v>
      </c>
      <c r="G135" s="35"/>
    </row>
    <row r="136" spans="1:7" ht="15.75" customHeight="1" x14ac:dyDescent="0.3">
      <c r="A136" s="36">
        <v>30801</v>
      </c>
      <c r="B136" s="17" t="s">
        <v>202</v>
      </c>
      <c r="C136" s="23">
        <v>8</v>
      </c>
      <c r="D136" s="23">
        <v>1.2</v>
      </c>
      <c r="G136" s="35"/>
    </row>
    <row r="137" spans="1:7" ht="15.75" customHeight="1" x14ac:dyDescent="0.3">
      <c r="A137" s="36">
        <v>30802</v>
      </c>
      <c r="B137" s="17" t="s">
        <v>319</v>
      </c>
      <c r="C137" s="23">
        <v>3</v>
      </c>
      <c r="D137" s="23">
        <v>1.4</v>
      </c>
      <c r="G137" s="35"/>
    </row>
    <row r="138" spans="1:7" ht="15.75" customHeight="1" x14ac:dyDescent="0.3">
      <c r="A138" s="36">
        <v>30803</v>
      </c>
      <c r="B138" s="17" t="s">
        <v>19</v>
      </c>
      <c r="C138" s="23">
        <v>4</v>
      </c>
      <c r="D138" s="23">
        <v>2</v>
      </c>
      <c r="G138" s="35"/>
    </row>
    <row r="139" spans="1:7" ht="15.75" customHeight="1" x14ac:dyDescent="0.3">
      <c r="A139" s="36">
        <v>30901</v>
      </c>
      <c r="B139" s="17" t="s">
        <v>299</v>
      </c>
      <c r="C139" s="23">
        <v>26</v>
      </c>
      <c r="D139" s="23">
        <v>14.4</v>
      </c>
      <c r="G139" s="35"/>
    </row>
    <row r="140" spans="1:7" ht="15.75" customHeight="1" x14ac:dyDescent="0.3">
      <c r="A140" s="36">
        <v>30902</v>
      </c>
      <c r="B140" s="17" t="s">
        <v>292</v>
      </c>
      <c r="C140" s="23">
        <v>17</v>
      </c>
      <c r="D140" s="23">
        <v>9.1999999999999993</v>
      </c>
      <c r="G140" s="35"/>
    </row>
    <row r="141" spans="1:7" ht="15.75" customHeight="1" x14ac:dyDescent="0.3">
      <c r="A141" s="36">
        <v>30903</v>
      </c>
      <c r="B141" s="17" t="s">
        <v>283</v>
      </c>
      <c r="C141" s="23">
        <v>10</v>
      </c>
      <c r="D141" s="23">
        <v>5.8</v>
      </c>
      <c r="G141" s="35"/>
    </row>
    <row r="142" spans="1:7" ht="15.75" customHeight="1" x14ac:dyDescent="0.3">
      <c r="A142" s="36">
        <v>30904</v>
      </c>
      <c r="B142" s="17" t="s">
        <v>288</v>
      </c>
      <c r="C142" s="23">
        <v>16</v>
      </c>
      <c r="D142" s="23">
        <v>5.2</v>
      </c>
      <c r="G142" s="35"/>
    </row>
    <row r="143" spans="1:7" ht="15.75" customHeight="1" x14ac:dyDescent="0.3">
      <c r="A143" s="36">
        <v>30905</v>
      </c>
      <c r="B143" s="17" t="s">
        <v>213</v>
      </c>
      <c r="C143" s="23">
        <v>9</v>
      </c>
      <c r="D143" s="23">
        <v>5</v>
      </c>
      <c r="G143" s="35"/>
    </row>
    <row r="144" spans="1:7" ht="15.75" customHeight="1" x14ac:dyDescent="0.3">
      <c r="A144" s="36">
        <v>31001</v>
      </c>
      <c r="B144" s="17" t="s">
        <v>303</v>
      </c>
      <c r="C144" s="23">
        <v>82</v>
      </c>
      <c r="D144" s="23">
        <v>21.6</v>
      </c>
      <c r="G144" s="35"/>
    </row>
    <row r="145" spans="1:7" ht="15.75" customHeight="1" x14ac:dyDescent="0.3">
      <c r="A145" s="36">
        <v>31002</v>
      </c>
      <c r="B145" s="17" t="s">
        <v>275</v>
      </c>
      <c r="C145" s="23">
        <v>16</v>
      </c>
      <c r="D145" s="23">
        <v>4.8</v>
      </c>
      <c r="G145" s="35"/>
    </row>
    <row r="146" spans="1:7" ht="15.75" customHeight="1" x14ac:dyDescent="0.3">
      <c r="A146" s="36">
        <v>31003</v>
      </c>
      <c r="B146" s="17" t="s">
        <v>195</v>
      </c>
      <c r="C146" s="23">
        <v>62</v>
      </c>
      <c r="D146" s="23">
        <v>23.4</v>
      </c>
      <c r="G146" s="35"/>
    </row>
    <row r="147" spans="1:7" ht="15.75" customHeight="1" x14ac:dyDescent="0.3">
      <c r="A147" s="36">
        <v>31101</v>
      </c>
      <c r="B147" s="17" t="s">
        <v>63</v>
      </c>
      <c r="C147" s="23">
        <v>27</v>
      </c>
      <c r="D147" s="23">
        <v>9</v>
      </c>
      <c r="G147" s="35"/>
    </row>
    <row r="148" spans="1:7" ht="15.75" customHeight="1" x14ac:dyDescent="0.3">
      <c r="A148" s="36">
        <v>31201</v>
      </c>
      <c r="B148" s="17" t="s">
        <v>180</v>
      </c>
      <c r="C148" s="23">
        <v>14</v>
      </c>
      <c r="D148" s="23">
        <v>3</v>
      </c>
      <c r="G148" s="35"/>
    </row>
    <row r="149" spans="1:7" ht="15.75" customHeight="1" x14ac:dyDescent="0.3">
      <c r="A149" s="36">
        <v>31202</v>
      </c>
      <c r="B149" s="17" t="s">
        <v>205</v>
      </c>
      <c r="C149" s="23">
        <v>9</v>
      </c>
      <c r="D149" s="23">
        <v>1.6</v>
      </c>
      <c r="G149" s="35"/>
    </row>
    <row r="150" spans="1:7" ht="15.75" customHeight="1" x14ac:dyDescent="0.3">
      <c r="A150" s="36">
        <v>31203</v>
      </c>
      <c r="B150" s="17" t="s">
        <v>242</v>
      </c>
      <c r="C150" s="23">
        <v>5</v>
      </c>
      <c r="D150" s="23">
        <v>2</v>
      </c>
      <c r="G150" s="35"/>
    </row>
    <row r="151" spans="1:7" ht="15.75" customHeight="1" x14ac:dyDescent="0.3">
      <c r="A151" s="36">
        <v>31204</v>
      </c>
      <c r="B151" s="17" t="s">
        <v>237</v>
      </c>
      <c r="C151" s="23">
        <v>19</v>
      </c>
      <c r="D151" s="23">
        <v>6.2</v>
      </c>
      <c r="G151" s="35"/>
    </row>
    <row r="152" spans="1:7" ht="15.75" customHeight="1" x14ac:dyDescent="0.3">
      <c r="A152" s="36">
        <v>31205</v>
      </c>
      <c r="B152" s="17" t="s">
        <v>270</v>
      </c>
      <c r="C152" s="23">
        <v>25</v>
      </c>
      <c r="D152" s="23">
        <v>11.6</v>
      </c>
      <c r="G152" s="35"/>
    </row>
    <row r="153" spans="1:7" ht="15.75" customHeight="1" x14ac:dyDescent="0.3">
      <c r="A153" s="36">
        <v>31206</v>
      </c>
      <c r="B153" s="17" t="s">
        <v>223</v>
      </c>
      <c r="C153" s="23">
        <v>12</v>
      </c>
      <c r="D153" s="23">
        <v>7.4</v>
      </c>
      <c r="G153" s="35"/>
    </row>
    <row r="154" spans="1:7" ht="15.75" customHeight="1" x14ac:dyDescent="0.3">
      <c r="A154" s="36">
        <v>31301</v>
      </c>
      <c r="B154" s="17" t="s">
        <v>224</v>
      </c>
      <c r="C154" s="23">
        <v>12</v>
      </c>
      <c r="D154" s="23">
        <v>2.6</v>
      </c>
      <c r="G154" s="35"/>
    </row>
    <row r="155" spans="1:7" ht="15.75" customHeight="1" x14ac:dyDescent="0.3">
      <c r="A155" s="36">
        <v>31302</v>
      </c>
      <c r="B155" s="17" t="s">
        <v>38</v>
      </c>
      <c r="C155" s="23">
        <v>2</v>
      </c>
      <c r="D155" s="23">
        <v>1.6</v>
      </c>
      <c r="G155" s="35"/>
    </row>
    <row r="156" spans="1:7" ht="15.75" customHeight="1" x14ac:dyDescent="0.3">
      <c r="A156" s="36">
        <v>31303</v>
      </c>
      <c r="B156" s="17" t="s">
        <v>21</v>
      </c>
      <c r="C156" s="23">
        <v>1</v>
      </c>
      <c r="D156" s="23">
        <v>0</v>
      </c>
      <c r="G156" s="35"/>
    </row>
    <row r="157" spans="1:7" ht="15.75" customHeight="1" x14ac:dyDescent="0.3">
      <c r="A157" s="37">
        <v>31304</v>
      </c>
      <c r="B157" s="17" t="s">
        <v>320</v>
      </c>
      <c r="C157" s="23">
        <v>12</v>
      </c>
      <c r="D157" s="23">
        <v>3.6</v>
      </c>
      <c r="G157" s="35"/>
    </row>
    <row r="158" spans="1:7" ht="15.75" customHeight="1" x14ac:dyDescent="0.3">
      <c r="A158" s="36">
        <v>31401</v>
      </c>
      <c r="B158" s="17" t="s">
        <v>240</v>
      </c>
      <c r="C158" s="23">
        <v>8</v>
      </c>
      <c r="D158" s="23">
        <v>4.4000000000000004</v>
      </c>
      <c r="G158" s="35"/>
    </row>
    <row r="159" spans="1:7" ht="15.75" customHeight="1" x14ac:dyDescent="0.3">
      <c r="A159" s="36">
        <v>31402</v>
      </c>
      <c r="B159" s="17" t="s">
        <v>163</v>
      </c>
      <c r="C159" s="23">
        <v>0</v>
      </c>
      <c r="D159" s="23">
        <v>1</v>
      </c>
      <c r="G159" s="35"/>
    </row>
    <row r="160" spans="1:7" ht="15.75" customHeight="1" x14ac:dyDescent="0.3">
      <c r="A160" s="36">
        <v>31403</v>
      </c>
      <c r="B160" s="17" t="s">
        <v>156</v>
      </c>
      <c r="C160" s="23">
        <v>6</v>
      </c>
      <c r="D160" s="23">
        <v>1.8</v>
      </c>
      <c r="G160" s="35"/>
    </row>
    <row r="161" spans="1:7" ht="15.75" customHeight="1" x14ac:dyDescent="0.3">
      <c r="A161" s="36">
        <v>31404</v>
      </c>
      <c r="B161" s="17" t="s">
        <v>7</v>
      </c>
      <c r="C161" s="23">
        <v>1</v>
      </c>
      <c r="D161" s="23">
        <v>0.2</v>
      </c>
      <c r="G161" s="35"/>
    </row>
    <row r="162" spans="1:7" ht="15.75" customHeight="1" x14ac:dyDescent="0.3">
      <c r="A162" s="36">
        <v>31405</v>
      </c>
      <c r="B162" s="17" t="s">
        <v>321</v>
      </c>
      <c r="C162" s="23">
        <v>0</v>
      </c>
      <c r="D162" s="23">
        <v>0</v>
      </c>
      <c r="G162" s="35"/>
    </row>
    <row r="163" spans="1:7" ht="15.75" customHeight="1" x14ac:dyDescent="0.3">
      <c r="A163" s="36">
        <v>31501</v>
      </c>
      <c r="B163" s="17" t="s">
        <v>322</v>
      </c>
      <c r="C163" s="23">
        <v>8</v>
      </c>
      <c r="D163" s="23">
        <v>4.8</v>
      </c>
      <c r="G163" s="35"/>
    </row>
    <row r="164" spans="1:7" ht="15.75" customHeight="1" x14ac:dyDescent="0.3">
      <c r="A164" s="36">
        <v>31601</v>
      </c>
      <c r="B164" s="17" t="s">
        <v>282</v>
      </c>
      <c r="C164" s="23">
        <v>14</v>
      </c>
      <c r="D164" s="23">
        <v>2.6</v>
      </c>
      <c r="G164" s="35"/>
    </row>
    <row r="165" spans="1:7" ht="15.75" customHeight="1" x14ac:dyDescent="0.3">
      <c r="A165" s="36">
        <v>31602</v>
      </c>
      <c r="B165" s="17" t="s">
        <v>243</v>
      </c>
      <c r="C165" s="23">
        <v>5</v>
      </c>
      <c r="D165" s="23">
        <v>4.8</v>
      </c>
      <c r="G165" s="35"/>
    </row>
    <row r="166" spans="1:7" ht="15.75" customHeight="1" x14ac:dyDescent="0.3">
      <c r="A166" s="36">
        <v>40101</v>
      </c>
      <c r="B166" s="17" t="s">
        <v>57</v>
      </c>
      <c r="C166" s="23">
        <v>30</v>
      </c>
      <c r="D166" s="23">
        <v>49.2</v>
      </c>
      <c r="G166" s="35"/>
    </row>
    <row r="167" spans="1:7" ht="15.75" customHeight="1" x14ac:dyDescent="0.3">
      <c r="A167" s="36">
        <v>40102</v>
      </c>
      <c r="B167" s="17" t="s">
        <v>286</v>
      </c>
      <c r="C167" s="23">
        <v>25</v>
      </c>
      <c r="D167" s="23">
        <v>5.6</v>
      </c>
      <c r="G167" s="35"/>
    </row>
    <row r="168" spans="1:7" ht="15.75" customHeight="1" x14ac:dyDescent="0.3">
      <c r="A168" s="36">
        <v>40103</v>
      </c>
      <c r="B168" s="17" t="s">
        <v>32</v>
      </c>
      <c r="C168" s="23">
        <v>4</v>
      </c>
      <c r="D168" s="23">
        <v>0.6</v>
      </c>
      <c r="G168" s="35"/>
    </row>
    <row r="169" spans="1:7" ht="15.75" customHeight="1" x14ac:dyDescent="0.3">
      <c r="A169" s="36">
        <v>40104</v>
      </c>
      <c r="B169" s="17" t="s">
        <v>227</v>
      </c>
      <c r="C169" s="23">
        <v>16</v>
      </c>
      <c r="D169" s="23">
        <v>2.2000000000000002</v>
      </c>
      <c r="G169" s="35"/>
    </row>
    <row r="170" spans="1:7" ht="15.75" customHeight="1" x14ac:dyDescent="0.3">
      <c r="A170" s="36">
        <v>40201</v>
      </c>
      <c r="B170" s="17" t="s">
        <v>247</v>
      </c>
      <c r="C170" s="23">
        <v>42</v>
      </c>
      <c r="D170" s="23">
        <v>6.2</v>
      </c>
      <c r="G170" s="35"/>
    </row>
    <row r="171" spans="1:7" ht="15.75" customHeight="1" x14ac:dyDescent="0.3">
      <c r="A171" s="36">
        <v>40202</v>
      </c>
      <c r="B171" s="17" t="s">
        <v>323</v>
      </c>
      <c r="C171" s="23">
        <v>5</v>
      </c>
      <c r="D171" s="23">
        <v>1</v>
      </c>
      <c r="G171" s="35"/>
    </row>
    <row r="172" spans="1:7" ht="15.75" customHeight="1" x14ac:dyDescent="0.3">
      <c r="A172" s="36">
        <v>40301</v>
      </c>
      <c r="B172" s="17" t="s">
        <v>190</v>
      </c>
      <c r="C172" s="23">
        <v>2</v>
      </c>
      <c r="D172" s="23">
        <v>2</v>
      </c>
      <c r="G172" s="35"/>
    </row>
    <row r="173" spans="1:7" ht="15.75" customHeight="1" x14ac:dyDescent="0.3">
      <c r="A173" s="36">
        <v>40302</v>
      </c>
      <c r="B173" s="17" t="s">
        <v>324</v>
      </c>
      <c r="C173" s="23">
        <v>1</v>
      </c>
      <c r="D173" s="23">
        <v>0.2</v>
      </c>
      <c r="G173" s="35"/>
    </row>
    <row r="174" spans="1:7" ht="15.75" customHeight="1" x14ac:dyDescent="0.3">
      <c r="A174" s="36">
        <v>40401</v>
      </c>
      <c r="B174" s="17" t="s">
        <v>110</v>
      </c>
      <c r="C174" s="23">
        <v>5</v>
      </c>
      <c r="D174" s="23">
        <v>1.8</v>
      </c>
      <c r="G174" s="35"/>
    </row>
    <row r="175" spans="1:7" ht="15.75" customHeight="1" x14ac:dyDescent="0.3">
      <c r="A175" s="36">
        <v>40402</v>
      </c>
      <c r="B175" s="17" t="s">
        <v>144</v>
      </c>
      <c r="C175" s="23">
        <v>7</v>
      </c>
      <c r="D175" s="23">
        <v>0.4</v>
      </c>
      <c r="G175" s="35"/>
    </row>
    <row r="176" spans="1:7" ht="15.75" customHeight="1" x14ac:dyDescent="0.3">
      <c r="A176" s="36">
        <v>40501</v>
      </c>
      <c r="B176" s="17" t="s">
        <v>6</v>
      </c>
      <c r="C176" s="23">
        <v>0</v>
      </c>
      <c r="D176" s="23">
        <v>0.2</v>
      </c>
      <c r="G176" s="35"/>
    </row>
    <row r="177" spans="1:7" ht="15.75" customHeight="1" x14ac:dyDescent="0.3">
      <c r="A177" s="36">
        <v>40502</v>
      </c>
      <c r="B177" s="17" t="s">
        <v>111</v>
      </c>
      <c r="C177" s="23">
        <v>2</v>
      </c>
      <c r="D177" s="23">
        <v>0.2</v>
      </c>
      <c r="G177" s="35"/>
    </row>
    <row r="178" spans="1:7" ht="15.75" customHeight="1" x14ac:dyDescent="0.3">
      <c r="A178" s="36">
        <v>40503</v>
      </c>
      <c r="B178" s="17" t="s">
        <v>40</v>
      </c>
      <c r="C178" s="23">
        <v>2</v>
      </c>
      <c r="D178" s="23">
        <v>0</v>
      </c>
      <c r="G178" s="35"/>
    </row>
    <row r="179" spans="1:7" ht="15.75" customHeight="1" x14ac:dyDescent="0.3">
      <c r="A179" s="36">
        <v>40504</v>
      </c>
      <c r="B179" s="17" t="s">
        <v>325</v>
      </c>
      <c r="C179" s="23">
        <v>0</v>
      </c>
      <c r="D179" s="23">
        <v>0</v>
      </c>
      <c r="G179" s="35"/>
    </row>
    <row r="180" spans="1:7" ht="15.75" customHeight="1" x14ac:dyDescent="0.3">
      <c r="A180" s="36">
        <v>40505</v>
      </c>
      <c r="B180" s="17" t="s">
        <v>22</v>
      </c>
      <c r="C180" s="23">
        <v>0</v>
      </c>
      <c r="D180" s="23">
        <v>0.4</v>
      </c>
      <c r="G180" s="35"/>
    </row>
    <row r="181" spans="1:7" ht="15.75" customHeight="1" x14ac:dyDescent="0.3">
      <c r="A181" s="36">
        <v>40601</v>
      </c>
      <c r="B181" s="17" t="s">
        <v>208</v>
      </c>
      <c r="C181" s="23">
        <v>10</v>
      </c>
      <c r="D181" s="23">
        <v>1.6</v>
      </c>
      <c r="G181" s="35"/>
    </row>
    <row r="182" spans="1:7" ht="15.75" customHeight="1" x14ac:dyDescent="0.3">
      <c r="A182" s="36">
        <v>40602</v>
      </c>
      <c r="B182" s="17" t="s">
        <v>137</v>
      </c>
      <c r="C182" s="23">
        <v>3</v>
      </c>
      <c r="D182" s="23">
        <v>0.2</v>
      </c>
      <c r="G182" s="35"/>
    </row>
    <row r="183" spans="1:7" ht="15.75" customHeight="1" x14ac:dyDescent="0.3">
      <c r="A183" s="36">
        <v>40603</v>
      </c>
      <c r="B183" s="17" t="s">
        <v>45</v>
      </c>
      <c r="C183" s="23">
        <v>1</v>
      </c>
      <c r="D183" s="23">
        <v>0.2</v>
      </c>
      <c r="G183" s="35"/>
    </row>
    <row r="184" spans="1:7" ht="15.75" customHeight="1" x14ac:dyDescent="0.3">
      <c r="A184" s="36">
        <v>40701</v>
      </c>
      <c r="B184" s="17" t="s">
        <v>215</v>
      </c>
      <c r="C184" s="23">
        <v>10</v>
      </c>
      <c r="D184" s="23">
        <v>4.2</v>
      </c>
      <c r="G184" s="35"/>
    </row>
    <row r="185" spans="1:7" ht="15.75" customHeight="1" x14ac:dyDescent="0.3">
      <c r="A185" s="36">
        <v>40702</v>
      </c>
      <c r="B185" s="17" t="s">
        <v>47</v>
      </c>
      <c r="C185" s="23">
        <v>2</v>
      </c>
      <c r="D185" s="23">
        <v>1.2</v>
      </c>
      <c r="G185" s="35"/>
    </row>
    <row r="186" spans="1:7" ht="15.75" customHeight="1" x14ac:dyDescent="0.3">
      <c r="A186" s="36">
        <v>40801</v>
      </c>
      <c r="B186" s="17" t="s">
        <v>326</v>
      </c>
      <c r="C186" s="23">
        <v>7</v>
      </c>
      <c r="D186" s="23">
        <v>2.8</v>
      </c>
      <c r="G186" s="35"/>
    </row>
    <row r="187" spans="1:7" ht="15.75" customHeight="1" x14ac:dyDescent="0.3">
      <c r="A187" s="36">
        <v>40802</v>
      </c>
      <c r="B187" s="17" t="s">
        <v>69</v>
      </c>
      <c r="C187" s="23">
        <v>0</v>
      </c>
      <c r="D187" s="23">
        <v>0.2</v>
      </c>
      <c r="G187" s="35"/>
    </row>
    <row r="188" spans="1:7" ht="15.75" customHeight="1" x14ac:dyDescent="0.3">
      <c r="A188" s="36">
        <v>40901</v>
      </c>
      <c r="B188" s="17" t="s">
        <v>173</v>
      </c>
      <c r="C188" s="23">
        <v>4</v>
      </c>
      <c r="D188" s="23">
        <v>1.6</v>
      </c>
      <c r="G188" s="35"/>
    </row>
    <row r="189" spans="1:7" ht="15.75" customHeight="1" x14ac:dyDescent="0.3">
      <c r="A189" s="36">
        <v>40902</v>
      </c>
      <c r="B189" s="17" t="s">
        <v>0</v>
      </c>
      <c r="C189" s="23">
        <v>0</v>
      </c>
      <c r="D189" s="23">
        <v>0.2</v>
      </c>
      <c r="G189" s="35"/>
    </row>
    <row r="190" spans="1:7" ht="15.75" customHeight="1" x14ac:dyDescent="0.3">
      <c r="A190" s="36">
        <v>40903</v>
      </c>
      <c r="B190" s="17" t="s">
        <v>23</v>
      </c>
      <c r="C190" s="23">
        <v>3</v>
      </c>
      <c r="D190" s="23">
        <v>0.6</v>
      </c>
      <c r="G190" s="35"/>
    </row>
    <row r="191" spans="1:7" ht="15.75" customHeight="1" x14ac:dyDescent="0.3">
      <c r="A191" s="36">
        <v>41001</v>
      </c>
      <c r="B191" s="17" t="s">
        <v>125</v>
      </c>
      <c r="C191" s="23">
        <v>4</v>
      </c>
      <c r="D191" s="23">
        <v>1.8</v>
      </c>
      <c r="G191" s="35"/>
    </row>
    <row r="192" spans="1:7" ht="15.75" customHeight="1" x14ac:dyDescent="0.3">
      <c r="A192" s="36">
        <v>41101</v>
      </c>
      <c r="B192" s="17" t="s">
        <v>127</v>
      </c>
      <c r="C192" s="23">
        <v>6</v>
      </c>
      <c r="D192" s="23">
        <v>1.6</v>
      </c>
      <c r="G192" s="35"/>
    </row>
    <row r="193" spans="1:7" ht="15.75" customHeight="1" x14ac:dyDescent="0.3">
      <c r="A193" s="36">
        <v>41201</v>
      </c>
      <c r="B193" s="17" t="s">
        <v>152</v>
      </c>
      <c r="C193" s="23">
        <v>4</v>
      </c>
      <c r="D193" s="23">
        <v>0.4</v>
      </c>
      <c r="G193" s="35"/>
    </row>
    <row r="194" spans="1:7" ht="15.75" customHeight="1" x14ac:dyDescent="0.3">
      <c r="A194" s="36">
        <v>41202</v>
      </c>
      <c r="B194" s="17" t="s">
        <v>55</v>
      </c>
      <c r="C194" s="23">
        <v>0</v>
      </c>
      <c r="D194" s="23">
        <v>0.6</v>
      </c>
      <c r="G194" s="35"/>
    </row>
    <row r="195" spans="1:7" ht="15.75" customHeight="1" x14ac:dyDescent="0.3">
      <c r="A195" s="36">
        <v>41301</v>
      </c>
      <c r="B195" s="17" t="s">
        <v>134</v>
      </c>
      <c r="C195" s="23">
        <v>0</v>
      </c>
      <c r="D195" s="23">
        <v>1.2</v>
      </c>
      <c r="G195" s="35"/>
    </row>
    <row r="196" spans="1:7" ht="15.75" customHeight="1" x14ac:dyDescent="0.3">
      <c r="A196" s="36">
        <v>41401</v>
      </c>
      <c r="B196" s="17" t="s">
        <v>327</v>
      </c>
      <c r="C196" s="23">
        <v>10</v>
      </c>
      <c r="D196" s="23">
        <v>1.2</v>
      </c>
      <c r="G196" s="35"/>
    </row>
    <row r="197" spans="1:7" ht="15.75" customHeight="1" x14ac:dyDescent="0.3">
      <c r="A197" s="36">
        <v>41501</v>
      </c>
      <c r="B197" s="17" t="s">
        <v>1</v>
      </c>
      <c r="C197" s="23">
        <v>0</v>
      </c>
      <c r="D197" s="23">
        <v>0</v>
      </c>
      <c r="G197" s="35"/>
    </row>
    <row r="198" spans="1:7" ht="15.75" customHeight="1" x14ac:dyDescent="0.3">
      <c r="A198" s="36">
        <v>41502</v>
      </c>
      <c r="B198" s="17" t="s">
        <v>5</v>
      </c>
      <c r="C198" s="23">
        <v>0</v>
      </c>
      <c r="D198" s="23">
        <v>0.2</v>
      </c>
      <c r="G198" s="35"/>
    </row>
    <row r="199" spans="1:7" ht="15.75" customHeight="1" x14ac:dyDescent="0.3">
      <c r="A199" s="36">
        <v>41503</v>
      </c>
      <c r="B199" s="17" t="s">
        <v>8</v>
      </c>
      <c r="C199" s="23">
        <v>0</v>
      </c>
      <c r="D199" s="23">
        <v>0</v>
      </c>
      <c r="G199" s="35"/>
    </row>
    <row r="200" spans="1:7" ht="15.75" customHeight="1" x14ac:dyDescent="0.3">
      <c r="A200" s="36">
        <v>41601</v>
      </c>
      <c r="B200" s="17" t="s">
        <v>389</v>
      </c>
      <c r="C200" s="23">
        <v>5</v>
      </c>
      <c r="D200" s="23">
        <v>1.2</v>
      </c>
      <c r="G200" s="35"/>
    </row>
    <row r="201" spans="1:7" ht="15.75" customHeight="1" x14ac:dyDescent="0.3">
      <c r="A201" s="36">
        <v>50101</v>
      </c>
      <c r="B201" s="17" t="s">
        <v>302</v>
      </c>
      <c r="C201" s="23">
        <v>156</v>
      </c>
      <c r="D201" s="23">
        <v>38.200000000000003</v>
      </c>
      <c r="G201" s="35"/>
    </row>
    <row r="202" spans="1:7" ht="15.75" customHeight="1" x14ac:dyDescent="0.3">
      <c r="A202" s="36">
        <v>50102</v>
      </c>
      <c r="B202" s="17" t="s">
        <v>34</v>
      </c>
      <c r="C202" s="23">
        <v>64</v>
      </c>
      <c r="D202" s="23">
        <v>10.8</v>
      </c>
      <c r="G202" s="35"/>
    </row>
    <row r="203" spans="1:7" ht="15.75" customHeight="1" x14ac:dyDescent="0.3">
      <c r="A203" s="36">
        <v>50103</v>
      </c>
      <c r="B203" s="17" t="s">
        <v>207</v>
      </c>
      <c r="C203" s="23">
        <v>1</v>
      </c>
      <c r="D203" s="23">
        <v>2.4</v>
      </c>
      <c r="G203" s="35"/>
    </row>
    <row r="204" spans="1:7" ht="15.75" customHeight="1" x14ac:dyDescent="0.3">
      <c r="A204" s="36">
        <v>50104</v>
      </c>
      <c r="B204" s="17" t="s">
        <v>391</v>
      </c>
      <c r="C204" s="23">
        <v>1</v>
      </c>
      <c r="D204" s="23">
        <v>0.2</v>
      </c>
      <c r="G204" s="35"/>
    </row>
    <row r="205" spans="1:7" ht="15.75" customHeight="1" x14ac:dyDescent="0.3">
      <c r="A205" s="36">
        <v>50201</v>
      </c>
      <c r="B205" s="17" t="s">
        <v>264</v>
      </c>
      <c r="C205" s="23">
        <v>43</v>
      </c>
      <c r="D205" s="23">
        <v>7.4</v>
      </c>
      <c r="G205" s="35"/>
    </row>
    <row r="206" spans="1:7" ht="15.75" customHeight="1" x14ac:dyDescent="0.3">
      <c r="A206" s="36">
        <v>50202</v>
      </c>
      <c r="B206" s="17" t="s">
        <v>228</v>
      </c>
      <c r="C206" s="23">
        <v>28</v>
      </c>
      <c r="D206" s="23">
        <v>6.8</v>
      </c>
      <c r="G206" s="35"/>
    </row>
    <row r="207" spans="1:7" ht="15.75" customHeight="1" x14ac:dyDescent="0.3">
      <c r="A207" s="36">
        <v>50203</v>
      </c>
      <c r="B207" s="17" t="s">
        <v>295</v>
      </c>
      <c r="C207" s="23">
        <v>34</v>
      </c>
      <c r="D207" s="23">
        <v>8.6</v>
      </c>
      <c r="G207" s="35"/>
    </row>
    <row r="208" spans="1:7" ht="15.75" customHeight="1" x14ac:dyDescent="0.3">
      <c r="A208" s="36">
        <v>50204</v>
      </c>
      <c r="B208" s="17" t="s">
        <v>393</v>
      </c>
      <c r="C208" s="23">
        <v>15</v>
      </c>
      <c r="D208" s="23">
        <v>2.8</v>
      </c>
      <c r="G208" s="35"/>
    </row>
    <row r="209" spans="1:7" ht="15.75" customHeight="1" x14ac:dyDescent="0.3">
      <c r="A209" s="36">
        <v>50301</v>
      </c>
      <c r="B209" s="17" t="s">
        <v>266</v>
      </c>
      <c r="C209" s="23">
        <v>36</v>
      </c>
      <c r="D209" s="23">
        <v>7.6</v>
      </c>
      <c r="G209" s="35"/>
    </row>
    <row r="210" spans="1:7" ht="15.75" customHeight="1" x14ac:dyDescent="0.3">
      <c r="A210" s="36">
        <v>50302</v>
      </c>
      <c r="B210" s="17" t="s">
        <v>219</v>
      </c>
      <c r="C210" s="23">
        <v>9</v>
      </c>
      <c r="D210" s="23">
        <v>1.6</v>
      </c>
      <c r="G210" s="35"/>
    </row>
    <row r="211" spans="1:7" ht="15.75" customHeight="1" x14ac:dyDescent="0.3">
      <c r="A211" s="36">
        <v>50303</v>
      </c>
      <c r="B211" s="17" t="s">
        <v>15</v>
      </c>
      <c r="C211" s="23">
        <v>13</v>
      </c>
      <c r="D211" s="23">
        <v>1.2</v>
      </c>
      <c r="G211" s="35"/>
    </row>
    <row r="212" spans="1:7" ht="15.75" customHeight="1" x14ac:dyDescent="0.3">
      <c r="A212" s="36">
        <v>50401</v>
      </c>
      <c r="B212" s="17" t="s">
        <v>119</v>
      </c>
      <c r="C212" s="23">
        <v>99</v>
      </c>
      <c r="D212" s="23">
        <v>9</v>
      </c>
      <c r="G212" s="35"/>
    </row>
    <row r="213" spans="1:7" ht="15.75" customHeight="1" x14ac:dyDescent="0.3">
      <c r="A213" s="36">
        <v>50402</v>
      </c>
      <c r="B213" s="17" t="s">
        <v>46</v>
      </c>
      <c r="C213" s="23">
        <v>15</v>
      </c>
      <c r="D213" s="23">
        <v>2.6</v>
      </c>
      <c r="G213" s="35"/>
    </row>
    <row r="214" spans="1:7" ht="15.75" customHeight="1" x14ac:dyDescent="0.3">
      <c r="A214" s="36">
        <v>50403</v>
      </c>
      <c r="B214" s="17" t="s">
        <v>52</v>
      </c>
      <c r="C214" s="23">
        <v>40</v>
      </c>
      <c r="D214" s="23">
        <v>11.8</v>
      </c>
      <c r="G214" s="35"/>
    </row>
    <row r="215" spans="1:7" ht="15.75" customHeight="1" x14ac:dyDescent="0.3">
      <c r="A215" s="36">
        <v>50404</v>
      </c>
      <c r="B215" s="17" t="s">
        <v>42</v>
      </c>
      <c r="C215" s="23">
        <v>44</v>
      </c>
      <c r="D215" s="23">
        <v>2.4</v>
      </c>
      <c r="G215" s="35"/>
    </row>
    <row r="216" spans="1:7" ht="15.75" customHeight="1" x14ac:dyDescent="0.3">
      <c r="A216" s="36">
        <v>50405</v>
      </c>
      <c r="B216" s="34" t="s">
        <v>328</v>
      </c>
      <c r="C216" s="23">
        <v>99</v>
      </c>
      <c r="D216" s="23">
        <v>9.1999999999999993</v>
      </c>
      <c r="G216" s="35"/>
    </row>
    <row r="217" spans="1:7" ht="15.75" customHeight="1" x14ac:dyDescent="0.3">
      <c r="A217" s="36">
        <v>50501</v>
      </c>
      <c r="B217" s="17" t="s">
        <v>396</v>
      </c>
      <c r="C217" s="23">
        <v>64</v>
      </c>
      <c r="D217" s="23">
        <v>10.8</v>
      </c>
      <c r="G217" s="35"/>
    </row>
    <row r="218" spans="1:7" ht="15.75" customHeight="1" x14ac:dyDescent="0.3">
      <c r="A218" s="36">
        <v>50502</v>
      </c>
      <c r="B218" s="17" t="s">
        <v>61</v>
      </c>
      <c r="C218" s="23">
        <v>20</v>
      </c>
      <c r="D218" s="23">
        <v>2.4</v>
      </c>
      <c r="G218" s="35"/>
    </row>
    <row r="219" spans="1:7" ht="15.75" customHeight="1" x14ac:dyDescent="0.3">
      <c r="A219" s="36">
        <v>50601</v>
      </c>
      <c r="B219" s="17" t="s">
        <v>114</v>
      </c>
      <c r="C219" s="23">
        <v>6</v>
      </c>
      <c r="D219" s="23">
        <v>2</v>
      </c>
      <c r="G219" s="35"/>
    </row>
    <row r="220" spans="1:7" ht="15.75" customHeight="1" x14ac:dyDescent="0.3">
      <c r="A220" s="36">
        <v>50602</v>
      </c>
      <c r="B220" s="17" t="s">
        <v>234</v>
      </c>
      <c r="C220" s="23">
        <v>4</v>
      </c>
      <c r="D220" s="23">
        <v>1.2</v>
      </c>
      <c r="G220" s="35"/>
    </row>
    <row r="221" spans="1:7" ht="15.75" customHeight="1" x14ac:dyDescent="0.3">
      <c r="A221" s="36">
        <v>50701</v>
      </c>
      <c r="B221" s="17" t="s">
        <v>399</v>
      </c>
      <c r="C221" s="23">
        <v>14</v>
      </c>
      <c r="D221" s="23">
        <v>7.6</v>
      </c>
      <c r="G221" s="35"/>
    </row>
    <row r="222" spans="1:7" ht="15.75" customHeight="1" x14ac:dyDescent="0.3">
      <c r="A222" s="36">
        <v>50702</v>
      </c>
      <c r="B222" s="17" t="s">
        <v>78</v>
      </c>
      <c r="C222" s="23">
        <v>8</v>
      </c>
      <c r="D222" s="23">
        <v>3.6</v>
      </c>
      <c r="G222" s="35"/>
    </row>
    <row r="223" spans="1:7" ht="15.75" customHeight="1" x14ac:dyDescent="0.3">
      <c r="A223" s="36">
        <v>50801</v>
      </c>
      <c r="B223" s="17" t="s">
        <v>290</v>
      </c>
      <c r="C223" s="23">
        <v>10</v>
      </c>
      <c r="D223" s="23">
        <v>4.5999999999999996</v>
      </c>
      <c r="G223" s="35"/>
    </row>
    <row r="224" spans="1:7" ht="15.75" customHeight="1" x14ac:dyDescent="0.3">
      <c r="A224" s="36">
        <v>50802</v>
      </c>
      <c r="B224" s="17" t="s">
        <v>120</v>
      </c>
      <c r="C224" s="23">
        <v>1</v>
      </c>
      <c r="D224" s="23">
        <v>2</v>
      </c>
      <c r="G224" s="35"/>
    </row>
    <row r="225" spans="1:7" ht="15.75" customHeight="1" x14ac:dyDescent="0.3">
      <c r="A225" s="36">
        <v>50901</v>
      </c>
      <c r="B225" s="17" t="s">
        <v>402</v>
      </c>
      <c r="C225" s="23">
        <v>1</v>
      </c>
      <c r="D225" s="23">
        <v>2.6</v>
      </c>
      <c r="G225" s="35"/>
    </row>
    <row r="226" spans="1:7" ht="15.75" customHeight="1" x14ac:dyDescent="0.3">
      <c r="A226" s="36">
        <v>50902</v>
      </c>
      <c r="B226" s="17" t="s">
        <v>13</v>
      </c>
      <c r="C226" s="23">
        <v>0</v>
      </c>
      <c r="D226" s="23">
        <v>0.4</v>
      </c>
      <c r="G226" s="35"/>
    </row>
    <row r="227" spans="1:7" ht="15.75" customHeight="1" x14ac:dyDescent="0.3">
      <c r="A227" s="36">
        <v>51001</v>
      </c>
      <c r="B227" s="17" t="s">
        <v>86</v>
      </c>
      <c r="C227" s="23">
        <v>1</v>
      </c>
      <c r="D227" s="23">
        <v>1</v>
      </c>
      <c r="G227" s="35"/>
    </row>
    <row r="228" spans="1:7" ht="15.75" customHeight="1" x14ac:dyDescent="0.3">
      <c r="A228" s="36">
        <v>51002</v>
      </c>
      <c r="B228" s="17" t="s">
        <v>16</v>
      </c>
      <c r="C228" s="23">
        <v>0</v>
      </c>
      <c r="D228" s="23">
        <v>0.2</v>
      </c>
      <c r="G228" s="35"/>
    </row>
    <row r="229" spans="1:7" ht="15.75" customHeight="1" x14ac:dyDescent="0.3">
      <c r="A229" s="36">
        <v>51003</v>
      </c>
      <c r="B229" s="17" t="s">
        <v>60</v>
      </c>
      <c r="C229" s="23">
        <v>0</v>
      </c>
      <c r="D229" s="23">
        <v>0.8</v>
      </c>
      <c r="G229" s="35"/>
    </row>
    <row r="230" spans="1:7" ht="15.75" customHeight="1" x14ac:dyDescent="0.3">
      <c r="A230" s="36">
        <v>51101</v>
      </c>
      <c r="B230" s="17" t="s">
        <v>265</v>
      </c>
      <c r="C230" s="23">
        <v>5</v>
      </c>
      <c r="D230" s="23">
        <v>2.2000000000000002</v>
      </c>
      <c r="G230" s="35"/>
    </row>
    <row r="231" spans="1:7" ht="15.75" customHeight="1" x14ac:dyDescent="0.3">
      <c r="A231" s="36">
        <v>51102</v>
      </c>
      <c r="B231" s="17" t="s">
        <v>329</v>
      </c>
      <c r="C231" s="23">
        <v>3</v>
      </c>
      <c r="D231" s="23">
        <v>2.6</v>
      </c>
      <c r="G231" s="35"/>
    </row>
    <row r="232" spans="1:7" ht="15.75" customHeight="1" x14ac:dyDescent="0.3">
      <c r="A232" s="36">
        <v>51103</v>
      </c>
      <c r="B232" s="17" t="s">
        <v>175</v>
      </c>
      <c r="C232" s="23">
        <v>10</v>
      </c>
      <c r="D232" s="23">
        <v>2.8</v>
      </c>
      <c r="G232" s="35"/>
    </row>
    <row r="233" spans="1:7" ht="15.75" customHeight="1" x14ac:dyDescent="0.3">
      <c r="A233" s="36">
        <v>51201</v>
      </c>
      <c r="B233" s="17" t="s">
        <v>289</v>
      </c>
      <c r="C233" s="23">
        <v>8</v>
      </c>
      <c r="D233" s="23">
        <v>8.1999999999999993</v>
      </c>
      <c r="G233" s="35"/>
    </row>
    <row r="234" spans="1:7" ht="15.75" customHeight="1" x14ac:dyDescent="0.3">
      <c r="A234" s="36">
        <v>51202</v>
      </c>
      <c r="B234" s="17" t="s">
        <v>130</v>
      </c>
      <c r="C234" s="23">
        <v>5</v>
      </c>
      <c r="D234" s="23">
        <v>1.6</v>
      </c>
      <c r="G234" s="35"/>
    </row>
    <row r="235" spans="1:7" ht="15.75" customHeight="1" x14ac:dyDescent="0.3">
      <c r="A235" s="36">
        <v>51203</v>
      </c>
      <c r="B235" s="17" t="s">
        <v>166</v>
      </c>
      <c r="C235" s="23">
        <v>2</v>
      </c>
      <c r="D235" s="23">
        <v>2.6</v>
      </c>
      <c r="G235" s="35"/>
    </row>
    <row r="236" spans="1:7" ht="15.75" customHeight="1" x14ac:dyDescent="0.3">
      <c r="A236" s="36">
        <v>51204</v>
      </c>
      <c r="B236" s="34" t="s">
        <v>406</v>
      </c>
      <c r="C236" s="23">
        <v>5</v>
      </c>
      <c r="D236" s="23">
        <v>2</v>
      </c>
      <c r="G236" s="35"/>
    </row>
    <row r="237" spans="1:7" ht="15.75" customHeight="1" x14ac:dyDescent="0.3">
      <c r="A237" s="36">
        <v>51301</v>
      </c>
      <c r="B237" s="17" t="s">
        <v>104</v>
      </c>
      <c r="C237" s="23">
        <v>3</v>
      </c>
      <c r="D237" s="23">
        <v>1</v>
      </c>
      <c r="G237" s="35"/>
    </row>
    <row r="238" spans="1:7" ht="15.75" customHeight="1" x14ac:dyDescent="0.3">
      <c r="A238" s="36">
        <v>51302</v>
      </c>
      <c r="B238" s="17" t="s">
        <v>169</v>
      </c>
      <c r="C238" s="23">
        <v>3</v>
      </c>
      <c r="D238" s="23">
        <v>1.6</v>
      </c>
      <c r="G238" s="35"/>
    </row>
    <row r="239" spans="1:7" ht="15.75" customHeight="1" x14ac:dyDescent="0.3">
      <c r="A239" s="36">
        <v>51401</v>
      </c>
      <c r="B239" s="17" t="s">
        <v>151</v>
      </c>
      <c r="C239" s="23">
        <v>1</v>
      </c>
      <c r="D239" s="23">
        <v>1.6</v>
      </c>
      <c r="G239" s="35"/>
    </row>
    <row r="240" spans="1:7" ht="15.75" customHeight="1" x14ac:dyDescent="0.3">
      <c r="A240" s="36">
        <v>51402</v>
      </c>
      <c r="B240" s="17" t="s">
        <v>25</v>
      </c>
      <c r="C240" s="23">
        <v>0</v>
      </c>
      <c r="D240" s="23">
        <v>0</v>
      </c>
      <c r="G240" s="35"/>
    </row>
    <row r="241" spans="1:7" ht="15.75" customHeight="1" x14ac:dyDescent="0.3">
      <c r="A241" s="36">
        <v>51501</v>
      </c>
      <c r="B241" s="17" t="s">
        <v>293</v>
      </c>
      <c r="C241" s="23">
        <v>3</v>
      </c>
      <c r="D241" s="23">
        <v>7.4</v>
      </c>
      <c r="G241" s="35"/>
    </row>
    <row r="242" spans="1:7" ht="15.75" customHeight="1" x14ac:dyDescent="0.3">
      <c r="A242" s="36">
        <v>51601</v>
      </c>
      <c r="B242" s="17" t="s">
        <v>29</v>
      </c>
      <c r="C242" s="23">
        <v>0</v>
      </c>
      <c r="D242" s="23">
        <v>0.4</v>
      </c>
      <c r="G242" s="35"/>
    </row>
    <row r="243" spans="1:7" ht="15.75" customHeight="1" x14ac:dyDescent="0.3">
      <c r="A243" s="36">
        <v>60101</v>
      </c>
      <c r="B243" s="17" t="s">
        <v>76</v>
      </c>
      <c r="C243" s="23">
        <v>43</v>
      </c>
      <c r="D243" s="23">
        <v>14.2</v>
      </c>
      <c r="G243" s="35"/>
    </row>
    <row r="244" spans="1:7" ht="15.75" customHeight="1" x14ac:dyDescent="0.3">
      <c r="A244" s="36">
        <v>60201</v>
      </c>
      <c r="B244" s="17" t="s">
        <v>274</v>
      </c>
      <c r="C244" s="23">
        <v>6</v>
      </c>
      <c r="D244" s="23">
        <v>1.2</v>
      </c>
      <c r="G244" s="35"/>
    </row>
    <row r="245" spans="1:7" ht="15.75" customHeight="1" x14ac:dyDescent="0.3">
      <c r="A245" s="36">
        <v>60202</v>
      </c>
      <c r="B245" s="17" t="s">
        <v>254</v>
      </c>
      <c r="C245" s="23">
        <v>18</v>
      </c>
      <c r="D245" s="23">
        <v>2</v>
      </c>
      <c r="G245" s="35"/>
    </row>
    <row r="246" spans="1:7" ht="15.75" customHeight="1" x14ac:dyDescent="0.3">
      <c r="A246" s="36">
        <v>60301</v>
      </c>
      <c r="B246" s="17" t="s">
        <v>297</v>
      </c>
      <c r="C246" s="23">
        <v>43</v>
      </c>
      <c r="D246" s="23">
        <v>12.2</v>
      </c>
      <c r="G246" s="35"/>
    </row>
    <row r="247" spans="1:7" ht="15.75" customHeight="1" x14ac:dyDescent="0.3">
      <c r="A247" s="36">
        <v>60302</v>
      </c>
      <c r="B247" s="17" t="s">
        <v>193</v>
      </c>
      <c r="C247" s="23">
        <v>2</v>
      </c>
      <c r="D247" s="23">
        <v>1.4</v>
      </c>
      <c r="G247" s="35"/>
    </row>
    <row r="248" spans="1:7" ht="15.75" customHeight="1" x14ac:dyDescent="0.3">
      <c r="A248" s="36">
        <v>60303</v>
      </c>
      <c r="B248" s="17" t="s">
        <v>330</v>
      </c>
      <c r="C248" s="23">
        <v>24</v>
      </c>
      <c r="D248" s="23">
        <v>3.4</v>
      </c>
      <c r="G248" s="35"/>
    </row>
    <row r="249" spans="1:7" ht="15.75" customHeight="1" x14ac:dyDescent="0.3">
      <c r="A249" s="36">
        <v>60401</v>
      </c>
      <c r="B249" s="17" t="s">
        <v>235</v>
      </c>
      <c r="C249" s="23">
        <v>2</v>
      </c>
      <c r="D249" s="23">
        <v>1</v>
      </c>
      <c r="G249" s="35"/>
    </row>
    <row r="250" spans="1:7" ht="15.75" customHeight="1" x14ac:dyDescent="0.3">
      <c r="A250" s="36">
        <v>60402</v>
      </c>
      <c r="B250" s="17" t="s">
        <v>105</v>
      </c>
      <c r="C250" s="23">
        <v>4</v>
      </c>
      <c r="D250" s="23">
        <v>0.4</v>
      </c>
      <c r="G250" s="35"/>
    </row>
    <row r="251" spans="1:7" ht="15.75" customHeight="1" x14ac:dyDescent="0.3">
      <c r="A251" s="36">
        <v>60501</v>
      </c>
      <c r="B251" s="17" t="s">
        <v>271</v>
      </c>
      <c r="C251" s="23">
        <v>8</v>
      </c>
      <c r="D251" s="23">
        <v>1.6</v>
      </c>
      <c r="G251" s="35"/>
    </row>
    <row r="252" spans="1:7" ht="15.75" customHeight="1" x14ac:dyDescent="0.3">
      <c r="A252" s="36">
        <v>60502</v>
      </c>
      <c r="B252" s="17" t="s">
        <v>88</v>
      </c>
      <c r="C252" s="23">
        <v>4</v>
      </c>
      <c r="D252" s="23">
        <v>1</v>
      </c>
      <c r="G252" s="35"/>
    </row>
    <row r="253" spans="1:7" ht="15.75" customHeight="1" x14ac:dyDescent="0.3">
      <c r="A253" s="36">
        <v>60601</v>
      </c>
      <c r="B253" s="17" t="s">
        <v>223</v>
      </c>
      <c r="C253" s="23">
        <v>3</v>
      </c>
      <c r="D253" s="23">
        <v>1.8</v>
      </c>
      <c r="G253" s="35"/>
    </row>
    <row r="254" spans="1:7" ht="15.75" customHeight="1" x14ac:dyDescent="0.3">
      <c r="A254" s="36">
        <v>70101</v>
      </c>
      <c r="B254" s="17" t="s">
        <v>304</v>
      </c>
      <c r="C254" s="23">
        <v>466</v>
      </c>
      <c r="D254" s="23">
        <v>119.2</v>
      </c>
      <c r="G254" s="35"/>
    </row>
    <row r="255" spans="1:7" ht="15.75" customHeight="1" x14ac:dyDescent="0.3">
      <c r="A255" s="36">
        <v>70102</v>
      </c>
      <c r="B255" s="17" t="s">
        <v>263</v>
      </c>
      <c r="C255" s="23">
        <v>37</v>
      </c>
      <c r="D255" s="23">
        <v>11.6</v>
      </c>
      <c r="G255" s="35"/>
    </row>
    <row r="256" spans="1:7" ht="15.75" customHeight="1" x14ac:dyDescent="0.3">
      <c r="A256" s="36">
        <v>70103</v>
      </c>
      <c r="B256" s="17" t="s">
        <v>188</v>
      </c>
      <c r="C256" s="23">
        <v>2</v>
      </c>
      <c r="D256" s="23">
        <v>1.8</v>
      </c>
      <c r="G256" s="35"/>
    </row>
    <row r="257" spans="1:7" ht="15.75" customHeight="1" x14ac:dyDescent="0.3">
      <c r="A257" s="36">
        <v>70104</v>
      </c>
      <c r="B257" s="17" t="s">
        <v>294</v>
      </c>
      <c r="C257" s="23">
        <v>19</v>
      </c>
      <c r="D257" s="23">
        <v>12.4</v>
      </c>
      <c r="G257" s="35"/>
    </row>
    <row r="258" spans="1:7" ht="15.75" customHeight="1" x14ac:dyDescent="0.3">
      <c r="A258" s="36">
        <v>70105</v>
      </c>
      <c r="B258" s="17" t="s">
        <v>291</v>
      </c>
      <c r="C258" s="23">
        <v>15</v>
      </c>
      <c r="D258" s="23">
        <v>5.8</v>
      </c>
      <c r="G258" s="35"/>
    </row>
    <row r="259" spans="1:7" ht="15.75" customHeight="1" x14ac:dyDescent="0.3">
      <c r="A259" s="36">
        <v>70201</v>
      </c>
      <c r="B259" s="17" t="s">
        <v>298</v>
      </c>
      <c r="C259" s="23">
        <v>25</v>
      </c>
      <c r="D259" s="23">
        <v>17.8</v>
      </c>
      <c r="G259" s="35"/>
    </row>
    <row r="260" spans="1:7" ht="15.75" customHeight="1" x14ac:dyDescent="0.3">
      <c r="A260" s="36">
        <v>70202</v>
      </c>
      <c r="B260" s="17" t="s">
        <v>91</v>
      </c>
      <c r="C260" s="23">
        <v>5</v>
      </c>
      <c r="D260" s="23">
        <v>1.4</v>
      </c>
      <c r="G260" s="35"/>
    </row>
    <row r="261" spans="1:7" ht="15.75" customHeight="1" x14ac:dyDescent="0.3">
      <c r="A261" s="36">
        <v>70301</v>
      </c>
      <c r="B261" s="17" t="s">
        <v>279</v>
      </c>
      <c r="C261" s="23">
        <v>29</v>
      </c>
      <c r="D261" s="23">
        <v>12.8</v>
      </c>
      <c r="G261" s="35"/>
    </row>
    <row r="262" spans="1:7" ht="15.75" customHeight="1" x14ac:dyDescent="0.3">
      <c r="A262" s="36">
        <v>70302</v>
      </c>
      <c r="B262" s="17" t="s">
        <v>201</v>
      </c>
      <c r="C262" s="23">
        <v>11</v>
      </c>
      <c r="D262" s="23">
        <v>4.2</v>
      </c>
      <c r="G262" s="35"/>
    </row>
    <row r="263" spans="1:7" ht="15.75" customHeight="1" x14ac:dyDescent="0.3">
      <c r="A263" s="36">
        <v>70303</v>
      </c>
      <c r="B263" s="17" t="s">
        <v>79</v>
      </c>
      <c r="C263" s="23">
        <v>5</v>
      </c>
      <c r="D263" s="23">
        <v>1.8</v>
      </c>
      <c r="G263" s="35"/>
    </row>
    <row r="264" spans="1:7" ht="15.75" customHeight="1" x14ac:dyDescent="0.3">
      <c r="A264" s="36">
        <v>70401</v>
      </c>
      <c r="B264" s="17" t="s">
        <v>164</v>
      </c>
      <c r="C264" s="23">
        <v>4</v>
      </c>
      <c r="D264" s="23">
        <v>0.4</v>
      </c>
      <c r="G264" s="35"/>
    </row>
    <row r="265" spans="1:7" ht="15.75" customHeight="1" x14ac:dyDescent="0.3">
      <c r="A265" s="36">
        <v>70402</v>
      </c>
      <c r="B265" s="17" t="s">
        <v>225</v>
      </c>
      <c r="C265" s="23">
        <v>7</v>
      </c>
      <c r="D265" s="23">
        <v>2.2000000000000002</v>
      </c>
      <c r="G265" s="35"/>
    </row>
    <row r="266" spans="1:7" ht="15.75" customHeight="1" x14ac:dyDescent="0.3">
      <c r="A266" s="36">
        <v>70403</v>
      </c>
      <c r="B266" s="17" t="s">
        <v>278</v>
      </c>
      <c r="C266" s="23">
        <v>28</v>
      </c>
      <c r="D266" s="23">
        <v>6.6</v>
      </c>
      <c r="G266" s="35"/>
    </row>
    <row r="267" spans="1:7" ht="15.75" customHeight="1" x14ac:dyDescent="0.3">
      <c r="A267" s="36">
        <v>70404</v>
      </c>
      <c r="B267" s="17" t="s">
        <v>331</v>
      </c>
      <c r="C267" s="23">
        <v>5</v>
      </c>
      <c r="D267" s="23">
        <v>0.6</v>
      </c>
      <c r="G267" s="35"/>
    </row>
    <row r="268" spans="1:7" ht="15.75" customHeight="1" x14ac:dyDescent="0.3">
      <c r="A268" s="36">
        <v>70501</v>
      </c>
      <c r="B268" s="17" t="s">
        <v>332</v>
      </c>
      <c r="C268" s="23">
        <v>9</v>
      </c>
      <c r="D268" s="23">
        <v>8</v>
      </c>
      <c r="G268" s="35"/>
    </row>
    <row r="269" spans="1:7" ht="15.75" customHeight="1" x14ac:dyDescent="0.3">
      <c r="A269" s="36">
        <v>70502</v>
      </c>
      <c r="B269" s="17" t="s">
        <v>272</v>
      </c>
      <c r="C269" s="23">
        <v>21</v>
      </c>
      <c r="D269" s="23">
        <v>14</v>
      </c>
      <c r="G269" s="35"/>
    </row>
    <row r="270" spans="1:7" ht="15.75" customHeight="1" x14ac:dyDescent="0.3">
      <c r="A270" s="36">
        <v>70503</v>
      </c>
      <c r="B270" s="17" t="s">
        <v>162</v>
      </c>
      <c r="C270" s="23">
        <v>4</v>
      </c>
      <c r="D270" s="23">
        <v>1.6</v>
      </c>
      <c r="G270" s="35"/>
    </row>
    <row r="271" spans="1:7" ht="15.75" customHeight="1" x14ac:dyDescent="0.3">
      <c r="A271" s="36">
        <v>70601</v>
      </c>
      <c r="B271" s="17" t="s">
        <v>158</v>
      </c>
      <c r="C271" s="23">
        <v>2</v>
      </c>
      <c r="D271" s="23">
        <v>1.4</v>
      </c>
      <c r="G271" s="35"/>
    </row>
    <row r="272" spans="1:7" ht="15.75" customHeight="1" x14ac:dyDescent="0.3">
      <c r="A272" s="36">
        <v>70602</v>
      </c>
      <c r="B272" s="17" t="s">
        <v>256</v>
      </c>
      <c r="C272" s="23">
        <v>7</v>
      </c>
      <c r="D272" s="23">
        <v>2.6</v>
      </c>
      <c r="G272" s="35"/>
    </row>
    <row r="273" spans="1:7" ht="15.75" customHeight="1" x14ac:dyDescent="0.3">
      <c r="A273" s="36">
        <v>70603</v>
      </c>
      <c r="B273" s="17" t="s">
        <v>333</v>
      </c>
      <c r="C273" s="23">
        <v>2</v>
      </c>
      <c r="D273" s="23">
        <v>0.6</v>
      </c>
      <c r="G273" s="35"/>
    </row>
    <row r="274" spans="1:7" ht="15.75" customHeight="1" x14ac:dyDescent="0.3">
      <c r="A274" s="36">
        <v>70701</v>
      </c>
      <c r="B274" s="17" t="s">
        <v>74</v>
      </c>
      <c r="C274" s="23">
        <v>2</v>
      </c>
      <c r="D274" s="23">
        <v>1</v>
      </c>
      <c r="G274" s="35"/>
    </row>
    <row r="275" spans="1:7" ht="15.75" customHeight="1" x14ac:dyDescent="0.3">
      <c r="A275" s="36">
        <v>70702</v>
      </c>
      <c r="B275" s="17" t="s">
        <v>95</v>
      </c>
      <c r="C275" s="23">
        <v>26</v>
      </c>
      <c r="D275" s="23">
        <v>12.8</v>
      </c>
      <c r="G275" s="35"/>
    </row>
    <row r="276" spans="1:7" ht="15.75" customHeight="1" x14ac:dyDescent="0.3">
      <c r="A276" s="36">
        <v>70703</v>
      </c>
      <c r="B276" s="17" t="s">
        <v>250</v>
      </c>
      <c r="C276" s="23">
        <v>9</v>
      </c>
      <c r="D276" s="23">
        <v>4.4000000000000004</v>
      </c>
      <c r="G276" s="35"/>
    </row>
    <row r="277" spans="1:7" ht="15.75" customHeight="1" x14ac:dyDescent="0.3">
      <c r="A277" s="36">
        <v>70704</v>
      </c>
      <c r="B277" s="17" t="s">
        <v>73</v>
      </c>
      <c r="C277" s="23">
        <v>0</v>
      </c>
      <c r="D277" s="23">
        <v>0.4</v>
      </c>
      <c r="G277" s="35"/>
    </row>
    <row r="278" spans="1:7" ht="15.75" customHeight="1" x14ac:dyDescent="0.3">
      <c r="A278" s="36">
        <v>70705</v>
      </c>
      <c r="B278" s="17" t="s">
        <v>141</v>
      </c>
      <c r="C278" s="23">
        <v>16</v>
      </c>
      <c r="D278" s="23">
        <v>5</v>
      </c>
      <c r="G278" s="35"/>
    </row>
    <row r="279" spans="1:7" ht="15.75" customHeight="1" x14ac:dyDescent="0.3">
      <c r="A279" s="36">
        <v>70706</v>
      </c>
      <c r="B279" s="17" t="s">
        <v>221</v>
      </c>
      <c r="C279" s="23">
        <v>7</v>
      </c>
      <c r="D279" s="23">
        <v>2.8</v>
      </c>
      <c r="G279" s="35"/>
    </row>
    <row r="280" spans="1:7" ht="15.75" customHeight="1" x14ac:dyDescent="0.3">
      <c r="A280" s="36">
        <v>70707</v>
      </c>
      <c r="B280" s="17" t="s">
        <v>53</v>
      </c>
      <c r="C280" s="23">
        <v>0</v>
      </c>
      <c r="D280" s="23">
        <v>0.4</v>
      </c>
      <c r="G280" s="35"/>
    </row>
    <row r="281" spans="1:7" ht="15.75" customHeight="1" x14ac:dyDescent="0.3">
      <c r="A281" s="36">
        <v>70801</v>
      </c>
      <c r="B281" s="17" t="s">
        <v>257</v>
      </c>
      <c r="C281" s="23">
        <v>3</v>
      </c>
      <c r="D281" s="23">
        <v>1.2</v>
      </c>
      <c r="G281" s="35"/>
    </row>
    <row r="282" spans="1:7" ht="15.75" customHeight="1" x14ac:dyDescent="0.3">
      <c r="A282" s="36">
        <v>70802</v>
      </c>
      <c r="B282" s="17" t="s">
        <v>10</v>
      </c>
      <c r="C282" s="23">
        <v>0</v>
      </c>
      <c r="D282" s="23">
        <v>0.4</v>
      </c>
      <c r="G282" s="35"/>
    </row>
    <row r="283" spans="1:7" ht="15.75" customHeight="1" x14ac:dyDescent="0.3">
      <c r="A283" s="36">
        <v>70803</v>
      </c>
      <c r="B283" s="17" t="s">
        <v>36</v>
      </c>
      <c r="C283" s="23">
        <v>0</v>
      </c>
      <c r="D283" s="23">
        <v>0</v>
      </c>
      <c r="G283" s="35"/>
    </row>
    <row r="284" spans="1:7" ht="15.75" customHeight="1" x14ac:dyDescent="0.3">
      <c r="A284" s="36">
        <v>70804</v>
      </c>
      <c r="B284" s="17" t="s">
        <v>334</v>
      </c>
      <c r="C284" s="23">
        <v>0</v>
      </c>
      <c r="D284" s="23">
        <v>0</v>
      </c>
      <c r="G284" s="35"/>
    </row>
    <row r="285" spans="1:7" ht="15.75" customHeight="1" x14ac:dyDescent="0.3">
      <c r="A285" s="36">
        <v>70805</v>
      </c>
      <c r="B285" s="17" t="s">
        <v>335</v>
      </c>
      <c r="C285" s="23">
        <v>0</v>
      </c>
      <c r="D285" s="23">
        <v>0.2</v>
      </c>
      <c r="G285" s="35"/>
    </row>
    <row r="286" spans="1:7" ht="15.75" customHeight="1" x14ac:dyDescent="0.3">
      <c r="A286" s="36">
        <v>70901</v>
      </c>
      <c r="B286" s="17" t="s">
        <v>192</v>
      </c>
      <c r="C286" s="23">
        <v>0</v>
      </c>
      <c r="D286" s="23">
        <v>1.4</v>
      </c>
      <c r="G286" s="35"/>
    </row>
    <row r="287" spans="1:7" ht="15.75" customHeight="1" x14ac:dyDescent="0.3">
      <c r="A287" s="36">
        <v>70902</v>
      </c>
      <c r="B287" s="17" t="s">
        <v>160</v>
      </c>
      <c r="C287" s="23">
        <v>3</v>
      </c>
      <c r="D287" s="23">
        <v>1</v>
      </c>
      <c r="G287" s="35"/>
    </row>
    <row r="288" spans="1:7" ht="15.75" customHeight="1" x14ac:dyDescent="0.3">
      <c r="A288" s="36">
        <v>70903</v>
      </c>
      <c r="B288" s="17" t="s">
        <v>122</v>
      </c>
      <c r="C288" s="23">
        <v>5</v>
      </c>
      <c r="D288" s="23">
        <v>1.2</v>
      </c>
      <c r="G288" s="35"/>
    </row>
    <row r="289" spans="1:7" ht="15.75" customHeight="1" x14ac:dyDescent="0.3">
      <c r="A289" s="36">
        <v>70904</v>
      </c>
      <c r="B289" s="17" t="s">
        <v>20</v>
      </c>
      <c r="C289" s="23">
        <v>1</v>
      </c>
      <c r="D289" s="23">
        <v>0</v>
      </c>
      <c r="G289" s="35"/>
    </row>
    <row r="290" spans="1:7" ht="15.75" customHeight="1" x14ac:dyDescent="0.3">
      <c r="A290" s="36">
        <v>71001</v>
      </c>
      <c r="B290" s="17" t="s">
        <v>300</v>
      </c>
      <c r="C290" s="23">
        <v>40</v>
      </c>
      <c r="D290" s="23">
        <v>11</v>
      </c>
      <c r="G290" s="35"/>
    </row>
    <row r="291" spans="1:7" ht="15.75" customHeight="1" x14ac:dyDescent="0.3">
      <c r="A291" s="36">
        <v>71002</v>
      </c>
      <c r="B291" s="17" t="s">
        <v>336</v>
      </c>
      <c r="C291" s="23">
        <v>3</v>
      </c>
      <c r="D291" s="23">
        <v>2.8</v>
      </c>
      <c r="G291" s="35"/>
    </row>
    <row r="292" spans="1:7" ht="15.75" customHeight="1" x14ac:dyDescent="0.3">
      <c r="A292" s="36">
        <v>71003</v>
      </c>
      <c r="B292" s="17" t="s">
        <v>230</v>
      </c>
      <c r="C292" s="23">
        <v>12</v>
      </c>
      <c r="D292" s="23">
        <v>3.8</v>
      </c>
      <c r="G292" s="35"/>
    </row>
    <row r="293" spans="1:7" ht="15.75" customHeight="1" x14ac:dyDescent="0.3">
      <c r="A293" s="36">
        <v>71004</v>
      </c>
      <c r="B293" s="17" t="s">
        <v>161</v>
      </c>
      <c r="C293" s="23">
        <v>10</v>
      </c>
      <c r="D293" s="23">
        <v>2.2000000000000002</v>
      </c>
      <c r="G293" s="35"/>
    </row>
    <row r="294" spans="1:7" ht="15.75" customHeight="1" x14ac:dyDescent="0.3">
      <c r="A294" s="36">
        <v>71005</v>
      </c>
      <c r="B294" s="17" t="s">
        <v>9</v>
      </c>
      <c r="C294" s="23">
        <v>7</v>
      </c>
      <c r="D294" s="23">
        <v>1.6</v>
      </c>
      <c r="G294" s="35"/>
    </row>
    <row r="295" spans="1:7" ht="15.75" customHeight="1" x14ac:dyDescent="0.3">
      <c r="A295" s="36">
        <v>71101</v>
      </c>
      <c r="B295" s="17" t="s">
        <v>248</v>
      </c>
      <c r="C295" s="23">
        <v>10</v>
      </c>
      <c r="D295" s="23">
        <v>6.6</v>
      </c>
      <c r="G295" s="35"/>
    </row>
    <row r="296" spans="1:7" ht="15.75" customHeight="1" x14ac:dyDescent="0.3">
      <c r="A296" s="36">
        <v>71102</v>
      </c>
      <c r="B296" s="17" t="s">
        <v>75</v>
      </c>
      <c r="C296" s="23">
        <v>15</v>
      </c>
      <c r="D296" s="23">
        <v>3.4</v>
      </c>
      <c r="G296" s="35"/>
    </row>
    <row r="297" spans="1:7" ht="15.75" customHeight="1" x14ac:dyDescent="0.3">
      <c r="A297" s="36">
        <v>71103</v>
      </c>
      <c r="B297" s="17" t="s">
        <v>44</v>
      </c>
      <c r="C297" s="23">
        <v>4</v>
      </c>
      <c r="D297" s="23">
        <v>7.4</v>
      </c>
      <c r="G297" s="35"/>
    </row>
    <row r="298" spans="1:7" ht="15.75" customHeight="1" x14ac:dyDescent="0.3">
      <c r="A298" s="36">
        <v>71104</v>
      </c>
      <c r="B298" s="17" t="s">
        <v>285</v>
      </c>
      <c r="C298" s="23">
        <v>17</v>
      </c>
      <c r="D298" s="23">
        <v>1.4</v>
      </c>
      <c r="G298" s="35"/>
    </row>
    <row r="299" spans="1:7" ht="15.75" customHeight="1" x14ac:dyDescent="0.3">
      <c r="A299" s="36">
        <v>71105</v>
      </c>
      <c r="B299" s="17" t="s">
        <v>337</v>
      </c>
      <c r="C299" s="23">
        <v>8</v>
      </c>
      <c r="D299" s="23">
        <v>1</v>
      </c>
      <c r="G299" s="35"/>
    </row>
    <row r="300" spans="1:7" ht="15.75" customHeight="1" x14ac:dyDescent="0.3">
      <c r="A300" s="36">
        <v>71106</v>
      </c>
      <c r="B300" s="17" t="s">
        <v>239</v>
      </c>
      <c r="C300" s="23">
        <v>12</v>
      </c>
      <c r="D300" s="23">
        <v>4.8</v>
      </c>
      <c r="G300" s="35"/>
    </row>
    <row r="301" spans="1:7" ht="15.75" customHeight="1" x14ac:dyDescent="0.3">
      <c r="A301" s="36">
        <v>71201</v>
      </c>
      <c r="B301" s="17" t="s">
        <v>212</v>
      </c>
      <c r="C301" s="23">
        <v>7</v>
      </c>
      <c r="D301" s="23">
        <v>1.4</v>
      </c>
      <c r="G301" s="35"/>
    </row>
    <row r="302" spans="1:7" ht="15.75" customHeight="1" x14ac:dyDescent="0.3">
      <c r="A302" s="36">
        <v>71301</v>
      </c>
      <c r="B302" s="17" t="s">
        <v>209</v>
      </c>
      <c r="C302" s="23">
        <v>3</v>
      </c>
      <c r="D302" s="23">
        <v>3.4</v>
      </c>
      <c r="G302" s="35"/>
    </row>
    <row r="303" spans="1:7" ht="15.75" customHeight="1" x14ac:dyDescent="0.3">
      <c r="A303" s="36">
        <v>71302</v>
      </c>
      <c r="B303" s="17" t="s">
        <v>58</v>
      </c>
      <c r="C303" s="23">
        <v>1</v>
      </c>
      <c r="D303" s="23">
        <v>0.4</v>
      </c>
      <c r="G303" s="35"/>
    </row>
    <row r="304" spans="1:7" ht="15.75" customHeight="1" x14ac:dyDescent="0.3">
      <c r="A304" s="36">
        <v>71401</v>
      </c>
      <c r="B304" s="17" t="s">
        <v>206</v>
      </c>
      <c r="C304" s="23">
        <v>7</v>
      </c>
      <c r="D304" s="23">
        <v>2.2000000000000002</v>
      </c>
      <c r="G304" s="35"/>
    </row>
    <row r="305" spans="1:7" ht="15.75" customHeight="1" x14ac:dyDescent="0.3">
      <c r="A305" s="36">
        <v>71402</v>
      </c>
      <c r="B305" s="17" t="s">
        <v>165</v>
      </c>
      <c r="C305" s="23">
        <v>10</v>
      </c>
      <c r="D305" s="23">
        <v>1.8</v>
      </c>
      <c r="G305" s="35"/>
    </row>
    <row r="306" spans="1:7" ht="15.75" customHeight="1" x14ac:dyDescent="0.3">
      <c r="A306" s="36">
        <v>71403</v>
      </c>
      <c r="B306" s="17" t="s">
        <v>338</v>
      </c>
      <c r="C306" s="23">
        <v>1</v>
      </c>
      <c r="D306" s="23">
        <v>2.4</v>
      </c>
      <c r="G306" s="35"/>
    </row>
    <row r="307" spans="1:7" ht="15.75" customHeight="1" x14ac:dyDescent="0.3">
      <c r="A307" s="36">
        <v>71501</v>
      </c>
      <c r="B307" s="17" t="s">
        <v>339</v>
      </c>
      <c r="C307" s="23">
        <v>10</v>
      </c>
      <c r="D307" s="23">
        <v>5.6</v>
      </c>
      <c r="G307" s="35"/>
    </row>
    <row r="308" spans="1:7" ht="15.75" customHeight="1" x14ac:dyDescent="0.3">
      <c r="A308" s="36">
        <v>71502</v>
      </c>
      <c r="B308" s="17" t="s">
        <v>77</v>
      </c>
      <c r="C308" s="23">
        <v>3</v>
      </c>
      <c r="D308" s="23">
        <v>2</v>
      </c>
      <c r="G308" s="35"/>
    </row>
    <row r="309" spans="1:7" ht="15.75" customHeight="1" x14ac:dyDescent="0.3">
      <c r="A309" s="36">
        <v>71503</v>
      </c>
      <c r="B309" s="17" t="s">
        <v>88</v>
      </c>
      <c r="C309" s="23">
        <v>10</v>
      </c>
      <c r="D309" s="23">
        <v>2</v>
      </c>
      <c r="G309" s="35"/>
    </row>
    <row r="310" spans="1:7" ht="15.75" customHeight="1" x14ac:dyDescent="0.3">
      <c r="A310" s="36">
        <v>80101</v>
      </c>
      <c r="B310" s="17" t="s">
        <v>301</v>
      </c>
      <c r="C310" s="23">
        <v>57</v>
      </c>
      <c r="D310" s="23">
        <v>10</v>
      </c>
      <c r="G310" s="35"/>
    </row>
    <row r="311" spans="1:7" ht="15.75" customHeight="1" x14ac:dyDescent="0.3">
      <c r="A311" s="36">
        <v>80102</v>
      </c>
      <c r="B311" s="17" t="s">
        <v>75</v>
      </c>
      <c r="C311" s="23">
        <v>6</v>
      </c>
      <c r="D311" s="23">
        <v>1.4</v>
      </c>
      <c r="G311" s="35"/>
    </row>
    <row r="312" spans="1:7" ht="15.75" customHeight="1" x14ac:dyDescent="0.3">
      <c r="A312" s="36">
        <v>80201</v>
      </c>
      <c r="B312" s="17" t="s">
        <v>296</v>
      </c>
      <c r="C312" s="23">
        <v>80</v>
      </c>
      <c r="D312" s="23">
        <v>15.4</v>
      </c>
      <c r="G312" s="35"/>
    </row>
    <row r="313" spans="1:7" ht="15.75" customHeight="1" x14ac:dyDescent="0.3">
      <c r="A313" s="36">
        <v>80202</v>
      </c>
      <c r="B313" s="17" t="s">
        <v>287</v>
      </c>
      <c r="C313" s="23">
        <v>28</v>
      </c>
      <c r="D313" s="23">
        <v>4.4000000000000004</v>
      </c>
      <c r="G313" s="35"/>
    </row>
    <row r="314" spans="1:7" ht="15.75" customHeight="1" x14ac:dyDescent="0.3">
      <c r="A314" s="36">
        <v>80301</v>
      </c>
      <c r="B314" s="17" t="s">
        <v>216</v>
      </c>
      <c r="C314" s="23">
        <v>12</v>
      </c>
      <c r="D314" s="23">
        <v>3</v>
      </c>
      <c r="G314" s="35"/>
    </row>
    <row r="315" spans="1:7" ht="15.75" customHeight="1" x14ac:dyDescent="0.3">
      <c r="A315" s="36">
        <v>80302</v>
      </c>
      <c r="B315" s="17" t="s">
        <v>276</v>
      </c>
      <c r="C315" s="23">
        <v>66</v>
      </c>
      <c r="D315" s="23">
        <v>10.4</v>
      </c>
      <c r="G315" s="35"/>
    </row>
    <row r="316" spans="1:7" ht="15.75" customHeight="1" x14ac:dyDescent="0.3">
      <c r="A316" s="36">
        <v>80303</v>
      </c>
      <c r="B316" s="17" t="s">
        <v>35</v>
      </c>
      <c r="C316" s="23">
        <v>6</v>
      </c>
      <c r="D316" s="23">
        <v>2</v>
      </c>
      <c r="G316" s="35"/>
    </row>
    <row r="317" spans="1:7" ht="15.75" customHeight="1" x14ac:dyDescent="0.3">
      <c r="A317" s="36">
        <v>80304</v>
      </c>
      <c r="B317" s="17" t="s">
        <v>246</v>
      </c>
      <c r="C317" s="23">
        <v>14</v>
      </c>
      <c r="D317" s="23">
        <v>3.6</v>
      </c>
      <c r="G317" s="35"/>
    </row>
    <row r="318" spans="1:7" ht="15.75" customHeight="1" x14ac:dyDescent="0.3">
      <c r="A318" s="36">
        <v>80401</v>
      </c>
      <c r="B318" s="17" t="s">
        <v>204</v>
      </c>
      <c r="C318" s="23">
        <v>13</v>
      </c>
      <c r="D318" s="23">
        <v>1.4</v>
      </c>
      <c r="G318" s="35"/>
    </row>
    <row r="319" spans="1:7" ht="15.75" customHeight="1" x14ac:dyDescent="0.3">
      <c r="A319" s="36">
        <v>80402</v>
      </c>
      <c r="B319" s="17" t="s">
        <v>98</v>
      </c>
      <c r="C319" s="23">
        <v>1</v>
      </c>
      <c r="D319" s="23">
        <v>0.4</v>
      </c>
      <c r="G319" s="35"/>
    </row>
    <row r="320" spans="1:7" ht="15.75" customHeight="1" x14ac:dyDescent="0.3">
      <c r="A320" s="36">
        <v>80501</v>
      </c>
      <c r="B320" s="17" t="s">
        <v>262</v>
      </c>
      <c r="C320" s="23">
        <v>14</v>
      </c>
      <c r="D320" s="23">
        <v>4.2</v>
      </c>
      <c r="G320" s="35"/>
    </row>
    <row r="321" spans="1:7" ht="15.75" customHeight="1" x14ac:dyDescent="0.3">
      <c r="A321" s="36">
        <v>80601</v>
      </c>
      <c r="B321" s="17" t="s">
        <v>83</v>
      </c>
      <c r="C321" s="23">
        <v>3</v>
      </c>
      <c r="D321" s="23">
        <v>1</v>
      </c>
      <c r="G321" s="35"/>
    </row>
    <row r="322" spans="1:7" ht="15.75" customHeight="1" x14ac:dyDescent="0.3">
      <c r="A322" s="36">
        <v>80602</v>
      </c>
      <c r="B322" s="17" t="s">
        <v>214</v>
      </c>
      <c r="C322" s="23">
        <v>6</v>
      </c>
      <c r="D322" s="23">
        <v>3.4</v>
      </c>
      <c r="G322" s="35"/>
    </row>
    <row r="323" spans="1:7" ht="15.75" customHeight="1" x14ac:dyDescent="0.3">
      <c r="A323" s="36">
        <v>80701</v>
      </c>
      <c r="B323" s="17" t="s">
        <v>64</v>
      </c>
      <c r="C323" s="23">
        <v>6</v>
      </c>
      <c r="D323" s="23">
        <v>0.8</v>
      </c>
      <c r="G323" s="35"/>
    </row>
    <row r="324" spans="1:7" ht="15.75" customHeight="1" x14ac:dyDescent="0.3">
      <c r="A324" s="36">
        <v>80702</v>
      </c>
      <c r="B324" s="17" t="s">
        <v>44</v>
      </c>
      <c r="C324" s="23">
        <v>3</v>
      </c>
      <c r="D324" s="23">
        <v>0.6</v>
      </c>
      <c r="G324" s="35"/>
    </row>
    <row r="325" spans="1:7" ht="15.75" customHeight="1" x14ac:dyDescent="0.3">
      <c r="A325" s="36">
        <v>80703</v>
      </c>
      <c r="B325" s="17" t="s">
        <v>2</v>
      </c>
      <c r="C325" s="23">
        <v>2</v>
      </c>
      <c r="D325" s="23">
        <v>0</v>
      </c>
      <c r="G325" s="35"/>
    </row>
    <row r="326" spans="1:7" ht="15.75" customHeight="1" x14ac:dyDescent="0.3">
      <c r="A326" s="36">
        <v>80801</v>
      </c>
      <c r="B326" s="17" t="s">
        <v>142</v>
      </c>
      <c r="C326" s="23">
        <v>1</v>
      </c>
      <c r="D326" s="23">
        <v>1.4</v>
      </c>
      <c r="G326" s="35"/>
    </row>
    <row r="327" spans="1:7" ht="15.75" customHeight="1" x14ac:dyDescent="0.3">
      <c r="A327" s="36">
        <v>80802</v>
      </c>
      <c r="B327" s="17" t="s">
        <v>118</v>
      </c>
      <c r="C327" s="23">
        <v>2</v>
      </c>
      <c r="D327" s="23">
        <v>1.4</v>
      </c>
      <c r="G327" s="35"/>
    </row>
    <row r="328" spans="1:7" ht="15.75" customHeight="1" x14ac:dyDescent="0.3">
      <c r="A328" s="36">
        <v>80803</v>
      </c>
      <c r="B328" s="17" t="s">
        <v>17</v>
      </c>
      <c r="C328" s="23">
        <v>2</v>
      </c>
      <c r="D328" s="23">
        <v>0.2</v>
      </c>
      <c r="G328" s="35"/>
    </row>
    <row r="329" spans="1:7" ht="15.75" customHeight="1" x14ac:dyDescent="0.3">
      <c r="A329" s="36">
        <v>80901</v>
      </c>
      <c r="B329" s="34" t="s">
        <v>436</v>
      </c>
      <c r="C329" s="23">
        <v>13.5</v>
      </c>
      <c r="D329" s="23">
        <v>2.2000000000000002</v>
      </c>
      <c r="G329" s="35"/>
    </row>
    <row r="330" spans="1:7" ht="15.75" customHeight="1" x14ac:dyDescent="0.3">
      <c r="A330" s="36">
        <v>90101</v>
      </c>
      <c r="B330" s="17" t="s">
        <v>281</v>
      </c>
      <c r="C330" s="23">
        <v>7</v>
      </c>
      <c r="D330" s="23">
        <v>6.4</v>
      </c>
      <c r="G330" s="35"/>
    </row>
    <row r="331" spans="1:7" ht="15.75" customHeight="1" x14ac:dyDescent="0.3">
      <c r="A331" s="36">
        <v>90102</v>
      </c>
      <c r="B331" s="17" t="s">
        <v>115</v>
      </c>
      <c r="C331" s="23">
        <v>0</v>
      </c>
      <c r="D331" s="23">
        <v>0.2</v>
      </c>
      <c r="G331" s="35"/>
    </row>
    <row r="332" spans="1:7" ht="15.75" customHeight="1" x14ac:dyDescent="0.3">
      <c r="A332" s="36">
        <v>90103</v>
      </c>
      <c r="B332" s="17" t="s">
        <v>4</v>
      </c>
      <c r="C332" s="23">
        <v>0</v>
      </c>
      <c r="D332" s="23">
        <v>0</v>
      </c>
      <c r="G332" s="35"/>
    </row>
    <row r="333" spans="1:7" ht="15.75" customHeight="1" x14ac:dyDescent="0.3">
      <c r="A333" s="36">
        <v>90104</v>
      </c>
      <c r="B333" s="17" t="s">
        <v>81</v>
      </c>
      <c r="C333" s="23">
        <v>0</v>
      </c>
      <c r="D333" s="23">
        <v>0.2</v>
      </c>
      <c r="G333" s="35"/>
    </row>
    <row r="334" spans="1:7" ht="15.75" customHeight="1" x14ac:dyDescent="0.3">
      <c r="A334" s="36">
        <v>90201</v>
      </c>
      <c r="B334" s="17" t="s">
        <v>131</v>
      </c>
      <c r="C334" s="23">
        <v>0</v>
      </c>
      <c r="D334" s="23">
        <v>0.8</v>
      </c>
      <c r="G334" s="35"/>
    </row>
    <row r="335" spans="1:7" ht="15.75" customHeight="1" x14ac:dyDescent="0.3">
      <c r="A335" s="36">
        <v>90202</v>
      </c>
      <c r="B335" s="17" t="s">
        <v>9</v>
      </c>
      <c r="C335" s="23">
        <v>0</v>
      </c>
      <c r="D335" s="23">
        <v>0</v>
      </c>
      <c r="G335" s="35"/>
    </row>
    <row r="336" spans="1:7" ht="15.75" customHeight="1" x14ac:dyDescent="0.3">
      <c r="A336" s="36">
        <v>90203</v>
      </c>
      <c r="B336" s="17" t="s">
        <v>37</v>
      </c>
      <c r="C336" s="23">
        <v>0</v>
      </c>
      <c r="D336" s="23">
        <v>0.6</v>
      </c>
      <c r="G336" s="35"/>
    </row>
    <row r="337" spans="1:7" ht="15.75" customHeight="1" x14ac:dyDescent="0.3">
      <c r="A337" s="36">
        <v>90301</v>
      </c>
      <c r="B337" s="17" t="s">
        <v>340</v>
      </c>
      <c r="C337" s="23">
        <v>1</v>
      </c>
      <c r="D337" s="23">
        <v>1.2</v>
      </c>
      <c r="G337" s="35"/>
    </row>
    <row r="338" spans="1:7" ht="15.75" customHeight="1" x14ac:dyDescent="0.3">
      <c r="A338" s="36">
        <v>90302</v>
      </c>
      <c r="B338" s="17" t="s">
        <v>59</v>
      </c>
      <c r="C338" s="23">
        <v>0</v>
      </c>
      <c r="D338" s="23">
        <v>0.4</v>
      </c>
      <c r="G338" s="35"/>
    </row>
    <row r="339" spans="1:7" ht="15.75" customHeight="1" x14ac:dyDescent="0.3">
      <c r="A339" s="36">
        <v>90303</v>
      </c>
      <c r="B339" s="17" t="s">
        <v>341</v>
      </c>
      <c r="C339" s="23">
        <v>2</v>
      </c>
      <c r="D339" s="23">
        <v>2.2000000000000002</v>
      </c>
      <c r="G339" s="35"/>
    </row>
    <row r="340" spans="1:7" ht="15.75" customHeight="1" x14ac:dyDescent="0.3">
      <c r="A340" s="36">
        <v>90401</v>
      </c>
      <c r="B340" s="17" t="s">
        <v>441</v>
      </c>
      <c r="C340" s="23">
        <v>0</v>
      </c>
      <c r="D340" s="23">
        <v>0.2</v>
      </c>
      <c r="G340" s="35"/>
    </row>
    <row r="341" spans="1:7" ht="15.75" customHeight="1" x14ac:dyDescent="0.3">
      <c r="A341" s="36">
        <v>90402</v>
      </c>
      <c r="B341" s="17" t="s">
        <v>14</v>
      </c>
      <c r="C341" s="23">
        <v>1</v>
      </c>
      <c r="D341" s="23">
        <v>0.4</v>
      </c>
      <c r="G341" s="35"/>
    </row>
    <row r="342" spans="1:7" ht="15.75" customHeight="1" x14ac:dyDescent="0.3">
      <c r="A342" s="36">
        <v>90501</v>
      </c>
      <c r="B342" s="17" t="s">
        <v>26</v>
      </c>
      <c r="C342" s="23">
        <v>2</v>
      </c>
      <c r="D342" s="23">
        <v>0.2</v>
      </c>
      <c r="G342" s="35"/>
    </row>
    <row r="343" spans="1:7" ht="15.75" customHeight="1" x14ac:dyDescent="0.3">
      <c r="A343" s="36">
        <v>90502</v>
      </c>
      <c r="B343" s="17" t="s">
        <v>443</v>
      </c>
      <c r="C343" s="23">
        <v>2</v>
      </c>
      <c r="D343" s="23">
        <v>0.6</v>
      </c>
      <c r="G343" s="35"/>
    </row>
    <row r="344" spans="1:7" ht="15.75" customHeight="1" x14ac:dyDescent="0.3">
      <c r="A344" s="36">
        <v>90503</v>
      </c>
      <c r="B344" s="17" t="s">
        <v>24</v>
      </c>
      <c r="C344" s="23">
        <v>0</v>
      </c>
      <c r="D344" s="23">
        <v>0.8</v>
      </c>
      <c r="G344" s="35"/>
    </row>
    <row r="345" spans="1:7" ht="15.75" customHeight="1" x14ac:dyDescent="0.3">
      <c r="B345" s="19"/>
      <c r="C345" s="71"/>
      <c r="D345" s="71"/>
    </row>
    <row r="346" spans="1:7" ht="15.75" customHeight="1" x14ac:dyDescent="0.3">
      <c r="B346" s="19"/>
      <c r="C346" s="8"/>
      <c r="D346" s="7"/>
    </row>
    <row r="347" spans="1:7" ht="15.75" customHeight="1" x14ac:dyDescent="0.3">
      <c r="B347" s="19"/>
      <c r="C347" s="8"/>
      <c r="D347" s="7"/>
    </row>
    <row r="348" spans="1:7" ht="15.75" customHeight="1" x14ac:dyDescent="0.3">
      <c r="B348" s="19"/>
      <c r="C348" s="8"/>
    </row>
    <row r="349" spans="1:7" ht="15.75" customHeight="1" x14ac:dyDescent="0.3">
      <c r="B349" s="19"/>
      <c r="C349" s="8"/>
    </row>
    <row r="350" spans="1:7" ht="15.75" customHeight="1" x14ac:dyDescent="0.3">
      <c r="B350" s="19"/>
      <c r="C350" s="8"/>
      <c r="D350" s="8"/>
    </row>
    <row r="351" spans="1:7" ht="15.75" customHeight="1" x14ac:dyDescent="0.3">
      <c r="B351" s="19"/>
      <c r="C351" s="8"/>
      <c r="D351" s="8"/>
    </row>
    <row r="352" spans="1:7" ht="15.75" customHeight="1" x14ac:dyDescent="0.3">
      <c r="B352" s="19"/>
      <c r="C352" s="8"/>
      <c r="D352" s="8"/>
    </row>
    <row r="353" spans="2:4" ht="15.75" customHeight="1" x14ac:dyDescent="0.3">
      <c r="B353" s="22"/>
      <c r="C353" s="8"/>
      <c r="D353" s="8"/>
    </row>
    <row r="354" spans="2:4" ht="15.75" customHeight="1" x14ac:dyDescent="0.3">
      <c r="B354" s="22"/>
      <c r="D354" s="6"/>
    </row>
    <row r="355" spans="2:4" ht="15.75" customHeight="1" x14ac:dyDescent="0.3">
      <c r="B355" s="22"/>
    </row>
    <row r="356" spans="2:4" ht="15.75" customHeight="1" x14ac:dyDescent="0.3">
      <c r="B356" s="22"/>
    </row>
    <row r="357" spans="2:4" ht="15.75" customHeight="1" x14ac:dyDescent="0.3">
      <c r="B357" s="22"/>
    </row>
    <row r="358" spans="2:4" ht="15.75" customHeight="1" x14ac:dyDescent="0.3">
      <c r="B358" s="22"/>
    </row>
    <row r="359" spans="2:4" ht="15.75" customHeight="1" x14ac:dyDescent="0.3">
      <c r="B359" s="22"/>
    </row>
    <row r="360" spans="2:4" ht="15.75" customHeight="1" x14ac:dyDescent="0.3">
      <c r="B360" s="22"/>
    </row>
    <row r="361" spans="2:4" ht="15.75" customHeight="1" x14ac:dyDescent="0.3">
      <c r="B361" s="22"/>
    </row>
    <row r="362" spans="2:4" ht="15.75" customHeight="1" x14ac:dyDescent="0.3">
      <c r="B362" s="22"/>
    </row>
    <row r="363" spans="2:4" ht="15.75" customHeight="1" x14ac:dyDescent="0.3">
      <c r="B363" s="22"/>
    </row>
    <row r="364" spans="2:4" ht="15.75" customHeight="1" x14ac:dyDescent="0.3">
      <c r="B364" s="22"/>
    </row>
    <row r="365" spans="2:4" ht="15.75" customHeight="1" x14ac:dyDescent="0.3">
      <c r="B365" s="22"/>
    </row>
    <row r="366" spans="2:4" ht="15.75" customHeight="1" x14ac:dyDescent="0.3">
      <c r="B366" s="22"/>
    </row>
    <row r="367" spans="2:4" ht="15.75" customHeight="1" x14ac:dyDescent="0.3">
      <c r="B367" s="22"/>
    </row>
    <row r="368" spans="2:4" ht="15.75" customHeight="1" x14ac:dyDescent="0.3">
      <c r="B368" s="22"/>
    </row>
    <row r="369" spans="2:2" ht="15.75" customHeight="1" x14ac:dyDescent="0.3">
      <c r="B369" s="22"/>
    </row>
    <row r="370" spans="2:2" ht="15.75" customHeight="1" x14ac:dyDescent="0.3">
      <c r="B370" s="22"/>
    </row>
    <row r="371" spans="2:2" ht="15.75" customHeight="1" x14ac:dyDescent="0.3">
      <c r="B371" s="22"/>
    </row>
    <row r="372" spans="2:2" ht="15.75" customHeight="1" x14ac:dyDescent="0.3">
      <c r="B372" s="22"/>
    </row>
    <row r="373" spans="2:2" ht="15.75" customHeight="1" x14ac:dyDescent="0.3">
      <c r="B373" s="22"/>
    </row>
    <row r="374" spans="2:2" ht="15.75" customHeight="1" x14ac:dyDescent="0.3">
      <c r="B374" s="22"/>
    </row>
    <row r="375" spans="2:2" ht="15.75" customHeight="1" x14ac:dyDescent="0.3">
      <c r="B375" s="22"/>
    </row>
    <row r="376" spans="2:2" ht="15.75" customHeight="1" x14ac:dyDescent="0.3">
      <c r="B376" s="22"/>
    </row>
    <row r="377" spans="2:2" ht="15.75" customHeight="1" x14ac:dyDescent="0.3">
      <c r="B377" s="22"/>
    </row>
    <row r="378" spans="2:2" ht="15.75" customHeight="1" x14ac:dyDescent="0.3">
      <c r="B378" s="22"/>
    </row>
    <row r="379" spans="2:2" ht="15.75" customHeight="1" x14ac:dyDescent="0.3">
      <c r="B379" s="22"/>
    </row>
    <row r="380" spans="2:2" ht="15.75" customHeight="1" x14ac:dyDescent="0.3">
      <c r="B380" s="22"/>
    </row>
    <row r="381" spans="2:2" ht="15.75" customHeight="1" x14ac:dyDescent="0.3">
      <c r="B381" s="22"/>
    </row>
    <row r="382" spans="2:2" ht="15.75" customHeight="1" x14ac:dyDescent="0.3">
      <c r="B382" s="22"/>
    </row>
    <row r="383" spans="2:2" ht="15.75" customHeight="1" x14ac:dyDescent="0.3">
      <c r="B383" s="22"/>
    </row>
    <row r="384" spans="2:2" ht="15.75" customHeight="1" x14ac:dyDescent="0.3">
      <c r="B384" s="22"/>
    </row>
    <row r="385" spans="2:2" ht="15.75" customHeight="1" x14ac:dyDescent="0.3">
      <c r="B385" s="22"/>
    </row>
    <row r="386" spans="2:2" ht="15.75" customHeight="1" x14ac:dyDescent="0.3">
      <c r="B386" s="22"/>
    </row>
    <row r="387" spans="2:2" ht="15.75" customHeight="1" x14ac:dyDescent="0.3">
      <c r="B387" s="22"/>
    </row>
    <row r="388" spans="2:2" ht="15.75" customHeight="1" x14ac:dyDescent="0.3">
      <c r="B388" s="22"/>
    </row>
    <row r="389" spans="2:2" ht="15.75" customHeight="1" x14ac:dyDescent="0.3">
      <c r="B389" s="22"/>
    </row>
    <row r="390" spans="2:2" ht="15.75" customHeight="1" x14ac:dyDescent="0.3">
      <c r="B390" s="22"/>
    </row>
    <row r="391" spans="2:2" ht="15.75" customHeight="1" x14ac:dyDescent="0.3">
      <c r="B391" s="22"/>
    </row>
    <row r="392" spans="2:2" ht="15.75" customHeight="1" x14ac:dyDescent="0.3">
      <c r="B392" s="22"/>
    </row>
    <row r="393" spans="2:2" ht="15.75" customHeight="1" x14ac:dyDescent="0.3">
      <c r="B393" s="22"/>
    </row>
    <row r="394" spans="2:2" ht="15.75" customHeight="1" x14ac:dyDescent="0.3">
      <c r="B394" s="22"/>
    </row>
    <row r="395" spans="2:2" ht="15.75" customHeight="1" x14ac:dyDescent="0.3">
      <c r="B395" s="22"/>
    </row>
    <row r="396" spans="2:2" ht="15.75" customHeight="1" x14ac:dyDescent="0.3">
      <c r="B396" s="22"/>
    </row>
    <row r="397" spans="2:2" ht="15.75" customHeight="1" x14ac:dyDescent="0.3">
      <c r="B397" s="22"/>
    </row>
    <row r="398" spans="2:2" ht="15.75" customHeight="1" x14ac:dyDescent="0.3">
      <c r="B398" s="22"/>
    </row>
    <row r="399" spans="2:2" ht="15.75" customHeight="1" x14ac:dyDescent="0.3">
      <c r="B399" s="22"/>
    </row>
    <row r="400" spans="2:2" ht="15.75" customHeight="1" x14ac:dyDescent="0.3">
      <c r="B400" s="22"/>
    </row>
    <row r="401" spans="2:2" ht="15.75" customHeight="1" x14ac:dyDescent="0.3">
      <c r="B401" s="22"/>
    </row>
    <row r="402" spans="2:2" ht="15.75" customHeight="1" x14ac:dyDescent="0.3">
      <c r="B402" s="22"/>
    </row>
    <row r="403" spans="2:2" ht="15.75" customHeight="1" x14ac:dyDescent="0.3">
      <c r="B403" s="22"/>
    </row>
    <row r="404" spans="2:2" ht="15.75" customHeight="1" x14ac:dyDescent="0.3">
      <c r="B404" s="22"/>
    </row>
    <row r="405" spans="2:2" ht="15.75" customHeight="1" x14ac:dyDescent="0.3">
      <c r="B405" s="22"/>
    </row>
    <row r="406" spans="2:2" ht="15.75" customHeight="1" x14ac:dyDescent="0.3">
      <c r="B406" s="22"/>
    </row>
    <row r="407" spans="2:2" ht="15.75" customHeight="1" x14ac:dyDescent="0.3">
      <c r="B407" s="22"/>
    </row>
    <row r="408" spans="2:2" ht="15.75" customHeight="1" x14ac:dyDescent="0.3">
      <c r="B408" s="22"/>
    </row>
    <row r="409" spans="2:2" ht="15.75" customHeight="1" x14ac:dyDescent="0.3">
      <c r="B409" s="22"/>
    </row>
    <row r="410" spans="2:2" ht="15.75" customHeight="1" x14ac:dyDescent="0.3">
      <c r="B410" s="22"/>
    </row>
    <row r="411" spans="2:2" ht="15.75" customHeight="1" x14ac:dyDescent="0.3">
      <c r="B411" s="22"/>
    </row>
    <row r="412" spans="2:2" ht="15.75" customHeight="1" x14ac:dyDescent="0.3">
      <c r="B412" s="22"/>
    </row>
    <row r="413" spans="2:2" ht="15.75" customHeight="1" x14ac:dyDescent="0.3">
      <c r="B413" s="22"/>
    </row>
    <row r="414" spans="2:2" ht="15.75" customHeight="1" x14ac:dyDescent="0.3">
      <c r="B414" s="22"/>
    </row>
    <row r="415" spans="2:2" ht="15.75" customHeight="1" x14ac:dyDescent="0.3">
      <c r="B415" s="22"/>
    </row>
    <row r="416" spans="2:2" ht="15.75" customHeight="1" x14ac:dyDescent="0.3">
      <c r="B416" s="22"/>
    </row>
    <row r="417" spans="2:2" ht="15.75" customHeight="1" x14ac:dyDescent="0.3">
      <c r="B417" s="22"/>
    </row>
    <row r="418" spans="2:2" ht="15.75" customHeight="1" x14ac:dyDescent="0.3">
      <c r="B418" s="22"/>
    </row>
    <row r="419" spans="2:2" ht="15.75" customHeight="1" x14ac:dyDescent="0.3">
      <c r="B419" s="22"/>
    </row>
    <row r="420" spans="2:2" ht="15.75" customHeight="1" x14ac:dyDescent="0.3">
      <c r="B420" s="22"/>
    </row>
    <row r="421" spans="2:2" ht="15.75" customHeight="1" x14ac:dyDescent="0.3">
      <c r="B421" s="22"/>
    </row>
    <row r="422" spans="2:2" ht="15.75" customHeight="1" x14ac:dyDescent="0.3">
      <c r="B422" s="22"/>
    </row>
    <row r="423" spans="2:2" ht="15.75" customHeight="1" x14ac:dyDescent="0.3">
      <c r="B423" s="22"/>
    </row>
    <row r="424" spans="2:2" ht="15.75" customHeight="1" x14ac:dyDescent="0.3">
      <c r="B424" s="22"/>
    </row>
    <row r="425" spans="2:2" ht="15.75" customHeight="1" x14ac:dyDescent="0.3">
      <c r="B425" s="22"/>
    </row>
    <row r="426" spans="2:2" ht="15.75" customHeight="1" x14ac:dyDescent="0.3">
      <c r="B426" s="22"/>
    </row>
    <row r="427" spans="2:2" ht="15.75" customHeight="1" x14ac:dyDescent="0.3">
      <c r="B427" s="22"/>
    </row>
    <row r="428" spans="2:2" ht="15.75" customHeight="1" x14ac:dyDescent="0.3">
      <c r="B428" s="22"/>
    </row>
    <row r="429" spans="2:2" ht="15.75" customHeight="1" x14ac:dyDescent="0.3">
      <c r="B429" s="22"/>
    </row>
    <row r="430" spans="2:2" ht="15.75" customHeight="1" x14ac:dyDescent="0.3">
      <c r="B430" s="22"/>
    </row>
    <row r="431" spans="2:2" ht="15.75" customHeight="1" x14ac:dyDescent="0.3">
      <c r="B431" s="22"/>
    </row>
    <row r="432" spans="2:2" ht="15.75" customHeight="1" x14ac:dyDescent="0.3">
      <c r="B432" s="22"/>
    </row>
    <row r="433" spans="2:2" ht="15.75" customHeight="1" x14ac:dyDescent="0.3">
      <c r="B433" s="22"/>
    </row>
    <row r="434" spans="2:2" ht="15.75" customHeight="1" x14ac:dyDescent="0.3">
      <c r="B434" s="22"/>
    </row>
    <row r="435" spans="2:2" ht="15.75" customHeight="1" x14ac:dyDescent="0.3">
      <c r="B435" s="22"/>
    </row>
    <row r="436" spans="2:2" ht="15.75" customHeight="1" x14ac:dyDescent="0.3">
      <c r="B436" s="22"/>
    </row>
    <row r="437" spans="2:2" ht="15.75" customHeight="1" x14ac:dyDescent="0.3">
      <c r="B437" s="22"/>
    </row>
    <row r="438" spans="2:2" ht="15.75" customHeight="1" x14ac:dyDescent="0.3">
      <c r="B438" s="22"/>
    </row>
    <row r="439" spans="2:2" ht="15.75" customHeight="1" x14ac:dyDescent="0.3">
      <c r="B439" s="22"/>
    </row>
    <row r="440" spans="2:2" ht="15.75" customHeight="1" x14ac:dyDescent="0.3">
      <c r="B440" s="22"/>
    </row>
    <row r="441" spans="2:2" ht="15.75" customHeight="1" x14ac:dyDescent="0.3">
      <c r="B441" s="22"/>
    </row>
    <row r="442" spans="2:2" ht="15.75" customHeight="1" x14ac:dyDescent="0.3">
      <c r="B442" s="22"/>
    </row>
    <row r="443" spans="2:2" ht="15.75" customHeight="1" x14ac:dyDescent="0.3">
      <c r="B443" s="22"/>
    </row>
    <row r="444" spans="2:2" ht="15.75" customHeight="1" x14ac:dyDescent="0.3">
      <c r="B444" s="22"/>
    </row>
    <row r="445" spans="2:2" ht="15.75" customHeight="1" x14ac:dyDescent="0.3">
      <c r="B445" s="22"/>
    </row>
    <row r="446" spans="2:2" ht="15.75" customHeight="1" x14ac:dyDescent="0.3">
      <c r="B446" s="22"/>
    </row>
    <row r="447" spans="2:2" ht="15.75" customHeight="1" x14ac:dyDescent="0.3">
      <c r="B447" s="22"/>
    </row>
    <row r="448" spans="2:2" ht="15.75" customHeight="1" x14ac:dyDescent="0.3">
      <c r="B448" s="22"/>
    </row>
    <row r="449" spans="2:2" ht="15.75" customHeight="1" x14ac:dyDescent="0.3">
      <c r="B449" s="22"/>
    </row>
    <row r="450" spans="2:2" ht="15.75" customHeight="1" x14ac:dyDescent="0.3">
      <c r="B450" s="22"/>
    </row>
    <row r="451" spans="2:2" ht="15.75" customHeight="1" x14ac:dyDescent="0.3">
      <c r="B451" s="22"/>
    </row>
    <row r="452" spans="2:2" ht="15.75" customHeight="1" x14ac:dyDescent="0.3">
      <c r="B452" s="22"/>
    </row>
    <row r="453" spans="2:2" ht="15.75" customHeight="1" x14ac:dyDescent="0.3">
      <c r="B453" s="22"/>
    </row>
    <row r="454" spans="2:2" ht="15.75" customHeight="1" x14ac:dyDescent="0.3">
      <c r="B454" s="22"/>
    </row>
    <row r="455" spans="2:2" ht="15.75" customHeight="1" x14ac:dyDescent="0.3">
      <c r="B455" s="22"/>
    </row>
    <row r="456" spans="2:2" ht="15.75" customHeight="1" x14ac:dyDescent="0.3">
      <c r="B456" s="22"/>
    </row>
    <row r="457" spans="2:2" ht="15.75" customHeight="1" x14ac:dyDescent="0.3">
      <c r="B457" s="22"/>
    </row>
    <row r="458" spans="2:2" ht="15.75" customHeight="1" x14ac:dyDescent="0.3">
      <c r="B458" s="22"/>
    </row>
    <row r="459" spans="2:2" ht="15.75" customHeight="1" x14ac:dyDescent="0.3">
      <c r="B459" s="22"/>
    </row>
    <row r="460" spans="2:2" ht="15.75" customHeight="1" x14ac:dyDescent="0.3">
      <c r="B460" s="22"/>
    </row>
    <row r="461" spans="2:2" ht="15.75" customHeight="1" x14ac:dyDescent="0.3">
      <c r="B461" s="22"/>
    </row>
    <row r="462" spans="2:2" ht="15.75" customHeight="1" x14ac:dyDescent="0.3">
      <c r="B462" s="22"/>
    </row>
    <row r="463" spans="2:2" ht="15.75" customHeight="1" x14ac:dyDescent="0.3">
      <c r="B463" s="22"/>
    </row>
    <row r="464" spans="2:2" ht="15.75" customHeight="1" x14ac:dyDescent="0.3">
      <c r="B464" s="22"/>
    </row>
    <row r="465" spans="2:2" ht="15.75" customHeight="1" x14ac:dyDescent="0.3">
      <c r="B465" s="22"/>
    </row>
    <row r="466" spans="2:2" ht="15.75" customHeight="1" x14ac:dyDescent="0.3">
      <c r="B466" s="22"/>
    </row>
    <row r="467" spans="2:2" ht="15.75" customHeight="1" x14ac:dyDescent="0.3">
      <c r="B467" s="22"/>
    </row>
    <row r="468" spans="2:2" ht="15.75" customHeight="1" x14ac:dyDescent="0.3">
      <c r="B468" s="22"/>
    </row>
    <row r="469" spans="2:2" ht="15.75" customHeight="1" x14ac:dyDescent="0.3">
      <c r="B469" s="22"/>
    </row>
    <row r="470" spans="2:2" ht="15.75" customHeight="1" x14ac:dyDescent="0.3">
      <c r="B470" s="22"/>
    </row>
    <row r="471" spans="2:2" ht="15.75" customHeight="1" x14ac:dyDescent="0.3">
      <c r="B471" s="22"/>
    </row>
    <row r="472" spans="2:2" ht="15.75" customHeight="1" x14ac:dyDescent="0.3">
      <c r="B472" s="22"/>
    </row>
    <row r="473" spans="2:2" ht="15.75" customHeight="1" x14ac:dyDescent="0.3">
      <c r="B473" s="22"/>
    </row>
    <row r="474" spans="2:2" ht="15.75" customHeight="1" x14ac:dyDescent="0.3">
      <c r="B474" s="22"/>
    </row>
    <row r="475" spans="2:2" ht="15.75" customHeight="1" x14ac:dyDescent="0.3">
      <c r="B475" s="22"/>
    </row>
    <row r="476" spans="2:2" ht="15.75" customHeight="1" x14ac:dyDescent="0.3">
      <c r="B476" s="22"/>
    </row>
    <row r="477" spans="2:2" ht="15.75" customHeight="1" x14ac:dyDescent="0.3">
      <c r="B477" s="22"/>
    </row>
    <row r="478" spans="2:2" ht="15.75" customHeight="1" x14ac:dyDescent="0.3">
      <c r="B478" s="22"/>
    </row>
    <row r="479" spans="2:2" ht="15.75" customHeight="1" x14ac:dyDescent="0.3">
      <c r="B479" s="22"/>
    </row>
    <row r="480" spans="2:2" ht="15.75" customHeight="1" x14ac:dyDescent="0.3">
      <c r="B480" s="22"/>
    </row>
    <row r="481" spans="2:2" ht="15.75" customHeight="1" x14ac:dyDescent="0.3">
      <c r="B481" s="22"/>
    </row>
    <row r="482" spans="2:2" ht="15.75" customHeight="1" x14ac:dyDescent="0.3">
      <c r="B482" s="22"/>
    </row>
    <row r="483" spans="2:2" ht="15.75" customHeight="1" x14ac:dyDescent="0.3">
      <c r="B483" s="22"/>
    </row>
    <row r="484" spans="2:2" ht="15.75" customHeight="1" x14ac:dyDescent="0.3">
      <c r="B484" s="22"/>
    </row>
    <row r="485" spans="2:2" ht="15.75" customHeight="1" x14ac:dyDescent="0.3">
      <c r="B485" s="22"/>
    </row>
    <row r="486" spans="2:2" ht="15.75" customHeight="1" x14ac:dyDescent="0.3">
      <c r="B486" s="22"/>
    </row>
    <row r="487" spans="2:2" ht="15.75" customHeight="1" x14ac:dyDescent="0.3">
      <c r="B487" s="22"/>
    </row>
    <row r="488" spans="2:2" ht="15.75" customHeight="1" x14ac:dyDescent="0.3">
      <c r="B488" s="22"/>
    </row>
    <row r="489" spans="2:2" ht="15.75" customHeight="1" x14ac:dyDescent="0.3">
      <c r="B489" s="22"/>
    </row>
    <row r="490" spans="2:2" ht="15.75" customHeight="1" x14ac:dyDescent="0.3">
      <c r="B490" s="22"/>
    </row>
    <row r="491" spans="2:2" ht="15.75" customHeight="1" x14ac:dyDescent="0.3">
      <c r="B491" s="22"/>
    </row>
    <row r="492" spans="2:2" ht="15.75" customHeight="1" x14ac:dyDescent="0.3">
      <c r="B492" s="22"/>
    </row>
    <row r="493" spans="2:2" ht="15.75" customHeight="1" x14ac:dyDescent="0.3">
      <c r="B493" s="22"/>
    </row>
    <row r="494" spans="2:2" ht="15.75" customHeight="1" x14ac:dyDescent="0.3">
      <c r="B494" s="22"/>
    </row>
    <row r="495" spans="2:2" ht="15.75" customHeight="1" x14ac:dyDescent="0.3">
      <c r="B495" s="22"/>
    </row>
    <row r="496" spans="2:2" ht="15.75" customHeight="1" x14ac:dyDescent="0.3">
      <c r="B496" s="22"/>
    </row>
    <row r="497" spans="2:2" ht="15.75" customHeight="1" x14ac:dyDescent="0.3">
      <c r="B497" s="22"/>
    </row>
    <row r="498" spans="2:2" ht="15.75" customHeight="1" x14ac:dyDescent="0.3">
      <c r="B498" s="22"/>
    </row>
    <row r="499" spans="2:2" ht="15.75" customHeight="1" x14ac:dyDescent="0.3">
      <c r="B499" s="22"/>
    </row>
    <row r="500" spans="2:2" ht="15.75" customHeight="1" x14ac:dyDescent="0.3">
      <c r="B500" s="22"/>
    </row>
    <row r="501" spans="2:2" ht="15.75" customHeight="1" x14ac:dyDescent="0.3">
      <c r="B501" s="22"/>
    </row>
    <row r="502" spans="2:2" ht="15.75" customHeight="1" x14ac:dyDescent="0.3">
      <c r="B502" s="22"/>
    </row>
    <row r="503" spans="2:2" ht="15.75" customHeight="1" x14ac:dyDescent="0.3">
      <c r="B503" s="22"/>
    </row>
    <row r="504" spans="2:2" ht="15.75" customHeight="1" x14ac:dyDescent="0.3">
      <c r="B504" s="22"/>
    </row>
    <row r="505" spans="2:2" ht="15.75" customHeight="1" x14ac:dyDescent="0.3">
      <c r="B505" s="22"/>
    </row>
    <row r="506" spans="2:2" ht="15.75" customHeight="1" x14ac:dyDescent="0.3">
      <c r="B506" s="22"/>
    </row>
    <row r="507" spans="2:2" ht="15.75" customHeight="1" x14ac:dyDescent="0.3">
      <c r="B507" s="22"/>
    </row>
    <row r="508" spans="2:2" ht="15.75" customHeight="1" x14ac:dyDescent="0.3">
      <c r="B508" s="22"/>
    </row>
    <row r="509" spans="2:2" ht="15.75" customHeight="1" x14ac:dyDescent="0.3">
      <c r="B509" s="22"/>
    </row>
    <row r="510" spans="2:2" ht="15.75" customHeight="1" x14ac:dyDescent="0.3">
      <c r="B510" s="22"/>
    </row>
    <row r="511" spans="2:2" ht="15.75" customHeight="1" x14ac:dyDescent="0.3">
      <c r="B511" s="22"/>
    </row>
    <row r="512" spans="2:2" ht="15.75" customHeight="1" x14ac:dyDescent="0.3">
      <c r="B512" s="22"/>
    </row>
    <row r="513" spans="2:2" ht="15.75" customHeight="1" x14ac:dyDescent="0.3">
      <c r="B513" s="22"/>
    </row>
    <row r="514" spans="2:2" ht="15.75" customHeight="1" x14ac:dyDescent="0.3">
      <c r="B514" s="22"/>
    </row>
    <row r="515" spans="2:2" ht="15.75" customHeight="1" x14ac:dyDescent="0.3">
      <c r="B515" s="22"/>
    </row>
    <row r="516" spans="2:2" ht="15.75" customHeight="1" x14ac:dyDescent="0.3">
      <c r="B516" s="22"/>
    </row>
    <row r="517" spans="2:2" ht="15.75" customHeight="1" x14ac:dyDescent="0.3">
      <c r="B517" s="22"/>
    </row>
    <row r="518" spans="2:2" ht="15.75" customHeight="1" x14ac:dyDescent="0.3">
      <c r="B518" s="22"/>
    </row>
    <row r="519" spans="2:2" ht="15.75" customHeight="1" x14ac:dyDescent="0.3">
      <c r="B519" s="22"/>
    </row>
    <row r="520" spans="2:2" ht="15.75" customHeight="1" x14ac:dyDescent="0.3">
      <c r="B520" s="22"/>
    </row>
    <row r="521" spans="2:2" ht="15.75" customHeight="1" x14ac:dyDescent="0.3">
      <c r="B521" s="22"/>
    </row>
    <row r="522" spans="2:2" ht="15.75" customHeight="1" x14ac:dyDescent="0.3">
      <c r="B522" s="22"/>
    </row>
    <row r="523" spans="2:2" ht="15.75" customHeight="1" x14ac:dyDescent="0.3">
      <c r="B523" s="22"/>
    </row>
    <row r="524" spans="2:2" ht="15.75" customHeight="1" x14ac:dyDescent="0.3">
      <c r="B524" s="22"/>
    </row>
    <row r="525" spans="2:2" ht="15.75" customHeight="1" x14ac:dyDescent="0.3">
      <c r="B525" s="22"/>
    </row>
    <row r="526" spans="2:2" ht="15.75" customHeight="1" x14ac:dyDescent="0.3">
      <c r="B526" s="22"/>
    </row>
    <row r="527" spans="2:2" ht="15.75" customHeight="1" x14ac:dyDescent="0.3">
      <c r="B527" s="22"/>
    </row>
    <row r="528" spans="2:2" ht="15.75" customHeight="1" x14ac:dyDescent="0.3">
      <c r="B528" s="22"/>
    </row>
    <row r="529" spans="2:2" ht="15.75" customHeight="1" x14ac:dyDescent="0.3">
      <c r="B529" s="22"/>
    </row>
    <row r="530" spans="2:2" ht="15.75" customHeight="1" x14ac:dyDescent="0.3">
      <c r="B530" s="22"/>
    </row>
    <row r="531" spans="2:2" ht="15.75" customHeight="1" x14ac:dyDescent="0.3">
      <c r="B531" s="22"/>
    </row>
    <row r="532" spans="2:2" ht="15.75" customHeight="1" x14ac:dyDescent="0.3">
      <c r="B532" s="22"/>
    </row>
    <row r="533" spans="2:2" ht="15.75" customHeight="1" x14ac:dyDescent="0.3">
      <c r="B533" s="22"/>
    </row>
    <row r="534" spans="2:2" ht="15.75" customHeight="1" x14ac:dyDescent="0.3">
      <c r="B534" s="22"/>
    </row>
    <row r="535" spans="2:2" ht="15.75" customHeight="1" x14ac:dyDescent="0.3">
      <c r="B535" s="22"/>
    </row>
    <row r="536" spans="2:2" ht="15.75" customHeight="1" x14ac:dyDescent="0.3">
      <c r="B536" s="22"/>
    </row>
    <row r="537" spans="2:2" ht="15.75" customHeight="1" x14ac:dyDescent="0.3">
      <c r="B537" s="22"/>
    </row>
    <row r="538" spans="2:2" ht="15.75" customHeight="1" x14ac:dyDescent="0.3">
      <c r="B538" s="22"/>
    </row>
    <row r="539" spans="2:2" ht="15.75" customHeight="1" x14ac:dyDescent="0.3">
      <c r="B539" s="22"/>
    </row>
    <row r="540" spans="2:2" ht="15.75" customHeight="1" x14ac:dyDescent="0.3">
      <c r="B540" s="22"/>
    </row>
    <row r="541" spans="2:2" ht="15.75" customHeight="1" x14ac:dyDescent="0.3">
      <c r="B541" s="22"/>
    </row>
    <row r="542" spans="2:2" ht="15.75" customHeight="1" x14ac:dyDescent="0.3">
      <c r="B542" s="22"/>
    </row>
    <row r="543" spans="2:2" ht="15.75" customHeight="1" x14ac:dyDescent="0.3">
      <c r="B543" s="22"/>
    </row>
    <row r="544" spans="2:2" ht="15.75" customHeight="1" x14ac:dyDescent="0.3">
      <c r="B544" s="22"/>
    </row>
    <row r="545" spans="2:2" ht="15.75" customHeight="1" x14ac:dyDescent="0.3">
      <c r="B545" s="22"/>
    </row>
    <row r="546" spans="2:2" ht="15.75" customHeight="1" x14ac:dyDescent="0.3">
      <c r="B546" s="22"/>
    </row>
    <row r="547" spans="2:2" ht="15.75" customHeight="1" x14ac:dyDescent="0.3">
      <c r="B547" s="22"/>
    </row>
    <row r="548" spans="2:2" ht="15.75" customHeight="1" x14ac:dyDescent="0.3">
      <c r="B548" s="22"/>
    </row>
    <row r="549" spans="2:2" ht="15.75" customHeight="1" x14ac:dyDescent="0.3">
      <c r="B549" s="22"/>
    </row>
    <row r="550" spans="2:2" ht="15.75" customHeight="1" x14ac:dyDescent="0.3">
      <c r="B550" s="22"/>
    </row>
    <row r="551" spans="2:2" ht="15.75" customHeight="1" x14ac:dyDescent="0.3">
      <c r="B551" s="22"/>
    </row>
    <row r="552" spans="2:2" ht="15.75" customHeight="1" x14ac:dyDescent="0.3">
      <c r="B552" s="22"/>
    </row>
    <row r="553" spans="2:2" ht="15.75" customHeight="1" x14ac:dyDescent="0.3">
      <c r="B553" s="22"/>
    </row>
    <row r="554" spans="2:2" ht="15.75" customHeight="1" x14ac:dyDescent="0.3">
      <c r="B554" s="22"/>
    </row>
    <row r="555" spans="2:2" ht="15.75" customHeight="1" x14ac:dyDescent="0.3">
      <c r="B555" s="22"/>
    </row>
    <row r="556" spans="2:2" ht="15.75" customHeight="1" x14ac:dyDescent="0.3">
      <c r="B556" s="22"/>
    </row>
    <row r="557" spans="2:2" ht="15.75" customHeight="1" x14ac:dyDescent="0.3">
      <c r="B557" s="22"/>
    </row>
    <row r="558" spans="2:2" ht="15.75" customHeight="1" x14ac:dyDescent="0.3">
      <c r="B558" s="22"/>
    </row>
    <row r="559" spans="2:2" ht="15.75" customHeight="1" x14ac:dyDescent="0.3">
      <c r="B559" s="22"/>
    </row>
    <row r="560" spans="2:2" ht="15.75" customHeight="1" x14ac:dyDescent="0.3">
      <c r="B560" s="22"/>
    </row>
    <row r="561" spans="2:2" ht="15.75" customHeight="1" x14ac:dyDescent="0.3">
      <c r="B561" s="22"/>
    </row>
    <row r="562" spans="2:2" ht="15.75" customHeight="1" x14ac:dyDescent="0.3">
      <c r="B562" s="22"/>
    </row>
    <row r="563" spans="2:2" ht="15.75" customHeight="1" x14ac:dyDescent="0.3">
      <c r="B563" s="22"/>
    </row>
    <row r="564" spans="2:2" ht="15.75" customHeight="1" x14ac:dyDescent="0.3">
      <c r="B564" s="22"/>
    </row>
    <row r="565" spans="2:2" ht="15.75" customHeight="1" x14ac:dyDescent="0.3">
      <c r="B565" s="22"/>
    </row>
    <row r="566" spans="2:2" ht="15.75" customHeight="1" x14ac:dyDescent="0.3">
      <c r="B566" s="22"/>
    </row>
    <row r="567" spans="2:2" ht="15.75" customHeight="1" x14ac:dyDescent="0.3">
      <c r="B567" s="22"/>
    </row>
    <row r="568" spans="2:2" ht="15.75" customHeight="1" x14ac:dyDescent="0.3">
      <c r="B568" s="22"/>
    </row>
    <row r="569" spans="2:2" ht="15.75" customHeight="1" x14ac:dyDescent="0.3">
      <c r="B569" s="22"/>
    </row>
    <row r="570" spans="2:2" ht="15.75" customHeight="1" x14ac:dyDescent="0.3">
      <c r="B570" s="22"/>
    </row>
    <row r="571" spans="2:2" ht="15.75" customHeight="1" x14ac:dyDescent="0.3">
      <c r="B571" s="22"/>
    </row>
    <row r="572" spans="2:2" ht="15.75" customHeight="1" x14ac:dyDescent="0.3">
      <c r="B572" s="22"/>
    </row>
    <row r="573" spans="2:2" ht="15.75" customHeight="1" x14ac:dyDescent="0.3">
      <c r="B573" s="22"/>
    </row>
    <row r="574" spans="2:2" ht="15.75" customHeight="1" x14ac:dyDescent="0.3">
      <c r="B574" s="22"/>
    </row>
    <row r="575" spans="2:2" ht="15.75" customHeight="1" x14ac:dyDescent="0.3">
      <c r="B575" s="22"/>
    </row>
    <row r="576" spans="2:2" ht="15.75" customHeight="1" x14ac:dyDescent="0.3">
      <c r="B576" s="22"/>
    </row>
    <row r="577" spans="2:2" ht="15.75" customHeight="1" x14ac:dyDescent="0.3">
      <c r="B577" s="22"/>
    </row>
    <row r="578" spans="2:2" ht="15.75" customHeight="1" x14ac:dyDescent="0.3">
      <c r="B578" s="22"/>
    </row>
    <row r="579" spans="2:2" ht="15.75" customHeight="1" x14ac:dyDescent="0.3">
      <c r="B579" s="22"/>
    </row>
    <row r="580" spans="2:2" ht="15.75" customHeight="1" x14ac:dyDescent="0.3">
      <c r="B580" s="22"/>
    </row>
    <row r="581" spans="2:2" ht="15.75" customHeight="1" x14ac:dyDescent="0.3">
      <c r="B581" s="22"/>
    </row>
    <row r="582" spans="2:2" ht="15.75" customHeight="1" x14ac:dyDescent="0.3">
      <c r="B582" s="22"/>
    </row>
    <row r="583" spans="2:2" ht="15.75" customHeight="1" x14ac:dyDescent="0.3">
      <c r="B583" s="22"/>
    </row>
    <row r="584" spans="2:2" ht="15.75" customHeight="1" x14ac:dyDescent="0.3">
      <c r="B584" s="22"/>
    </row>
    <row r="585" spans="2:2" ht="15.75" customHeight="1" x14ac:dyDescent="0.3">
      <c r="B585" s="22"/>
    </row>
    <row r="586" spans="2:2" ht="15.75" customHeight="1" x14ac:dyDescent="0.3">
      <c r="B586" s="22"/>
    </row>
    <row r="587" spans="2:2" ht="15.75" customHeight="1" x14ac:dyDescent="0.3">
      <c r="B587" s="22"/>
    </row>
    <row r="588" spans="2:2" ht="15.75" customHeight="1" x14ac:dyDescent="0.3">
      <c r="B588" s="22"/>
    </row>
    <row r="589" spans="2:2" ht="15.75" customHeight="1" x14ac:dyDescent="0.3">
      <c r="B589" s="22"/>
    </row>
    <row r="590" spans="2:2" ht="15.75" customHeight="1" x14ac:dyDescent="0.3">
      <c r="B590" s="22"/>
    </row>
    <row r="591" spans="2:2" ht="15.75" customHeight="1" x14ac:dyDescent="0.3">
      <c r="B591" s="22"/>
    </row>
    <row r="592" spans="2:2" ht="15.75" customHeight="1" x14ac:dyDescent="0.3">
      <c r="B592" s="22"/>
    </row>
    <row r="593" spans="2:2" ht="15.75" customHeight="1" x14ac:dyDescent="0.3">
      <c r="B593" s="22"/>
    </row>
    <row r="594" spans="2:2" ht="15.75" customHeight="1" x14ac:dyDescent="0.3">
      <c r="B594" s="22"/>
    </row>
    <row r="595" spans="2:2" ht="15.75" customHeight="1" x14ac:dyDescent="0.3">
      <c r="B595" s="22"/>
    </row>
    <row r="596" spans="2:2" ht="15.75" customHeight="1" x14ac:dyDescent="0.3">
      <c r="B596" s="22"/>
    </row>
    <row r="597" spans="2:2" ht="15.75" customHeight="1" x14ac:dyDescent="0.3">
      <c r="B597" s="22"/>
    </row>
    <row r="598" spans="2:2" ht="15.75" customHeight="1" x14ac:dyDescent="0.3">
      <c r="B598" s="22"/>
    </row>
    <row r="599" spans="2:2" ht="15.75" customHeight="1" x14ac:dyDescent="0.3">
      <c r="B599" s="22"/>
    </row>
    <row r="600" spans="2:2" ht="15.75" customHeight="1" x14ac:dyDescent="0.3">
      <c r="B600" s="22"/>
    </row>
    <row r="601" spans="2:2" ht="15.75" customHeight="1" x14ac:dyDescent="0.3">
      <c r="B601" s="22"/>
    </row>
    <row r="602" spans="2:2" ht="15.75" customHeight="1" x14ac:dyDescent="0.3">
      <c r="B602" s="22"/>
    </row>
    <row r="603" spans="2:2" ht="15.75" customHeight="1" x14ac:dyDescent="0.3">
      <c r="B603" s="22"/>
    </row>
    <row r="604" spans="2:2" ht="15.75" customHeight="1" x14ac:dyDescent="0.3">
      <c r="B604" s="22"/>
    </row>
    <row r="605" spans="2:2" ht="15.75" customHeight="1" x14ac:dyDescent="0.3">
      <c r="B605" s="22"/>
    </row>
    <row r="606" spans="2:2" ht="15.75" customHeight="1" x14ac:dyDescent="0.3">
      <c r="B606" s="22"/>
    </row>
    <row r="607" spans="2:2" ht="15.75" customHeight="1" x14ac:dyDescent="0.3">
      <c r="B607" s="22"/>
    </row>
    <row r="608" spans="2:2" ht="15.75" customHeight="1" x14ac:dyDescent="0.3">
      <c r="B608" s="22"/>
    </row>
    <row r="609" spans="2:2" ht="15.75" customHeight="1" x14ac:dyDescent="0.3">
      <c r="B609" s="22"/>
    </row>
    <row r="610" spans="2:2" ht="15.75" customHeight="1" x14ac:dyDescent="0.3">
      <c r="B610" s="22"/>
    </row>
    <row r="611" spans="2:2" ht="15.75" customHeight="1" x14ac:dyDescent="0.3">
      <c r="B611" s="22"/>
    </row>
    <row r="612" spans="2:2" ht="15.75" customHeight="1" x14ac:dyDescent="0.3">
      <c r="B612" s="22"/>
    </row>
    <row r="613" spans="2:2" ht="15.75" customHeight="1" x14ac:dyDescent="0.3">
      <c r="B613" s="22"/>
    </row>
    <row r="614" spans="2:2" ht="15.75" customHeight="1" x14ac:dyDescent="0.3">
      <c r="B614" s="22"/>
    </row>
    <row r="615" spans="2:2" ht="15.75" customHeight="1" x14ac:dyDescent="0.3">
      <c r="B615" s="22"/>
    </row>
    <row r="616" spans="2:2" ht="15.75" customHeight="1" x14ac:dyDescent="0.3">
      <c r="B616" s="22"/>
    </row>
    <row r="617" spans="2:2" ht="15.75" customHeight="1" x14ac:dyDescent="0.3">
      <c r="B617" s="22"/>
    </row>
    <row r="618" spans="2:2" ht="15.75" customHeight="1" x14ac:dyDescent="0.3">
      <c r="B618" s="22"/>
    </row>
    <row r="619" spans="2:2" ht="15.75" customHeight="1" x14ac:dyDescent="0.3">
      <c r="B619" s="22"/>
    </row>
    <row r="620" spans="2:2" ht="15.75" customHeight="1" x14ac:dyDescent="0.3">
      <c r="B620" s="22"/>
    </row>
    <row r="621" spans="2:2" ht="15.75" customHeight="1" x14ac:dyDescent="0.3">
      <c r="B621" s="22"/>
    </row>
    <row r="622" spans="2:2" ht="15.75" customHeight="1" x14ac:dyDescent="0.3">
      <c r="B622" s="22"/>
    </row>
    <row r="623" spans="2:2" ht="15.75" customHeight="1" x14ac:dyDescent="0.3">
      <c r="B623" s="22"/>
    </row>
    <row r="624" spans="2:2" ht="15.75" customHeight="1" x14ac:dyDescent="0.3">
      <c r="B624" s="22"/>
    </row>
    <row r="625" spans="2:2" ht="15.75" customHeight="1" x14ac:dyDescent="0.3">
      <c r="B625" s="22"/>
    </row>
    <row r="626" spans="2:2" ht="15.75" customHeight="1" x14ac:dyDescent="0.3">
      <c r="B626" s="22"/>
    </row>
    <row r="627" spans="2:2" ht="15.75" customHeight="1" x14ac:dyDescent="0.3">
      <c r="B627" s="22"/>
    </row>
    <row r="628" spans="2:2" ht="15.75" customHeight="1" x14ac:dyDescent="0.3">
      <c r="B628" s="22"/>
    </row>
    <row r="629" spans="2:2" ht="15.75" customHeight="1" x14ac:dyDescent="0.3">
      <c r="B629" s="22"/>
    </row>
    <row r="630" spans="2:2" ht="15.75" customHeight="1" x14ac:dyDescent="0.3">
      <c r="B630" s="22"/>
    </row>
    <row r="631" spans="2:2" ht="15.75" customHeight="1" x14ac:dyDescent="0.3">
      <c r="B631" s="22"/>
    </row>
    <row r="632" spans="2:2" ht="15.75" customHeight="1" x14ac:dyDescent="0.3">
      <c r="B632" s="22"/>
    </row>
    <row r="633" spans="2:2" ht="15.75" customHeight="1" x14ac:dyDescent="0.3">
      <c r="B633" s="22"/>
    </row>
    <row r="634" spans="2:2" ht="15.75" customHeight="1" x14ac:dyDescent="0.3">
      <c r="B634" s="22"/>
    </row>
    <row r="635" spans="2:2" ht="15.75" customHeight="1" x14ac:dyDescent="0.3">
      <c r="B635" s="22"/>
    </row>
    <row r="636" spans="2:2" ht="15.75" customHeight="1" x14ac:dyDescent="0.3">
      <c r="B636" s="22"/>
    </row>
    <row r="637" spans="2:2" ht="15.75" customHeight="1" x14ac:dyDescent="0.3">
      <c r="B637" s="22"/>
    </row>
    <row r="638" spans="2:2" ht="15.75" customHeight="1" x14ac:dyDescent="0.3">
      <c r="B638" s="22"/>
    </row>
    <row r="639" spans="2:2" ht="15.75" customHeight="1" x14ac:dyDescent="0.3">
      <c r="B639" s="22"/>
    </row>
    <row r="640" spans="2:2" ht="15.75" customHeight="1" x14ac:dyDescent="0.3">
      <c r="B640" s="22"/>
    </row>
    <row r="641" spans="2:2" ht="15.75" customHeight="1" x14ac:dyDescent="0.3">
      <c r="B641" s="22"/>
    </row>
    <row r="642" spans="2:2" ht="15.75" customHeight="1" x14ac:dyDescent="0.3">
      <c r="B642" s="22"/>
    </row>
    <row r="643" spans="2:2" ht="15.75" customHeight="1" x14ac:dyDescent="0.3">
      <c r="B643" s="22"/>
    </row>
    <row r="644" spans="2:2" ht="15.75" customHeight="1" x14ac:dyDescent="0.3">
      <c r="B644" s="22"/>
    </row>
    <row r="645" spans="2:2" ht="15.75" customHeight="1" x14ac:dyDescent="0.3">
      <c r="B645" s="22"/>
    </row>
    <row r="646" spans="2:2" ht="15.75" customHeight="1" x14ac:dyDescent="0.3">
      <c r="B646" s="22"/>
    </row>
    <row r="647" spans="2:2" ht="15.75" customHeight="1" x14ac:dyDescent="0.3">
      <c r="B647" s="22"/>
    </row>
    <row r="648" spans="2:2" ht="15.75" customHeight="1" x14ac:dyDescent="0.3">
      <c r="B648" s="22"/>
    </row>
    <row r="649" spans="2:2" ht="15.75" customHeight="1" x14ac:dyDescent="0.3">
      <c r="B649" s="22"/>
    </row>
    <row r="650" spans="2:2" ht="15.75" customHeight="1" x14ac:dyDescent="0.3">
      <c r="B650" s="22"/>
    </row>
    <row r="651" spans="2:2" ht="15.75" customHeight="1" x14ac:dyDescent="0.3">
      <c r="B651" s="22"/>
    </row>
    <row r="652" spans="2:2" ht="15.75" customHeight="1" x14ac:dyDescent="0.3">
      <c r="B652" s="22"/>
    </row>
    <row r="653" spans="2:2" ht="15.75" customHeight="1" x14ac:dyDescent="0.3">
      <c r="B653" s="22"/>
    </row>
    <row r="654" spans="2:2" ht="15.75" customHeight="1" x14ac:dyDescent="0.3">
      <c r="B654" s="22"/>
    </row>
    <row r="655" spans="2:2" ht="15.75" customHeight="1" x14ac:dyDescent="0.3">
      <c r="B655" s="22"/>
    </row>
    <row r="656" spans="2:2" ht="15.75" customHeight="1" x14ac:dyDescent="0.3">
      <c r="B656" s="22"/>
    </row>
    <row r="657" spans="2:2" ht="15.75" customHeight="1" x14ac:dyDescent="0.3">
      <c r="B657" s="22"/>
    </row>
    <row r="658" spans="2:2" ht="15.75" customHeight="1" x14ac:dyDescent="0.3">
      <c r="B658" s="22"/>
    </row>
    <row r="659" spans="2:2" ht="15.75" customHeight="1" x14ac:dyDescent="0.3">
      <c r="B659" s="22"/>
    </row>
    <row r="660" spans="2:2" ht="15.75" customHeight="1" x14ac:dyDescent="0.3">
      <c r="B660" s="22"/>
    </row>
    <row r="661" spans="2:2" ht="15.75" customHeight="1" x14ac:dyDescent="0.3">
      <c r="B661" s="22"/>
    </row>
    <row r="662" spans="2:2" ht="15.75" customHeight="1" x14ac:dyDescent="0.3">
      <c r="B662" s="22"/>
    </row>
    <row r="663" spans="2:2" ht="15.75" customHeight="1" x14ac:dyDescent="0.3">
      <c r="B663" s="22"/>
    </row>
    <row r="664" spans="2:2" ht="15.75" customHeight="1" x14ac:dyDescent="0.3">
      <c r="B664" s="22"/>
    </row>
    <row r="665" spans="2:2" ht="15.75" customHeight="1" x14ac:dyDescent="0.3">
      <c r="B665" s="22"/>
    </row>
    <row r="666" spans="2:2" ht="15.75" customHeight="1" x14ac:dyDescent="0.3">
      <c r="B666" s="22"/>
    </row>
    <row r="667" spans="2:2" ht="15.75" customHeight="1" x14ac:dyDescent="0.3">
      <c r="B667" s="22"/>
    </row>
    <row r="668" spans="2:2" ht="15.75" customHeight="1" x14ac:dyDescent="0.3">
      <c r="B668" s="22"/>
    </row>
    <row r="669" spans="2:2" ht="15.75" customHeight="1" x14ac:dyDescent="0.3">
      <c r="B669" s="22"/>
    </row>
    <row r="670" spans="2:2" ht="15.75" customHeight="1" x14ac:dyDescent="0.3">
      <c r="B670" s="22"/>
    </row>
    <row r="671" spans="2:2" ht="15.75" customHeight="1" x14ac:dyDescent="0.3">
      <c r="B671" s="22"/>
    </row>
    <row r="672" spans="2:2" ht="15.75" customHeight="1" x14ac:dyDescent="0.3">
      <c r="B672" s="22"/>
    </row>
    <row r="673" spans="2:2" ht="15.75" customHeight="1" x14ac:dyDescent="0.3">
      <c r="B673" s="22"/>
    </row>
    <row r="674" spans="2:2" ht="15.75" customHeight="1" x14ac:dyDescent="0.3">
      <c r="B674" s="22"/>
    </row>
    <row r="675" spans="2:2" ht="15.75" customHeight="1" x14ac:dyDescent="0.3">
      <c r="B675" s="22"/>
    </row>
    <row r="676" spans="2:2" ht="15.75" customHeight="1" x14ac:dyDescent="0.3">
      <c r="B676" s="22"/>
    </row>
    <row r="677" spans="2:2" ht="15.75" customHeight="1" x14ac:dyDescent="0.3">
      <c r="B677" s="22"/>
    </row>
    <row r="678" spans="2:2" ht="15.75" customHeight="1" x14ac:dyDescent="0.3">
      <c r="B678" s="22"/>
    </row>
    <row r="679" spans="2:2" ht="15.75" customHeight="1" x14ac:dyDescent="0.3">
      <c r="B679" s="22"/>
    </row>
    <row r="680" spans="2:2" ht="15.75" customHeight="1" x14ac:dyDescent="0.3">
      <c r="B680" s="22"/>
    </row>
    <row r="681" spans="2:2" ht="15.75" customHeight="1" x14ac:dyDescent="0.3">
      <c r="B681" s="22"/>
    </row>
    <row r="682" spans="2:2" ht="15.75" customHeight="1" x14ac:dyDescent="0.3">
      <c r="B682" s="22"/>
    </row>
    <row r="683" spans="2:2" ht="15.75" customHeight="1" x14ac:dyDescent="0.3">
      <c r="B683" s="22"/>
    </row>
    <row r="684" spans="2:2" ht="15.75" customHeight="1" x14ac:dyDescent="0.3">
      <c r="B684" s="22"/>
    </row>
    <row r="685" spans="2:2" ht="15.75" customHeight="1" x14ac:dyDescent="0.3">
      <c r="B685" s="22"/>
    </row>
    <row r="686" spans="2:2" ht="15.75" customHeight="1" x14ac:dyDescent="0.3">
      <c r="B686" s="22"/>
    </row>
    <row r="687" spans="2:2" ht="15.75" customHeight="1" x14ac:dyDescent="0.3">
      <c r="B687" s="22"/>
    </row>
    <row r="688" spans="2:2" ht="15.75" customHeight="1" x14ac:dyDescent="0.3">
      <c r="B688" s="22"/>
    </row>
    <row r="689" spans="2:2" ht="15.75" customHeight="1" x14ac:dyDescent="0.3">
      <c r="B689" s="22"/>
    </row>
    <row r="690" spans="2:2" ht="15.75" customHeight="1" x14ac:dyDescent="0.3">
      <c r="B690" s="22"/>
    </row>
    <row r="691" spans="2:2" ht="15.75" customHeight="1" x14ac:dyDescent="0.3">
      <c r="B691" s="22"/>
    </row>
    <row r="692" spans="2:2" ht="15.75" customHeight="1" x14ac:dyDescent="0.3">
      <c r="B692" s="22"/>
    </row>
    <row r="693" spans="2:2" ht="15.75" customHeight="1" x14ac:dyDescent="0.3">
      <c r="B693" s="22"/>
    </row>
    <row r="694" spans="2:2" ht="15.75" customHeight="1" x14ac:dyDescent="0.3">
      <c r="B694" s="22"/>
    </row>
    <row r="695" spans="2:2" ht="15.75" customHeight="1" x14ac:dyDescent="0.3">
      <c r="B695" s="22"/>
    </row>
    <row r="696" spans="2:2" ht="15.75" customHeight="1" x14ac:dyDescent="0.3">
      <c r="B696" s="22"/>
    </row>
    <row r="697" spans="2:2" ht="15.75" customHeight="1" x14ac:dyDescent="0.3">
      <c r="B697" s="22"/>
    </row>
    <row r="698" spans="2:2" ht="15.75" customHeight="1" x14ac:dyDescent="0.3">
      <c r="B698" s="22"/>
    </row>
    <row r="699" spans="2:2" ht="15.75" customHeight="1" x14ac:dyDescent="0.3">
      <c r="B699" s="22"/>
    </row>
    <row r="700" spans="2:2" ht="15.75" customHeight="1" x14ac:dyDescent="0.3">
      <c r="B700" s="22"/>
    </row>
    <row r="701" spans="2:2" ht="15.75" customHeight="1" x14ac:dyDescent="0.3">
      <c r="B701" s="22"/>
    </row>
    <row r="702" spans="2:2" ht="15.75" customHeight="1" x14ac:dyDescent="0.3">
      <c r="B702" s="22"/>
    </row>
    <row r="703" spans="2:2" ht="15.75" customHeight="1" x14ac:dyDescent="0.3">
      <c r="B703" s="22"/>
    </row>
    <row r="704" spans="2:2" ht="15.75" customHeight="1" x14ac:dyDescent="0.3">
      <c r="B704" s="22"/>
    </row>
    <row r="705" spans="2:2" ht="15.75" customHeight="1" x14ac:dyDescent="0.3">
      <c r="B705" s="22"/>
    </row>
    <row r="706" spans="2:2" ht="15.75" customHeight="1" x14ac:dyDescent="0.3">
      <c r="B706" s="22"/>
    </row>
    <row r="707" spans="2:2" ht="15.75" customHeight="1" x14ac:dyDescent="0.3">
      <c r="B707" s="22"/>
    </row>
    <row r="708" spans="2:2" ht="15.75" customHeight="1" x14ac:dyDescent="0.3">
      <c r="B708" s="22"/>
    </row>
    <row r="709" spans="2:2" ht="15.75" customHeight="1" x14ac:dyDescent="0.3">
      <c r="B709" s="22"/>
    </row>
    <row r="710" spans="2:2" ht="15.75" customHeight="1" x14ac:dyDescent="0.3">
      <c r="B710" s="22"/>
    </row>
    <row r="711" spans="2:2" ht="15.75" customHeight="1" x14ac:dyDescent="0.3">
      <c r="B711" s="22"/>
    </row>
    <row r="712" spans="2:2" ht="15.75" customHeight="1" x14ac:dyDescent="0.3">
      <c r="B712" s="22"/>
    </row>
    <row r="713" spans="2:2" ht="15.75" customHeight="1" x14ac:dyDescent="0.3">
      <c r="B713" s="22"/>
    </row>
    <row r="714" spans="2:2" ht="15.75" customHeight="1" x14ac:dyDescent="0.3">
      <c r="B714" s="22"/>
    </row>
    <row r="715" spans="2:2" ht="15.75" customHeight="1" x14ac:dyDescent="0.3">
      <c r="B715" s="22"/>
    </row>
    <row r="716" spans="2:2" ht="15.75" customHeight="1" x14ac:dyDescent="0.3">
      <c r="B716" s="22"/>
    </row>
    <row r="717" spans="2:2" ht="15.75" customHeight="1" x14ac:dyDescent="0.3">
      <c r="B717" s="22"/>
    </row>
    <row r="718" spans="2:2" ht="15.75" customHeight="1" x14ac:dyDescent="0.3">
      <c r="B718" s="22"/>
    </row>
    <row r="719" spans="2:2" ht="15.75" customHeight="1" x14ac:dyDescent="0.3">
      <c r="B719" s="22"/>
    </row>
    <row r="720" spans="2:2" ht="15.75" customHeight="1" x14ac:dyDescent="0.3">
      <c r="B720" s="22"/>
    </row>
    <row r="721" spans="2:2" ht="15.75" customHeight="1" x14ac:dyDescent="0.3">
      <c r="B721" s="22"/>
    </row>
    <row r="722" spans="2:2" ht="15.75" customHeight="1" x14ac:dyDescent="0.3">
      <c r="B722" s="22"/>
    </row>
    <row r="723" spans="2:2" ht="15.75" customHeight="1" x14ac:dyDescent="0.3">
      <c r="B723" s="22"/>
    </row>
    <row r="724" spans="2:2" ht="15.75" customHeight="1" x14ac:dyDescent="0.3">
      <c r="B724" s="22"/>
    </row>
    <row r="725" spans="2:2" ht="15.75" customHeight="1" x14ac:dyDescent="0.3">
      <c r="B725" s="22"/>
    </row>
    <row r="726" spans="2:2" ht="15.75" customHeight="1" x14ac:dyDescent="0.3">
      <c r="B726" s="22"/>
    </row>
    <row r="727" spans="2:2" ht="15.75" customHeight="1" x14ac:dyDescent="0.3">
      <c r="B727" s="22"/>
    </row>
    <row r="728" spans="2:2" ht="15.75" customHeight="1" x14ac:dyDescent="0.3">
      <c r="B728" s="22"/>
    </row>
    <row r="729" spans="2:2" ht="15.75" customHeight="1" x14ac:dyDescent="0.3">
      <c r="B729" s="22"/>
    </row>
    <row r="730" spans="2:2" ht="15.75" customHeight="1" x14ac:dyDescent="0.3">
      <c r="B730" s="22"/>
    </row>
    <row r="731" spans="2:2" ht="15.75" customHeight="1" x14ac:dyDescent="0.3">
      <c r="B731" s="22"/>
    </row>
    <row r="732" spans="2:2" ht="15.75" customHeight="1" x14ac:dyDescent="0.3">
      <c r="B732" s="22"/>
    </row>
    <row r="733" spans="2:2" ht="15.75" customHeight="1" x14ac:dyDescent="0.3">
      <c r="B733" s="22"/>
    </row>
    <row r="734" spans="2:2" ht="15.75" customHeight="1" x14ac:dyDescent="0.3">
      <c r="B734" s="22"/>
    </row>
    <row r="735" spans="2:2" ht="15.75" customHeight="1" x14ac:dyDescent="0.3">
      <c r="B735" s="22"/>
    </row>
    <row r="736" spans="2:2" ht="15.75" customHeight="1" x14ac:dyDescent="0.3">
      <c r="B736" s="22"/>
    </row>
    <row r="737" spans="2:2" ht="15.75" customHeight="1" x14ac:dyDescent="0.3">
      <c r="B737" s="22"/>
    </row>
    <row r="738" spans="2:2" ht="15.75" customHeight="1" x14ac:dyDescent="0.3">
      <c r="B738" s="22"/>
    </row>
    <row r="739" spans="2:2" ht="15.75" customHeight="1" x14ac:dyDescent="0.3">
      <c r="B739" s="22"/>
    </row>
    <row r="740" spans="2:2" ht="15.75" customHeight="1" x14ac:dyDescent="0.3">
      <c r="B740" s="22"/>
    </row>
    <row r="741" spans="2:2" ht="15.75" customHeight="1" x14ac:dyDescent="0.3">
      <c r="B741" s="22"/>
    </row>
    <row r="742" spans="2:2" ht="15.75" customHeight="1" x14ac:dyDescent="0.3">
      <c r="B742" s="22"/>
    </row>
    <row r="743" spans="2:2" ht="15.75" customHeight="1" x14ac:dyDescent="0.3">
      <c r="B743" s="22"/>
    </row>
    <row r="744" spans="2:2" ht="15.75" customHeight="1" x14ac:dyDescent="0.3">
      <c r="B744" s="22"/>
    </row>
    <row r="745" spans="2:2" ht="15.75" customHeight="1" x14ac:dyDescent="0.3">
      <c r="B745" s="22"/>
    </row>
    <row r="746" spans="2:2" ht="15.75" customHeight="1" x14ac:dyDescent="0.3">
      <c r="B746" s="22"/>
    </row>
    <row r="747" spans="2:2" ht="15.75" customHeight="1" x14ac:dyDescent="0.3">
      <c r="B747" s="22"/>
    </row>
    <row r="748" spans="2:2" ht="15.75" customHeight="1" x14ac:dyDescent="0.3">
      <c r="B748" s="22"/>
    </row>
    <row r="749" spans="2:2" ht="15.75" customHeight="1" x14ac:dyDescent="0.3">
      <c r="B749" s="22"/>
    </row>
    <row r="750" spans="2:2" ht="15.75" customHeight="1" x14ac:dyDescent="0.3">
      <c r="B750" s="22"/>
    </row>
    <row r="751" spans="2:2" ht="15.75" customHeight="1" x14ac:dyDescent="0.3">
      <c r="B751" s="22"/>
    </row>
    <row r="752" spans="2:2" ht="15.75" customHeight="1" x14ac:dyDescent="0.3">
      <c r="B752" s="22"/>
    </row>
    <row r="753" spans="2:2" ht="15.75" customHeight="1" x14ac:dyDescent="0.3">
      <c r="B753" s="22"/>
    </row>
    <row r="754" spans="2:2" ht="15.75" customHeight="1" x14ac:dyDescent="0.3">
      <c r="B754" s="22"/>
    </row>
    <row r="755" spans="2:2" ht="15.75" customHeight="1" x14ac:dyDescent="0.3">
      <c r="B755" s="22"/>
    </row>
    <row r="756" spans="2:2" ht="15.75" customHeight="1" x14ac:dyDescent="0.3">
      <c r="B756" s="22"/>
    </row>
    <row r="757" spans="2:2" ht="15.75" customHeight="1" x14ac:dyDescent="0.3">
      <c r="B757" s="22"/>
    </row>
    <row r="758" spans="2:2" ht="15.75" customHeight="1" x14ac:dyDescent="0.3">
      <c r="B758" s="22"/>
    </row>
    <row r="759" spans="2:2" ht="15.75" customHeight="1" x14ac:dyDescent="0.3">
      <c r="B759" s="22"/>
    </row>
    <row r="760" spans="2:2" ht="15.75" customHeight="1" x14ac:dyDescent="0.3">
      <c r="B760" s="22"/>
    </row>
    <row r="761" spans="2:2" ht="15.75" customHeight="1" x14ac:dyDescent="0.3">
      <c r="B761" s="22"/>
    </row>
    <row r="762" spans="2:2" ht="15.75" customHeight="1" x14ac:dyDescent="0.3">
      <c r="B762" s="22"/>
    </row>
    <row r="763" spans="2:2" ht="15.75" customHeight="1" x14ac:dyDescent="0.3">
      <c r="B763" s="22"/>
    </row>
    <row r="764" spans="2:2" ht="15.75" customHeight="1" x14ac:dyDescent="0.3">
      <c r="B764" s="22"/>
    </row>
    <row r="765" spans="2:2" ht="15.75" customHeight="1" x14ac:dyDescent="0.3">
      <c r="B765" s="22"/>
    </row>
    <row r="766" spans="2:2" ht="15.75" customHeight="1" x14ac:dyDescent="0.3">
      <c r="B766" s="22"/>
    </row>
    <row r="767" spans="2:2" ht="15.75" customHeight="1" x14ac:dyDescent="0.3">
      <c r="B767" s="22"/>
    </row>
    <row r="768" spans="2:2" ht="15.75" customHeight="1" x14ac:dyDescent="0.3">
      <c r="B768" s="22"/>
    </row>
    <row r="769" spans="2:2" ht="15.75" customHeight="1" x14ac:dyDescent="0.3">
      <c r="B769" s="22"/>
    </row>
    <row r="770" spans="2:2" ht="15.75" customHeight="1" x14ac:dyDescent="0.3">
      <c r="B770" s="22"/>
    </row>
    <row r="771" spans="2:2" ht="15.75" customHeight="1" x14ac:dyDescent="0.3">
      <c r="B771" s="22"/>
    </row>
    <row r="772" spans="2:2" ht="15.75" customHeight="1" x14ac:dyDescent="0.3">
      <c r="B772" s="22"/>
    </row>
    <row r="773" spans="2:2" ht="15.75" customHeight="1" x14ac:dyDescent="0.3">
      <c r="B773" s="22"/>
    </row>
    <row r="774" spans="2:2" ht="15.75" customHeight="1" x14ac:dyDescent="0.3">
      <c r="B774" s="22"/>
    </row>
    <row r="775" spans="2:2" ht="15.75" customHeight="1" x14ac:dyDescent="0.3">
      <c r="B775" s="22"/>
    </row>
    <row r="776" spans="2:2" ht="15.75" customHeight="1" x14ac:dyDescent="0.3">
      <c r="B776" s="22"/>
    </row>
    <row r="777" spans="2:2" ht="15.75" customHeight="1" x14ac:dyDescent="0.3">
      <c r="B777" s="22"/>
    </row>
    <row r="778" spans="2:2" ht="15.75" customHeight="1" x14ac:dyDescent="0.3">
      <c r="B778" s="22"/>
    </row>
    <row r="779" spans="2:2" ht="15.75" customHeight="1" x14ac:dyDescent="0.3">
      <c r="B779" s="22"/>
    </row>
    <row r="780" spans="2:2" ht="15.75" customHeight="1" x14ac:dyDescent="0.3">
      <c r="B780" s="22"/>
    </row>
    <row r="781" spans="2:2" ht="15.75" customHeight="1" x14ac:dyDescent="0.3">
      <c r="B781" s="22"/>
    </row>
    <row r="782" spans="2:2" ht="15.75" customHeight="1" x14ac:dyDescent="0.3">
      <c r="B782" s="22"/>
    </row>
    <row r="783" spans="2:2" ht="15.75" customHeight="1" x14ac:dyDescent="0.3">
      <c r="B783" s="22"/>
    </row>
    <row r="784" spans="2:2" ht="15.75" customHeight="1" x14ac:dyDescent="0.3">
      <c r="B784" s="22"/>
    </row>
    <row r="785" spans="2:2" ht="15.75" customHeight="1" x14ac:dyDescent="0.3">
      <c r="B785" s="22"/>
    </row>
    <row r="786" spans="2:2" ht="15.75" customHeight="1" x14ac:dyDescent="0.3">
      <c r="B786" s="22"/>
    </row>
    <row r="787" spans="2:2" ht="15.75" customHeight="1" x14ac:dyDescent="0.3">
      <c r="B787" s="22"/>
    </row>
    <row r="788" spans="2:2" ht="15.75" customHeight="1" x14ac:dyDescent="0.3">
      <c r="B788" s="22"/>
    </row>
    <row r="789" spans="2:2" ht="15.75" customHeight="1" x14ac:dyDescent="0.3">
      <c r="B789" s="22"/>
    </row>
    <row r="790" spans="2:2" ht="15.75" customHeight="1" x14ac:dyDescent="0.3">
      <c r="B790" s="22"/>
    </row>
    <row r="791" spans="2:2" ht="15.75" customHeight="1" x14ac:dyDescent="0.3">
      <c r="B791" s="22"/>
    </row>
    <row r="792" spans="2:2" ht="15.75" customHeight="1" x14ac:dyDescent="0.3">
      <c r="B792" s="22"/>
    </row>
    <row r="793" spans="2:2" ht="15.75" customHeight="1" x14ac:dyDescent="0.3">
      <c r="B793" s="22"/>
    </row>
    <row r="794" spans="2:2" ht="15.75" customHeight="1" x14ac:dyDescent="0.3">
      <c r="B794" s="22"/>
    </row>
    <row r="795" spans="2:2" ht="15.75" customHeight="1" x14ac:dyDescent="0.3">
      <c r="B795" s="22"/>
    </row>
    <row r="796" spans="2:2" ht="15.75" customHeight="1" x14ac:dyDescent="0.3">
      <c r="B796" s="22"/>
    </row>
    <row r="797" spans="2:2" ht="15.75" customHeight="1" x14ac:dyDescent="0.3">
      <c r="B797" s="22"/>
    </row>
    <row r="798" spans="2:2" ht="15.75" customHeight="1" x14ac:dyDescent="0.3">
      <c r="B798" s="22"/>
    </row>
    <row r="799" spans="2:2" ht="15.75" customHeight="1" x14ac:dyDescent="0.3">
      <c r="B799" s="22"/>
    </row>
    <row r="800" spans="2:2" ht="15.75" customHeight="1" x14ac:dyDescent="0.3">
      <c r="B800" s="22"/>
    </row>
    <row r="801" spans="2:2" ht="15.75" customHeight="1" x14ac:dyDescent="0.3">
      <c r="B801" s="22"/>
    </row>
    <row r="802" spans="2:2" ht="15.75" customHeight="1" x14ac:dyDescent="0.3">
      <c r="B802" s="22"/>
    </row>
    <row r="803" spans="2:2" ht="15.75" customHeight="1" x14ac:dyDescent="0.3">
      <c r="B803" s="22"/>
    </row>
    <row r="804" spans="2:2" ht="15.75" customHeight="1" x14ac:dyDescent="0.3">
      <c r="B804" s="22"/>
    </row>
    <row r="805" spans="2:2" ht="15.75" customHeight="1" x14ac:dyDescent="0.3">
      <c r="B805" s="22"/>
    </row>
    <row r="806" spans="2:2" ht="15.75" customHeight="1" x14ac:dyDescent="0.3">
      <c r="B806" s="22"/>
    </row>
    <row r="807" spans="2:2" ht="15.75" customHeight="1" x14ac:dyDescent="0.3">
      <c r="B807" s="22"/>
    </row>
    <row r="808" spans="2:2" ht="15.75" customHeight="1" x14ac:dyDescent="0.3">
      <c r="B808" s="22"/>
    </row>
    <row r="809" spans="2:2" ht="15.75" customHeight="1" x14ac:dyDescent="0.3">
      <c r="B809" s="22"/>
    </row>
    <row r="810" spans="2:2" ht="15.75" customHeight="1" x14ac:dyDescent="0.3">
      <c r="B810" s="22"/>
    </row>
    <row r="811" spans="2:2" ht="15.75" customHeight="1" x14ac:dyDescent="0.3">
      <c r="B811" s="22"/>
    </row>
    <row r="812" spans="2:2" ht="15.75" customHeight="1" x14ac:dyDescent="0.3">
      <c r="B812" s="22"/>
    </row>
    <row r="813" spans="2:2" ht="15.75" customHeight="1" x14ac:dyDescent="0.3">
      <c r="B813" s="22"/>
    </row>
    <row r="814" spans="2:2" ht="15.75" customHeight="1" x14ac:dyDescent="0.3">
      <c r="B814" s="22"/>
    </row>
    <row r="815" spans="2:2" ht="15.75" customHeight="1" x14ac:dyDescent="0.3">
      <c r="B815" s="22"/>
    </row>
    <row r="816" spans="2:2" ht="15.75" customHeight="1" x14ac:dyDescent="0.3">
      <c r="B816" s="22"/>
    </row>
    <row r="817" spans="2:2" ht="15.75" customHeight="1" x14ac:dyDescent="0.3">
      <c r="B817" s="22"/>
    </row>
    <row r="818" spans="2:2" ht="15.75" customHeight="1" x14ac:dyDescent="0.3">
      <c r="B818" s="22"/>
    </row>
    <row r="819" spans="2:2" ht="15.75" customHeight="1" x14ac:dyDescent="0.3">
      <c r="B819" s="22"/>
    </row>
    <row r="820" spans="2:2" ht="15.75" customHeight="1" x14ac:dyDescent="0.3">
      <c r="B820" s="22"/>
    </row>
    <row r="821" spans="2:2" ht="15.75" customHeight="1" x14ac:dyDescent="0.3">
      <c r="B821" s="22"/>
    </row>
    <row r="822" spans="2:2" ht="15.75" customHeight="1" x14ac:dyDescent="0.3">
      <c r="B822" s="22"/>
    </row>
    <row r="823" spans="2:2" ht="15.75" customHeight="1" x14ac:dyDescent="0.3">
      <c r="B823" s="22"/>
    </row>
    <row r="824" spans="2:2" ht="15.75" customHeight="1" x14ac:dyDescent="0.3">
      <c r="B824" s="22"/>
    </row>
    <row r="825" spans="2:2" ht="15.75" customHeight="1" x14ac:dyDescent="0.3">
      <c r="B825" s="22"/>
    </row>
    <row r="826" spans="2:2" ht="15.75" customHeight="1" x14ac:dyDescent="0.3">
      <c r="B826" s="22"/>
    </row>
    <row r="827" spans="2:2" ht="15.75" customHeight="1" x14ac:dyDescent="0.3">
      <c r="B827" s="22"/>
    </row>
    <row r="828" spans="2:2" ht="15.75" customHeight="1" x14ac:dyDescent="0.3">
      <c r="B828" s="22"/>
    </row>
    <row r="829" spans="2:2" ht="15.75" customHeight="1" x14ac:dyDescent="0.3">
      <c r="B829" s="22"/>
    </row>
    <row r="830" spans="2:2" ht="15.75" customHeight="1" x14ac:dyDescent="0.3">
      <c r="B830" s="22"/>
    </row>
    <row r="831" spans="2:2" ht="15.75" customHeight="1" x14ac:dyDescent="0.3">
      <c r="B831" s="22"/>
    </row>
    <row r="832" spans="2:2" ht="15.75" customHeight="1" x14ac:dyDescent="0.3">
      <c r="B832" s="22"/>
    </row>
    <row r="833" spans="2:2" ht="15.75" customHeight="1" x14ac:dyDescent="0.3">
      <c r="B833" s="22"/>
    </row>
    <row r="834" spans="2:2" ht="15.75" customHeight="1" x14ac:dyDescent="0.3">
      <c r="B834" s="22"/>
    </row>
    <row r="835" spans="2:2" ht="15.75" customHeight="1" x14ac:dyDescent="0.3">
      <c r="B835" s="22"/>
    </row>
    <row r="836" spans="2:2" ht="15.75" customHeight="1" x14ac:dyDescent="0.3">
      <c r="B836" s="22"/>
    </row>
    <row r="837" spans="2:2" ht="15.75" customHeight="1" x14ac:dyDescent="0.3">
      <c r="B837" s="22"/>
    </row>
    <row r="838" spans="2:2" ht="15.75" customHeight="1" x14ac:dyDescent="0.3">
      <c r="B838" s="22"/>
    </row>
    <row r="839" spans="2:2" ht="15.75" customHeight="1" x14ac:dyDescent="0.3">
      <c r="B839" s="22"/>
    </row>
    <row r="840" spans="2:2" ht="15.75" customHeight="1" x14ac:dyDescent="0.3">
      <c r="B840" s="22"/>
    </row>
    <row r="841" spans="2:2" ht="15.75" customHeight="1" x14ac:dyDescent="0.3">
      <c r="B841" s="22"/>
    </row>
    <row r="842" spans="2:2" ht="15.75" customHeight="1" x14ac:dyDescent="0.3">
      <c r="B842" s="22"/>
    </row>
    <row r="843" spans="2:2" ht="15.75" customHeight="1" x14ac:dyDescent="0.3">
      <c r="B843" s="22"/>
    </row>
    <row r="844" spans="2:2" ht="15.75" customHeight="1" x14ac:dyDescent="0.3">
      <c r="B844" s="22"/>
    </row>
    <row r="845" spans="2:2" ht="15.75" customHeight="1" x14ac:dyDescent="0.3">
      <c r="B845" s="22"/>
    </row>
    <row r="846" spans="2:2" ht="15.75" customHeight="1" x14ac:dyDescent="0.3">
      <c r="B846" s="22"/>
    </row>
    <row r="847" spans="2:2" ht="15.75" customHeight="1" x14ac:dyDescent="0.3">
      <c r="B847" s="22"/>
    </row>
    <row r="848" spans="2:2" ht="15.75" customHeight="1" x14ac:dyDescent="0.3">
      <c r="B848" s="22"/>
    </row>
    <row r="849" spans="2:2" ht="15.75" customHeight="1" x14ac:dyDescent="0.3">
      <c r="B849" s="22"/>
    </row>
    <row r="850" spans="2:2" ht="15.75" customHeight="1" x14ac:dyDescent="0.3">
      <c r="B850" s="22"/>
    </row>
    <row r="851" spans="2:2" ht="15.75" customHeight="1" x14ac:dyDescent="0.3">
      <c r="B851" s="22"/>
    </row>
    <row r="852" spans="2:2" ht="15.75" customHeight="1" x14ac:dyDescent="0.3">
      <c r="B852" s="22"/>
    </row>
    <row r="853" spans="2:2" ht="15.75" customHeight="1" x14ac:dyDescent="0.3">
      <c r="B853" s="22"/>
    </row>
    <row r="854" spans="2:2" ht="15.75" customHeight="1" x14ac:dyDescent="0.3">
      <c r="B854" s="22"/>
    </row>
    <row r="855" spans="2:2" ht="15.75" customHeight="1" x14ac:dyDescent="0.3">
      <c r="B855" s="22"/>
    </row>
    <row r="856" spans="2:2" ht="15.75" customHeight="1" x14ac:dyDescent="0.3">
      <c r="B856" s="22"/>
    </row>
    <row r="857" spans="2:2" ht="15.75" customHeight="1" x14ac:dyDescent="0.3">
      <c r="B857" s="22"/>
    </row>
    <row r="858" spans="2:2" ht="15.75" customHeight="1" x14ac:dyDescent="0.3">
      <c r="B858" s="22"/>
    </row>
    <row r="859" spans="2:2" ht="15.75" customHeight="1" x14ac:dyDescent="0.3">
      <c r="B859" s="22"/>
    </row>
    <row r="860" spans="2:2" ht="15.75" customHeight="1" x14ac:dyDescent="0.3">
      <c r="B860" s="22"/>
    </row>
    <row r="861" spans="2:2" ht="15.75" customHeight="1" x14ac:dyDescent="0.3">
      <c r="B861" s="22"/>
    </row>
    <row r="862" spans="2:2" ht="15.75" customHeight="1" x14ac:dyDescent="0.3">
      <c r="B862" s="22"/>
    </row>
    <row r="863" spans="2:2" ht="15.75" customHeight="1" x14ac:dyDescent="0.3">
      <c r="B863" s="22"/>
    </row>
    <row r="864" spans="2:2" ht="15.75" customHeight="1" x14ac:dyDescent="0.3">
      <c r="B864" s="22"/>
    </row>
    <row r="865" spans="2:2" ht="15.75" customHeight="1" x14ac:dyDescent="0.3">
      <c r="B865" s="22"/>
    </row>
    <row r="866" spans="2:2" ht="15.75" customHeight="1" x14ac:dyDescent="0.3">
      <c r="B866" s="22"/>
    </row>
    <row r="867" spans="2:2" ht="15.75" customHeight="1" x14ac:dyDescent="0.3">
      <c r="B867" s="22"/>
    </row>
    <row r="868" spans="2:2" ht="15.75" customHeight="1" x14ac:dyDescent="0.3">
      <c r="B868" s="22"/>
    </row>
    <row r="869" spans="2:2" ht="15.75" customHeight="1" x14ac:dyDescent="0.3">
      <c r="B869" s="22"/>
    </row>
    <row r="870" spans="2:2" ht="15.75" customHeight="1" x14ac:dyDescent="0.3">
      <c r="B870" s="22"/>
    </row>
    <row r="871" spans="2:2" ht="15.75" customHeight="1" x14ac:dyDescent="0.3">
      <c r="B871" s="22"/>
    </row>
    <row r="872" spans="2:2" ht="15.75" customHeight="1" x14ac:dyDescent="0.3">
      <c r="B872" s="22"/>
    </row>
    <row r="873" spans="2:2" ht="15.75" customHeight="1" x14ac:dyDescent="0.3">
      <c r="B873" s="22"/>
    </row>
    <row r="874" spans="2:2" ht="15.75" customHeight="1" x14ac:dyDescent="0.3">
      <c r="B874" s="22"/>
    </row>
    <row r="875" spans="2:2" ht="15.75" customHeight="1" x14ac:dyDescent="0.3">
      <c r="B875" s="22"/>
    </row>
    <row r="876" spans="2:2" ht="15.75" customHeight="1" x14ac:dyDescent="0.3">
      <c r="B876" s="22"/>
    </row>
    <row r="877" spans="2:2" ht="15.75" customHeight="1" x14ac:dyDescent="0.3">
      <c r="B877" s="22"/>
    </row>
    <row r="878" spans="2:2" ht="15.75" customHeight="1" x14ac:dyDescent="0.3">
      <c r="B878" s="22"/>
    </row>
    <row r="879" spans="2:2" ht="15.75" customHeight="1" x14ac:dyDescent="0.3">
      <c r="B879" s="22"/>
    </row>
    <row r="880" spans="2:2" ht="15.75" customHeight="1" x14ac:dyDescent="0.3">
      <c r="B880" s="22"/>
    </row>
    <row r="881" spans="2:2" ht="15.75" customHeight="1" x14ac:dyDescent="0.3">
      <c r="B881" s="22"/>
    </row>
    <row r="882" spans="2:2" ht="15.75" customHeight="1" x14ac:dyDescent="0.3">
      <c r="B882" s="22"/>
    </row>
    <row r="883" spans="2:2" ht="15.75" customHeight="1" x14ac:dyDescent="0.3">
      <c r="B883" s="22"/>
    </row>
    <row r="884" spans="2:2" ht="15.75" customHeight="1" x14ac:dyDescent="0.3">
      <c r="B884" s="22"/>
    </row>
    <row r="885" spans="2:2" ht="15.75" customHeight="1" x14ac:dyDescent="0.3">
      <c r="B885" s="22"/>
    </row>
    <row r="886" spans="2:2" ht="15.75" customHeight="1" x14ac:dyDescent="0.3">
      <c r="B886" s="22"/>
    </row>
    <row r="887" spans="2:2" ht="15.75" customHeight="1" x14ac:dyDescent="0.3">
      <c r="B887" s="22"/>
    </row>
    <row r="888" spans="2:2" ht="15.75" customHeight="1" x14ac:dyDescent="0.3">
      <c r="B888" s="22"/>
    </row>
    <row r="889" spans="2:2" ht="15.75" customHeight="1" x14ac:dyDescent="0.3">
      <c r="B889" s="22"/>
    </row>
    <row r="890" spans="2:2" ht="15.75" customHeight="1" x14ac:dyDescent="0.3">
      <c r="B890" s="22"/>
    </row>
    <row r="891" spans="2:2" ht="15.75" customHeight="1" x14ac:dyDescent="0.3">
      <c r="B891" s="22"/>
    </row>
    <row r="892" spans="2:2" ht="15.75" customHeight="1" x14ac:dyDescent="0.3">
      <c r="B892" s="22"/>
    </row>
    <row r="893" spans="2:2" ht="15.75" customHeight="1" x14ac:dyDescent="0.3">
      <c r="B893" s="22"/>
    </row>
    <row r="894" spans="2:2" ht="15.75" customHeight="1" x14ac:dyDescent="0.3">
      <c r="B894" s="22"/>
    </row>
    <row r="895" spans="2:2" ht="15.75" customHeight="1" x14ac:dyDescent="0.3">
      <c r="B895" s="22"/>
    </row>
    <row r="896" spans="2:2" ht="15.75" customHeight="1" x14ac:dyDescent="0.3">
      <c r="B896" s="22"/>
    </row>
    <row r="897" spans="2:2" ht="15.75" customHeight="1" x14ac:dyDescent="0.3">
      <c r="B897" s="22"/>
    </row>
    <row r="898" spans="2:2" ht="15.75" customHeight="1" x14ac:dyDescent="0.3">
      <c r="B898" s="22"/>
    </row>
    <row r="899" spans="2:2" ht="15.75" customHeight="1" x14ac:dyDescent="0.3">
      <c r="B899" s="22"/>
    </row>
    <row r="900" spans="2:2" ht="15.75" customHeight="1" x14ac:dyDescent="0.3">
      <c r="B900" s="22"/>
    </row>
    <row r="901" spans="2:2" ht="15.75" customHeight="1" x14ac:dyDescent="0.3">
      <c r="B901" s="22"/>
    </row>
    <row r="902" spans="2:2" ht="15.75" customHeight="1" x14ac:dyDescent="0.3">
      <c r="B902" s="22"/>
    </row>
    <row r="903" spans="2:2" ht="15.75" customHeight="1" x14ac:dyDescent="0.3">
      <c r="B903" s="22"/>
    </row>
    <row r="904" spans="2:2" ht="15.75" customHeight="1" x14ac:dyDescent="0.3">
      <c r="B904" s="22"/>
    </row>
    <row r="905" spans="2:2" ht="15.75" customHeight="1" x14ac:dyDescent="0.3">
      <c r="B905" s="22"/>
    </row>
    <row r="906" spans="2:2" ht="15.75" customHeight="1" x14ac:dyDescent="0.3">
      <c r="B906" s="22"/>
    </row>
    <row r="907" spans="2:2" ht="15.75" customHeight="1" x14ac:dyDescent="0.3">
      <c r="B907" s="22"/>
    </row>
    <row r="908" spans="2:2" ht="15.75" customHeight="1" x14ac:dyDescent="0.3">
      <c r="B908" s="22"/>
    </row>
    <row r="909" spans="2:2" ht="15.75" customHeight="1" x14ac:dyDescent="0.3">
      <c r="B909" s="22"/>
    </row>
    <row r="910" spans="2:2" ht="15.75" customHeight="1" x14ac:dyDescent="0.3">
      <c r="B910" s="22"/>
    </row>
    <row r="911" spans="2:2" ht="15.75" customHeight="1" x14ac:dyDescent="0.3">
      <c r="B911" s="22"/>
    </row>
    <row r="912" spans="2:2" ht="15.75" customHeight="1" x14ac:dyDescent="0.3">
      <c r="B912" s="22"/>
    </row>
    <row r="913" spans="2:2" ht="15.75" customHeight="1" x14ac:dyDescent="0.3">
      <c r="B913" s="22"/>
    </row>
    <row r="914" spans="2:2" ht="15.75" customHeight="1" x14ac:dyDescent="0.3">
      <c r="B914" s="22"/>
    </row>
    <row r="915" spans="2:2" ht="15.75" customHeight="1" x14ac:dyDescent="0.3">
      <c r="B915" s="22"/>
    </row>
    <row r="916" spans="2:2" ht="15.75" customHeight="1" x14ac:dyDescent="0.3">
      <c r="B916" s="22"/>
    </row>
    <row r="917" spans="2:2" ht="15.75" customHeight="1" x14ac:dyDescent="0.3">
      <c r="B917" s="22"/>
    </row>
    <row r="918" spans="2:2" ht="15.75" customHeight="1" x14ac:dyDescent="0.3">
      <c r="B918" s="22"/>
    </row>
    <row r="919" spans="2:2" ht="15.75" customHeight="1" x14ac:dyDescent="0.3">
      <c r="B919" s="22"/>
    </row>
    <row r="920" spans="2:2" ht="15.75" customHeight="1" x14ac:dyDescent="0.3">
      <c r="B920" s="22"/>
    </row>
    <row r="921" spans="2:2" ht="15.75" customHeight="1" x14ac:dyDescent="0.3">
      <c r="B921" s="22"/>
    </row>
    <row r="922" spans="2:2" ht="15.75" customHeight="1" x14ac:dyDescent="0.3">
      <c r="B922" s="22"/>
    </row>
    <row r="923" spans="2:2" ht="15.75" customHeight="1" x14ac:dyDescent="0.3">
      <c r="B923" s="22"/>
    </row>
    <row r="924" spans="2:2" ht="15.75" customHeight="1" x14ac:dyDescent="0.3">
      <c r="B924" s="22"/>
    </row>
    <row r="925" spans="2:2" ht="15.75" customHeight="1" x14ac:dyDescent="0.3">
      <c r="B925" s="22"/>
    </row>
    <row r="926" spans="2:2" ht="15.75" customHeight="1" x14ac:dyDescent="0.3">
      <c r="B926" s="22"/>
    </row>
    <row r="927" spans="2:2" ht="15.75" customHeight="1" x14ac:dyDescent="0.3">
      <c r="B927" s="22"/>
    </row>
    <row r="928" spans="2:2" ht="15.75" customHeight="1" x14ac:dyDescent="0.3">
      <c r="B928" s="22"/>
    </row>
    <row r="929" spans="2:2" ht="15.75" customHeight="1" x14ac:dyDescent="0.3">
      <c r="B929" s="22"/>
    </row>
    <row r="930" spans="2:2" ht="15.75" customHeight="1" x14ac:dyDescent="0.3">
      <c r="B930" s="22"/>
    </row>
    <row r="931" spans="2:2" ht="15.75" customHeight="1" x14ac:dyDescent="0.3">
      <c r="B931" s="22"/>
    </row>
    <row r="932" spans="2:2" ht="15.75" customHeight="1" x14ac:dyDescent="0.3">
      <c r="B932" s="22"/>
    </row>
    <row r="933" spans="2:2" ht="15.75" customHeight="1" x14ac:dyDescent="0.3">
      <c r="B933" s="22"/>
    </row>
    <row r="934" spans="2:2" ht="15.75" customHeight="1" x14ac:dyDescent="0.3">
      <c r="B934" s="22"/>
    </row>
    <row r="935" spans="2:2" ht="15.75" customHeight="1" x14ac:dyDescent="0.3">
      <c r="B935" s="22"/>
    </row>
    <row r="936" spans="2:2" ht="15.75" customHeight="1" x14ac:dyDescent="0.3">
      <c r="B936" s="22"/>
    </row>
    <row r="937" spans="2:2" ht="15.75" customHeight="1" x14ac:dyDescent="0.3">
      <c r="B937" s="22"/>
    </row>
    <row r="938" spans="2:2" ht="15.75" customHeight="1" x14ac:dyDescent="0.3">
      <c r="B938" s="22"/>
    </row>
    <row r="939" spans="2:2" ht="15.75" customHeight="1" x14ac:dyDescent="0.3">
      <c r="B939" s="22"/>
    </row>
    <row r="940" spans="2:2" ht="15.75" customHeight="1" x14ac:dyDescent="0.3">
      <c r="B940" s="22"/>
    </row>
    <row r="941" spans="2:2" ht="15.75" customHeight="1" x14ac:dyDescent="0.3">
      <c r="B941" s="22"/>
    </row>
    <row r="942" spans="2:2" ht="15.75" customHeight="1" x14ac:dyDescent="0.3">
      <c r="B942" s="22"/>
    </row>
    <row r="943" spans="2:2" ht="15.75" customHeight="1" x14ac:dyDescent="0.3">
      <c r="B943" s="22"/>
    </row>
    <row r="944" spans="2:2" ht="15.75" customHeight="1" x14ac:dyDescent="0.3">
      <c r="B944" s="22"/>
    </row>
    <row r="945" spans="2:2" ht="15.75" customHeight="1" x14ac:dyDescent="0.3">
      <c r="B945" s="22"/>
    </row>
    <row r="946" spans="2:2" ht="15.75" customHeight="1" x14ac:dyDescent="0.3">
      <c r="B946" s="22"/>
    </row>
    <row r="947" spans="2:2" ht="15.75" customHeight="1" x14ac:dyDescent="0.3">
      <c r="B947" s="22"/>
    </row>
    <row r="948" spans="2:2" ht="15.75" customHeight="1" x14ac:dyDescent="0.3">
      <c r="B948" s="22"/>
    </row>
    <row r="949" spans="2:2" ht="15.75" customHeight="1" x14ac:dyDescent="0.3">
      <c r="B949" s="22"/>
    </row>
    <row r="950" spans="2:2" ht="15.75" customHeight="1" x14ac:dyDescent="0.3">
      <c r="B950" s="22"/>
    </row>
    <row r="951" spans="2:2" ht="15.75" customHeight="1" x14ac:dyDescent="0.3">
      <c r="B951" s="22"/>
    </row>
    <row r="952" spans="2:2" ht="15.75" customHeight="1" x14ac:dyDescent="0.3">
      <c r="B952" s="22"/>
    </row>
    <row r="953" spans="2:2" ht="15.75" customHeight="1" x14ac:dyDescent="0.3">
      <c r="B953" s="22"/>
    </row>
    <row r="954" spans="2:2" ht="15.75" customHeight="1" x14ac:dyDescent="0.3">
      <c r="B954" s="22"/>
    </row>
    <row r="955" spans="2:2" ht="15.75" customHeight="1" x14ac:dyDescent="0.3">
      <c r="B955" s="22"/>
    </row>
    <row r="956" spans="2:2" ht="15.75" customHeight="1" x14ac:dyDescent="0.3">
      <c r="B956" s="22"/>
    </row>
    <row r="957" spans="2:2" ht="15.75" customHeight="1" x14ac:dyDescent="0.3">
      <c r="B957" s="22"/>
    </row>
    <row r="958" spans="2:2" ht="15.75" customHeight="1" x14ac:dyDescent="0.3">
      <c r="B958" s="22"/>
    </row>
    <row r="959" spans="2:2" ht="15.75" customHeight="1" x14ac:dyDescent="0.3">
      <c r="B959" s="22"/>
    </row>
    <row r="960" spans="2:2" ht="15.75" customHeight="1" x14ac:dyDescent="0.3">
      <c r="B960" s="22"/>
    </row>
    <row r="961" spans="2:2" ht="15.75" customHeight="1" x14ac:dyDescent="0.3">
      <c r="B961" s="22"/>
    </row>
    <row r="962" spans="2:2" ht="15.75" customHeight="1" x14ac:dyDescent="0.3">
      <c r="B962" s="22"/>
    </row>
    <row r="963" spans="2:2" ht="15.75" customHeight="1" x14ac:dyDescent="0.3">
      <c r="B963" s="22"/>
    </row>
    <row r="964" spans="2:2" ht="15.75" customHeight="1" x14ac:dyDescent="0.3">
      <c r="B964" s="22"/>
    </row>
    <row r="965" spans="2:2" ht="15.75" customHeight="1" x14ac:dyDescent="0.3">
      <c r="B965" s="22"/>
    </row>
    <row r="966" spans="2:2" ht="15.75" customHeight="1" x14ac:dyDescent="0.3">
      <c r="B966" s="22"/>
    </row>
    <row r="967" spans="2:2" ht="15.75" customHeight="1" x14ac:dyDescent="0.3">
      <c r="B967" s="22"/>
    </row>
    <row r="968" spans="2:2" ht="15.75" customHeight="1" x14ac:dyDescent="0.3">
      <c r="B968" s="22"/>
    </row>
    <row r="969" spans="2:2" ht="15.75" customHeight="1" x14ac:dyDescent="0.3">
      <c r="B969" s="22"/>
    </row>
    <row r="970" spans="2:2" ht="15.75" customHeight="1" x14ac:dyDescent="0.3">
      <c r="B970" s="22"/>
    </row>
    <row r="971" spans="2:2" ht="15.75" customHeight="1" x14ac:dyDescent="0.3">
      <c r="B971" s="22"/>
    </row>
    <row r="972" spans="2:2" ht="15.75" customHeight="1" x14ac:dyDescent="0.3">
      <c r="B972" s="22"/>
    </row>
    <row r="973" spans="2:2" ht="15.75" customHeight="1" x14ac:dyDescent="0.3">
      <c r="B973" s="22"/>
    </row>
    <row r="974" spans="2:2" ht="15.75" customHeight="1" x14ac:dyDescent="0.3">
      <c r="B974" s="22"/>
    </row>
    <row r="975" spans="2:2" ht="15.75" customHeight="1" x14ac:dyDescent="0.3">
      <c r="B975" s="22"/>
    </row>
    <row r="976" spans="2:2" ht="15.75" customHeight="1" x14ac:dyDescent="0.3">
      <c r="B976" s="22"/>
    </row>
    <row r="977" spans="2:2" ht="15.75" customHeight="1" x14ac:dyDescent="0.3">
      <c r="B977" s="22"/>
    </row>
    <row r="978" spans="2:2" ht="15.75" customHeight="1" x14ac:dyDescent="0.3">
      <c r="B978" s="22"/>
    </row>
    <row r="979" spans="2:2" ht="15.75" customHeight="1" x14ac:dyDescent="0.3">
      <c r="B979" s="22"/>
    </row>
    <row r="980" spans="2:2" ht="15.75" customHeight="1" x14ac:dyDescent="0.3">
      <c r="B980" s="22"/>
    </row>
    <row r="981" spans="2:2" ht="15.75" customHeight="1" x14ac:dyDescent="0.3">
      <c r="B981" s="22"/>
    </row>
    <row r="982" spans="2:2" ht="15.75" customHeight="1" x14ac:dyDescent="0.3">
      <c r="B982" s="22"/>
    </row>
    <row r="983" spans="2:2" ht="15.75" customHeight="1" x14ac:dyDescent="0.3">
      <c r="B983" s="22"/>
    </row>
    <row r="984" spans="2:2" ht="15.75" customHeight="1" x14ac:dyDescent="0.3">
      <c r="B984" s="22"/>
    </row>
    <row r="985" spans="2:2" ht="15.75" customHeight="1" x14ac:dyDescent="0.3">
      <c r="B985" s="22"/>
    </row>
    <row r="986" spans="2:2" ht="15.75" customHeight="1" x14ac:dyDescent="0.3">
      <c r="B986" s="22"/>
    </row>
    <row r="987" spans="2:2" ht="15.75" customHeight="1" x14ac:dyDescent="0.3">
      <c r="B987" s="22"/>
    </row>
    <row r="988" spans="2:2" ht="15.75" customHeight="1" x14ac:dyDescent="0.3">
      <c r="B988" s="22"/>
    </row>
    <row r="989" spans="2:2" ht="15.75" customHeight="1" x14ac:dyDescent="0.3">
      <c r="B989" s="22"/>
    </row>
    <row r="990" spans="2:2" ht="15.75" customHeight="1" x14ac:dyDescent="0.3">
      <c r="B990" s="22"/>
    </row>
    <row r="991" spans="2:2" ht="15.75" customHeight="1" x14ac:dyDescent="0.3">
      <c r="B991" s="22"/>
    </row>
    <row r="992" spans="2:2" ht="15.75" customHeight="1" x14ac:dyDescent="0.3">
      <c r="B992" s="22"/>
    </row>
    <row r="993" spans="2:2" ht="15.75" customHeight="1" x14ac:dyDescent="0.3">
      <c r="B993" s="22"/>
    </row>
    <row r="994" spans="2:2" ht="15.75" customHeight="1" x14ac:dyDescent="0.3">
      <c r="B994" s="22"/>
    </row>
    <row r="995" spans="2:2" ht="15.75" customHeight="1" x14ac:dyDescent="0.3">
      <c r="B995" s="22"/>
    </row>
    <row r="996" spans="2:2" ht="15.75" customHeight="1" x14ac:dyDescent="0.3">
      <c r="B996" s="22"/>
    </row>
    <row r="997" spans="2:2" ht="15.75" customHeight="1" x14ac:dyDescent="0.3">
      <c r="B997" s="22"/>
    </row>
    <row r="998" spans="2:2" ht="15.75" customHeight="1" x14ac:dyDescent="0.3">
      <c r="B998" s="22"/>
    </row>
    <row r="999" spans="2:2" ht="15.75" customHeight="1" x14ac:dyDescent="0.3">
      <c r="B999" s="22"/>
    </row>
    <row r="1000" spans="2:2" ht="15.75" customHeight="1" x14ac:dyDescent="0.3">
      <c r="B1000" s="22"/>
    </row>
    <row r="1001" spans="2:2" ht="15" customHeight="1" x14ac:dyDescent="0.3">
      <c r="B1001" s="22"/>
    </row>
    <row r="1002" spans="2:2" ht="15" customHeight="1" x14ac:dyDescent="0.3">
      <c r="B1002" s="22"/>
    </row>
    <row r="1003" spans="2:2" ht="15" customHeight="1" x14ac:dyDescent="0.3">
      <c r="B1003" s="22"/>
    </row>
    <row r="1004" spans="2:2" ht="15" customHeight="1" x14ac:dyDescent="0.3">
      <c r="B1004" s="22"/>
    </row>
    <row r="1005" spans="2:2" ht="15" customHeight="1" x14ac:dyDescent="0.3">
      <c r="B1005" s="22"/>
    </row>
    <row r="1006" spans="2:2" ht="15" customHeight="1" x14ac:dyDescent="0.3">
      <c r="B1006" s="22"/>
    </row>
    <row r="1007" spans="2:2" ht="15" customHeight="1" x14ac:dyDescent="0.3">
      <c r="B1007" s="22"/>
    </row>
    <row r="1008" spans="2:2" ht="15" customHeight="1" x14ac:dyDescent="0.3">
      <c r="B1008" s="22"/>
    </row>
    <row r="1009" spans="2:2" ht="15" customHeight="1" x14ac:dyDescent="0.3">
      <c r="B1009" s="22"/>
    </row>
    <row r="1010" spans="2:2" ht="15" customHeight="1" x14ac:dyDescent="0.3">
      <c r="B1010" s="22"/>
    </row>
  </sheetData>
  <autoFilter ref="A1:D1" xr:uid="{00000000-0001-0000-0100-000000000000}">
    <sortState xmlns:xlrd2="http://schemas.microsoft.com/office/spreadsheetml/2017/richdata2" ref="A2:D344">
      <sortCondition ref="A1"/>
    </sortState>
  </autoFilter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3"/>
  <sheetViews>
    <sheetView workbookViewId="0">
      <selection activeCell="B17" sqref="B17"/>
    </sheetView>
  </sheetViews>
  <sheetFormatPr baseColWidth="10" defaultColWidth="11" defaultRowHeight="14.4" x14ac:dyDescent="0.3"/>
  <cols>
    <col min="1" max="1" width="17.19921875" style="24" customWidth="1"/>
    <col min="2" max="2" width="13.19921875" style="24" customWidth="1"/>
    <col min="3" max="3" width="17.59765625" style="24" customWidth="1"/>
    <col min="4" max="4" width="17.19921875" style="24" customWidth="1"/>
    <col min="5" max="16384" width="11" style="24"/>
  </cols>
  <sheetData>
    <row r="1" spans="1:4" ht="57.6" x14ac:dyDescent="0.3">
      <c r="A1" s="72" t="s">
        <v>445</v>
      </c>
      <c r="B1" s="72" t="s">
        <v>3</v>
      </c>
      <c r="C1" s="65" t="s">
        <v>466</v>
      </c>
      <c r="D1" s="65" t="s">
        <v>464</v>
      </c>
    </row>
    <row r="2" spans="1:4" x14ac:dyDescent="0.3">
      <c r="A2" s="73">
        <v>1</v>
      </c>
      <c r="B2" s="25" t="s">
        <v>27</v>
      </c>
      <c r="C2" s="26">
        <v>24.799101356605895</v>
      </c>
      <c r="D2" s="26">
        <v>8.8076421596019259</v>
      </c>
    </row>
    <row r="3" spans="1:4" x14ac:dyDescent="0.3">
      <c r="A3" s="73">
        <v>2</v>
      </c>
      <c r="B3" s="25" t="s">
        <v>43</v>
      </c>
      <c r="C3" s="26">
        <v>31.791374861776632</v>
      </c>
      <c r="D3" s="26">
        <v>12.522001781872705</v>
      </c>
    </row>
    <row r="4" spans="1:4" x14ac:dyDescent="0.3">
      <c r="A4" s="73">
        <v>3</v>
      </c>
      <c r="B4" s="25" t="s">
        <v>51</v>
      </c>
      <c r="C4" s="26">
        <v>24.008106633408683</v>
      </c>
      <c r="D4" s="26">
        <v>9.8247123027642669</v>
      </c>
    </row>
    <row r="5" spans="1:4" x14ac:dyDescent="0.3">
      <c r="A5" s="73">
        <v>4</v>
      </c>
      <c r="B5" s="25" t="s">
        <v>57</v>
      </c>
      <c r="C5" s="26">
        <v>20.849880857823671</v>
      </c>
      <c r="D5" s="26">
        <v>12.381883349625285</v>
      </c>
    </row>
    <row r="6" spans="1:4" x14ac:dyDescent="0.3">
      <c r="A6" s="73">
        <v>5</v>
      </c>
      <c r="B6" s="25" t="s">
        <v>302</v>
      </c>
      <c r="C6" s="26">
        <v>44.2823124081674</v>
      </c>
      <c r="D6" s="26">
        <v>16.377842331964338</v>
      </c>
    </row>
    <row r="7" spans="1:4" x14ac:dyDescent="0.3">
      <c r="A7" s="73">
        <v>6</v>
      </c>
      <c r="B7" s="25" t="s">
        <v>76</v>
      </c>
      <c r="C7" s="26">
        <v>16.856345286665235</v>
      </c>
      <c r="D7" s="26">
        <v>6.1150970241879339</v>
      </c>
    </row>
    <row r="8" spans="1:4" x14ac:dyDescent="0.3">
      <c r="A8" s="73">
        <v>7</v>
      </c>
      <c r="B8" s="25" t="s">
        <v>85</v>
      </c>
      <c r="C8" s="26">
        <v>15.488074984752673</v>
      </c>
      <c r="D8" s="26">
        <v>7.3922008229563403</v>
      </c>
    </row>
    <row r="9" spans="1:4" x14ac:dyDescent="0.3">
      <c r="A9" s="73">
        <v>8</v>
      </c>
      <c r="B9" s="25" t="s">
        <v>92</v>
      </c>
      <c r="C9" s="26">
        <v>26.649191786806465</v>
      </c>
      <c r="D9" s="26">
        <v>8.8360995306641499</v>
      </c>
    </row>
    <row r="10" spans="1:4" x14ac:dyDescent="0.3">
      <c r="A10" s="73">
        <v>9</v>
      </c>
      <c r="B10" s="25" t="s">
        <v>102</v>
      </c>
      <c r="C10" s="26">
        <v>4.4065804935370156</v>
      </c>
      <c r="D10" s="26">
        <v>7.2927072927072931</v>
      </c>
    </row>
    <row r="11" spans="1:4" x14ac:dyDescent="0.3">
      <c r="A11" s="73">
        <v>10</v>
      </c>
      <c r="B11" s="25" t="s">
        <v>412</v>
      </c>
      <c r="C11" s="26">
        <v>22.727272727272727</v>
      </c>
      <c r="D11" s="26">
        <v>8.2292574305353856</v>
      </c>
    </row>
    <row r="12" spans="1:4" x14ac:dyDescent="0.3">
      <c r="A12" s="73">
        <v>11</v>
      </c>
      <c r="B12" s="25" t="s">
        <v>109</v>
      </c>
      <c r="C12" s="26">
        <v>24.769721636582972</v>
      </c>
      <c r="D12" s="26">
        <v>10.114267964655577</v>
      </c>
    </row>
    <row r="13" spans="1:4" x14ac:dyDescent="0.3">
      <c r="C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3CB77-CB00-4A38-A0D6-FF1739A98AB1}">
  <sheetPr>
    <tabColor rgb="FFC00000"/>
  </sheetPr>
  <dimension ref="A1:D13"/>
  <sheetViews>
    <sheetView workbookViewId="0">
      <selection activeCell="D8" sqref="D8"/>
    </sheetView>
  </sheetViews>
  <sheetFormatPr baseColWidth="10" defaultColWidth="11" defaultRowHeight="14.4" x14ac:dyDescent="0.3"/>
  <cols>
    <col min="1" max="1" width="17.19921875" style="24" customWidth="1"/>
    <col min="2" max="2" width="13.19921875" style="24" customWidth="1"/>
    <col min="3" max="3" width="17.59765625" style="24" customWidth="1"/>
    <col min="4" max="4" width="20.69921875" style="24" customWidth="1"/>
    <col min="5" max="16384" width="11" style="24"/>
  </cols>
  <sheetData>
    <row r="1" spans="1:4" ht="68.25" customHeight="1" x14ac:dyDescent="0.3">
      <c r="A1" s="72" t="s">
        <v>445</v>
      </c>
      <c r="B1" s="72" t="s">
        <v>3</v>
      </c>
      <c r="C1" s="72" t="s">
        <v>455</v>
      </c>
      <c r="D1" s="72" t="s">
        <v>460</v>
      </c>
    </row>
    <row r="2" spans="1:4" x14ac:dyDescent="0.3">
      <c r="A2" s="73">
        <v>1</v>
      </c>
      <c r="B2" s="25" t="s">
        <v>27</v>
      </c>
      <c r="C2" s="45">
        <v>287</v>
      </c>
      <c r="D2" s="45">
        <v>66.2</v>
      </c>
    </row>
    <row r="3" spans="1:4" x14ac:dyDescent="0.3">
      <c r="A3" s="73">
        <v>2</v>
      </c>
      <c r="B3" s="25" t="s">
        <v>43</v>
      </c>
      <c r="C3" s="45">
        <v>1725</v>
      </c>
      <c r="D3" s="45">
        <v>461</v>
      </c>
    </row>
    <row r="4" spans="1:4" x14ac:dyDescent="0.3">
      <c r="A4" s="73">
        <v>3</v>
      </c>
      <c r="B4" s="25" t="s">
        <v>51</v>
      </c>
      <c r="C4" s="45">
        <v>924</v>
      </c>
      <c r="D4" s="45">
        <v>265</v>
      </c>
    </row>
    <row r="5" spans="1:4" x14ac:dyDescent="0.3">
      <c r="A5" s="73">
        <v>4</v>
      </c>
      <c r="B5" s="25" t="s">
        <v>57</v>
      </c>
      <c r="C5" s="45">
        <v>210</v>
      </c>
      <c r="D5" s="45">
        <v>91.2</v>
      </c>
    </row>
    <row r="6" spans="1:4" x14ac:dyDescent="0.3">
      <c r="A6" s="73">
        <v>5</v>
      </c>
      <c r="B6" s="25" t="s">
        <v>302</v>
      </c>
      <c r="C6" s="45">
        <v>874</v>
      </c>
      <c r="D6" s="45">
        <v>196.2</v>
      </c>
    </row>
    <row r="7" spans="1:4" x14ac:dyDescent="0.3">
      <c r="A7" s="73">
        <v>6</v>
      </c>
      <c r="B7" s="25" t="s">
        <v>76</v>
      </c>
      <c r="C7" s="45">
        <v>157</v>
      </c>
      <c r="D7" s="45">
        <v>40.4</v>
      </c>
    </row>
    <row r="8" spans="1:4" x14ac:dyDescent="0.3">
      <c r="A8" s="73">
        <v>7</v>
      </c>
      <c r="B8" s="25" t="s">
        <v>85</v>
      </c>
      <c r="C8" s="45">
        <v>965</v>
      </c>
      <c r="D8" s="45">
        <v>328.4</v>
      </c>
    </row>
    <row r="9" spans="1:4" x14ac:dyDescent="0.3">
      <c r="A9" s="73">
        <v>8</v>
      </c>
      <c r="B9" s="25" t="s">
        <v>92</v>
      </c>
      <c r="C9" s="45">
        <v>335.5</v>
      </c>
      <c r="D9" s="45">
        <v>67.400000000000006</v>
      </c>
    </row>
    <row r="10" spans="1:4" x14ac:dyDescent="0.3">
      <c r="A10" s="73">
        <v>9</v>
      </c>
      <c r="B10" s="25" t="s">
        <v>102</v>
      </c>
      <c r="C10" s="45">
        <v>15</v>
      </c>
      <c r="D10" s="45">
        <v>14.6</v>
      </c>
    </row>
    <row r="11" spans="1:4" x14ac:dyDescent="0.3">
      <c r="A11" s="73">
        <v>10</v>
      </c>
      <c r="B11" s="25" t="s">
        <v>412</v>
      </c>
      <c r="C11" s="78">
        <v>23</v>
      </c>
      <c r="D11" s="45">
        <v>5.6666666666666661</v>
      </c>
    </row>
    <row r="12" spans="1:4" x14ac:dyDescent="0.3">
      <c r="A12" s="73">
        <v>11</v>
      </c>
      <c r="B12" s="25" t="s">
        <v>109</v>
      </c>
      <c r="C12" s="45">
        <v>5492.5</v>
      </c>
      <c r="D12" s="45">
        <v>1530.4</v>
      </c>
    </row>
    <row r="13" spans="1:4" x14ac:dyDescent="0.3">
      <c r="C13" s="7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B745-BA7E-4A10-BE5D-5C6C197AD947}">
  <sheetPr>
    <tabColor rgb="FFC00000"/>
  </sheetPr>
  <dimension ref="A1:J7"/>
  <sheetViews>
    <sheetView workbookViewId="0">
      <selection activeCell="B2" sqref="B2"/>
    </sheetView>
  </sheetViews>
  <sheetFormatPr baseColWidth="10" defaultColWidth="8" defaultRowHeight="14.4" x14ac:dyDescent="0.3"/>
  <cols>
    <col min="1" max="1" width="12.8984375" style="33" customWidth="1"/>
    <col min="2" max="2" width="24.3984375" style="33" customWidth="1"/>
    <col min="3" max="8" width="12.8984375" style="33" customWidth="1"/>
    <col min="9" max="9" width="9.19921875" style="33" bestFit="1" customWidth="1"/>
    <col min="10" max="16384" width="8" style="33"/>
  </cols>
  <sheetData>
    <row r="1" spans="1:10" s="32" customFormat="1" ht="31.2" customHeight="1" x14ac:dyDescent="0.3">
      <c r="A1" s="27" t="s">
        <v>305</v>
      </c>
      <c r="B1" s="27" t="s">
        <v>446</v>
      </c>
      <c r="C1" s="28" t="s">
        <v>447</v>
      </c>
      <c r="D1" s="28" t="s">
        <v>448</v>
      </c>
      <c r="E1" s="29" t="s">
        <v>449</v>
      </c>
      <c r="F1" s="29" t="s">
        <v>450</v>
      </c>
      <c r="G1" s="30" t="s">
        <v>451</v>
      </c>
      <c r="H1" s="30" t="s">
        <v>452</v>
      </c>
      <c r="I1" s="31" t="s">
        <v>453</v>
      </c>
      <c r="J1" s="31" t="s">
        <v>454</v>
      </c>
    </row>
    <row r="2" spans="1:10" ht="28.8" x14ac:dyDescent="0.3">
      <c r="A2" s="38">
        <v>3</v>
      </c>
      <c r="B2" s="66" t="s">
        <v>467</v>
      </c>
      <c r="C2" s="38">
        <v>0</v>
      </c>
      <c r="D2" s="75">
        <v>12</v>
      </c>
      <c r="E2" s="75">
        <v>12</v>
      </c>
      <c r="F2" s="38">
        <v>16</v>
      </c>
      <c r="G2" s="38">
        <v>16</v>
      </c>
      <c r="H2" s="38">
        <v>20</v>
      </c>
      <c r="I2" s="38">
        <v>20</v>
      </c>
      <c r="J2" s="38">
        <v>115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6D4C-5EE6-4345-8D3E-2D5E6A8DA004}">
  <dimension ref="I17"/>
  <sheetViews>
    <sheetView workbookViewId="0">
      <selection activeCell="K15" sqref="K15"/>
    </sheetView>
  </sheetViews>
  <sheetFormatPr baseColWidth="10" defaultRowHeight="13.8" x14ac:dyDescent="0.25"/>
  <sheetData>
    <row r="17" spans="9:9" ht="14.4" x14ac:dyDescent="0.25">
      <c r="I17" s="6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 2012 MORT INFANTIL CENSO</vt:lpstr>
      <vt:lpstr> 2024 MORT INFA</vt:lpstr>
      <vt:lpstr>Indicador_MUN</vt:lpstr>
      <vt:lpstr>INFANTIL Absoluto_MUN</vt:lpstr>
      <vt:lpstr>NIÑEZ Absoluto_MUN </vt:lpstr>
      <vt:lpstr>Absoluto_MUN</vt:lpstr>
      <vt:lpstr>Indicador_DEP 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2026-05-25T04:31:07Z</dcterms:modified>
</cp:coreProperties>
</file>