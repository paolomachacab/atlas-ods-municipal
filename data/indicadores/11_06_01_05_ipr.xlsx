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595B1ECA-0C50-4CFB-9516-31BABFC0F679}" xr6:coauthVersionLast="47" xr6:coauthVersionMax="47" xr10:uidLastSave="{00000000-0000-0000-0000-000000000000}"/>
  <bookViews>
    <workbookView xWindow="-108" yWindow="-108" windowWidth="23256" windowHeight="12456" tabRatio="644" activeTab="2" xr2:uid="{00000000-000D-0000-FFFF-FFFF00000000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definedNames>
    <definedName name="_xlnm._FilterDatabase" localSheetId="2" hidden="1">Indicador_MUN!$A$1:$D$344</definedName>
  </definedNames>
  <calcPr calcId="191029"/>
  <extLst>
    <ext uri="GoogleSheetsCustomDataVersion2">
      <go:sheetsCustomData xmlns:go="http://customooxmlschemas.google.com/" r:id="rId12" roundtripDataChecksum="BS8AJC7CdzBpw4lQliYwhqtVdktNsHXHujIdIuZvjEA="/>
    </ext>
  </extLst>
</workbook>
</file>

<file path=xl/calcChain.xml><?xml version="1.0" encoding="utf-8"?>
<calcChain xmlns="http://schemas.openxmlformats.org/spreadsheetml/2006/main">
  <c r="AR11" i="2" l="1"/>
  <c r="M2" i="2"/>
  <c r="X344" i="2"/>
  <c r="V344" i="2"/>
  <c r="W344" i="2" s="1"/>
  <c r="S344" i="2"/>
  <c r="P344" i="2"/>
  <c r="M344" i="2"/>
  <c r="K344" i="2"/>
  <c r="H344" i="2"/>
  <c r="E344" i="2"/>
  <c r="L344" i="2" s="1"/>
  <c r="X343" i="2"/>
  <c r="V343" i="2"/>
  <c r="S343" i="2"/>
  <c r="P343" i="2"/>
  <c r="W343" i="2" s="1"/>
  <c r="M343" i="2"/>
  <c r="K343" i="2"/>
  <c r="L343" i="2" s="1"/>
  <c r="H343" i="2"/>
  <c r="E343" i="2"/>
  <c r="X342" i="2"/>
  <c r="V342" i="2"/>
  <c r="S342" i="2"/>
  <c r="W342" i="2" s="1"/>
  <c r="P342" i="2"/>
  <c r="M342" i="2"/>
  <c r="K342" i="2"/>
  <c r="H342" i="2"/>
  <c r="E342" i="2"/>
  <c r="L342" i="2" s="1"/>
  <c r="X341" i="2"/>
  <c r="V341" i="2"/>
  <c r="S341" i="2"/>
  <c r="W341" i="2" s="1"/>
  <c r="P341" i="2"/>
  <c r="M341" i="2"/>
  <c r="K341" i="2"/>
  <c r="H341" i="2"/>
  <c r="E341" i="2"/>
  <c r="L341" i="2" s="1"/>
  <c r="X340" i="2"/>
  <c r="W340" i="2"/>
  <c r="V340" i="2"/>
  <c r="S340" i="2"/>
  <c r="P340" i="2"/>
  <c r="M340" i="2"/>
  <c r="K340" i="2"/>
  <c r="H340" i="2"/>
  <c r="E340" i="2"/>
  <c r="X339" i="2"/>
  <c r="V339" i="2"/>
  <c r="S339" i="2"/>
  <c r="P339" i="2"/>
  <c r="W339" i="2" s="1"/>
  <c r="M339" i="2"/>
  <c r="K339" i="2"/>
  <c r="L339" i="2" s="1"/>
  <c r="H339" i="2"/>
  <c r="E339" i="2"/>
  <c r="X338" i="2"/>
  <c r="V338" i="2"/>
  <c r="S338" i="2"/>
  <c r="W338" i="2" s="1"/>
  <c r="P338" i="2"/>
  <c r="M338" i="2"/>
  <c r="K338" i="2"/>
  <c r="H338" i="2"/>
  <c r="E338" i="2"/>
  <c r="L338" i="2" s="1"/>
  <c r="X337" i="2"/>
  <c r="V337" i="2"/>
  <c r="S337" i="2"/>
  <c r="W337" i="2" s="1"/>
  <c r="P337" i="2"/>
  <c r="M337" i="2"/>
  <c r="K337" i="2"/>
  <c r="H337" i="2"/>
  <c r="E337" i="2"/>
  <c r="L337" i="2" s="1"/>
  <c r="X336" i="2"/>
  <c r="W336" i="2"/>
  <c r="V336" i="2"/>
  <c r="S336" i="2"/>
  <c r="P336" i="2"/>
  <c r="M336" i="2"/>
  <c r="K336" i="2"/>
  <c r="H336" i="2"/>
  <c r="E336" i="2"/>
  <c r="L336" i="2" s="1"/>
  <c r="X335" i="2"/>
  <c r="V335" i="2"/>
  <c r="S335" i="2"/>
  <c r="P335" i="2"/>
  <c r="W335" i="2" s="1"/>
  <c r="M335" i="2"/>
  <c r="K335" i="2"/>
  <c r="L335" i="2" s="1"/>
  <c r="H335" i="2"/>
  <c r="E335" i="2"/>
  <c r="X334" i="2"/>
  <c r="V334" i="2"/>
  <c r="S334" i="2"/>
  <c r="W334" i="2" s="1"/>
  <c r="P334" i="2"/>
  <c r="M334" i="2"/>
  <c r="K334" i="2"/>
  <c r="H334" i="2"/>
  <c r="E334" i="2"/>
  <c r="L334" i="2" s="1"/>
  <c r="X333" i="2"/>
  <c r="V333" i="2"/>
  <c r="S333" i="2"/>
  <c r="W333" i="2" s="1"/>
  <c r="P333" i="2"/>
  <c r="M333" i="2"/>
  <c r="K333" i="2"/>
  <c r="H333" i="2"/>
  <c r="E333" i="2"/>
  <c r="L333" i="2" s="1"/>
  <c r="X332" i="2"/>
  <c r="W332" i="2"/>
  <c r="V332" i="2"/>
  <c r="S332" i="2"/>
  <c r="P332" i="2"/>
  <c r="M332" i="2"/>
  <c r="K332" i="2"/>
  <c r="H332" i="2"/>
  <c r="E332" i="2"/>
  <c r="L332" i="2" s="1"/>
  <c r="X331" i="2"/>
  <c r="V331" i="2"/>
  <c r="S331" i="2"/>
  <c r="P331" i="2"/>
  <c r="W331" i="2" s="1"/>
  <c r="M331" i="2"/>
  <c r="K331" i="2"/>
  <c r="L331" i="2" s="1"/>
  <c r="H331" i="2"/>
  <c r="E331" i="2"/>
  <c r="X330" i="2"/>
  <c r="V330" i="2"/>
  <c r="S330" i="2"/>
  <c r="W330" i="2" s="1"/>
  <c r="P330" i="2"/>
  <c r="M330" i="2"/>
  <c r="K330" i="2"/>
  <c r="H330" i="2"/>
  <c r="E330" i="2"/>
  <c r="L330" i="2" s="1"/>
  <c r="X329" i="2"/>
  <c r="W329" i="2"/>
  <c r="V329" i="2"/>
  <c r="S329" i="2"/>
  <c r="P329" i="2"/>
  <c r="M329" i="2"/>
  <c r="K329" i="2"/>
  <c r="H329" i="2"/>
  <c r="E329" i="2"/>
  <c r="L329" i="2" s="1"/>
  <c r="X328" i="2"/>
  <c r="W328" i="2"/>
  <c r="V328" i="2"/>
  <c r="S328" i="2"/>
  <c r="P328" i="2"/>
  <c r="M328" i="2"/>
  <c r="K328" i="2"/>
  <c r="H328" i="2"/>
  <c r="E328" i="2"/>
  <c r="L328" i="2" s="1"/>
  <c r="X327" i="2"/>
  <c r="V327" i="2"/>
  <c r="S327" i="2"/>
  <c r="P327" i="2"/>
  <c r="W327" i="2" s="1"/>
  <c r="M327" i="2"/>
  <c r="K327" i="2"/>
  <c r="L327" i="2" s="1"/>
  <c r="H327" i="2"/>
  <c r="E327" i="2"/>
  <c r="X326" i="2"/>
  <c r="V326" i="2"/>
  <c r="S326" i="2"/>
  <c r="W326" i="2" s="1"/>
  <c r="P326" i="2"/>
  <c r="M326" i="2"/>
  <c r="K326" i="2"/>
  <c r="H326" i="2"/>
  <c r="E326" i="2"/>
  <c r="L326" i="2" s="1"/>
  <c r="X325" i="2"/>
  <c r="V325" i="2"/>
  <c r="S325" i="2"/>
  <c r="W325" i="2" s="1"/>
  <c r="P325" i="2"/>
  <c r="M325" i="2"/>
  <c r="K325" i="2"/>
  <c r="H325" i="2"/>
  <c r="E325" i="2"/>
  <c r="L325" i="2" s="1"/>
  <c r="X324" i="2"/>
  <c r="W324" i="2"/>
  <c r="V324" i="2"/>
  <c r="S324" i="2"/>
  <c r="P324" i="2"/>
  <c r="M324" i="2"/>
  <c r="K324" i="2"/>
  <c r="H324" i="2"/>
  <c r="E324" i="2"/>
  <c r="X323" i="2"/>
  <c r="V323" i="2"/>
  <c r="S323" i="2"/>
  <c r="P323" i="2"/>
  <c r="W323" i="2" s="1"/>
  <c r="M323" i="2"/>
  <c r="K323" i="2"/>
  <c r="L323" i="2" s="1"/>
  <c r="H323" i="2"/>
  <c r="E323" i="2"/>
  <c r="X322" i="2"/>
  <c r="V322" i="2"/>
  <c r="S322" i="2"/>
  <c r="W322" i="2" s="1"/>
  <c r="P322" i="2"/>
  <c r="M322" i="2"/>
  <c r="K322" i="2"/>
  <c r="H322" i="2"/>
  <c r="E322" i="2"/>
  <c r="L322" i="2" s="1"/>
  <c r="X321" i="2"/>
  <c r="V321" i="2"/>
  <c r="S321" i="2"/>
  <c r="W321" i="2" s="1"/>
  <c r="P321" i="2"/>
  <c r="M321" i="2"/>
  <c r="K321" i="2"/>
  <c r="H321" i="2"/>
  <c r="E321" i="2"/>
  <c r="L321" i="2" s="1"/>
  <c r="X320" i="2"/>
  <c r="W320" i="2"/>
  <c r="V320" i="2"/>
  <c r="S320" i="2"/>
  <c r="P320" i="2"/>
  <c r="M320" i="2"/>
  <c r="K320" i="2"/>
  <c r="H320" i="2"/>
  <c r="E320" i="2"/>
  <c r="L320" i="2" s="1"/>
  <c r="X319" i="2"/>
  <c r="V319" i="2"/>
  <c r="S319" i="2"/>
  <c r="P319" i="2"/>
  <c r="W319" i="2" s="1"/>
  <c r="M319" i="2"/>
  <c r="K319" i="2"/>
  <c r="L319" i="2" s="1"/>
  <c r="H319" i="2"/>
  <c r="E319" i="2"/>
  <c r="X318" i="2"/>
  <c r="V318" i="2"/>
  <c r="S318" i="2"/>
  <c r="W318" i="2" s="1"/>
  <c r="P318" i="2"/>
  <c r="M318" i="2"/>
  <c r="K318" i="2"/>
  <c r="H318" i="2"/>
  <c r="E318" i="2"/>
  <c r="L318" i="2" s="1"/>
  <c r="X317" i="2"/>
  <c r="V317" i="2"/>
  <c r="S317" i="2"/>
  <c r="W317" i="2" s="1"/>
  <c r="P317" i="2"/>
  <c r="M317" i="2"/>
  <c r="K317" i="2"/>
  <c r="H317" i="2"/>
  <c r="E317" i="2"/>
  <c r="L317" i="2" s="1"/>
  <c r="X316" i="2"/>
  <c r="W316" i="2"/>
  <c r="V316" i="2"/>
  <c r="S316" i="2"/>
  <c r="P316" i="2"/>
  <c r="M316" i="2"/>
  <c r="K316" i="2"/>
  <c r="H316" i="2"/>
  <c r="E316" i="2"/>
  <c r="L316" i="2" s="1"/>
  <c r="X315" i="2"/>
  <c r="V315" i="2"/>
  <c r="S315" i="2"/>
  <c r="P315" i="2"/>
  <c r="W315" i="2" s="1"/>
  <c r="M315" i="2"/>
  <c r="K315" i="2"/>
  <c r="L315" i="2" s="1"/>
  <c r="H315" i="2"/>
  <c r="E315" i="2"/>
  <c r="X314" i="2"/>
  <c r="V314" i="2"/>
  <c r="S314" i="2"/>
  <c r="W314" i="2" s="1"/>
  <c r="P314" i="2"/>
  <c r="M314" i="2"/>
  <c r="K314" i="2"/>
  <c r="H314" i="2"/>
  <c r="E314" i="2"/>
  <c r="L314" i="2" s="1"/>
  <c r="X313" i="2"/>
  <c r="W313" i="2"/>
  <c r="V313" i="2"/>
  <c r="S313" i="2"/>
  <c r="P313" i="2"/>
  <c r="M313" i="2"/>
  <c r="K313" i="2"/>
  <c r="H313" i="2"/>
  <c r="E313" i="2"/>
  <c r="L313" i="2" s="1"/>
  <c r="X312" i="2"/>
  <c r="W312" i="2"/>
  <c r="V312" i="2"/>
  <c r="S312" i="2"/>
  <c r="P312" i="2"/>
  <c r="M312" i="2"/>
  <c r="K312" i="2"/>
  <c r="H312" i="2"/>
  <c r="E312" i="2"/>
  <c r="L312" i="2" s="1"/>
  <c r="X311" i="2"/>
  <c r="V311" i="2"/>
  <c r="S311" i="2"/>
  <c r="P311" i="2"/>
  <c r="W311" i="2" s="1"/>
  <c r="M311" i="2"/>
  <c r="K311" i="2"/>
  <c r="L311" i="2" s="1"/>
  <c r="H311" i="2"/>
  <c r="E311" i="2"/>
  <c r="X310" i="2"/>
  <c r="V310" i="2"/>
  <c r="S310" i="2"/>
  <c r="W310" i="2" s="1"/>
  <c r="P310" i="2"/>
  <c r="M310" i="2"/>
  <c r="K310" i="2"/>
  <c r="H310" i="2"/>
  <c r="E310" i="2"/>
  <c r="L310" i="2" s="1"/>
  <c r="X309" i="2"/>
  <c r="V309" i="2"/>
  <c r="S309" i="2"/>
  <c r="W309" i="2" s="1"/>
  <c r="P309" i="2"/>
  <c r="M309" i="2"/>
  <c r="K309" i="2"/>
  <c r="H309" i="2"/>
  <c r="E309" i="2"/>
  <c r="L309" i="2" s="1"/>
  <c r="X308" i="2"/>
  <c r="W308" i="2"/>
  <c r="V308" i="2"/>
  <c r="S308" i="2"/>
  <c r="P308" i="2"/>
  <c r="M308" i="2"/>
  <c r="K308" i="2"/>
  <c r="H308" i="2"/>
  <c r="E308" i="2"/>
  <c r="X307" i="2"/>
  <c r="V307" i="2"/>
  <c r="S307" i="2"/>
  <c r="P307" i="2"/>
  <c r="W307" i="2" s="1"/>
  <c r="M307" i="2"/>
  <c r="K307" i="2"/>
  <c r="L307" i="2" s="1"/>
  <c r="H307" i="2"/>
  <c r="E307" i="2"/>
  <c r="X306" i="2"/>
  <c r="V306" i="2"/>
  <c r="S306" i="2"/>
  <c r="W306" i="2" s="1"/>
  <c r="P306" i="2"/>
  <c r="M306" i="2"/>
  <c r="K306" i="2"/>
  <c r="H306" i="2"/>
  <c r="E306" i="2"/>
  <c r="L306" i="2" s="1"/>
  <c r="X305" i="2"/>
  <c r="V305" i="2"/>
  <c r="S305" i="2"/>
  <c r="W305" i="2" s="1"/>
  <c r="P305" i="2"/>
  <c r="M305" i="2"/>
  <c r="K305" i="2"/>
  <c r="H305" i="2"/>
  <c r="E305" i="2"/>
  <c r="L305" i="2" s="1"/>
  <c r="X304" i="2"/>
  <c r="W304" i="2"/>
  <c r="V304" i="2"/>
  <c r="S304" i="2"/>
  <c r="P304" i="2"/>
  <c r="M304" i="2"/>
  <c r="K304" i="2"/>
  <c r="H304" i="2"/>
  <c r="E304" i="2"/>
  <c r="L304" i="2" s="1"/>
  <c r="X303" i="2"/>
  <c r="V303" i="2"/>
  <c r="S303" i="2"/>
  <c r="P303" i="2"/>
  <c r="W303" i="2" s="1"/>
  <c r="M303" i="2"/>
  <c r="K303" i="2"/>
  <c r="L303" i="2" s="1"/>
  <c r="H303" i="2"/>
  <c r="E303" i="2"/>
  <c r="X302" i="2"/>
  <c r="V302" i="2"/>
  <c r="S302" i="2"/>
  <c r="W302" i="2" s="1"/>
  <c r="P302" i="2"/>
  <c r="M302" i="2"/>
  <c r="K302" i="2"/>
  <c r="H302" i="2"/>
  <c r="E302" i="2"/>
  <c r="L302" i="2" s="1"/>
  <c r="X301" i="2"/>
  <c r="V301" i="2"/>
  <c r="S301" i="2"/>
  <c r="W301" i="2" s="1"/>
  <c r="P301" i="2"/>
  <c r="M301" i="2"/>
  <c r="K301" i="2"/>
  <c r="H301" i="2"/>
  <c r="E301" i="2"/>
  <c r="L301" i="2" s="1"/>
  <c r="X300" i="2"/>
  <c r="W300" i="2"/>
  <c r="V300" i="2"/>
  <c r="S300" i="2"/>
  <c r="P300" i="2"/>
  <c r="M300" i="2"/>
  <c r="K300" i="2"/>
  <c r="H300" i="2"/>
  <c r="E300" i="2"/>
  <c r="L300" i="2" s="1"/>
  <c r="X299" i="2"/>
  <c r="V299" i="2"/>
  <c r="S299" i="2"/>
  <c r="P299" i="2"/>
  <c r="W299" i="2" s="1"/>
  <c r="M299" i="2"/>
  <c r="K299" i="2"/>
  <c r="L299" i="2" s="1"/>
  <c r="H299" i="2"/>
  <c r="E299" i="2"/>
  <c r="X298" i="2"/>
  <c r="V298" i="2"/>
  <c r="S298" i="2"/>
  <c r="W298" i="2" s="1"/>
  <c r="P298" i="2"/>
  <c r="M298" i="2"/>
  <c r="K298" i="2"/>
  <c r="H298" i="2"/>
  <c r="E298" i="2"/>
  <c r="L298" i="2" s="1"/>
  <c r="X297" i="2"/>
  <c r="W297" i="2"/>
  <c r="V297" i="2"/>
  <c r="S297" i="2"/>
  <c r="P297" i="2"/>
  <c r="M297" i="2"/>
  <c r="K297" i="2"/>
  <c r="H297" i="2"/>
  <c r="E297" i="2"/>
  <c r="L297" i="2" s="1"/>
  <c r="X296" i="2"/>
  <c r="W296" i="2"/>
  <c r="V296" i="2"/>
  <c r="S296" i="2"/>
  <c r="P296" i="2"/>
  <c r="M296" i="2"/>
  <c r="K296" i="2"/>
  <c r="H296" i="2"/>
  <c r="E296" i="2"/>
  <c r="L296" i="2" s="1"/>
  <c r="X295" i="2"/>
  <c r="V295" i="2"/>
  <c r="S295" i="2"/>
  <c r="P295" i="2"/>
  <c r="W295" i="2" s="1"/>
  <c r="M295" i="2"/>
  <c r="K295" i="2"/>
  <c r="L295" i="2" s="1"/>
  <c r="H295" i="2"/>
  <c r="E295" i="2"/>
  <c r="X294" i="2"/>
  <c r="V294" i="2"/>
  <c r="S294" i="2"/>
  <c r="W294" i="2" s="1"/>
  <c r="P294" i="2"/>
  <c r="M294" i="2"/>
  <c r="K294" i="2"/>
  <c r="H294" i="2"/>
  <c r="E294" i="2"/>
  <c r="L294" i="2" s="1"/>
  <c r="X293" i="2"/>
  <c r="V293" i="2"/>
  <c r="S293" i="2"/>
  <c r="W293" i="2" s="1"/>
  <c r="P293" i="2"/>
  <c r="M293" i="2"/>
  <c r="K293" i="2"/>
  <c r="H293" i="2"/>
  <c r="E293" i="2"/>
  <c r="L293" i="2" s="1"/>
  <c r="X292" i="2"/>
  <c r="W292" i="2"/>
  <c r="V292" i="2"/>
  <c r="S292" i="2"/>
  <c r="P292" i="2"/>
  <c r="M292" i="2"/>
  <c r="K292" i="2"/>
  <c r="H292" i="2"/>
  <c r="E292" i="2"/>
  <c r="X291" i="2"/>
  <c r="V291" i="2"/>
  <c r="S291" i="2"/>
  <c r="P291" i="2"/>
  <c r="W291" i="2" s="1"/>
  <c r="M291" i="2"/>
  <c r="K291" i="2"/>
  <c r="L291" i="2" s="1"/>
  <c r="H291" i="2"/>
  <c r="E291" i="2"/>
  <c r="X290" i="2"/>
  <c r="V290" i="2"/>
  <c r="S290" i="2"/>
  <c r="W290" i="2" s="1"/>
  <c r="P290" i="2"/>
  <c r="M290" i="2"/>
  <c r="K290" i="2"/>
  <c r="H290" i="2"/>
  <c r="E290" i="2"/>
  <c r="L290" i="2" s="1"/>
  <c r="X289" i="2"/>
  <c r="V289" i="2"/>
  <c r="S289" i="2"/>
  <c r="W289" i="2" s="1"/>
  <c r="P289" i="2"/>
  <c r="M289" i="2"/>
  <c r="K289" i="2"/>
  <c r="H289" i="2"/>
  <c r="E289" i="2"/>
  <c r="L289" i="2" s="1"/>
  <c r="X288" i="2"/>
  <c r="W288" i="2"/>
  <c r="V288" i="2"/>
  <c r="S288" i="2"/>
  <c r="P288" i="2"/>
  <c r="M288" i="2"/>
  <c r="K288" i="2"/>
  <c r="H288" i="2"/>
  <c r="E288" i="2"/>
  <c r="L288" i="2" s="1"/>
  <c r="X287" i="2"/>
  <c r="V287" i="2"/>
  <c r="S287" i="2"/>
  <c r="P287" i="2"/>
  <c r="W287" i="2" s="1"/>
  <c r="M287" i="2"/>
  <c r="K287" i="2"/>
  <c r="L287" i="2" s="1"/>
  <c r="H287" i="2"/>
  <c r="E287" i="2"/>
  <c r="X286" i="2"/>
  <c r="V286" i="2"/>
  <c r="S286" i="2"/>
  <c r="W286" i="2" s="1"/>
  <c r="P286" i="2"/>
  <c r="M286" i="2"/>
  <c r="K286" i="2"/>
  <c r="H286" i="2"/>
  <c r="E286" i="2"/>
  <c r="L286" i="2" s="1"/>
  <c r="X285" i="2"/>
  <c r="V285" i="2"/>
  <c r="S285" i="2"/>
  <c r="W285" i="2" s="1"/>
  <c r="P285" i="2"/>
  <c r="M285" i="2"/>
  <c r="K285" i="2"/>
  <c r="H285" i="2"/>
  <c r="E285" i="2"/>
  <c r="L285" i="2" s="1"/>
  <c r="X284" i="2"/>
  <c r="W284" i="2"/>
  <c r="V284" i="2"/>
  <c r="S284" i="2"/>
  <c r="P284" i="2"/>
  <c r="M284" i="2"/>
  <c r="K284" i="2"/>
  <c r="H284" i="2"/>
  <c r="E284" i="2"/>
  <c r="L284" i="2" s="1"/>
  <c r="X283" i="2"/>
  <c r="V283" i="2"/>
  <c r="S283" i="2"/>
  <c r="P283" i="2"/>
  <c r="W283" i="2" s="1"/>
  <c r="M283" i="2"/>
  <c r="K283" i="2"/>
  <c r="L283" i="2" s="1"/>
  <c r="H283" i="2"/>
  <c r="E283" i="2"/>
  <c r="X282" i="2"/>
  <c r="V282" i="2"/>
  <c r="S282" i="2"/>
  <c r="W282" i="2" s="1"/>
  <c r="P282" i="2"/>
  <c r="M282" i="2"/>
  <c r="K282" i="2"/>
  <c r="H282" i="2"/>
  <c r="E282" i="2"/>
  <c r="L282" i="2" s="1"/>
  <c r="X281" i="2"/>
  <c r="W281" i="2"/>
  <c r="V281" i="2"/>
  <c r="S281" i="2"/>
  <c r="P281" i="2"/>
  <c r="M281" i="2"/>
  <c r="K281" i="2"/>
  <c r="H281" i="2"/>
  <c r="E281" i="2"/>
  <c r="L281" i="2" s="1"/>
  <c r="X280" i="2"/>
  <c r="W280" i="2"/>
  <c r="V280" i="2"/>
  <c r="S280" i="2"/>
  <c r="P280" i="2"/>
  <c r="M280" i="2"/>
  <c r="K280" i="2"/>
  <c r="H280" i="2"/>
  <c r="E280" i="2"/>
  <c r="L280" i="2" s="1"/>
  <c r="X279" i="2"/>
  <c r="V279" i="2"/>
  <c r="S279" i="2"/>
  <c r="P279" i="2"/>
  <c r="W279" i="2" s="1"/>
  <c r="M279" i="2"/>
  <c r="K279" i="2"/>
  <c r="L279" i="2" s="1"/>
  <c r="H279" i="2"/>
  <c r="E279" i="2"/>
  <c r="X278" i="2"/>
  <c r="V278" i="2"/>
  <c r="S278" i="2"/>
  <c r="W278" i="2" s="1"/>
  <c r="P278" i="2"/>
  <c r="M278" i="2"/>
  <c r="K278" i="2"/>
  <c r="H278" i="2"/>
  <c r="E278" i="2"/>
  <c r="L278" i="2" s="1"/>
  <c r="X277" i="2"/>
  <c r="V277" i="2"/>
  <c r="S277" i="2"/>
  <c r="W277" i="2" s="1"/>
  <c r="P277" i="2"/>
  <c r="M277" i="2"/>
  <c r="K277" i="2"/>
  <c r="H277" i="2"/>
  <c r="E277" i="2"/>
  <c r="L277" i="2" s="1"/>
  <c r="X276" i="2"/>
  <c r="W276" i="2"/>
  <c r="V276" i="2"/>
  <c r="S276" i="2"/>
  <c r="P276" i="2"/>
  <c r="M276" i="2"/>
  <c r="K276" i="2"/>
  <c r="H276" i="2"/>
  <c r="E276" i="2"/>
  <c r="X275" i="2"/>
  <c r="V275" i="2"/>
  <c r="S275" i="2"/>
  <c r="P275" i="2"/>
  <c r="W275" i="2" s="1"/>
  <c r="M275" i="2"/>
  <c r="K275" i="2"/>
  <c r="L275" i="2" s="1"/>
  <c r="H275" i="2"/>
  <c r="E275" i="2"/>
  <c r="X274" i="2"/>
  <c r="V274" i="2"/>
  <c r="S274" i="2"/>
  <c r="W274" i="2" s="1"/>
  <c r="P274" i="2"/>
  <c r="M274" i="2"/>
  <c r="K274" i="2"/>
  <c r="H274" i="2"/>
  <c r="E274" i="2"/>
  <c r="L274" i="2" s="1"/>
  <c r="X273" i="2"/>
  <c r="V273" i="2"/>
  <c r="S273" i="2"/>
  <c r="W273" i="2" s="1"/>
  <c r="P273" i="2"/>
  <c r="M273" i="2"/>
  <c r="K273" i="2"/>
  <c r="H273" i="2"/>
  <c r="E273" i="2"/>
  <c r="L273" i="2" s="1"/>
  <c r="X272" i="2"/>
  <c r="W272" i="2"/>
  <c r="V272" i="2"/>
  <c r="S272" i="2"/>
  <c r="P272" i="2"/>
  <c r="M272" i="2"/>
  <c r="K272" i="2"/>
  <c r="H272" i="2"/>
  <c r="E272" i="2"/>
  <c r="X271" i="2"/>
  <c r="V271" i="2"/>
  <c r="S271" i="2"/>
  <c r="P271" i="2"/>
  <c r="W271" i="2" s="1"/>
  <c r="M271" i="2"/>
  <c r="K271" i="2"/>
  <c r="L271" i="2" s="1"/>
  <c r="H271" i="2"/>
  <c r="E271" i="2"/>
  <c r="X270" i="2"/>
  <c r="V270" i="2"/>
  <c r="S270" i="2"/>
  <c r="W270" i="2" s="1"/>
  <c r="P270" i="2"/>
  <c r="M270" i="2"/>
  <c r="K270" i="2"/>
  <c r="H270" i="2"/>
  <c r="E270" i="2"/>
  <c r="L270" i="2" s="1"/>
  <c r="X269" i="2"/>
  <c r="V269" i="2"/>
  <c r="S269" i="2"/>
  <c r="W269" i="2" s="1"/>
  <c r="P269" i="2"/>
  <c r="M269" i="2"/>
  <c r="K269" i="2"/>
  <c r="H269" i="2"/>
  <c r="E269" i="2"/>
  <c r="L269" i="2" s="1"/>
  <c r="X268" i="2"/>
  <c r="W268" i="2"/>
  <c r="V268" i="2"/>
  <c r="S268" i="2"/>
  <c r="P268" i="2"/>
  <c r="M268" i="2"/>
  <c r="K268" i="2"/>
  <c r="H268" i="2"/>
  <c r="E268" i="2"/>
  <c r="L268" i="2" s="1"/>
  <c r="X267" i="2"/>
  <c r="V267" i="2"/>
  <c r="S267" i="2"/>
  <c r="P267" i="2"/>
  <c r="W267" i="2" s="1"/>
  <c r="M267" i="2"/>
  <c r="K267" i="2"/>
  <c r="L267" i="2" s="1"/>
  <c r="H267" i="2"/>
  <c r="E267" i="2"/>
  <c r="X266" i="2"/>
  <c r="V266" i="2"/>
  <c r="S266" i="2"/>
  <c r="W266" i="2" s="1"/>
  <c r="P266" i="2"/>
  <c r="M266" i="2"/>
  <c r="K266" i="2"/>
  <c r="H266" i="2"/>
  <c r="E266" i="2"/>
  <c r="L266" i="2" s="1"/>
  <c r="X265" i="2"/>
  <c r="W265" i="2"/>
  <c r="V265" i="2"/>
  <c r="S265" i="2"/>
  <c r="P265" i="2"/>
  <c r="M265" i="2"/>
  <c r="K265" i="2"/>
  <c r="H265" i="2"/>
  <c r="E265" i="2"/>
  <c r="L265" i="2" s="1"/>
  <c r="X264" i="2"/>
  <c r="W264" i="2"/>
  <c r="V264" i="2"/>
  <c r="S264" i="2"/>
  <c r="P264" i="2"/>
  <c r="M264" i="2"/>
  <c r="K264" i="2"/>
  <c r="H264" i="2"/>
  <c r="E264" i="2"/>
  <c r="L264" i="2" s="1"/>
  <c r="X263" i="2"/>
  <c r="V263" i="2"/>
  <c r="S263" i="2"/>
  <c r="P263" i="2"/>
  <c r="W263" i="2" s="1"/>
  <c r="M263" i="2"/>
  <c r="K263" i="2"/>
  <c r="L263" i="2" s="1"/>
  <c r="H263" i="2"/>
  <c r="E263" i="2"/>
  <c r="X262" i="2"/>
  <c r="V262" i="2"/>
  <c r="S262" i="2"/>
  <c r="W262" i="2" s="1"/>
  <c r="P262" i="2"/>
  <c r="M262" i="2"/>
  <c r="K262" i="2"/>
  <c r="H262" i="2"/>
  <c r="E262" i="2"/>
  <c r="L262" i="2" s="1"/>
  <c r="X261" i="2"/>
  <c r="V261" i="2"/>
  <c r="S261" i="2"/>
  <c r="W261" i="2" s="1"/>
  <c r="P261" i="2"/>
  <c r="M261" i="2"/>
  <c r="K261" i="2"/>
  <c r="H261" i="2"/>
  <c r="E261" i="2"/>
  <c r="L261" i="2" s="1"/>
  <c r="X260" i="2"/>
  <c r="W260" i="2"/>
  <c r="V260" i="2"/>
  <c r="S260" i="2"/>
  <c r="P260" i="2"/>
  <c r="M260" i="2"/>
  <c r="K260" i="2"/>
  <c r="H260" i="2"/>
  <c r="E260" i="2"/>
  <c r="X259" i="2"/>
  <c r="V259" i="2"/>
  <c r="S259" i="2"/>
  <c r="P259" i="2"/>
  <c r="W259" i="2" s="1"/>
  <c r="M259" i="2"/>
  <c r="K259" i="2"/>
  <c r="L259" i="2" s="1"/>
  <c r="H259" i="2"/>
  <c r="E259" i="2"/>
  <c r="X258" i="2"/>
  <c r="V258" i="2"/>
  <c r="S258" i="2"/>
  <c r="W258" i="2" s="1"/>
  <c r="P258" i="2"/>
  <c r="M258" i="2"/>
  <c r="K258" i="2"/>
  <c r="H258" i="2"/>
  <c r="E258" i="2"/>
  <c r="L258" i="2" s="1"/>
  <c r="X257" i="2"/>
  <c r="W257" i="2"/>
  <c r="V257" i="2"/>
  <c r="S257" i="2"/>
  <c r="P257" i="2"/>
  <c r="M257" i="2"/>
  <c r="K257" i="2"/>
  <c r="H257" i="2"/>
  <c r="E257" i="2"/>
  <c r="L257" i="2" s="1"/>
  <c r="X256" i="2"/>
  <c r="W256" i="2"/>
  <c r="V256" i="2"/>
  <c r="S256" i="2"/>
  <c r="P256" i="2"/>
  <c r="M256" i="2"/>
  <c r="K256" i="2"/>
  <c r="H256" i="2"/>
  <c r="E256" i="2"/>
  <c r="L256" i="2" s="1"/>
  <c r="X255" i="2"/>
  <c r="V255" i="2"/>
  <c r="S255" i="2"/>
  <c r="P255" i="2"/>
  <c r="W255" i="2" s="1"/>
  <c r="M255" i="2"/>
  <c r="K255" i="2"/>
  <c r="L255" i="2" s="1"/>
  <c r="H255" i="2"/>
  <c r="E255" i="2"/>
  <c r="X254" i="2"/>
  <c r="V254" i="2"/>
  <c r="S254" i="2"/>
  <c r="W254" i="2" s="1"/>
  <c r="P254" i="2"/>
  <c r="M254" i="2"/>
  <c r="K254" i="2"/>
  <c r="H254" i="2"/>
  <c r="E254" i="2"/>
  <c r="L254" i="2" s="1"/>
  <c r="X253" i="2"/>
  <c r="V253" i="2"/>
  <c r="S253" i="2"/>
  <c r="W253" i="2" s="1"/>
  <c r="P253" i="2"/>
  <c r="M253" i="2"/>
  <c r="K253" i="2"/>
  <c r="H253" i="2"/>
  <c r="E253" i="2"/>
  <c r="L253" i="2" s="1"/>
  <c r="X252" i="2"/>
  <c r="W252" i="2"/>
  <c r="V252" i="2"/>
  <c r="S252" i="2"/>
  <c r="P252" i="2"/>
  <c r="M252" i="2"/>
  <c r="K252" i="2"/>
  <c r="H252" i="2"/>
  <c r="E252" i="2"/>
  <c r="X251" i="2"/>
  <c r="V251" i="2"/>
  <c r="S251" i="2"/>
  <c r="P251" i="2"/>
  <c r="W251" i="2" s="1"/>
  <c r="M251" i="2"/>
  <c r="K251" i="2"/>
  <c r="L251" i="2" s="1"/>
  <c r="H251" i="2"/>
  <c r="E251" i="2"/>
  <c r="X250" i="2"/>
  <c r="V250" i="2"/>
  <c r="S250" i="2"/>
  <c r="W250" i="2" s="1"/>
  <c r="P250" i="2"/>
  <c r="M250" i="2"/>
  <c r="K250" i="2"/>
  <c r="H250" i="2"/>
  <c r="E250" i="2"/>
  <c r="L250" i="2" s="1"/>
  <c r="X249" i="2"/>
  <c r="W249" i="2"/>
  <c r="V249" i="2"/>
  <c r="S249" i="2"/>
  <c r="P249" i="2"/>
  <c r="M249" i="2"/>
  <c r="K249" i="2"/>
  <c r="H249" i="2"/>
  <c r="E249" i="2"/>
  <c r="L249" i="2" s="1"/>
  <c r="X248" i="2"/>
  <c r="W248" i="2"/>
  <c r="V248" i="2"/>
  <c r="S248" i="2"/>
  <c r="P248" i="2"/>
  <c r="M248" i="2"/>
  <c r="K248" i="2"/>
  <c r="H248" i="2"/>
  <c r="E248" i="2"/>
  <c r="L248" i="2" s="1"/>
  <c r="X247" i="2"/>
  <c r="V247" i="2"/>
  <c r="S247" i="2"/>
  <c r="P247" i="2"/>
  <c r="W247" i="2" s="1"/>
  <c r="M247" i="2"/>
  <c r="K247" i="2"/>
  <c r="L247" i="2" s="1"/>
  <c r="H247" i="2"/>
  <c r="E247" i="2"/>
  <c r="X246" i="2"/>
  <c r="V246" i="2"/>
  <c r="S246" i="2"/>
  <c r="W246" i="2" s="1"/>
  <c r="P246" i="2"/>
  <c r="M246" i="2"/>
  <c r="K246" i="2"/>
  <c r="H246" i="2"/>
  <c r="E246" i="2"/>
  <c r="L246" i="2" s="1"/>
  <c r="X245" i="2"/>
  <c r="V245" i="2"/>
  <c r="S245" i="2"/>
  <c r="W245" i="2" s="1"/>
  <c r="P245" i="2"/>
  <c r="M245" i="2"/>
  <c r="K245" i="2"/>
  <c r="H245" i="2"/>
  <c r="E245" i="2"/>
  <c r="L245" i="2" s="1"/>
  <c r="X244" i="2"/>
  <c r="W244" i="2"/>
  <c r="V244" i="2"/>
  <c r="S244" i="2"/>
  <c r="P244" i="2"/>
  <c r="M244" i="2"/>
  <c r="K244" i="2"/>
  <c r="H244" i="2"/>
  <c r="E244" i="2"/>
  <c r="X243" i="2"/>
  <c r="V243" i="2"/>
  <c r="S243" i="2"/>
  <c r="P243" i="2"/>
  <c r="W243" i="2" s="1"/>
  <c r="M243" i="2"/>
  <c r="K243" i="2"/>
  <c r="L243" i="2" s="1"/>
  <c r="H243" i="2"/>
  <c r="E243" i="2"/>
  <c r="X242" i="2"/>
  <c r="V242" i="2"/>
  <c r="S242" i="2"/>
  <c r="W242" i="2" s="1"/>
  <c r="P242" i="2"/>
  <c r="M242" i="2"/>
  <c r="K242" i="2"/>
  <c r="H242" i="2"/>
  <c r="E242" i="2"/>
  <c r="L242" i="2" s="1"/>
  <c r="X241" i="2"/>
  <c r="V241" i="2"/>
  <c r="S241" i="2"/>
  <c r="W241" i="2" s="1"/>
  <c r="P241" i="2"/>
  <c r="M241" i="2"/>
  <c r="K241" i="2"/>
  <c r="H241" i="2"/>
  <c r="E241" i="2"/>
  <c r="L241" i="2" s="1"/>
  <c r="X240" i="2"/>
  <c r="W240" i="2"/>
  <c r="V240" i="2"/>
  <c r="S240" i="2"/>
  <c r="P240" i="2"/>
  <c r="M240" i="2"/>
  <c r="K240" i="2"/>
  <c r="H240" i="2"/>
  <c r="E240" i="2"/>
  <c r="L240" i="2" s="1"/>
  <c r="X239" i="2"/>
  <c r="V239" i="2"/>
  <c r="S239" i="2"/>
  <c r="P239" i="2"/>
  <c r="W239" i="2" s="1"/>
  <c r="M239" i="2"/>
  <c r="K239" i="2"/>
  <c r="L239" i="2" s="1"/>
  <c r="H239" i="2"/>
  <c r="E239" i="2"/>
  <c r="X238" i="2"/>
  <c r="V238" i="2"/>
  <c r="S238" i="2"/>
  <c r="W238" i="2" s="1"/>
  <c r="P238" i="2"/>
  <c r="M238" i="2"/>
  <c r="K238" i="2"/>
  <c r="H238" i="2"/>
  <c r="E238" i="2"/>
  <c r="L238" i="2" s="1"/>
  <c r="X237" i="2"/>
  <c r="V237" i="2"/>
  <c r="S237" i="2"/>
  <c r="W237" i="2" s="1"/>
  <c r="P237" i="2"/>
  <c r="M237" i="2"/>
  <c r="K237" i="2"/>
  <c r="H237" i="2"/>
  <c r="E237" i="2"/>
  <c r="L237" i="2" s="1"/>
  <c r="X236" i="2"/>
  <c r="W236" i="2"/>
  <c r="V236" i="2"/>
  <c r="S236" i="2"/>
  <c r="P236" i="2"/>
  <c r="M236" i="2"/>
  <c r="K236" i="2"/>
  <c r="H236" i="2"/>
  <c r="E236" i="2"/>
  <c r="L236" i="2" s="1"/>
  <c r="X235" i="2"/>
  <c r="V235" i="2"/>
  <c r="S235" i="2"/>
  <c r="P235" i="2"/>
  <c r="W235" i="2" s="1"/>
  <c r="M235" i="2"/>
  <c r="K235" i="2"/>
  <c r="L235" i="2" s="1"/>
  <c r="H235" i="2"/>
  <c r="E235" i="2"/>
  <c r="X234" i="2"/>
  <c r="V234" i="2"/>
  <c r="S234" i="2"/>
  <c r="W234" i="2" s="1"/>
  <c r="P234" i="2"/>
  <c r="M234" i="2"/>
  <c r="K234" i="2"/>
  <c r="H234" i="2"/>
  <c r="E234" i="2"/>
  <c r="L234" i="2" s="1"/>
  <c r="X233" i="2"/>
  <c r="W233" i="2"/>
  <c r="V233" i="2"/>
  <c r="S233" i="2"/>
  <c r="P233" i="2"/>
  <c r="M233" i="2"/>
  <c r="K233" i="2"/>
  <c r="H233" i="2"/>
  <c r="E233" i="2"/>
  <c r="L233" i="2" s="1"/>
  <c r="X232" i="2"/>
  <c r="W232" i="2"/>
  <c r="V232" i="2"/>
  <c r="S232" i="2"/>
  <c r="P232" i="2"/>
  <c r="M232" i="2"/>
  <c r="K232" i="2"/>
  <c r="H232" i="2"/>
  <c r="E232" i="2"/>
  <c r="L232" i="2" s="1"/>
  <c r="X231" i="2"/>
  <c r="V231" i="2"/>
  <c r="S231" i="2"/>
  <c r="P231" i="2"/>
  <c r="W231" i="2" s="1"/>
  <c r="M231" i="2"/>
  <c r="K231" i="2"/>
  <c r="L231" i="2" s="1"/>
  <c r="H231" i="2"/>
  <c r="E231" i="2"/>
  <c r="X230" i="2"/>
  <c r="V230" i="2"/>
  <c r="S230" i="2"/>
  <c r="W230" i="2" s="1"/>
  <c r="P230" i="2"/>
  <c r="M230" i="2"/>
  <c r="K230" i="2"/>
  <c r="H230" i="2"/>
  <c r="E230" i="2"/>
  <c r="L230" i="2" s="1"/>
  <c r="X229" i="2"/>
  <c r="V229" i="2"/>
  <c r="S229" i="2"/>
  <c r="W229" i="2" s="1"/>
  <c r="P229" i="2"/>
  <c r="M229" i="2"/>
  <c r="K229" i="2"/>
  <c r="H229" i="2"/>
  <c r="E229" i="2"/>
  <c r="X228" i="2"/>
  <c r="W228" i="2"/>
  <c r="V228" i="2"/>
  <c r="S228" i="2"/>
  <c r="P228" i="2"/>
  <c r="M228" i="2"/>
  <c r="K228" i="2"/>
  <c r="H228" i="2"/>
  <c r="E228" i="2"/>
  <c r="L228" i="2" s="1"/>
  <c r="X227" i="2"/>
  <c r="V227" i="2"/>
  <c r="S227" i="2"/>
  <c r="P227" i="2"/>
  <c r="M227" i="2"/>
  <c r="K227" i="2"/>
  <c r="L227" i="2" s="1"/>
  <c r="H227" i="2"/>
  <c r="E227" i="2"/>
  <c r="X226" i="2"/>
  <c r="W226" i="2"/>
  <c r="V226" i="2"/>
  <c r="S226" i="2"/>
  <c r="P226" i="2"/>
  <c r="M226" i="2"/>
  <c r="K226" i="2"/>
  <c r="H226" i="2"/>
  <c r="E226" i="2"/>
  <c r="L226" i="2" s="1"/>
  <c r="X225" i="2"/>
  <c r="V225" i="2"/>
  <c r="S225" i="2"/>
  <c r="W225" i="2" s="1"/>
  <c r="P225" i="2"/>
  <c r="M225" i="2"/>
  <c r="K225" i="2"/>
  <c r="H225" i="2"/>
  <c r="E225" i="2"/>
  <c r="X224" i="2"/>
  <c r="W224" i="2"/>
  <c r="V224" i="2"/>
  <c r="S224" i="2"/>
  <c r="P224" i="2"/>
  <c r="M224" i="2"/>
  <c r="K224" i="2"/>
  <c r="H224" i="2"/>
  <c r="E224" i="2"/>
  <c r="L224" i="2" s="1"/>
  <c r="X223" i="2"/>
  <c r="V223" i="2"/>
  <c r="S223" i="2"/>
  <c r="P223" i="2"/>
  <c r="M223" i="2"/>
  <c r="K223" i="2"/>
  <c r="L223" i="2" s="1"/>
  <c r="H223" i="2"/>
  <c r="E223" i="2"/>
  <c r="X222" i="2"/>
  <c r="W222" i="2"/>
  <c r="V222" i="2"/>
  <c r="S222" i="2"/>
  <c r="P222" i="2"/>
  <c r="M222" i="2"/>
  <c r="K222" i="2"/>
  <c r="H222" i="2"/>
  <c r="E222" i="2"/>
  <c r="L222" i="2" s="1"/>
  <c r="X221" i="2"/>
  <c r="V221" i="2"/>
  <c r="S221" i="2"/>
  <c r="W221" i="2" s="1"/>
  <c r="P221" i="2"/>
  <c r="M221" i="2"/>
  <c r="K221" i="2"/>
  <c r="H221" i="2"/>
  <c r="E221" i="2"/>
  <c r="L221" i="2" s="1"/>
  <c r="X220" i="2"/>
  <c r="W220" i="2"/>
  <c r="V220" i="2"/>
  <c r="S220" i="2"/>
  <c r="P220" i="2"/>
  <c r="M220" i="2"/>
  <c r="K220" i="2"/>
  <c r="H220" i="2"/>
  <c r="E220" i="2"/>
  <c r="L220" i="2" s="1"/>
  <c r="X219" i="2"/>
  <c r="V219" i="2"/>
  <c r="S219" i="2"/>
  <c r="P219" i="2"/>
  <c r="W219" i="2" s="1"/>
  <c r="M219" i="2"/>
  <c r="K219" i="2"/>
  <c r="L219" i="2" s="1"/>
  <c r="H219" i="2"/>
  <c r="E219" i="2"/>
  <c r="X218" i="2"/>
  <c r="V218" i="2"/>
  <c r="S218" i="2"/>
  <c r="W218" i="2" s="1"/>
  <c r="P218" i="2"/>
  <c r="M218" i="2"/>
  <c r="K218" i="2"/>
  <c r="H218" i="2"/>
  <c r="E218" i="2"/>
  <c r="L218" i="2" s="1"/>
  <c r="X217" i="2"/>
  <c r="V217" i="2"/>
  <c r="S217" i="2"/>
  <c r="W217" i="2" s="1"/>
  <c r="P217" i="2"/>
  <c r="M217" i="2"/>
  <c r="K217" i="2"/>
  <c r="H217" i="2"/>
  <c r="E217" i="2"/>
  <c r="X216" i="2"/>
  <c r="W216" i="2"/>
  <c r="V216" i="2"/>
  <c r="S216" i="2"/>
  <c r="P216" i="2"/>
  <c r="M216" i="2"/>
  <c r="K216" i="2"/>
  <c r="H216" i="2"/>
  <c r="E216" i="2"/>
  <c r="L216" i="2" s="1"/>
  <c r="X215" i="2"/>
  <c r="V215" i="2"/>
  <c r="S215" i="2"/>
  <c r="P215" i="2"/>
  <c r="W215" i="2" s="1"/>
  <c r="M215" i="2"/>
  <c r="K215" i="2"/>
  <c r="L215" i="2" s="1"/>
  <c r="H215" i="2"/>
  <c r="E215" i="2"/>
  <c r="X214" i="2"/>
  <c r="V214" i="2"/>
  <c r="S214" i="2"/>
  <c r="W214" i="2" s="1"/>
  <c r="P214" i="2"/>
  <c r="M214" i="2"/>
  <c r="K214" i="2"/>
  <c r="H214" i="2"/>
  <c r="E214" i="2"/>
  <c r="L214" i="2" s="1"/>
  <c r="X213" i="2"/>
  <c r="V213" i="2"/>
  <c r="S213" i="2"/>
  <c r="W213" i="2" s="1"/>
  <c r="P213" i="2"/>
  <c r="M213" i="2"/>
  <c r="K213" i="2"/>
  <c r="H213" i="2"/>
  <c r="E213" i="2"/>
  <c r="L213" i="2" s="1"/>
  <c r="X212" i="2"/>
  <c r="W212" i="2"/>
  <c r="V212" i="2"/>
  <c r="S212" i="2"/>
  <c r="P212" i="2"/>
  <c r="M212" i="2"/>
  <c r="K212" i="2"/>
  <c r="H212" i="2"/>
  <c r="E212" i="2"/>
  <c r="X211" i="2"/>
  <c r="V211" i="2"/>
  <c r="S211" i="2"/>
  <c r="P211" i="2"/>
  <c r="W211" i="2" s="1"/>
  <c r="M211" i="2"/>
  <c r="K211" i="2"/>
  <c r="L211" i="2" s="1"/>
  <c r="H211" i="2"/>
  <c r="E211" i="2"/>
  <c r="X210" i="2"/>
  <c r="W210" i="2"/>
  <c r="V210" i="2"/>
  <c r="S210" i="2"/>
  <c r="P210" i="2"/>
  <c r="M210" i="2"/>
  <c r="K210" i="2"/>
  <c r="H210" i="2"/>
  <c r="E210" i="2"/>
  <c r="L210" i="2" s="1"/>
  <c r="X209" i="2"/>
  <c r="V209" i="2"/>
  <c r="S209" i="2"/>
  <c r="W209" i="2" s="1"/>
  <c r="P209" i="2"/>
  <c r="M209" i="2"/>
  <c r="K209" i="2"/>
  <c r="H209" i="2"/>
  <c r="E209" i="2"/>
  <c r="L209" i="2" s="1"/>
  <c r="X208" i="2"/>
  <c r="W208" i="2"/>
  <c r="V208" i="2"/>
  <c r="S208" i="2"/>
  <c r="P208" i="2"/>
  <c r="M208" i="2"/>
  <c r="K208" i="2"/>
  <c r="H208" i="2"/>
  <c r="E208" i="2"/>
  <c r="X207" i="2"/>
  <c r="V207" i="2"/>
  <c r="S207" i="2"/>
  <c r="P207" i="2"/>
  <c r="M207" i="2"/>
  <c r="K207" i="2"/>
  <c r="L207" i="2" s="1"/>
  <c r="H207" i="2"/>
  <c r="E207" i="2"/>
  <c r="X206" i="2"/>
  <c r="V206" i="2"/>
  <c r="S206" i="2"/>
  <c r="W206" i="2" s="1"/>
  <c r="P206" i="2"/>
  <c r="M206" i="2"/>
  <c r="K206" i="2"/>
  <c r="H206" i="2"/>
  <c r="E206" i="2"/>
  <c r="L206" i="2" s="1"/>
  <c r="X205" i="2"/>
  <c r="W205" i="2"/>
  <c r="V205" i="2"/>
  <c r="S205" i="2"/>
  <c r="P205" i="2"/>
  <c r="M205" i="2"/>
  <c r="K205" i="2"/>
  <c r="H205" i="2"/>
  <c r="E205" i="2"/>
  <c r="L205" i="2" s="1"/>
  <c r="X204" i="2"/>
  <c r="W204" i="2"/>
  <c r="V204" i="2"/>
  <c r="S204" i="2"/>
  <c r="P204" i="2"/>
  <c r="M204" i="2"/>
  <c r="K204" i="2"/>
  <c r="H204" i="2"/>
  <c r="E204" i="2"/>
  <c r="L204" i="2" s="1"/>
  <c r="X203" i="2"/>
  <c r="V203" i="2"/>
  <c r="S203" i="2"/>
  <c r="P203" i="2"/>
  <c r="M203" i="2"/>
  <c r="K203" i="2"/>
  <c r="L203" i="2" s="1"/>
  <c r="H203" i="2"/>
  <c r="E203" i="2"/>
  <c r="X202" i="2"/>
  <c r="V202" i="2"/>
  <c r="S202" i="2"/>
  <c r="W202" i="2" s="1"/>
  <c r="P202" i="2"/>
  <c r="M202" i="2"/>
  <c r="K202" i="2"/>
  <c r="H202" i="2"/>
  <c r="E202" i="2"/>
  <c r="L202" i="2" s="1"/>
  <c r="X201" i="2"/>
  <c r="W201" i="2"/>
  <c r="V201" i="2"/>
  <c r="S201" i="2"/>
  <c r="P201" i="2"/>
  <c r="M201" i="2"/>
  <c r="K201" i="2"/>
  <c r="H201" i="2"/>
  <c r="E201" i="2"/>
  <c r="X200" i="2"/>
  <c r="W200" i="2"/>
  <c r="V200" i="2"/>
  <c r="S200" i="2"/>
  <c r="P200" i="2"/>
  <c r="M200" i="2"/>
  <c r="K200" i="2"/>
  <c r="H200" i="2"/>
  <c r="E200" i="2"/>
  <c r="L200" i="2" s="1"/>
  <c r="X199" i="2"/>
  <c r="V199" i="2"/>
  <c r="S199" i="2"/>
  <c r="P199" i="2"/>
  <c r="M199" i="2"/>
  <c r="K199" i="2"/>
  <c r="L199" i="2" s="1"/>
  <c r="H199" i="2"/>
  <c r="E199" i="2"/>
  <c r="X198" i="2"/>
  <c r="V198" i="2"/>
  <c r="S198" i="2"/>
  <c r="W198" i="2" s="1"/>
  <c r="P198" i="2"/>
  <c r="M198" i="2"/>
  <c r="K198" i="2"/>
  <c r="H198" i="2"/>
  <c r="E198" i="2"/>
  <c r="L198" i="2" s="1"/>
  <c r="X197" i="2"/>
  <c r="V197" i="2"/>
  <c r="S197" i="2"/>
  <c r="W197" i="2" s="1"/>
  <c r="P197" i="2"/>
  <c r="M197" i="2"/>
  <c r="K197" i="2"/>
  <c r="H197" i="2"/>
  <c r="E197" i="2"/>
  <c r="X196" i="2"/>
  <c r="W196" i="2"/>
  <c r="V196" i="2"/>
  <c r="S196" i="2"/>
  <c r="P196" i="2"/>
  <c r="M196" i="2"/>
  <c r="K196" i="2"/>
  <c r="H196" i="2"/>
  <c r="E196" i="2"/>
  <c r="L196" i="2" s="1"/>
  <c r="X195" i="2"/>
  <c r="V195" i="2"/>
  <c r="S195" i="2"/>
  <c r="P195" i="2"/>
  <c r="M195" i="2"/>
  <c r="K195" i="2"/>
  <c r="L195" i="2" s="1"/>
  <c r="H195" i="2"/>
  <c r="E195" i="2"/>
  <c r="X194" i="2"/>
  <c r="W194" i="2"/>
  <c r="V194" i="2"/>
  <c r="S194" i="2"/>
  <c r="P194" i="2"/>
  <c r="M194" i="2"/>
  <c r="K194" i="2"/>
  <c r="H194" i="2"/>
  <c r="E194" i="2"/>
  <c r="L194" i="2" s="1"/>
  <c r="X193" i="2"/>
  <c r="V193" i="2"/>
  <c r="S193" i="2"/>
  <c r="W193" i="2" s="1"/>
  <c r="P193" i="2"/>
  <c r="M193" i="2"/>
  <c r="K193" i="2"/>
  <c r="H193" i="2"/>
  <c r="E193" i="2"/>
  <c r="L193" i="2" s="1"/>
  <c r="X192" i="2"/>
  <c r="W192" i="2"/>
  <c r="V192" i="2"/>
  <c r="S192" i="2"/>
  <c r="P192" i="2"/>
  <c r="M192" i="2"/>
  <c r="K192" i="2"/>
  <c r="H192" i="2"/>
  <c r="E192" i="2"/>
  <c r="L192" i="2" s="1"/>
  <c r="X191" i="2"/>
  <c r="V191" i="2"/>
  <c r="S191" i="2"/>
  <c r="P191" i="2"/>
  <c r="M191" i="2"/>
  <c r="K191" i="2"/>
  <c r="L191" i="2" s="1"/>
  <c r="H191" i="2"/>
  <c r="E191" i="2"/>
  <c r="X190" i="2"/>
  <c r="W190" i="2"/>
  <c r="V190" i="2"/>
  <c r="S190" i="2"/>
  <c r="P190" i="2"/>
  <c r="M190" i="2"/>
  <c r="K190" i="2"/>
  <c r="H190" i="2"/>
  <c r="E190" i="2"/>
  <c r="L190" i="2" s="1"/>
  <c r="X189" i="2"/>
  <c r="W189" i="2"/>
  <c r="V189" i="2"/>
  <c r="S189" i="2"/>
  <c r="P189" i="2"/>
  <c r="M189" i="2"/>
  <c r="K189" i="2"/>
  <c r="H189" i="2"/>
  <c r="E189" i="2"/>
  <c r="L189" i="2" s="1"/>
  <c r="X188" i="2"/>
  <c r="W188" i="2"/>
  <c r="V188" i="2"/>
  <c r="S188" i="2"/>
  <c r="P188" i="2"/>
  <c r="M188" i="2"/>
  <c r="K188" i="2"/>
  <c r="H188" i="2"/>
  <c r="E188" i="2"/>
  <c r="L188" i="2" s="1"/>
  <c r="X187" i="2"/>
  <c r="V187" i="2"/>
  <c r="S187" i="2"/>
  <c r="P187" i="2"/>
  <c r="M187" i="2"/>
  <c r="K187" i="2"/>
  <c r="L187" i="2" s="1"/>
  <c r="H187" i="2"/>
  <c r="E187" i="2"/>
  <c r="X186" i="2"/>
  <c r="V186" i="2"/>
  <c r="S186" i="2"/>
  <c r="W186" i="2" s="1"/>
  <c r="P186" i="2"/>
  <c r="M186" i="2"/>
  <c r="K186" i="2"/>
  <c r="H186" i="2"/>
  <c r="E186" i="2"/>
  <c r="L186" i="2" s="1"/>
  <c r="X185" i="2"/>
  <c r="V185" i="2"/>
  <c r="S185" i="2"/>
  <c r="W185" i="2" s="1"/>
  <c r="P185" i="2"/>
  <c r="M185" i="2"/>
  <c r="K185" i="2"/>
  <c r="H185" i="2"/>
  <c r="E185" i="2"/>
  <c r="L185" i="2" s="1"/>
  <c r="X184" i="2"/>
  <c r="W184" i="2"/>
  <c r="V184" i="2"/>
  <c r="S184" i="2"/>
  <c r="P184" i="2"/>
  <c r="M184" i="2"/>
  <c r="K184" i="2"/>
  <c r="H184" i="2"/>
  <c r="E184" i="2"/>
  <c r="L184" i="2" s="1"/>
  <c r="X183" i="2"/>
  <c r="V183" i="2"/>
  <c r="S183" i="2"/>
  <c r="P183" i="2"/>
  <c r="W183" i="2" s="1"/>
  <c r="M183" i="2"/>
  <c r="K183" i="2"/>
  <c r="L183" i="2" s="1"/>
  <c r="H183" i="2"/>
  <c r="E183" i="2"/>
  <c r="X182" i="2"/>
  <c r="V182" i="2"/>
  <c r="S182" i="2"/>
  <c r="W182" i="2" s="1"/>
  <c r="P182" i="2"/>
  <c r="M182" i="2"/>
  <c r="K182" i="2"/>
  <c r="H182" i="2"/>
  <c r="E182" i="2"/>
  <c r="L182" i="2" s="1"/>
  <c r="X181" i="2"/>
  <c r="V181" i="2"/>
  <c r="S181" i="2"/>
  <c r="W181" i="2" s="1"/>
  <c r="P181" i="2"/>
  <c r="M181" i="2"/>
  <c r="K181" i="2"/>
  <c r="H181" i="2"/>
  <c r="E181" i="2"/>
  <c r="L181" i="2" s="1"/>
  <c r="X180" i="2"/>
  <c r="W180" i="2"/>
  <c r="V180" i="2"/>
  <c r="S180" i="2"/>
  <c r="P180" i="2"/>
  <c r="M180" i="2"/>
  <c r="K180" i="2"/>
  <c r="H180" i="2"/>
  <c r="E180" i="2"/>
  <c r="L180" i="2" s="1"/>
  <c r="X179" i="2"/>
  <c r="V179" i="2"/>
  <c r="S179" i="2"/>
  <c r="P179" i="2"/>
  <c r="M179" i="2"/>
  <c r="K179" i="2"/>
  <c r="L179" i="2" s="1"/>
  <c r="H179" i="2"/>
  <c r="E179" i="2"/>
  <c r="X178" i="2"/>
  <c r="V178" i="2"/>
  <c r="S178" i="2"/>
  <c r="W178" i="2" s="1"/>
  <c r="P178" i="2"/>
  <c r="M178" i="2"/>
  <c r="K178" i="2"/>
  <c r="H178" i="2"/>
  <c r="E178" i="2"/>
  <c r="L178" i="2" s="1"/>
  <c r="X177" i="2"/>
  <c r="V177" i="2"/>
  <c r="S177" i="2"/>
  <c r="W177" i="2" s="1"/>
  <c r="P177" i="2"/>
  <c r="M177" i="2"/>
  <c r="K177" i="2"/>
  <c r="H177" i="2"/>
  <c r="E177" i="2"/>
  <c r="L177" i="2" s="1"/>
  <c r="X176" i="2"/>
  <c r="W176" i="2"/>
  <c r="V176" i="2"/>
  <c r="S176" i="2"/>
  <c r="P176" i="2"/>
  <c r="M176" i="2"/>
  <c r="K176" i="2"/>
  <c r="H176" i="2"/>
  <c r="E176" i="2"/>
  <c r="X175" i="2"/>
  <c r="V175" i="2"/>
  <c r="S175" i="2"/>
  <c r="P175" i="2"/>
  <c r="W175" i="2" s="1"/>
  <c r="M175" i="2"/>
  <c r="K175" i="2"/>
  <c r="L175" i="2" s="1"/>
  <c r="H175" i="2"/>
  <c r="E175" i="2"/>
  <c r="X174" i="2"/>
  <c r="V174" i="2"/>
  <c r="S174" i="2"/>
  <c r="W174" i="2" s="1"/>
  <c r="P174" i="2"/>
  <c r="M174" i="2"/>
  <c r="K174" i="2"/>
  <c r="H174" i="2"/>
  <c r="E174" i="2"/>
  <c r="L174" i="2" s="1"/>
  <c r="X173" i="2"/>
  <c r="V173" i="2"/>
  <c r="S173" i="2"/>
  <c r="W173" i="2" s="1"/>
  <c r="P173" i="2"/>
  <c r="M173" i="2"/>
  <c r="K173" i="2"/>
  <c r="H173" i="2"/>
  <c r="E173" i="2"/>
  <c r="X172" i="2"/>
  <c r="W172" i="2"/>
  <c r="V172" i="2"/>
  <c r="S172" i="2"/>
  <c r="P172" i="2"/>
  <c r="M172" i="2"/>
  <c r="K172" i="2"/>
  <c r="H172" i="2"/>
  <c r="E172" i="2"/>
  <c r="L172" i="2" s="1"/>
  <c r="X171" i="2"/>
  <c r="V171" i="2"/>
  <c r="S171" i="2"/>
  <c r="P171" i="2"/>
  <c r="M171" i="2"/>
  <c r="K171" i="2"/>
  <c r="L171" i="2" s="1"/>
  <c r="H171" i="2"/>
  <c r="E171" i="2"/>
  <c r="X170" i="2"/>
  <c r="W170" i="2"/>
  <c r="V170" i="2"/>
  <c r="S170" i="2"/>
  <c r="P170" i="2"/>
  <c r="M170" i="2"/>
  <c r="K170" i="2"/>
  <c r="H170" i="2"/>
  <c r="E170" i="2"/>
  <c r="L170" i="2" s="1"/>
  <c r="X169" i="2"/>
  <c r="W169" i="2"/>
  <c r="V169" i="2"/>
  <c r="S169" i="2"/>
  <c r="P169" i="2"/>
  <c r="M169" i="2"/>
  <c r="K169" i="2"/>
  <c r="H169" i="2"/>
  <c r="E169" i="2"/>
  <c r="L169" i="2" s="1"/>
  <c r="X168" i="2"/>
  <c r="W168" i="2"/>
  <c r="V168" i="2"/>
  <c r="S168" i="2"/>
  <c r="P168" i="2"/>
  <c r="M168" i="2"/>
  <c r="K168" i="2"/>
  <c r="H168" i="2"/>
  <c r="E168" i="2"/>
  <c r="L168" i="2" s="1"/>
  <c r="X167" i="2"/>
  <c r="V167" i="2"/>
  <c r="S167" i="2"/>
  <c r="P167" i="2"/>
  <c r="M167" i="2"/>
  <c r="K167" i="2"/>
  <c r="L167" i="2" s="1"/>
  <c r="H167" i="2"/>
  <c r="E167" i="2"/>
  <c r="X166" i="2"/>
  <c r="V166" i="2"/>
  <c r="S166" i="2"/>
  <c r="W166" i="2" s="1"/>
  <c r="P166" i="2"/>
  <c r="M166" i="2"/>
  <c r="K166" i="2"/>
  <c r="H166" i="2"/>
  <c r="E166" i="2"/>
  <c r="L166" i="2" s="1"/>
  <c r="X165" i="2"/>
  <c r="V165" i="2"/>
  <c r="S165" i="2"/>
  <c r="W165" i="2" s="1"/>
  <c r="P165" i="2"/>
  <c r="M165" i="2"/>
  <c r="K165" i="2"/>
  <c r="H165" i="2"/>
  <c r="E165" i="2"/>
  <c r="X164" i="2"/>
  <c r="W164" i="2"/>
  <c r="V164" i="2"/>
  <c r="S164" i="2"/>
  <c r="P164" i="2"/>
  <c r="M164" i="2"/>
  <c r="K164" i="2"/>
  <c r="H164" i="2"/>
  <c r="E164" i="2"/>
  <c r="X163" i="2"/>
  <c r="V163" i="2"/>
  <c r="S163" i="2"/>
  <c r="P163" i="2"/>
  <c r="M163" i="2"/>
  <c r="K163" i="2"/>
  <c r="L163" i="2" s="1"/>
  <c r="H163" i="2"/>
  <c r="E163" i="2"/>
  <c r="X162" i="2"/>
  <c r="V162" i="2"/>
  <c r="S162" i="2"/>
  <c r="W162" i="2" s="1"/>
  <c r="P162" i="2"/>
  <c r="M162" i="2"/>
  <c r="K162" i="2"/>
  <c r="H162" i="2"/>
  <c r="E162" i="2"/>
  <c r="L162" i="2" s="1"/>
  <c r="X161" i="2"/>
  <c r="V161" i="2"/>
  <c r="S161" i="2"/>
  <c r="W161" i="2" s="1"/>
  <c r="P161" i="2"/>
  <c r="M161" i="2"/>
  <c r="K161" i="2"/>
  <c r="H161" i="2"/>
  <c r="E161" i="2"/>
  <c r="L161" i="2" s="1"/>
  <c r="X160" i="2"/>
  <c r="W160" i="2"/>
  <c r="V160" i="2"/>
  <c r="S160" i="2"/>
  <c r="P160" i="2"/>
  <c r="M160" i="2"/>
  <c r="K160" i="2"/>
  <c r="H160" i="2"/>
  <c r="E160" i="2"/>
  <c r="L160" i="2" s="1"/>
  <c r="X159" i="2"/>
  <c r="V159" i="2"/>
  <c r="S159" i="2"/>
  <c r="P159" i="2"/>
  <c r="W159" i="2" s="1"/>
  <c r="M159" i="2"/>
  <c r="K159" i="2"/>
  <c r="L159" i="2" s="1"/>
  <c r="H159" i="2"/>
  <c r="E159" i="2"/>
  <c r="X158" i="2"/>
  <c r="W158" i="2"/>
  <c r="V158" i="2"/>
  <c r="S158" i="2"/>
  <c r="P158" i="2"/>
  <c r="M158" i="2"/>
  <c r="K158" i="2"/>
  <c r="H158" i="2"/>
  <c r="E158" i="2"/>
  <c r="L158" i="2" s="1"/>
  <c r="X157" i="2"/>
  <c r="V157" i="2"/>
  <c r="S157" i="2"/>
  <c r="W157" i="2" s="1"/>
  <c r="P157" i="2"/>
  <c r="M157" i="2"/>
  <c r="K157" i="2"/>
  <c r="H157" i="2"/>
  <c r="E157" i="2"/>
  <c r="L157" i="2" s="1"/>
  <c r="X156" i="2"/>
  <c r="W156" i="2"/>
  <c r="V156" i="2"/>
  <c r="S156" i="2"/>
  <c r="P156" i="2"/>
  <c r="M156" i="2"/>
  <c r="K156" i="2"/>
  <c r="H156" i="2"/>
  <c r="E156" i="2"/>
  <c r="X155" i="2"/>
  <c r="V155" i="2"/>
  <c r="S155" i="2"/>
  <c r="P155" i="2"/>
  <c r="M155" i="2"/>
  <c r="K155" i="2"/>
  <c r="L155" i="2" s="1"/>
  <c r="H155" i="2"/>
  <c r="E155" i="2"/>
  <c r="X154" i="2"/>
  <c r="W154" i="2"/>
  <c r="V154" i="2"/>
  <c r="S154" i="2"/>
  <c r="P154" i="2"/>
  <c r="M154" i="2"/>
  <c r="K154" i="2"/>
  <c r="H154" i="2"/>
  <c r="E154" i="2"/>
  <c r="L154" i="2" s="1"/>
  <c r="X153" i="2"/>
  <c r="V153" i="2"/>
  <c r="S153" i="2"/>
  <c r="W153" i="2" s="1"/>
  <c r="P153" i="2"/>
  <c r="M153" i="2"/>
  <c r="K153" i="2"/>
  <c r="H153" i="2"/>
  <c r="E153" i="2"/>
  <c r="L153" i="2" s="1"/>
  <c r="X152" i="2"/>
  <c r="W152" i="2"/>
  <c r="V152" i="2"/>
  <c r="S152" i="2"/>
  <c r="P152" i="2"/>
  <c r="M152" i="2"/>
  <c r="K152" i="2"/>
  <c r="H152" i="2"/>
  <c r="E152" i="2"/>
  <c r="L152" i="2" s="1"/>
  <c r="X151" i="2"/>
  <c r="V151" i="2"/>
  <c r="S151" i="2"/>
  <c r="P151" i="2"/>
  <c r="W151" i="2" s="1"/>
  <c r="M151" i="2"/>
  <c r="K151" i="2"/>
  <c r="L151" i="2" s="1"/>
  <c r="H151" i="2"/>
  <c r="E151" i="2"/>
  <c r="X150" i="2"/>
  <c r="V150" i="2"/>
  <c r="S150" i="2"/>
  <c r="W150" i="2" s="1"/>
  <c r="P150" i="2"/>
  <c r="M150" i="2"/>
  <c r="K150" i="2"/>
  <c r="H150" i="2"/>
  <c r="E150" i="2"/>
  <c r="L150" i="2" s="1"/>
  <c r="X149" i="2"/>
  <c r="W149" i="2"/>
  <c r="V149" i="2"/>
  <c r="S149" i="2"/>
  <c r="P149" i="2"/>
  <c r="M149" i="2"/>
  <c r="K149" i="2"/>
  <c r="H149" i="2"/>
  <c r="E149" i="2"/>
  <c r="L149" i="2" s="1"/>
  <c r="X148" i="2"/>
  <c r="W148" i="2"/>
  <c r="V148" i="2"/>
  <c r="S148" i="2"/>
  <c r="P148" i="2"/>
  <c r="M148" i="2"/>
  <c r="K148" i="2"/>
  <c r="H148" i="2"/>
  <c r="E148" i="2"/>
  <c r="L148" i="2" s="1"/>
  <c r="X147" i="2"/>
  <c r="V147" i="2"/>
  <c r="S147" i="2"/>
  <c r="P147" i="2"/>
  <c r="M147" i="2"/>
  <c r="K147" i="2"/>
  <c r="L147" i="2" s="1"/>
  <c r="H147" i="2"/>
  <c r="E147" i="2"/>
  <c r="X146" i="2"/>
  <c r="V146" i="2"/>
  <c r="S146" i="2"/>
  <c r="W146" i="2" s="1"/>
  <c r="P146" i="2"/>
  <c r="M146" i="2"/>
  <c r="K146" i="2"/>
  <c r="H146" i="2"/>
  <c r="E146" i="2"/>
  <c r="L146" i="2" s="1"/>
  <c r="X145" i="2"/>
  <c r="V145" i="2"/>
  <c r="S145" i="2"/>
  <c r="W145" i="2" s="1"/>
  <c r="P145" i="2"/>
  <c r="M145" i="2"/>
  <c r="K145" i="2"/>
  <c r="H145" i="2"/>
  <c r="E145" i="2"/>
  <c r="L145" i="2" s="1"/>
  <c r="X144" i="2"/>
  <c r="W144" i="2"/>
  <c r="V144" i="2"/>
  <c r="S144" i="2"/>
  <c r="P144" i="2"/>
  <c r="M144" i="2"/>
  <c r="K144" i="2"/>
  <c r="H144" i="2"/>
  <c r="E144" i="2"/>
  <c r="X143" i="2"/>
  <c r="V143" i="2"/>
  <c r="S143" i="2"/>
  <c r="P143" i="2"/>
  <c r="M143" i="2"/>
  <c r="K143" i="2"/>
  <c r="L143" i="2" s="1"/>
  <c r="H143" i="2"/>
  <c r="E143" i="2"/>
  <c r="X142" i="2"/>
  <c r="V142" i="2"/>
  <c r="S142" i="2"/>
  <c r="W142" i="2" s="1"/>
  <c r="P142" i="2"/>
  <c r="M142" i="2"/>
  <c r="K142" i="2"/>
  <c r="H142" i="2"/>
  <c r="E142" i="2"/>
  <c r="L142" i="2" s="1"/>
  <c r="X141" i="2"/>
  <c r="W141" i="2"/>
  <c r="V141" i="2"/>
  <c r="S141" i="2"/>
  <c r="P141" i="2"/>
  <c r="M141" i="2"/>
  <c r="K141" i="2"/>
  <c r="H141" i="2"/>
  <c r="E141" i="2"/>
  <c r="X140" i="2"/>
  <c r="W140" i="2"/>
  <c r="V140" i="2"/>
  <c r="S140" i="2"/>
  <c r="P140" i="2"/>
  <c r="M140" i="2"/>
  <c r="K140" i="2"/>
  <c r="H140" i="2"/>
  <c r="E140" i="2"/>
  <c r="L140" i="2" s="1"/>
  <c r="X139" i="2"/>
  <c r="V139" i="2"/>
  <c r="S139" i="2"/>
  <c r="P139" i="2"/>
  <c r="M139" i="2"/>
  <c r="K139" i="2"/>
  <c r="L139" i="2" s="1"/>
  <c r="H139" i="2"/>
  <c r="E139" i="2"/>
  <c r="X138" i="2"/>
  <c r="W138" i="2"/>
  <c r="V138" i="2"/>
  <c r="S138" i="2"/>
  <c r="P138" i="2"/>
  <c r="M138" i="2"/>
  <c r="K138" i="2"/>
  <c r="H138" i="2"/>
  <c r="E138" i="2"/>
  <c r="L138" i="2" s="1"/>
  <c r="X137" i="2"/>
  <c r="W137" i="2"/>
  <c r="V137" i="2"/>
  <c r="S137" i="2"/>
  <c r="P137" i="2"/>
  <c r="M137" i="2"/>
  <c r="K137" i="2"/>
  <c r="H137" i="2"/>
  <c r="E137" i="2"/>
  <c r="L137" i="2" s="1"/>
  <c r="X136" i="2"/>
  <c r="W136" i="2"/>
  <c r="V136" i="2"/>
  <c r="S136" i="2"/>
  <c r="P136" i="2"/>
  <c r="M136" i="2"/>
  <c r="K136" i="2"/>
  <c r="H136" i="2"/>
  <c r="E136" i="2"/>
  <c r="L136" i="2" s="1"/>
  <c r="X135" i="2"/>
  <c r="V135" i="2"/>
  <c r="S135" i="2"/>
  <c r="P135" i="2"/>
  <c r="W135" i="2" s="1"/>
  <c r="M135" i="2"/>
  <c r="K135" i="2"/>
  <c r="L135" i="2" s="1"/>
  <c r="H135" i="2"/>
  <c r="E135" i="2"/>
  <c r="X134" i="2"/>
  <c r="W134" i="2"/>
  <c r="V134" i="2"/>
  <c r="S134" i="2"/>
  <c r="P134" i="2"/>
  <c r="M134" i="2"/>
  <c r="K134" i="2"/>
  <c r="H134" i="2"/>
  <c r="E134" i="2"/>
  <c r="L134" i="2" s="1"/>
  <c r="X133" i="2"/>
  <c r="V133" i="2"/>
  <c r="S133" i="2"/>
  <c r="W133" i="2" s="1"/>
  <c r="P133" i="2"/>
  <c r="M133" i="2"/>
  <c r="K133" i="2"/>
  <c r="H133" i="2"/>
  <c r="E133" i="2"/>
  <c r="X132" i="2"/>
  <c r="W132" i="2"/>
  <c r="V132" i="2"/>
  <c r="S132" i="2"/>
  <c r="P132" i="2"/>
  <c r="M132" i="2"/>
  <c r="K132" i="2"/>
  <c r="H132" i="2"/>
  <c r="E132" i="2"/>
  <c r="L132" i="2" s="1"/>
  <c r="X131" i="2"/>
  <c r="V131" i="2"/>
  <c r="S131" i="2"/>
  <c r="P131" i="2"/>
  <c r="W131" i="2" s="1"/>
  <c r="M131" i="2"/>
  <c r="K131" i="2"/>
  <c r="L131" i="2" s="1"/>
  <c r="H131" i="2"/>
  <c r="E131" i="2"/>
  <c r="X130" i="2"/>
  <c r="W130" i="2"/>
  <c r="V130" i="2"/>
  <c r="S130" i="2"/>
  <c r="P130" i="2"/>
  <c r="M130" i="2"/>
  <c r="K130" i="2"/>
  <c r="H130" i="2"/>
  <c r="E130" i="2"/>
  <c r="L130" i="2" s="1"/>
  <c r="X129" i="2"/>
  <c r="V129" i="2"/>
  <c r="S129" i="2"/>
  <c r="W129" i="2" s="1"/>
  <c r="P129" i="2"/>
  <c r="M129" i="2"/>
  <c r="K129" i="2"/>
  <c r="H129" i="2"/>
  <c r="E129" i="2"/>
  <c r="L129" i="2" s="1"/>
  <c r="X128" i="2"/>
  <c r="W128" i="2"/>
  <c r="V128" i="2"/>
  <c r="S128" i="2"/>
  <c r="P128" i="2"/>
  <c r="M128" i="2"/>
  <c r="K128" i="2"/>
  <c r="H128" i="2"/>
  <c r="E128" i="2"/>
  <c r="L128" i="2" s="1"/>
  <c r="X127" i="2"/>
  <c r="V127" i="2"/>
  <c r="S127" i="2"/>
  <c r="P127" i="2"/>
  <c r="M127" i="2"/>
  <c r="K127" i="2"/>
  <c r="L127" i="2" s="1"/>
  <c r="H127" i="2"/>
  <c r="E127" i="2"/>
  <c r="X126" i="2"/>
  <c r="W126" i="2"/>
  <c r="V126" i="2"/>
  <c r="S126" i="2"/>
  <c r="P126" i="2"/>
  <c r="M126" i="2"/>
  <c r="K126" i="2"/>
  <c r="H126" i="2"/>
  <c r="E126" i="2"/>
  <c r="L126" i="2" s="1"/>
  <c r="X125" i="2"/>
  <c r="V125" i="2"/>
  <c r="S125" i="2"/>
  <c r="W125" i="2" s="1"/>
  <c r="P125" i="2"/>
  <c r="M125" i="2"/>
  <c r="K125" i="2"/>
  <c r="H125" i="2"/>
  <c r="E125" i="2"/>
  <c r="L125" i="2" s="1"/>
  <c r="X124" i="2"/>
  <c r="W124" i="2"/>
  <c r="V124" i="2"/>
  <c r="S124" i="2"/>
  <c r="P124" i="2"/>
  <c r="M124" i="2"/>
  <c r="K124" i="2"/>
  <c r="H124" i="2"/>
  <c r="E124" i="2"/>
  <c r="L124" i="2" s="1"/>
  <c r="X123" i="2"/>
  <c r="V123" i="2"/>
  <c r="S123" i="2"/>
  <c r="P123" i="2"/>
  <c r="M123" i="2"/>
  <c r="K123" i="2"/>
  <c r="L123" i="2" s="1"/>
  <c r="H123" i="2"/>
  <c r="E123" i="2"/>
  <c r="X122" i="2"/>
  <c r="V122" i="2"/>
  <c r="S122" i="2"/>
  <c r="W122" i="2" s="1"/>
  <c r="P122" i="2"/>
  <c r="M122" i="2"/>
  <c r="K122" i="2"/>
  <c r="H122" i="2"/>
  <c r="E122" i="2"/>
  <c r="L122" i="2" s="1"/>
  <c r="X121" i="2"/>
  <c r="W121" i="2"/>
  <c r="V121" i="2"/>
  <c r="S121" i="2"/>
  <c r="P121" i="2"/>
  <c r="M121" i="2"/>
  <c r="K121" i="2"/>
  <c r="H121" i="2"/>
  <c r="E121" i="2"/>
  <c r="L121" i="2" s="1"/>
  <c r="X120" i="2"/>
  <c r="W120" i="2"/>
  <c r="V120" i="2"/>
  <c r="S120" i="2"/>
  <c r="P120" i="2"/>
  <c r="M120" i="2"/>
  <c r="K120" i="2"/>
  <c r="H120" i="2"/>
  <c r="E120" i="2"/>
  <c r="X119" i="2"/>
  <c r="V119" i="2"/>
  <c r="S119" i="2"/>
  <c r="P119" i="2"/>
  <c r="W119" i="2" s="1"/>
  <c r="M119" i="2"/>
  <c r="K119" i="2"/>
  <c r="H119" i="2"/>
  <c r="E119" i="2"/>
  <c r="L119" i="2" s="1"/>
  <c r="X118" i="2"/>
  <c r="V118" i="2"/>
  <c r="S118" i="2"/>
  <c r="W118" i="2" s="1"/>
  <c r="P118" i="2"/>
  <c r="M118" i="2"/>
  <c r="K118" i="2"/>
  <c r="H118" i="2"/>
  <c r="E118" i="2"/>
  <c r="L118" i="2" s="1"/>
  <c r="X117" i="2"/>
  <c r="W117" i="2"/>
  <c r="V117" i="2"/>
  <c r="S117" i="2"/>
  <c r="P117" i="2"/>
  <c r="M117" i="2"/>
  <c r="K117" i="2"/>
  <c r="H117" i="2"/>
  <c r="E117" i="2"/>
  <c r="L117" i="2" s="1"/>
  <c r="X116" i="2"/>
  <c r="W116" i="2"/>
  <c r="V116" i="2"/>
  <c r="S116" i="2"/>
  <c r="P116" i="2"/>
  <c r="M116" i="2"/>
  <c r="K116" i="2"/>
  <c r="H116" i="2"/>
  <c r="E116" i="2"/>
  <c r="X115" i="2"/>
  <c r="V115" i="2"/>
  <c r="S115" i="2"/>
  <c r="P115" i="2"/>
  <c r="W115" i="2" s="1"/>
  <c r="M115" i="2"/>
  <c r="K115" i="2"/>
  <c r="H115" i="2"/>
  <c r="E115" i="2"/>
  <c r="X114" i="2"/>
  <c r="V114" i="2"/>
  <c r="S114" i="2"/>
  <c r="W114" i="2" s="1"/>
  <c r="P114" i="2"/>
  <c r="M114" i="2"/>
  <c r="K114" i="2"/>
  <c r="H114" i="2"/>
  <c r="E114" i="2"/>
  <c r="L114" i="2" s="1"/>
  <c r="X113" i="2"/>
  <c r="V113" i="2"/>
  <c r="S113" i="2"/>
  <c r="W113" i="2" s="1"/>
  <c r="P113" i="2"/>
  <c r="M113" i="2"/>
  <c r="K113" i="2"/>
  <c r="H113" i="2"/>
  <c r="E113" i="2"/>
  <c r="X112" i="2"/>
  <c r="W112" i="2"/>
  <c r="V112" i="2"/>
  <c r="S112" i="2"/>
  <c r="P112" i="2"/>
  <c r="M112" i="2"/>
  <c r="K112" i="2"/>
  <c r="H112" i="2"/>
  <c r="E112" i="2"/>
  <c r="X111" i="2"/>
  <c r="V111" i="2"/>
  <c r="S111" i="2"/>
  <c r="P111" i="2"/>
  <c r="M111" i="2"/>
  <c r="K111" i="2"/>
  <c r="H111" i="2"/>
  <c r="E111" i="2"/>
  <c r="X110" i="2"/>
  <c r="V110" i="2"/>
  <c r="S110" i="2"/>
  <c r="W110" i="2" s="1"/>
  <c r="P110" i="2"/>
  <c r="M110" i="2"/>
  <c r="K110" i="2"/>
  <c r="H110" i="2"/>
  <c r="E110" i="2"/>
  <c r="L110" i="2" s="1"/>
  <c r="X109" i="2"/>
  <c r="W109" i="2"/>
  <c r="V109" i="2"/>
  <c r="S109" i="2"/>
  <c r="P109" i="2"/>
  <c r="M109" i="2"/>
  <c r="K109" i="2"/>
  <c r="H109" i="2"/>
  <c r="E109" i="2"/>
  <c r="X108" i="2"/>
  <c r="W108" i="2"/>
  <c r="V108" i="2"/>
  <c r="S108" i="2"/>
  <c r="P108" i="2"/>
  <c r="M108" i="2"/>
  <c r="K108" i="2"/>
  <c r="H108" i="2"/>
  <c r="E108" i="2"/>
  <c r="L108" i="2" s="1"/>
  <c r="X107" i="2"/>
  <c r="V107" i="2"/>
  <c r="S107" i="2"/>
  <c r="P107" i="2"/>
  <c r="M107" i="2"/>
  <c r="K107" i="2"/>
  <c r="H107" i="2"/>
  <c r="E107" i="2"/>
  <c r="L107" i="2" s="1"/>
  <c r="X106" i="2"/>
  <c r="W106" i="2"/>
  <c r="V106" i="2"/>
  <c r="S106" i="2"/>
  <c r="P106" i="2"/>
  <c r="M106" i="2"/>
  <c r="K106" i="2"/>
  <c r="H106" i="2"/>
  <c r="E106" i="2"/>
  <c r="L106" i="2" s="1"/>
  <c r="X105" i="2"/>
  <c r="W105" i="2"/>
  <c r="V105" i="2"/>
  <c r="S105" i="2"/>
  <c r="P105" i="2"/>
  <c r="M105" i="2"/>
  <c r="K105" i="2"/>
  <c r="H105" i="2"/>
  <c r="E105" i="2"/>
  <c r="L105" i="2" s="1"/>
  <c r="X104" i="2"/>
  <c r="W104" i="2"/>
  <c r="V104" i="2"/>
  <c r="S104" i="2"/>
  <c r="P104" i="2"/>
  <c r="M104" i="2"/>
  <c r="K104" i="2"/>
  <c r="H104" i="2"/>
  <c r="E104" i="2"/>
  <c r="L104" i="2" s="1"/>
  <c r="X103" i="2"/>
  <c r="V103" i="2"/>
  <c r="S103" i="2"/>
  <c r="P103" i="2"/>
  <c r="M103" i="2"/>
  <c r="K103" i="2"/>
  <c r="H103" i="2"/>
  <c r="E103" i="2"/>
  <c r="L103" i="2" s="1"/>
  <c r="X102" i="2"/>
  <c r="V102" i="2"/>
  <c r="S102" i="2"/>
  <c r="W102" i="2" s="1"/>
  <c r="P102" i="2"/>
  <c r="M102" i="2"/>
  <c r="K102" i="2"/>
  <c r="H102" i="2"/>
  <c r="E102" i="2"/>
  <c r="L102" i="2" s="1"/>
  <c r="X101" i="2"/>
  <c r="W101" i="2"/>
  <c r="V101" i="2"/>
  <c r="S101" i="2"/>
  <c r="P101" i="2"/>
  <c r="M101" i="2"/>
  <c r="K101" i="2"/>
  <c r="H101" i="2"/>
  <c r="E101" i="2"/>
  <c r="X100" i="2"/>
  <c r="W100" i="2"/>
  <c r="V100" i="2"/>
  <c r="S100" i="2"/>
  <c r="P100" i="2"/>
  <c r="M100" i="2"/>
  <c r="K100" i="2"/>
  <c r="H100" i="2"/>
  <c r="E100" i="2"/>
  <c r="X99" i="2"/>
  <c r="V99" i="2"/>
  <c r="S99" i="2"/>
  <c r="P99" i="2"/>
  <c r="M99" i="2"/>
  <c r="K99" i="2"/>
  <c r="H99" i="2"/>
  <c r="E99" i="2"/>
  <c r="X98" i="2"/>
  <c r="V98" i="2"/>
  <c r="S98" i="2"/>
  <c r="W98" i="2" s="1"/>
  <c r="P98" i="2"/>
  <c r="M98" i="2"/>
  <c r="K98" i="2"/>
  <c r="H98" i="2"/>
  <c r="E98" i="2"/>
  <c r="L98" i="2" s="1"/>
  <c r="X97" i="2"/>
  <c r="V97" i="2"/>
  <c r="S97" i="2"/>
  <c r="W97" i="2" s="1"/>
  <c r="P97" i="2"/>
  <c r="M97" i="2"/>
  <c r="K97" i="2"/>
  <c r="H97" i="2"/>
  <c r="E97" i="2"/>
  <c r="X96" i="2"/>
  <c r="W96" i="2"/>
  <c r="V96" i="2"/>
  <c r="S96" i="2"/>
  <c r="P96" i="2"/>
  <c r="M96" i="2"/>
  <c r="K96" i="2"/>
  <c r="H96" i="2"/>
  <c r="E96" i="2"/>
  <c r="L96" i="2" s="1"/>
  <c r="X95" i="2"/>
  <c r="V95" i="2"/>
  <c r="S95" i="2"/>
  <c r="P95" i="2"/>
  <c r="M95" i="2"/>
  <c r="K95" i="2"/>
  <c r="H95" i="2"/>
  <c r="E95" i="2"/>
  <c r="L95" i="2" s="1"/>
  <c r="X94" i="2"/>
  <c r="W94" i="2"/>
  <c r="V94" i="2"/>
  <c r="S94" i="2"/>
  <c r="P94" i="2"/>
  <c r="M94" i="2"/>
  <c r="K94" i="2"/>
  <c r="H94" i="2"/>
  <c r="E94" i="2"/>
  <c r="L94" i="2" s="1"/>
  <c r="X93" i="2"/>
  <c r="V93" i="2"/>
  <c r="S93" i="2"/>
  <c r="W93" i="2" s="1"/>
  <c r="P93" i="2"/>
  <c r="M93" i="2"/>
  <c r="K93" i="2"/>
  <c r="H93" i="2"/>
  <c r="E93" i="2"/>
  <c r="L93" i="2" s="1"/>
  <c r="X92" i="2"/>
  <c r="W92" i="2"/>
  <c r="V92" i="2"/>
  <c r="S92" i="2"/>
  <c r="P92" i="2"/>
  <c r="M92" i="2"/>
  <c r="K92" i="2"/>
  <c r="H92" i="2"/>
  <c r="E92" i="2"/>
  <c r="L92" i="2" s="1"/>
  <c r="X91" i="2"/>
  <c r="V91" i="2"/>
  <c r="S91" i="2"/>
  <c r="P91" i="2"/>
  <c r="W91" i="2" s="1"/>
  <c r="M91" i="2"/>
  <c r="K91" i="2"/>
  <c r="H91" i="2"/>
  <c r="E91" i="2"/>
  <c r="X90" i="2"/>
  <c r="V90" i="2"/>
  <c r="S90" i="2"/>
  <c r="W90" i="2" s="1"/>
  <c r="P90" i="2"/>
  <c r="M90" i="2"/>
  <c r="K90" i="2"/>
  <c r="H90" i="2"/>
  <c r="E90" i="2"/>
  <c r="L90" i="2" s="1"/>
  <c r="X89" i="2"/>
  <c r="W89" i="2"/>
  <c r="V89" i="2"/>
  <c r="S89" i="2"/>
  <c r="P89" i="2"/>
  <c r="M89" i="2"/>
  <c r="K89" i="2"/>
  <c r="H89" i="2"/>
  <c r="E89" i="2"/>
  <c r="L89" i="2" s="1"/>
  <c r="X88" i="2"/>
  <c r="W88" i="2"/>
  <c r="V88" i="2"/>
  <c r="S88" i="2"/>
  <c r="P88" i="2"/>
  <c r="M88" i="2"/>
  <c r="K88" i="2"/>
  <c r="H88" i="2"/>
  <c r="E88" i="2"/>
  <c r="L88" i="2" s="1"/>
  <c r="X87" i="2"/>
  <c r="V87" i="2"/>
  <c r="S87" i="2"/>
  <c r="P87" i="2"/>
  <c r="W87" i="2" s="1"/>
  <c r="M87" i="2"/>
  <c r="K87" i="2"/>
  <c r="H87" i="2"/>
  <c r="E87" i="2"/>
  <c r="X86" i="2"/>
  <c r="W86" i="2"/>
  <c r="V86" i="2"/>
  <c r="S86" i="2"/>
  <c r="P86" i="2"/>
  <c r="M86" i="2"/>
  <c r="K86" i="2"/>
  <c r="H86" i="2"/>
  <c r="E86" i="2"/>
  <c r="L86" i="2" s="1"/>
  <c r="X85" i="2"/>
  <c r="V85" i="2"/>
  <c r="S85" i="2"/>
  <c r="W85" i="2" s="1"/>
  <c r="P85" i="2"/>
  <c r="M85" i="2"/>
  <c r="K85" i="2"/>
  <c r="H85" i="2"/>
  <c r="E85" i="2"/>
  <c r="L85" i="2" s="1"/>
  <c r="X84" i="2"/>
  <c r="W84" i="2"/>
  <c r="V84" i="2"/>
  <c r="S84" i="2"/>
  <c r="P84" i="2"/>
  <c r="M84" i="2"/>
  <c r="K84" i="2"/>
  <c r="H84" i="2"/>
  <c r="E84" i="2"/>
  <c r="L84" i="2" s="1"/>
  <c r="X83" i="2"/>
  <c r="V83" i="2"/>
  <c r="S83" i="2"/>
  <c r="P83" i="2"/>
  <c r="W83" i="2" s="1"/>
  <c r="M83" i="2"/>
  <c r="K83" i="2"/>
  <c r="H83" i="2"/>
  <c r="E83" i="2"/>
  <c r="X82" i="2"/>
  <c r="V82" i="2"/>
  <c r="S82" i="2"/>
  <c r="W82" i="2" s="1"/>
  <c r="P82" i="2"/>
  <c r="M82" i="2"/>
  <c r="K82" i="2"/>
  <c r="H82" i="2"/>
  <c r="E82" i="2"/>
  <c r="L82" i="2" s="1"/>
  <c r="X81" i="2"/>
  <c r="V81" i="2"/>
  <c r="S81" i="2"/>
  <c r="W81" i="2" s="1"/>
  <c r="P81" i="2"/>
  <c r="M81" i="2"/>
  <c r="K81" i="2"/>
  <c r="H81" i="2"/>
  <c r="E81" i="2"/>
  <c r="X80" i="2"/>
  <c r="W80" i="2"/>
  <c r="V80" i="2"/>
  <c r="S80" i="2"/>
  <c r="P80" i="2"/>
  <c r="M80" i="2"/>
  <c r="K80" i="2"/>
  <c r="H80" i="2"/>
  <c r="E80" i="2"/>
  <c r="L80" i="2" s="1"/>
  <c r="X79" i="2"/>
  <c r="V79" i="2"/>
  <c r="S79" i="2"/>
  <c r="P79" i="2"/>
  <c r="W79" i="2" s="1"/>
  <c r="M79" i="2"/>
  <c r="K79" i="2"/>
  <c r="H79" i="2"/>
  <c r="E79" i="2"/>
  <c r="L79" i="2" s="1"/>
  <c r="X78" i="2"/>
  <c r="W78" i="2"/>
  <c r="V78" i="2"/>
  <c r="S78" i="2"/>
  <c r="P78" i="2"/>
  <c r="M78" i="2"/>
  <c r="K78" i="2"/>
  <c r="H78" i="2"/>
  <c r="E78" i="2"/>
  <c r="L78" i="2" s="1"/>
  <c r="X77" i="2"/>
  <c r="V77" i="2"/>
  <c r="S77" i="2"/>
  <c r="W77" i="2" s="1"/>
  <c r="P77" i="2"/>
  <c r="M77" i="2"/>
  <c r="K77" i="2"/>
  <c r="H77" i="2"/>
  <c r="E77" i="2"/>
  <c r="L77" i="2" s="1"/>
  <c r="X76" i="2"/>
  <c r="W76" i="2"/>
  <c r="V76" i="2"/>
  <c r="S76" i="2"/>
  <c r="P76" i="2"/>
  <c r="M76" i="2"/>
  <c r="K76" i="2"/>
  <c r="H76" i="2"/>
  <c r="E76" i="2"/>
  <c r="L76" i="2" s="1"/>
  <c r="X75" i="2"/>
  <c r="V75" i="2"/>
  <c r="S75" i="2"/>
  <c r="P75" i="2"/>
  <c r="W75" i="2" s="1"/>
  <c r="M75" i="2"/>
  <c r="K75" i="2"/>
  <c r="H75" i="2"/>
  <c r="E75" i="2"/>
  <c r="X74" i="2"/>
  <c r="V74" i="2"/>
  <c r="S74" i="2"/>
  <c r="W74" i="2" s="1"/>
  <c r="P74" i="2"/>
  <c r="M74" i="2"/>
  <c r="K74" i="2"/>
  <c r="H74" i="2"/>
  <c r="E74" i="2"/>
  <c r="L74" i="2" s="1"/>
  <c r="X73" i="2"/>
  <c r="W73" i="2"/>
  <c r="V73" i="2"/>
  <c r="S73" i="2"/>
  <c r="P73" i="2"/>
  <c r="M73" i="2"/>
  <c r="K73" i="2"/>
  <c r="H73" i="2"/>
  <c r="E73" i="2"/>
  <c r="L73" i="2" s="1"/>
  <c r="X72" i="2"/>
  <c r="W72" i="2"/>
  <c r="V72" i="2"/>
  <c r="S72" i="2"/>
  <c r="P72" i="2"/>
  <c r="M72" i="2"/>
  <c r="K72" i="2"/>
  <c r="H72" i="2"/>
  <c r="E72" i="2"/>
  <c r="L72" i="2" s="1"/>
  <c r="X71" i="2"/>
  <c r="V71" i="2"/>
  <c r="S71" i="2"/>
  <c r="P71" i="2"/>
  <c r="W71" i="2" s="1"/>
  <c r="M71" i="2"/>
  <c r="K71" i="2"/>
  <c r="H71" i="2"/>
  <c r="E71" i="2"/>
  <c r="L71" i="2" s="1"/>
  <c r="X70" i="2"/>
  <c r="W70" i="2"/>
  <c r="V70" i="2"/>
  <c r="S70" i="2"/>
  <c r="P70" i="2"/>
  <c r="M70" i="2"/>
  <c r="K70" i="2"/>
  <c r="H70" i="2"/>
  <c r="E70" i="2"/>
  <c r="L70" i="2" s="1"/>
  <c r="X69" i="2"/>
  <c r="V69" i="2"/>
  <c r="S69" i="2"/>
  <c r="W69" i="2" s="1"/>
  <c r="P69" i="2"/>
  <c r="M69" i="2"/>
  <c r="K69" i="2"/>
  <c r="H69" i="2"/>
  <c r="E69" i="2"/>
  <c r="L69" i="2" s="1"/>
  <c r="X68" i="2"/>
  <c r="W68" i="2"/>
  <c r="V68" i="2"/>
  <c r="S68" i="2"/>
  <c r="P68" i="2"/>
  <c r="M68" i="2"/>
  <c r="K68" i="2"/>
  <c r="H68" i="2"/>
  <c r="E68" i="2"/>
  <c r="L68" i="2" s="1"/>
  <c r="X67" i="2"/>
  <c r="V67" i="2"/>
  <c r="S67" i="2"/>
  <c r="P67" i="2"/>
  <c r="W67" i="2" s="1"/>
  <c r="M67" i="2"/>
  <c r="K67" i="2"/>
  <c r="H67" i="2"/>
  <c r="E67" i="2"/>
  <c r="X66" i="2"/>
  <c r="V66" i="2"/>
  <c r="S66" i="2"/>
  <c r="W66" i="2" s="1"/>
  <c r="P66" i="2"/>
  <c r="M66" i="2"/>
  <c r="K66" i="2"/>
  <c r="H66" i="2"/>
  <c r="E66" i="2"/>
  <c r="L66" i="2" s="1"/>
  <c r="X65" i="2"/>
  <c r="V65" i="2"/>
  <c r="S65" i="2"/>
  <c r="W65" i="2" s="1"/>
  <c r="P65" i="2"/>
  <c r="M65" i="2"/>
  <c r="K65" i="2"/>
  <c r="H65" i="2"/>
  <c r="E65" i="2"/>
  <c r="L65" i="2" s="1"/>
  <c r="X64" i="2"/>
  <c r="W64" i="2"/>
  <c r="V64" i="2"/>
  <c r="S64" i="2"/>
  <c r="P64" i="2"/>
  <c r="M64" i="2"/>
  <c r="K64" i="2"/>
  <c r="H64" i="2"/>
  <c r="E64" i="2"/>
  <c r="L64" i="2" s="1"/>
  <c r="X63" i="2"/>
  <c r="V63" i="2"/>
  <c r="S63" i="2"/>
  <c r="P63" i="2"/>
  <c r="W63" i="2" s="1"/>
  <c r="M63" i="2"/>
  <c r="K63" i="2"/>
  <c r="H63" i="2"/>
  <c r="E63" i="2"/>
  <c r="L63" i="2" s="1"/>
  <c r="X62" i="2"/>
  <c r="W62" i="2"/>
  <c r="V62" i="2"/>
  <c r="S62" i="2"/>
  <c r="P62" i="2"/>
  <c r="M62" i="2"/>
  <c r="K62" i="2"/>
  <c r="H62" i="2"/>
  <c r="E62" i="2"/>
  <c r="L62" i="2" s="1"/>
  <c r="X61" i="2"/>
  <c r="V61" i="2"/>
  <c r="S61" i="2"/>
  <c r="W61" i="2" s="1"/>
  <c r="P61" i="2"/>
  <c r="M61" i="2"/>
  <c r="K61" i="2"/>
  <c r="H61" i="2"/>
  <c r="E61" i="2"/>
  <c r="L61" i="2" s="1"/>
  <c r="X60" i="2"/>
  <c r="W60" i="2"/>
  <c r="V60" i="2"/>
  <c r="S60" i="2"/>
  <c r="P60" i="2"/>
  <c r="M60" i="2"/>
  <c r="K60" i="2"/>
  <c r="H60" i="2"/>
  <c r="E60" i="2"/>
  <c r="L60" i="2" s="1"/>
  <c r="X59" i="2"/>
  <c r="V59" i="2"/>
  <c r="S59" i="2"/>
  <c r="P59" i="2"/>
  <c r="W59" i="2" s="1"/>
  <c r="M59" i="2"/>
  <c r="K59" i="2"/>
  <c r="H59" i="2"/>
  <c r="E59" i="2"/>
  <c r="X58" i="2"/>
  <c r="V58" i="2"/>
  <c r="S58" i="2"/>
  <c r="W58" i="2" s="1"/>
  <c r="P58" i="2"/>
  <c r="M58" i="2"/>
  <c r="K58" i="2"/>
  <c r="H58" i="2"/>
  <c r="E58" i="2"/>
  <c r="L58" i="2" s="1"/>
  <c r="X57" i="2"/>
  <c r="V57" i="2"/>
  <c r="S57" i="2"/>
  <c r="W57" i="2" s="1"/>
  <c r="P57" i="2"/>
  <c r="M57" i="2"/>
  <c r="K57" i="2"/>
  <c r="H57" i="2"/>
  <c r="E57" i="2"/>
  <c r="X56" i="2"/>
  <c r="W56" i="2"/>
  <c r="V56" i="2"/>
  <c r="S56" i="2"/>
  <c r="P56" i="2"/>
  <c r="M56" i="2"/>
  <c r="K56" i="2"/>
  <c r="H56" i="2"/>
  <c r="E56" i="2"/>
  <c r="L56" i="2" s="1"/>
  <c r="X55" i="2"/>
  <c r="V55" i="2"/>
  <c r="S55" i="2"/>
  <c r="P55" i="2"/>
  <c r="W55" i="2" s="1"/>
  <c r="M55" i="2"/>
  <c r="K55" i="2"/>
  <c r="H55" i="2"/>
  <c r="E55" i="2"/>
  <c r="X54" i="2"/>
  <c r="W54" i="2"/>
  <c r="V54" i="2"/>
  <c r="S54" i="2"/>
  <c r="P54" i="2"/>
  <c r="M54" i="2"/>
  <c r="K54" i="2"/>
  <c r="H54" i="2"/>
  <c r="E54" i="2"/>
  <c r="L54" i="2" s="1"/>
  <c r="X53" i="2"/>
  <c r="V53" i="2"/>
  <c r="S53" i="2"/>
  <c r="W53" i="2" s="1"/>
  <c r="P53" i="2"/>
  <c r="M53" i="2"/>
  <c r="K53" i="2"/>
  <c r="H53" i="2"/>
  <c r="E53" i="2"/>
  <c r="L53" i="2" s="1"/>
  <c r="X52" i="2"/>
  <c r="W52" i="2"/>
  <c r="V52" i="2"/>
  <c r="S52" i="2"/>
  <c r="P52" i="2"/>
  <c r="M52" i="2"/>
  <c r="K52" i="2"/>
  <c r="H52" i="2"/>
  <c r="E52" i="2"/>
  <c r="L52" i="2" s="1"/>
  <c r="X51" i="2"/>
  <c r="V51" i="2"/>
  <c r="S51" i="2"/>
  <c r="P51" i="2"/>
  <c r="W51" i="2" s="1"/>
  <c r="M51" i="2"/>
  <c r="K51" i="2"/>
  <c r="H51" i="2"/>
  <c r="E51" i="2"/>
  <c r="X50" i="2"/>
  <c r="V50" i="2"/>
  <c r="S50" i="2"/>
  <c r="W50" i="2" s="1"/>
  <c r="P50" i="2"/>
  <c r="M50" i="2"/>
  <c r="K50" i="2"/>
  <c r="H50" i="2"/>
  <c r="E50" i="2"/>
  <c r="L50" i="2" s="1"/>
  <c r="X49" i="2"/>
  <c r="V49" i="2"/>
  <c r="S49" i="2"/>
  <c r="W49" i="2" s="1"/>
  <c r="P49" i="2"/>
  <c r="M49" i="2"/>
  <c r="K49" i="2"/>
  <c r="H49" i="2"/>
  <c r="E49" i="2"/>
  <c r="X48" i="2"/>
  <c r="W48" i="2"/>
  <c r="V48" i="2"/>
  <c r="S48" i="2"/>
  <c r="P48" i="2"/>
  <c r="M48" i="2"/>
  <c r="K48" i="2"/>
  <c r="H48" i="2"/>
  <c r="E48" i="2"/>
  <c r="L48" i="2" s="1"/>
  <c r="X47" i="2"/>
  <c r="V47" i="2"/>
  <c r="S47" i="2"/>
  <c r="P47" i="2"/>
  <c r="W47" i="2" s="1"/>
  <c r="M47" i="2"/>
  <c r="K47" i="2"/>
  <c r="H47" i="2"/>
  <c r="E47" i="2"/>
  <c r="X46" i="2"/>
  <c r="W46" i="2"/>
  <c r="V46" i="2"/>
  <c r="S46" i="2"/>
  <c r="P46" i="2"/>
  <c r="M46" i="2"/>
  <c r="K46" i="2"/>
  <c r="H46" i="2"/>
  <c r="E46" i="2"/>
  <c r="L46" i="2" s="1"/>
  <c r="X45" i="2"/>
  <c r="V45" i="2"/>
  <c r="S45" i="2"/>
  <c r="W45" i="2" s="1"/>
  <c r="P45" i="2"/>
  <c r="M45" i="2"/>
  <c r="K45" i="2"/>
  <c r="H45" i="2"/>
  <c r="E45" i="2"/>
  <c r="L45" i="2" s="1"/>
  <c r="X44" i="2"/>
  <c r="W44" i="2"/>
  <c r="V44" i="2"/>
  <c r="S44" i="2"/>
  <c r="P44" i="2"/>
  <c r="M44" i="2"/>
  <c r="K44" i="2"/>
  <c r="H44" i="2"/>
  <c r="E44" i="2"/>
  <c r="L44" i="2" s="1"/>
  <c r="X43" i="2"/>
  <c r="V43" i="2"/>
  <c r="S43" i="2"/>
  <c r="P43" i="2"/>
  <c r="W43" i="2" s="1"/>
  <c r="M43" i="2"/>
  <c r="K43" i="2"/>
  <c r="H43" i="2"/>
  <c r="E43" i="2"/>
  <c r="X42" i="2"/>
  <c r="V42" i="2"/>
  <c r="S42" i="2"/>
  <c r="W42" i="2" s="1"/>
  <c r="P42" i="2"/>
  <c r="M42" i="2"/>
  <c r="K42" i="2"/>
  <c r="H42" i="2"/>
  <c r="E42" i="2"/>
  <c r="L42" i="2" s="1"/>
  <c r="X41" i="2"/>
  <c r="V41" i="2"/>
  <c r="S41" i="2"/>
  <c r="W41" i="2" s="1"/>
  <c r="P41" i="2"/>
  <c r="M41" i="2"/>
  <c r="K41" i="2"/>
  <c r="H41" i="2"/>
  <c r="E41" i="2"/>
  <c r="L41" i="2" s="1"/>
  <c r="X40" i="2"/>
  <c r="W40" i="2"/>
  <c r="V40" i="2"/>
  <c r="S40" i="2"/>
  <c r="P40" i="2"/>
  <c r="M40" i="2"/>
  <c r="K40" i="2"/>
  <c r="H40" i="2"/>
  <c r="E40" i="2"/>
  <c r="L40" i="2" s="1"/>
  <c r="X39" i="2"/>
  <c r="V39" i="2"/>
  <c r="S39" i="2"/>
  <c r="P39" i="2"/>
  <c r="W39" i="2" s="1"/>
  <c r="M39" i="2"/>
  <c r="K39" i="2"/>
  <c r="H39" i="2"/>
  <c r="E39" i="2"/>
  <c r="X38" i="2"/>
  <c r="W38" i="2"/>
  <c r="V38" i="2"/>
  <c r="S38" i="2"/>
  <c r="P38" i="2"/>
  <c r="M38" i="2"/>
  <c r="K38" i="2"/>
  <c r="H38" i="2"/>
  <c r="E38" i="2"/>
  <c r="L38" i="2" s="1"/>
  <c r="X37" i="2"/>
  <c r="V37" i="2"/>
  <c r="S37" i="2"/>
  <c r="W37" i="2" s="1"/>
  <c r="P37" i="2"/>
  <c r="M37" i="2"/>
  <c r="K37" i="2"/>
  <c r="H37" i="2"/>
  <c r="E37" i="2"/>
  <c r="L37" i="2" s="1"/>
  <c r="X36" i="2"/>
  <c r="W36" i="2"/>
  <c r="V36" i="2"/>
  <c r="S36" i="2"/>
  <c r="P36" i="2"/>
  <c r="M36" i="2"/>
  <c r="K36" i="2"/>
  <c r="H36" i="2"/>
  <c r="E36" i="2"/>
  <c r="L36" i="2" s="1"/>
  <c r="X35" i="2"/>
  <c r="V35" i="2"/>
  <c r="S35" i="2"/>
  <c r="P35" i="2"/>
  <c r="W35" i="2" s="1"/>
  <c r="M35" i="2"/>
  <c r="K35" i="2"/>
  <c r="H35" i="2"/>
  <c r="E35" i="2"/>
  <c r="X34" i="2"/>
  <c r="V34" i="2"/>
  <c r="S34" i="2"/>
  <c r="W34" i="2" s="1"/>
  <c r="P34" i="2"/>
  <c r="M34" i="2"/>
  <c r="K34" i="2"/>
  <c r="H34" i="2"/>
  <c r="E34" i="2"/>
  <c r="L34" i="2" s="1"/>
  <c r="X33" i="2"/>
  <c r="V33" i="2"/>
  <c r="S33" i="2"/>
  <c r="W33" i="2" s="1"/>
  <c r="P33" i="2"/>
  <c r="M33" i="2"/>
  <c r="K33" i="2"/>
  <c r="H33" i="2"/>
  <c r="E33" i="2"/>
  <c r="X32" i="2"/>
  <c r="W32" i="2"/>
  <c r="V32" i="2"/>
  <c r="S32" i="2"/>
  <c r="P32" i="2"/>
  <c r="M32" i="2"/>
  <c r="K32" i="2"/>
  <c r="H32" i="2"/>
  <c r="E32" i="2"/>
  <c r="L32" i="2" s="1"/>
  <c r="X31" i="2"/>
  <c r="V31" i="2"/>
  <c r="S31" i="2"/>
  <c r="P31" i="2"/>
  <c r="W31" i="2" s="1"/>
  <c r="M31" i="2"/>
  <c r="K31" i="2"/>
  <c r="L31" i="2" s="1"/>
  <c r="H31" i="2"/>
  <c r="E31" i="2"/>
  <c r="X30" i="2"/>
  <c r="W30" i="2"/>
  <c r="V30" i="2"/>
  <c r="S30" i="2"/>
  <c r="P30" i="2"/>
  <c r="M30" i="2"/>
  <c r="K30" i="2"/>
  <c r="H30" i="2"/>
  <c r="E30" i="2"/>
  <c r="L30" i="2" s="1"/>
  <c r="X29" i="2"/>
  <c r="V29" i="2"/>
  <c r="S29" i="2"/>
  <c r="W29" i="2" s="1"/>
  <c r="P29" i="2"/>
  <c r="M29" i="2"/>
  <c r="K29" i="2"/>
  <c r="H29" i="2"/>
  <c r="E29" i="2"/>
  <c r="L29" i="2" s="1"/>
  <c r="X28" i="2"/>
  <c r="W28" i="2"/>
  <c r="V28" i="2"/>
  <c r="S28" i="2"/>
  <c r="P28" i="2"/>
  <c r="M28" i="2"/>
  <c r="K28" i="2"/>
  <c r="H28" i="2"/>
  <c r="E28" i="2"/>
  <c r="L28" i="2" s="1"/>
  <c r="X27" i="2"/>
  <c r="V27" i="2"/>
  <c r="S27" i="2"/>
  <c r="P27" i="2"/>
  <c r="W27" i="2" s="1"/>
  <c r="M27" i="2"/>
  <c r="K27" i="2"/>
  <c r="L27" i="2" s="1"/>
  <c r="H27" i="2"/>
  <c r="E27" i="2"/>
  <c r="X26" i="2"/>
  <c r="V26" i="2"/>
  <c r="S26" i="2"/>
  <c r="W26" i="2" s="1"/>
  <c r="P26" i="2"/>
  <c r="M26" i="2"/>
  <c r="K26" i="2"/>
  <c r="H26" i="2"/>
  <c r="E26" i="2"/>
  <c r="L26" i="2" s="1"/>
  <c r="X25" i="2"/>
  <c r="V25" i="2"/>
  <c r="S25" i="2"/>
  <c r="W25" i="2" s="1"/>
  <c r="P25" i="2"/>
  <c r="M25" i="2"/>
  <c r="K25" i="2"/>
  <c r="H25" i="2"/>
  <c r="E25" i="2"/>
  <c r="L25" i="2" s="1"/>
  <c r="X24" i="2"/>
  <c r="W24" i="2"/>
  <c r="V24" i="2"/>
  <c r="S24" i="2"/>
  <c r="P24" i="2"/>
  <c r="M24" i="2"/>
  <c r="K24" i="2"/>
  <c r="H24" i="2"/>
  <c r="E24" i="2"/>
  <c r="L24" i="2" s="1"/>
  <c r="X23" i="2"/>
  <c r="V23" i="2"/>
  <c r="S23" i="2"/>
  <c r="P23" i="2"/>
  <c r="W23" i="2" s="1"/>
  <c r="M23" i="2"/>
  <c r="K23" i="2"/>
  <c r="H23" i="2"/>
  <c r="E23" i="2"/>
  <c r="L23" i="2" s="1"/>
  <c r="X22" i="2"/>
  <c r="W22" i="2"/>
  <c r="V22" i="2"/>
  <c r="S22" i="2"/>
  <c r="P22" i="2"/>
  <c r="M22" i="2"/>
  <c r="K22" i="2"/>
  <c r="H22" i="2"/>
  <c r="E22" i="2"/>
  <c r="L22" i="2" s="1"/>
  <c r="X21" i="2"/>
  <c r="W21" i="2"/>
  <c r="V21" i="2"/>
  <c r="S21" i="2"/>
  <c r="P21" i="2"/>
  <c r="M21" i="2"/>
  <c r="K21" i="2"/>
  <c r="H21" i="2"/>
  <c r="E21" i="2"/>
  <c r="L21" i="2" s="1"/>
  <c r="X20" i="2"/>
  <c r="W20" i="2"/>
  <c r="V20" i="2"/>
  <c r="S20" i="2"/>
  <c r="P20" i="2"/>
  <c r="M20" i="2"/>
  <c r="K20" i="2"/>
  <c r="H20" i="2"/>
  <c r="E20" i="2"/>
  <c r="L20" i="2" s="1"/>
  <c r="X19" i="2"/>
  <c r="V19" i="2"/>
  <c r="S19" i="2"/>
  <c r="P19" i="2"/>
  <c r="W19" i="2" s="1"/>
  <c r="M19" i="2"/>
  <c r="K19" i="2"/>
  <c r="H19" i="2"/>
  <c r="E19" i="2"/>
  <c r="X18" i="2"/>
  <c r="V18" i="2"/>
  <c r="S18" i="2"/>
  <c r="W18" i="2" s="1"/>
  <c r="P18" i="2"/>
  <c r="M18" i="2"/>
  <c r="K18" i="2"/>
  <c r="H18" i="2"/>
  <c r="E18" i="2"/>
  <c r="L18" i="2" s="1"/>
  <c r="X17" i="2"/>
  <c r="V17" i="2"/>
  <c r="S17" i="2"/>
  <c r="W17" i="2" s="1"/>
  <c r="P17" i="2"/>
  <c r="M17" i="2"/>
  <c r="K17" i="2"/>
  <c r="H17" i="2"/>
  <c r="E17" i="2"/>
  <c r="L17" i="2" s="1"/>
  <c r="X16" i="2"/>
  <c r="W16" i="2"/>
  <c r="V16" i="2"/>
  <c r="S16" i="2"/>
  <c r="P16" i="2"/>
  <c r="M16" i="2"/>
  <c r="K16" i="2"/>
  <c r="H16" i="2"/>
  <c r="E16" i="2"/>
  <c r="L16" i="2" s="1"/>
  <c r="X15" i="2"/>
  <c r="V15" i="2"/>
  <c r="S15" i="2"/>
  <c r="P15" i="2"/>
  <c r="W15" i="2" s="1"/>
  <c r="M15" i="2"/>
  <c r="K15" i="2"/>
  <c r="H15" i="2"/>
  <c r="E15" i="2"/>
  <c r="L15" i="2" s="1"/>
  <c r="X14" i="2"/>
  <c r="W14" i="2"/>
  <c r="V14" i="2"/>
  <c r="S14" i="2"/>
  <c r="P14" i="2"/>
  <c r="M14" i="2"/>
  <c r="K14" i="2"/>
  <c r="H14" i="2"/>
  <c r="E14" i="2"/>
  <c r="L14" i="2" s="1"/>
  <c r="X13" i="2"/>
  <c r="V13" i="2"/>
  <c r="S13" i="2"/>
  <c r="W13" i="2" s="1"/>
  <c r="P13" i="2"/>
  <c r="M13" i="2"/>
  <c r="K13" i="2"/>
  <c r="H13" i="2"/>
  <c r="E13" i="2"/>
  <c r="L13" i="2" s="1"/>
  <c r="AT12" i="2"/>
  <c r="AS12" i="2"/>
  <c r="AU12" i="2" s="1"/>
  <c r="AQ12" i="2"/>
  <c r="AP12" i="2"/>
  <c r="AR12" i="2" s="1"/>
  <c r="AN12" i="2"/>
  <c r="AM12" i="2"/>
  <c r="AI12" i="2"/>
  <c r="AH12" i="2"/>
  <c r="AJ12" i="2" s="1"/>
  <c r="AF12" i="2"/>
  <c r="AE12" i="2"/>
  <c r="AG12" i="2" s="1"/>
  <c r="AC12" i="2"/>
  <c r="AB12" i="2"/>
  <c r="AL12" i="2" s="1"/>
  <c r="X12" i="2"/>
  <c r="V12" i="2"/>
  <c r="S12" i="2"/>
  <c r="P12" i="2"/>
  <c r="W12" i="2" s="1"/>
  <c r="M12" i="2"/>
  <c r="K12" i="2"/>
  <c r="H12" i="2"/>
  <c r="E12" i="2"/>
  <c r="L12" i="2" s="1"/>
  <c r="X11" i="2"/>
  <c r="V11" i="2"/>
  <c r="S11" i="2"/>
  <c r="P11" i="2"/>
  <c r="W11" i="2" s="1"/>
  <c r="M11" i="2"/>
  <c r="K11" i="2"/>
  <c r="H11" i="2"/>
  <c r="E11" i="2"/>
  <c r="L11" i="2" s="1"/>
  <c r="AU10" i="2"/>
  <c r="AT10" i="2"/>
  <c r="AS10" i="2"/>
  <c r="AQ10" i="2"/>
  <c r="AP10" i="2"/>
  <c r="AR10" i="2" s="1"/>
  <c r="AN10" i="2"/>
  <c r="AM10" i="2"/>
  <c r="AW10" i="2" s="1"/>
  <c r="AI10" i="2"/>
  <c r="AH10" i="2"/>
  <c r="AJ10" i="2" s="1"/>
  <c r="AF10" i="2"/>
  <c r="AE10" i="2"/>
  <c r="AG10" i="2" s="1"/>
  <c r="AC10" i="2"/>
  <c r="AB10" i="2"/>
  <c r="AL10" i="2" s="1"/>
  <c r="X10" i="2"/>
  <c r="V10" i="2"/>
  <c r="S10" i="2"/>
  <c r="P10" i="2"/>
  <c r="W10" i="2" s="1"/>
  <c r="M10" i="2"/>
  <c r="K10" i="2"/>
  <c r="H10" i="2"/>
  <c r="E10" i="2"/>
  <c r="L10" i="2" s="1"/>
  <c r="AU9" i="2"/>
  <c r="AT9" i="2"/>
  <c r="AS9" i="2"/>
  <c r="AQ9" i="2"/>
  <c r="AP9" i="2"/>
  <c r="AR9" i="2" s="1"/>
  <c r="AN9" i="2"/>
  <c r="AM9" i="2"/>
  <c r="AW9" i="2" s="1"/>
  <c r="AI9" i="2"/>
  <c r="AH9" i="2"/>
  <c r="AJ9" i="2" s="1"/>
  <c r="AF9" i="2"/>
  <c r="AE9" i="2"/>
  <c r="AG9" i="2" s="1"/>
  <c r="AC9" i="2"/>
  <c r="AB9" i="2"/>
  <c r="AL9" i="2" s="1"/>
  <c r="X9" i="2"/>
  <c r="V9" i="2"/>
  <c r="S9" i="2"/>
  <c r="P9" i="2"/>
  <c r="W9" i="2" s="1"/>
  <c r="M9" i="2"/>
  <c r="K9" i="2"/>
  <c r="H9" i="2"/>
  <c r="E9" i="2"/>
  <c r="L9" i="2" s="1"/>
  <c r="AU8" i="2"/>
  <c r="AT8" i="2"/>
  <c r="AS8" i="2"/>
  <c r="AQ8" i="2"/>
  <c r="AP8" i="2"/>
  <c r="AR8" i="2" s="1"/>
  <c r="AN8" i="2"/>
  <c r="AM8" i="2"/>
  <c r="AW8" i="2" s="1"/>
  <c r="AI8" i="2"/>
  <c r="AH8" i="2"/>
  <c r="AJ8" i="2" s="1"/>
  <c r="AF8" i="2"/>
  <c r="AE8" i="2"/>
  <c r="AG8" i="2" s="1"/>
  <c r="AC8" i="2"/>
  <c r="AB8" i="2"/>
  <c r="AL8" i="2" s="1"/>
  <c r="X8" i="2"/>
  <c r="V8" i="2"/>
  <c r="S8" i="2"/>
  <c r="P8" i="2"/>
  <c r="W8" i="2" s="1"/>
  <c r="M8" i="2"/>
  <c r="K8" i="2"/>
  <c r="H8" i="2"/>
  <c r="E8" i="2"/>
  <c r="L8" i="2" s="1"/>
  <c r="AU7" i="2"/>
  <c r="AT7" i="2"/>
  <c r="AS7" i="2"/>
  <c r="AQ7" i="2"/>
  <c r="AP7" i="2"/>
  <c r="AR7" i="2" s="1"/>
  <c r="AN7" i="2"/>
  <c r="AM7" i="2"/>
  <c r="AW7" i="2" s="1"/>
  <c r="AI7" i="2"/>
  <c r="AH7" i="2"/>
  <c r="AJ7" i="2" s="1"/>
  <c r="AF7" i="2"/>
  <c r="AE7" i="2"/>
  <c r="AG7" i="2" s="1"/>
  <c r="AC7" i="2"/>
  <c r="AB7" i="2"/>
  <c r="AL7" i="2" s="1"/>
  <c r="X7" i="2"/>
  <c r="V7" i="2"/>
  <c r="S7" i="2"/>
  <c r="P7" i="2"/>
  <c r="W7" i="2" s="1"/>
  <c r="M7" i="2"/>
  <c r="K7" i="2"/>
  <c r="H7" i="2"/>
  <c r="E7" i="2"/>
  <c r="L7" i="2" s="1"/>
  <c r="AU6" i="2"/>
  <c r="AT6" i="2"/>
  <c r="AS6" i="2"/>
  <c r="AQ6" i="2"/>
  <c r="AP6" i="2"/>
  <c r="AR6" i="2" s="1"/>
  <c r="AN6" i="2"/>
  <c r="AM6" i="2"/>
  <c r="AW6" i="2" s="1"/>
  <c r="AI6" i="2"/>
  <c r="AH6" i="2"/>
  <c r="AJ6" i="2" s="1"/>
  <c r="AF6" i="2"/>
  <c r="AE6" i="2"/>
  <c r="AG6" i="2" s="1"/>
  <c r="AC6" i="2"/>
  <c r="AB6" i="2"/>
  <c r="AL6" i="2" s="1"/>
  <c r="X6" i="2"/>
  <c r="V6" i="2"/>
  <c r="S6" i="2"/>
  <c r="P6" i="2"/>
  <c r="W6" i="2" s="1"/>
  <c r="M6" i="2"/>
  <c r="K6" i="2"/>
  <c r="H6" i="2"/>
  <c r="E6" i="2"/>
  <c r="L6" i="2" s="1"/>
  <c r="AU5" i="2"/>
  <c r="AT5" i="2"/>
  <c r="AS5" i="2"/>
  <c r="AQ5" i="2"/>
  <c r="AP5" i="2"/>
  <c r="AR5" i="2" s="1"/>
  <c r="AN5" i="2"/>
  <c r="AM5" i="2"/>
  <c r="AW5" i="2" s="1"/>
  <c r="AI5" i="2"/>
  <c r="AH5" i="2"/>
  <c r="AJ5" i="2" s="1"/>
  <c r="AF5" i="2"/>
  <c r="AE5" i="2"/>
  <c r="AG5" i="2" s="1"/>
  <c r="AC5" i="2"/>
  <c r="AB5" i="2"/>
  <c r="AL5" i="2" s="1"/>
  <c r="X5" i="2"/>
  <c r="V5" i="2"/>
  <c r="S5" i="2"/>
  <c r="P5" i="2"/>
  <c r="W5" i="2" s="1"/>
  <c r="M5" i="2"/>
  <c r="K5" i="2"/>
  <c r="H5" i="2"/>
  <c r="E5" i="2"/>
  <c r="L5" i="2" s="1"/>
  <c r="AU4" i="2"/>
  <c r="AT4" i="2"/>
  <c r="AS4" i="2"/>
  <c r="AQ4" i="2"/>
  <c r="AP4" i="2"/>
  <c r="AR4" i="2" s="1"/>
  <c r="AN4" i="2"/>
  <c r="AM4" i="2"/>
  <c r="AW4" i="2" s="1"/>
  <c r="AI4" i="2"/>
  <c r="AH4" i="2"/>
  <c r="AJ4" i="2" s="1"/>
  <c r="AF4" i="2"/>
  <c r="AE4" i="2"/>
  <c r="AG4" i="2" s="1"/>
  <c r="AC4" i="2"/>
  <c r="AB4" i="2"/>
  <c r="AL4" i="2" s="1"/>
  <c r="X4" i="2"/>
  <c r="V4" i="2"/>
  <c r="S4" i="2"/>
  <c r="P4" i="2"/>
  <c r="W4" i="2" s="1"/>
  <c r="M4" i="2"/>
  <c r="K4" i="2"/>
  <c r="H4" i="2"/>
  <c r="E4" i="2"/>
  <c r="L4" i="2" s="1"/>
  <c r="AU3" i="2"/>
  <c r="AT3" i="2"/>
  <c r="AS3" i="2"/>
  <c r="AQ3" i="2"/>
  <c r="AP3" i="2"/>
  <c r="AR3" i="2" s="1"/>
  <c r="AN3" i="2"/>
  <c r="AM3" i="2"/>
  <c r="AW3" i="2" s="1"/>
  <c r="AI3" i="2"/>
  <c r="AH3" i="2"/>
  <c r="AJ3" i="2" s="1"/>
  <c r="AF3" i="2"/>
  <c r="AE3" i="2"/>
  <c r="AG3" i="2" s="1"/>
  <c r="AC3" i="2"/>
  <c r="AD3" i="2" s="1"/>
  <c r="AB3" i="2"/>
  <c r="AL3" i="2" s="1"/>
  <c r="X3" i="2"/>
  <c r="V3" i="2"/>
  <c r="S3" i="2"/>
  <c r="P3" i="2"/>
  <c r="W3" i="2" s="1"/>
  <c r="M3" i="2"/>
  <c r="K3" i="2"/>
  <c r="H3" i="2"/>
  <c r="E3" i="2"/>
  <c r="L3" i="2" s="1"/>
  <c r="AU2" i="2"/>
  <c r="AT2" i="2"/>
  <c r="AT11" i="2" s="1"/>
  <c r="AS2" i="2"/>
  <c r="AS11" i="2" s="1"/>
  <c r="AU11" i="2" s="1"/>
  <c r="AQ2" i="2"/>
  <c r="AQ11" i="2" s="1"/>
  <c r="AP2" i="2"/>
  <c r="AR2" i="2" s="1"/>
  <c r="AN2" i="2"/>
  <c r="AN11" i="2" s="1"/>
  <c r="AM2" i="2"/>
  <c r="AW2" i="2" s="1"/>
  <c r="AI2" i="2"/>
  <c r="AI11" i="2" s="1"/>
  <c r="AH2" i="2"/>
  <c r="AJ2" i="2" s="1"/>
  <c r="AF2" i="2"/>
  <c r="AF11" i="2" s="1"/>
  <c r="AE2" i="2"/>
  <c r="AL2" i="2" s="1"/>
  <c r="AC2" i="2"/>
  <c r="AD2" i="2" s="1"/>
  <c r="AB2" i="2"/>
  <c r="AB11" i="2" s="1"/>
  <c r="X2" i="2"/>
  <c r="V2" i="2"/>
  <c r="S2" i="2"/>
  <c r="P2" i="2"/>
  <c r="W2" i="2" s="1"/>
  <c r="K2" i="2"/>
  <c r="H2" i="2"/>
  <c r="E2" i="2"/>
  <c r="L2" i="2" s="1"/>
  <c r="AQ345" i="1"/>
  <c r="AK345" i="1"/>
  <c r="AE345" i="1"/>
  <c r="AQ344" i="1"/>
  <c r="AK344" i="1"/>
  <c r="AE344" i="1"/>
  <c r="AQ343" i="1"/>
  <c r="AK343" i="1"/>
  <c r="AE343" i="1"/>
  <c r="AQ342" i="1"/>
  <c r="AK342" i="1"/>
  <c r="AE342" i="1"/>
  <c r="AQ341" i="1"/>
  <c r="AK341" i="1"/>
  <c r="AE341" i="1"/>
  <c r="AQ340" i="1"/>
  <c r="AK340" i="1"/>
  <c r="AE340" i="1"/>
  <c r="AQ339" i="1"/>
  <c r="AK339" i="1"/>
  <c r="AE339" i="1"/>
  <c r="AQ338" i="1"/>
  <c r="AK338" i="1"/>
  <c r="AE338" i="1"/>
  <c r="AQ337" i="1"/>
  <c r="AK337" i="1"/>
  <c r="AE337" i="1"/>
  <c r="AQ336" i="1"/>
  <c r="AK336" i="1"/>
  <c r="AE336" i="1"/>
  <c r="AQ335" i="1"/>
  <c r="AK335" i="1"/>
  <c r="AE335" i="1"/>
  <c r="AQ334" i="1"/>
  <c r="AK334" i="1"/>
  <c r="AE334" i="1"/>
  <c r="AQ333" i="1"/>
  <c r="AK333" i="1"/>
  <c r="AE333" i="1"/>
  <c r="AQ332" i="1"/>
  <c r="AK332" i="1"/>
  <c r="AE332" i="1"/>
  <c r="AQ331" i="1"/>
  <c r="AK331" i="1"/>
  <c r="AE331" i="1"/>
  <c r="AQ330" i="1"/>
  <c r="AK330" i="1"/>
  <c r="AE330" i="1"/>
  <c r="AQ329" i="1"/>
  <c r="AK329" i="1"/>
  <c r="AE329" i="1"/>
  <c r="AQ328" i="1"/>
  <c r="AK328" i="1"/>
  <c r="AE328" i="1"/>
  <c r="AQ327" i="1"/>
  <c r="AK327" i="1"/>
  <c r="AE327" i="1"/>
  <c r="AQ326" i="1"/>
  <c r="AK326" i="1"/>
  <c r="AE326" i="1"/>
  <c r="AQ325" i="1"/>
  <c r="AK325" i="1"/>
  <c r="AE325" i="1"/>
  <c r="AQ324" i="1"/>
  <c r="AK324" i="1"/>
  <c r="AE324" i="1"/>
  <c r="AQ323" i="1"/>
  <c r="AK323" i="1"/>
  <c r="AE323" i="1"/>
  <c r="AQ322" i="1"/>
  <c r="AK322" i="1"/>
  <c r="AE322" i="1"/>
  <c r="AQ321" i="1"/>
  <c r="AK321" i="1"/>
  <c r="AE321" i="1"/>
  <c r="AQ320" i="1"/>
  <c r="AK320" i="1"/>
  <c r="AE320" i="1"/>
  <c r="AQ319" i="1"/>
  <c r="AK319" i="1"/>
  <c r="AE319" i="1"/>
  <c r="AQ318" i="1"/>
  <c r="AK318" i="1"/>
  <c r="AE318" i="1"/>
  <c r="AQ317" i="1"/>
  <c r="AK317" i="1"/>
  <c r="AE317" i="1"/>
  <c r="AQ316" i="1"/>
  <c r="AK316" i="1"/>
  <c r="AE316" i="1"/>
  <c r="AQ315" i="1"/>
  <c r="AK315" i="1"/>
  <c r="AE315" i="1"/>
  <c r="AQ314" i="1"/>
  <c r="AK314" i="1"/>
  <c r="AE314" i="1"/>
  <c r="AQ313" i="1"/>
  <c r="AK313" i="1"/>
  <c r="AE313" i="1"/>
  <c r="AQ312" i="1"/>
  <c r="AK312" i="1"/>
  <c r="AE312" i="1"/>
  <c r="AQ311" i="1"/>
  <c r="AK311" i="1"/>
  <c r="AE311" i="1"/>
  <c r="AQ310" i="1"/>
  <c r="AK310" i="1"/>
  <c r="AE310" i="1"/>
  <c r="AQ309" i="1"/>
  <c r="AK309" i="1"/>
  <c r="AE309" i="1"/>
  <c r="AQ308" i="1"/>
  <c r="AK308" i="1"/>
  <c r="AE308" i="1"/>
  <c r="AQ307" i="1"/>
  <c r="AK307" i="1"/>
  <c r="AE307" i="1"/>
  <c r="AQ306" i="1"/>
  <c r="AK306" i="1"/>
  <c r="AE306" i="1"/>
  <c r="AQ305" i="1"/>
  <c r="AK305" i="1"/>
  <c r="AE305" i="1"/>
  <c r="AQ304" i="1"/>
  <c r="AK304" i="1"/>
  <c r="AE304" i="1"/>
  <c r="AQ303" i="1"/>
  <c r="AK303" i="1"/>
  <c r="AE303" i="1"/>
  <c r="AQ302" i="1"/>
  <c r="AK302" i="1"/>
  <c r="AE302" i="1"/>
  <c r="AQ301" i="1"/>
  <c r="AK301" i="1"/>
  <c r="AE301" i="1"/>
  <c r="AQ300" i="1"/>
  <c r="AK300" i="1"/>
  <c r="AE300" i="1"/>
  <c r="AQ299" i="1"/>
  <c r="AK299" i="1"/>
  <c r="AE299" i="1"/>
  <c r="AQ298" i="1"/>
  <c r="AK298" i="1"/>
  <c r="AE298" i="1"/>
  <c r="AQ297" i="1"/>
  <c r="AK297" i="1"/>
  <c r="AE297" i="1"/>
  <c r="AQ296" i="1"/>
  <c r="AK296" i="1"/>
  <c r="AE296" i="1"/>
  <c r="AQ295" i="1"/>
  <c r="AK295" i="1"/>
  <c r="AE295" i="1"/>
  <c r="AQ294" i="1"/>
  <c r="AK294" i="1"/>
  <c r="AE294" i="1"/>
  <c r="AQ293" i="1"/>
  <c r="AK293" i="1"/>
  <c r="AE293" i="1"/>
  <c r="AQ292" i="1"/>
  <c r="AK292" i="1"/>
  <c r="AE292" i="1"/>
  <c r="AQ291" i="1"/>
  <c r="AK291" i="1"/>
  <c r="AE291" i="1"/>
  <c r="AQ290" i="1"/>
  <c r="AK290" i="1"/>
  <c r="AE290" i="1"/>
  <c r="AQ289" i="1"/>
  <c r="AK289" i="1"/>
  <c r="AE289" i="1"/>
  <c r="AQ288" i="1"/>
  <c r="AK288" i="1"/>
  <c r="AE288" i="1"/>
  <c r="AQ287" i="1"/>
  <c r="AK287" i="1"/>
  <c r="AE287" i="1"/>
  <c r="AQ286" i="1"/>
  <c r="AK286" i="1"/>
  <c r="AE286" i="1"/>
  <c r="AQ285" i="1"/>
  <c r="AK285" i="1"/>
  <c r="AE285" i="1"/>
  <c r="AQ284" i="1"/>
  <c r="AK284" i="1"/>
  <c r="AE284" i="1"/>
  <c r="AQ283" i="1"/>
  <c r="AK283" i="1"/>
  <c r="AE283" i="1"/>
  <c r="AQ282" i="1"/>
  <c r="AK282" i="1"/>
  <c r="AE282" i="1"/>
  <c r="AQ281" i="1"/>
  <c r="AK281" i="1"/>
  <c r="AE281" i="1"/>
  <c r="AQ280" i="1"/>
  <c r="AK280" i="1"/>
  <c r="AE280" i="1"/>
  <c r="AQ279" i="1"/>
  <c r="AK279" i="1"/>
  <c r="AE279" i="1"/>
  <c r="AQ278" i="1"/>
  <c r="AK278" i="1"/>
  <c r="AE278" i="1"/>
  <c r="AQ277" i="1"/>
  <c r="AK277" i="1"/>
  <c r="AE277" i="1"/>
  <c r="AQ276" i="1"/>
  <c r="AK276" i="1"/>
  <c r="AE276" i="1"/>
  <c r="AQ275" i="1"/>
  <c r="AK275" i="1"/>
  <c r="AE275" i="1"/>
  <c r="AQ274" i="1"/>
  <c r="AK274" i="1"/>
  <c r="AE274" i="1"/>
  <c r="AQ273" i="1"/>
  <c r="AK273" i="1"/>
  <c r="AE273" i="1"/>
  <c r="AQ272" i="1"/>
  <c r="AK272" i="1"/>
  <c r="AE272" i="1"/>
  <c r="AQ271" i="1"/>
  <c r="AK271" i="1"/>
  <c r="AE271" i="1"/>
  <c r="AQ270" i="1"/>
  <c r="AK270" i="1"/>
  <c r="AE270" i="1"/>
  <c r="AQ269" i="1"/>
  <c r="AK269" i="1"/>
  <c r="AE269" i="1"/>
  <c r="AQ268" i="1"/>
  <c r="AK268" i="1"/>
  <c r="AE268" i="1"/>
  <c r="AQ267" i="1"/>
  <c r="AK267" i="1"/>
  <c r="AE267" i="1"/>
  <c r="AQ266" i="1"/>
  <c r="AK266" i="1"/>
  <c r="AE266" i="1"/>
  <c r="AQ265" i="1"/>
  <c r="AK265" i="1"/>
  <c r="AE265" i="1"/>
  <c r="AQ264" i="1"/>
  <c r="AK264" i="1"/>
  <c r="AE264" i="1"/>
  <c r="AQ263" i="1"/>
  <c r="AK263" i="1"/>
  <c r="AE263" i="1"/>
  <c r="AQ262" i="1"/>
  <c r="AK262" i="1"/>
  <c r="AE262" i="1"/>
  <c r="AQ261" i="1"/>
  <c r="AK261" i="1"/>
  <c r="AE261" i="1"/>
  <c r="AQ260" i="1"/>
  <c r="AK260" i="1"/>
  <c r="AE260" i="1"/>
  <c r="AQ259" i="1"/>
  <c r="AK259" i="1"/>
  <c r="AE259" i="1"/>
  <c r="AQ258" i="1"/>
  <c r="AK258" i="1"/>
  <c r="AE258" i="1"/>
  <c r="AQ257" i="1"/>
  <c r="AK257" i="1"/>
  <c r="AE257" i="1"/>
  <c r="AQ256" i="1"/>
  <c r="AK256" i="1"/>
  <c r="AE256" i="1"/>
  <c r="AQ255" i="1"/>
  <c r="AK255" i="1"/>
  <c r="AE255" i="1"/>
  <c r="AQ254" i="1"/>
  <c r="AK254" i="1"/>
  <c r="AE254" i="1"/>
  <c r="AQ253" i="1"/>
  <c r="AK253" i="1"/>
  <c r="AE253" i="1"/>
  <c r="AQ252" i="1"/>
  <c r="AK252" i="1"/>
  <c r="AE252" i="1"/>
  <c r="AQ251" i="1"/>
  <c r="AK251" i="1"/>
  <c r="AE251" i="1"/>
  <c r="AQ250" i="1"/>
  <c r="AK250" i="1"/>
  <c r="AE250" i="1"/>
  <c r="AQ249" i="1"/>
  <c r="AK249" i="1"/>
  <c r="AE249" i="1"/>
  <c r="AQ248" i="1"/>
  <c r="AK248" i="1"/>
  <c r="AE248" i="1"/>
  <c r="AQ247" i="1"/>
  <c r="AK247" i="1"/>
  <c r="AE247" i="1"/>
  <c r="AQ246" i="1"/>
  <c r="AK246" i="1"/>
  <c r="AE246" i="1"/>
  <c r="AQ245" i="1"/>
  <c r="AK245" i="1"/>
  <c r="AE245" i="1"/>
  <c r="AQ244" i="1"/>
  <c r="AK244" i="1"/>
  <c r="AE244" i="1"/>
  <c r="AQ243" i="1"/>
  <c r="AK243" i="1"/>
  <c r="AE243" i="1"/>
  <c r="AQ242" i="1"/>
  <c r="AK242" i="1"/>
  <c r="AE242" i="1"/>
  <c r="AQ241" i="1"/>
  <c r="AK241" i="1"/>
  <c r="AE241" i="1"/>
  <c r="AQ240" i="1"/>
  <c r="AK240" i="1"/>
  <c r="AE240" i="1"/>
  <c r="AQ239" i="1"/>
  <c r="AK239" i="1"/>
  <c r="AE239" i="1"/>
  <c r="AQ238" i="1"/>
  <c r="AK238" i="1"/>
  <c r="AE238" i="1"/>
  <c r="AQ237" i="1"/>
  <c r="AK237" i="1"/>
  <c r="AE237" i="1"/>
  <c r="AQ236" i="1"/>
  <c r="AK236" i="1"/>
  <c r="AE236" i="1"/>
  <c r="AQ235" i="1"/>
  <c r="AK235" i="1"/>
  <c r="AE235" i="1"/>
  <c r="AQ234" i="1"/>
  <c r="AK234" i="1"/>
  <c r="AE234" i="1"/>
  <c r="AQ233" i="1"/>
  <c r="AK233" i="1"/>
  <c r="AE233" i="1"/>
  <c r="AQ232" i="1"/>
  <c r="AK232" i="1"/>
  <c r="AE232" i="1"/>
  <c r="AQ231" i="1"/>
  <c r="AK231" i="1"/>
  <c r="AE231" i="1"/>
  <c r="AQ230" i="1"/>
  <c r="AK230" i="1"/>
  <c r="AE230" i="1"/>
  <c r="AQ229" i="1"/>
  <c r="AK229" i="1"/>
  <c r="AE229" i="1"/>
  <c r="AQ228" i="1"/>
  <c r="AK228" i="1"/>
  <c r="AE228" i="1"/>
  <c r="AQ227" i="1"/>
  <c r="AK227" i="1"/>
  <c r="AE227" i="1"/>
  <c r="AQ226" i="1"/>
  <c r="AK226" i="1"/>
  <c r="AE226" i="1"/>
  <c r="AQ225" i="1"/>
  <c r="AK225" i="1"/>
  <c r="AE225" i="1"/>
  <c r="AQ224" i="1"/>
  <c r="AK224" i="1"/>
  <c r="AE224" i="1"/>
  <c r="AQ223" i="1"/>
  <c r="AK223" i="1"/>
  <c r="AE223" i="1"/>
  <c r="AQ222" i="1"/>
  <c r="AK222" i="1"/>
  <c r="AE222" i="1"/>
  <c r="AQ221" i="1"/>
  <c r="AK221" i="1"/>
  <c r="AE221" i="1"/>
  <c r="AQ220" i="1"/>
  <c r="AK220" i="1"/>
  <c r="AE220" i="1"/>
  <c r="AQ219" i="1"/>
  <c r="AK219" i="1"/>
  <c r="AE219" i="1"/>
  <c r="AQ218" i="1"/>
  <c r="AK218" i="1"/>
  <c r="AE218" i="1"/>
  <c r="AQ217" i="1"/>
  <c r="AK217" i="1"/>
  <c r="AE217" i="1"/>
  <c r="AQ216" i="1"/>
  <c r="AK216" i="1"/>
  <c r="AE216" i="1"/>
  <c r="AQ215" i="1"/>
  <c r="AK215" i="1"/>
  <c r="AE215" i="1"/>
  <c r="AQ214" i="1"/>
  <c r="AK214" i="1"/>
  <c r="AE214" i="1"/>
  <c r="AQ213" i="1"/>
  <c r="AK213" i="1"/>
  <c r="AE213" i="1"/>
  <c r="AQ212" i="1"/>
  <c r="AK212" i="1"/>
  <c r="AE212" i="1"/>
  <c r="AQ211" i="1"/>
  <c r="AK211" i="1"/>
  <c r="AE211" i="1"/>
  <c r="AQ210" i="1"/>
  <c r="AK210" i="1"/>
  <c r="AE210" i="1"/>
  <c r="AQ209" i="1"/>
  <c r="AK209" i="1"/>
  <c r="AE209" i="1"/>
  <c r="AQ208" i="1"/>
  <c r="AK208" i="1"/>
  <c r="AE208" i="1"/>
  <c r="AQ207" i="1"/>
  <c r="AK207" i="1"/>
  <c r="AE207" i="1"/>
  <c r="AQ206" i="1"/>
  <c r="AK206" i="1"/>
  <c r="AE206" i="1"/>
  <c r="AQ205" i="1"/>
  <c r="AK205" i="1"/>
  <c r="AE205" i="1"/>
  <c r="AQ204" i="1"/>
  <c r="AK204" i="1"/>
  <c r="AE204" i="1"/>
  <c r="AQ203" i="1"/>
  <c r="AK203" i="1"/>
  <c r="AE203" i="1"/>
  <c r="AQ202" i="1"/>
  <c r="AK202" i="1"/>
  <c r="AE202" i="1"/>
  <c r="AQ201" i="1"/>
  <c r="AK201" i="1"/>
  <c r="AE201" i="1"/>
  <c r="AQ200" i="1"/>
  <c r="AK200" i="1"/>
  <c r="AE200" i="1"/>
  <c r="AQ199" i="1"/>
  <c r="AK199" i="1"/>
  <c r="AE199" i="1"/>
  <c r="AQ198" i="1"/>
  <c r="AK198" i="1"/>
  <c r="AE198" i="1"/>
  <c r="AQ197" i="1"/>
  <c r="AK197" i="1"/>
  <c r="AE197" i="1"/>
  <c r="AQ196" i="1"/>
  <c r="AK196" i="1"/>
  <c r="AE196" i="1"/>
  <c r="AQ195" i="1"/>
  <c r="AK195" i="1"/>
  <c r="AE195" i="1"/>
  <c r="AQ194" i="1"/>
  <c r="AK194" i="1"/>
  <c r="AE194" i="1"/>
  <c r="AQ193" i="1"/>
  <c r="AK193" i="1"/>
  <c r="AE193" i="1"/>
  <c r="AQ192" i="1"/>
  <c r="AK192" i="1"/>
  <c r="AE192" i="1"/>
  <c r="AQ191" i="1"/>
  <c r="AK191" i="1"/>
  <c r="AE191" i="1"/>
  <c r="AQ190" i="1"/>
  <c r="AK190" i="1"/>
  <c r="AE190" i="1"/>
  <c r="AQ189" i="1"/>
  <c r="AK189" i="1"/>
  <c r="AE189" i="1"/>
  <c r="AQ188" i="1"/>
  <c r="AK188" i="1"/>
  <c r="AE188" i="1"/>
  <c r="AQ187" i="1"/>
  <c r="AK187" i="1"/>
  <c r="AE187" i="1"/>
  <c r="AQ186" i="1"/>
  <c r="AK186" i="1"/>
  <c r="AE186" i="1"/>
  <c r="AQ185" i="1"/>
  <c r="AK185" i="1"/>
  <c r="AE185" i="1"/>
  <c r="AQ184" i="1"/>
  <c r="AK184" i="1"/>
  <c r="AE184" i="1"/>
  <c r="AQ183" i="1"/>
  <c r="AK183" i="1"/>
  <c r="AE183" i="1"/>
  <c r="AQ182" i="1"/>
  <c r="AK182" i="1"/>
  <c r="AE182" i="1"/>
  <c r="AQ181" i="1"/>
  <c r="AK181" i="1"/>
  <c r="AE181" i="1"/>
  <c r="AQ180" i="1"/>
  <c r="AK180" i="1"/>
  <c r="AE180" i="1"/>
  <c r="AQ179" i="1"/>
  <c r="AK179" i="1"/>
  <c r="AE179" i="1"/>
  <c r="AQ178" i="1"/>
  <c r="AK178" i="1"/>
  <c r="AE178" i="1"/>
  <c r="AQ177" i="1"/>
  <c r="AK177" i="1"/>
  <c r="AE177" i="1"/>
  <c r="AQ176" i="1"/>
  <c r="AK176" i="1"/>
  <c r="AE176" i="1"/>
  <c r="AQ175" i="1"/>
  <c r="AK175" i="1"/>
  <c r="AE175" i="1"/>
  <c r="AQ174" i="1"/>
  <c r="AK174" i="1"/>
  <c r="AE174" i="1"/>
  <c r="AQ173" i="1"/>
  <c r="AK173" i="1"/>
  <c r="AE173" i="1"/>
  <c r="AQ172" i="1"/>
  <c r="AK172" i="1"/>
  <c r="AE172" i="1"/>
  <c r="AQ171" i="1"/>
  <c r="AK171" i="1"/>
  <c r="AE171" i="1"/>
  <c r="AQ170" i="1"/>
  <c r="AK170" i="1"/>
  <c r="AE170" i="1"/>
  <c r="AQ169" i="1"/>
  <c r="AK169" i="1"/>
  <c r="AE169" i="1"/>
  <c r="AQ168" i="1"/>
  <c r="AK168" i="1"/>
  <c r="AE168" i="1"/>
  <c r="AQ167" i="1"/>
  <c r="AK167" i="1"/>
  <c r="AE167" i="1"/>
  <c r="AQ166" i="1"/>
  <c r="AK166" i="1"/>
  <c r="AE166" i="1"/>
  <c r="AQ165" i="1"/>
  <c r="AK165" i="1"/>
  <c r="AE165" i="1"/>
  <c r="AQ164" i="1"/>
  <c r="AK164" i="1"/>
  <c r="AE164" i="1"/>
  <c r="AQ163" i="1"/>
  <c r="AK163" i="1"/>
  <c r="AE163" i="1"/>
  <c r="AQ162" i="1"/>
  <c r="AK162" i="1"/>
  <c r="AE162" i="1"/>
  <c r="AQ161" i="1"/>
  <c r="AK161" i="1"/>
  <c r="AE161" i="1"/>
  <c r="AQ160" i="1"/>
  <c r="AK160" i="1"/>
  <c r="AE160" i="1"/>
  <c r="AQ159" i="1"/>
  <c r="AK159" i="1"/>
  <c r="AE159" i="1"/>
  <c r="AQ158" i="1"/>
  <c r="AK158" i="1"/>
  <c r="AE158" i="1"/>
  <c r="AQ157" i="1"/>
  <c r="AK157" i="1"/>
  <c r="AE157" i="1"/>
  <c r="AQ156" i="1"/>
  <c r="AK156" i="1"/>
  <c r="AE156" i="1"/>
  <c r="AQ155" i="1"/>
  <c r="AK155" i="1"/>
  <c r="AE155" i="1"/>
  <c r="AQ154" i="1"/>
  <c r="AK154" i="1"/>
  <c r="AE154" i="1"/>
  <c r="AQ153" i="1"/>
  <c r="AK153" i="1"/>
  <c r="AE153" i="1"/>
  <c r="AQ152" i="1"/>
  <c r="AK152" i="1"/>
  <c r="AE152" i="1"/>
  <c r="AQ151" i="1"/>
  <c r="AK151" i="1"/>
  <c r="AE151" i="1"/>
  <c r="AQ150" i="1"/>
  <c r="AK150" i="1"/>
  <c r="AE150" i="1"/>
  <c r="AQ149" i="1"/>
  <c r="AK149" i="1"/>
  <c r="AE149" i="1"/>
  <c r="AQ148" i="1"/>
  <c r="AK148" i="1"/>
  <c r="AE148" i="1"/>
  <c r="AQ147" i="1"/>
  <c r="AK147" i="1"/>
  <c r="AE147" i="1"/>
  <c r="AQ146" i="1"/>
  <c r="AK146" i="1"/>
  <c r="AE146" i="1"/>
  <c r="AQ145" i="1"/>
  <c r="AK145" i="1"/>
  <c r="AE145" i="1"/>
  <c r="AQ144" i="1"/>
  <c r="AK144" i="1"/>
  <c r="AE144" i="1"/>
  <c r="AQ143" i="1"/>
  <c r="AK143" i="1"/>
  <c r="AE143" i="1"/>
  <c r="AQ142" i="1"/>
  <c r="AK142" i="1"/>
  <c r="AE142" i="1"/>
  <c r="AQ141" i="1"/>
  <c r="AK141" i="1"/>
  <c r="AE141" i="1"/>
  <c r="AQ140" i="1"/>
  <c r="AK140" i="1"/>
  <c r="AE140" i="1"/>
  <c r="AQ139" i="1"/>
  <c r="AK139" i="1"/>
  <c r="AE139" i="1"/>
  <c r="AQ138" i="1"/>
  <c r="AK138" i="1"/>
  <c r="AE138" i="1"/>
  <c r="AQ137" i="1"/>
  <c r="AK137" i="1"/>
  <c r="AE137" i="1"/>
  <c r="AQ136" i="1"/>
  <c r="AK136" i="1"/>
  <c r="AE136" i="1"/>
  <c r="AQ135" i="1"/>
  <c r="AK135" i="1"/>
  <c r="AE135" i="1"/>
  <c r="AQ134" i="1"/>
  <c r="AK134" i="1"/>
  <c r="AE134" i="1"/>
  <c r="AQ133" i="1"/>
  <c r="AK133" i="1"/>
  <c r="AE133" i="1"/>
  <c r="AQ132" i="1"/>
  <c r="AK132" i="1"/>
  <c r="AE132" i="1"/>
  <c r="AQ131" i="1"/>
  <c r="AK131" i="1"/>
  <c r="AE131" i="1"/>
  <c r="AQ130" i="1"/>
  <c r="AK130" i="1"/>
  <c r="AE130" i="1"/>
  <c r="AQ129" i="1"/>
  <c r="AK129" i="1"/>
  <c r="AE129" i="1"/>
  <c r="AQ128" i="1"/>
  <c r="AK128" i="1"/>
  <c r="AE128" i="1"/>
  <c r="AQ127" i="1"/>
  <c r="AK127" i="1"/>
  <c r="AE127" i="1"/>
  <c r="AQ126" i="1"/>
  <c r="AK126" i="1"/>
  <c r="AE126" i="1"/>
  <c r="AQ125" i="1"/>
  <c r="AK125" i="1"/>
  <c r="AE125" i="1"/>
  <c r="AQ124" i="1"/>
  <c r="AK124" i="1"/>
  <c r="AE124" i="1"/>
  <c r="AQ123" i="1"/>
  <c r="AK123" i="1"/>
  <c r="AE123" i="1"/>
  <c r="AQ122" i="1"/>
  <c r="AK122" i="1"/>
  <c r="AE122" i="1"/>
  <c r="AQ121" i="1"/>
  <c r="AK121" i="1"/>
  <c r="AE121" i="1"/>
  <c r="AQ120" i="1"/>
  <c r="AK120" i="1"/>
  <c r="AE120" i="1"/>
  <c r="AQ119" i="1"/>
  <c r="AK119" i="1"/>
  <c r="AE119" i="1"/>
  <c r="AQ118" i="1"/>
  <c r="AK118" i="1"/>
  <c r="AE118" i="1"/>
  <c r="AQ117" i="1"/>
  <c r="AK117" i="1"/>
  <c r="AE117" i="1"/>
  <c r="AQ116" i="1"/>
  <c r="AK116" i="1"/>
  <c r="AE116" i="1"/>
  <c r="AQ115" i="1"/>
  <c r="AK115" i="1"/>
  <c r="AE115" i="1"/>
  <c r="AQ114" i="1"/>
  <c r="AK114" i="1"/>
  <c r="AE114" i="1"/>
  <c r="AQ113" i="1"/>
  <c r="AK113" i="1"/>
  <c r="AE113" i="1"/>
  <c r="AQ112" i="1"/>
  <c r="AK112" i="1"/>
  <c r="AE112" i="1"/>
  <c r="AQ111" i="1"/>
  <c r="AK111" i="1"/>
  <c r="AE111" i="1"/>
  <c r="AQ110" i="1"/>
  <c r="AK110" i="1"/>
  <c r="AE110" i="1"/>
  <c r="AQ109" i="1"/>
  <c r="AK109" i="1"/>
  <c r="AE109" i="1"/>
  <c r="AQ108" i="1"/>
  <c r="AK108" i="1"/>
  <c r="AE108" i="1"/>
  <c r="AQ107" i="1"/>
  <c r="AK107" i="1"/>
  <c r="AE107" i="1"/>
  <c r="AQ106" i="1"/>
  <c r="AK106" i="1"/>
  <c r="AE106" i="1"/>
  <c r="AQ105" i="1"/>
  <c r="AK105" i="1"/>
  <c r="AE105" i="1"/>
  <c r="AQ104" i="1"/>
  <c r="AK104" i="1"/>
  <c r="AE104" i="1"/>
  <c r="AQ103" i="1"/>
  <c r="AK103" i="1"/>
  <c r="AE103" i="1"/>
  <c r="AQ102" i="1"/>
  <c r="AK102" i="1"/>
  <c r="AE102" i="1"/>
  <c r="AQ101" i="1"/>
  <c r="AK101" i="1"/>
  <c r="AE101" i="1"/>
  <c r="AQ100" i="1"/>
  <c r="AK100" i="1"/>
  <c r="AE100" i="1"/>
  <c r="AQ99" i="1"/>
  <c r="AK99" i="1"/>
  <c r="AE99" i="1"/>
  <c r="AQ98" i="1"/>
  <c r="AK98" i="1"/>
  <c r="AE98" i="1"/>
  <c r="AQ97" i="1"/>
  <c r="AK97" i="1"/>
  <c r="AE97" i="1"/>
  <c r="AQ96" i="1"/>
  <c r="AK96" i="1"/>
  <c r="AE96" i="1"/>
  <c r="AQ95" i="1"/>
  <c r="AK95" i="1"/>
  <c r="AE95" i="1"/>
  <c r="AQ94" i="1"/>
  <c r="AK94" i="1"/>
  <c r="AE94" i="1"/>
  <c r="AQ93" i="1"/>
  <c r="AK93" i="1"/>
  <c r="AE93" i="1"/>
  <c r="AQ92" i="1"/>
  <c r="AK92" i="1"/>
  <c r="AE92" i="1"/>
  <c r="AQ91" i="1"/>
  <c r="AK91" i="1"/>
  <c r="AE91" i="1"/>
  <c r="AQ90" i="1"/>
  <c r="AK90" i="1"/>
  <c r="AE90" i="1"/>
  <c r="AQ89" i="1"/>
  <c r="AK89" i="1"/>
  <c r="AE89" i="1"/>
  <c r="AQ88" i="1"/>
  <c r="AK88" i="1"/>
  <c r="AE88" i="1"/>
  <c r="AQ87" i="1"/>
  <c r="AK87" i="1"/>
  <c r="AE87" i="1"/>
  <c r="AQ86" i="1"/>
  <c r="AK86" i="1"/>
  <c r="AE86" i="1"/>
  <c r="AQ85" i="1"/>
  <c r="AK85" i="1"/>
  <c r="AE85" i="1"/>
  <c r="AQ84" i="1"/>
  <c r="AK84" i="1"/>
  <c r="AE84" i="1"/>
  <c r="AQ83" i="1"/>
  <c r="AK83" i="1"/>
  <c r="AE83" i="1"/>
  <c r="AQ82" i="1"/>
  <c r="AK82" i="1"/>
  <c r="AE82" i="1"/>
  <c r="AQ81" i="1"/>
  <c r="AK81" i="1"/>
  <c r="AE81" i="1"/>
  <c r="AQ80" i="1"/>
  <c r="AK80" i="1"/>
  <c r="AE80" i="1"/>
  <c r="AQ79" i="1"/>
  <c r="AK79" i="1"/>
  <c r="AE79" i="1"/>
  <c r="AQ78" i="1"/>
  <c r="AK78" i="1"/>
  <c r="AE78" i="1"/>
  <c r="AQ77" i="1"/>
  <c r="AK77" i="1"/>
  <c r="AE77" i="1"/>
  <c r="AQ76" i="1"/>
  <c r="AK76" i="1"/>
  <c r="AE76" i="1"/>
  <c r="AQ75" i="1"/>
  <c r="AK75" i="1"/>
  <c r="AE75" i="1"/>
  <c r="AQ74" i="1"/>
  <c r="AK74" i="1"/>
  <c r="AE74" i="1"/>
  <c r="AQ73" i="1"/>
  <c r="AK73" i="1"/>
  <c r="AE73" i="1"/>
  <c r="AQ72" i="1"/>
  <c r="AK72" i="1"/>
  <c r="AE72" i="1"/>
  <c r="AQ71" i="1"/>
  <c r="AK71" i="1"/>
  <c r="AE71" i="1"/>
  <c r="AQ70" i="1"/>
  <c r="AK70" i="1"/>
  <c r="AE70" i="1"/>
  <c r="AQ69" i="1"/>
  <c r="AK69" i="1"/>
  <c r="AE69" i="1"/>
  <c r="AQ68" i="1"/>
  <c r="AK68" i="1"/>
  <c r="AE68" i="1"/>
  <c r="AQ67" i="1"/>
  <c r="AK67" i="1"/>
  <c r="AE67" i="1"/>
  <c r="AQ66" i="1"/>
  <c r="AK66" i="1"/>
  <c r="AE66" i="1"/>
  <c r="AQ65" i="1"/>
  <c r="AK65" i="1"/>
  <c r="AE65" i="1"/>
  <c r="AQ64" i="1"/>
  <c r="AK64" i="1"/>
  <c r="AE64" i="1"/>
  <c r="AQ63" i="1"/>
  <c r="AK63" i="1"/>
  <c r="AE63" i="1"/>
  <c r="AQ62" i="1"/>
  <c r="AK62" i="1"/>
  <c r="AE62" i="1"/>
  <c r="AQ61" i="1"/>
  <c r="AK61" i="1"/>
  <c r="AE61" i="1"/>
  <c r="AQ60" i="1"/>
  <c r="AK60" i="1"/>
  <c r="AE60" i="1"/>
  <c r="AQ59" i="1"/>
  <c r="AK59" i="1"/>
  <c r="AE59" i="1"/>
  <c r="AQ58" i="1"/>
  <c r="AK58" i="1"/>
  <c r="AE58" i="1"/>
  <c r="AQ57" i="1"/>
  <c r="AK57" i="1"/>
  <c r="AE57" i="1"/>
  <c r="AQ56" i="1"/>
  <c r="AK56" i="1"/>
  <c r="AE56" i="1"/>
  <c r="AQ55" i="1"/>
  <c r="AK55" i="1"/>
  <c r="AE55" i="1"/>
  <c r="AQ54" i="1"/>
  <c r="AK54" i="1"/>
  <c r="AE54" i="1"/>
  <c r="AQ53" i="1"/>
  <c r="AK53" i="1"/>
  <c r="AE53" i="1"/>
  <c r="AQ52" i="1"/>
  <c r="AK52" i="1"/>
  <c r="AE52" i="1"/>
  <c r="AQ51" i="1"/>
  <c r="AK51" i="1"/>
  <c r="AE51" i="1"/>
  <c r="AQ50" i="1"/>
  <c r="AK50" i="1"/>
  <c r="AE50" i="1"/>
  <c r="AQ49" i="1"/>
  <c r="AK49" i="1"/>
  <c r="AE49" i="1"/>
  <c r="AQ48" i="1"/>
  <c r="AK48" i="1"/>
  <c r="AE48" i="1"/>
  <c r="AQ47" i="1"/>
  <c r="AK47" i="1"/>
  <c r="AE47" i="1"/>
  <c r="AQ46" i="1"/>
  <c r="AK46" i="1"/>
  <c r="AE46" i="1"/>
  <c r="AQ45" i="1"/>
  <c r="AK45" i="1"/>
  <c r="AE45" i="1"/>
  <c r="AQ44" i="1"/>
  <c r="AK44" i="1"/>
  <c r="AE44" i="1"/>
  <c r="AQ43" i="1"/>
  <c r="AK43" i="1"/>
  <c r="AE43" i="1"/>
  <c r="AQ42" i="1"/>
  <c r="AK42" i="1"/>
  <c r="AE42" i="1"/>
  <c r="AQ41" i="1"/>
  <c r="AK41" i="1"/>
  <c r="AE41" i="1"/>
  <c r="AQ40" i="1"/>
  <c r="AK40" i="1"/>
  <c r="AE40" i="1"/>
  <c r="AQ39" i="1"/>
  <c r="AK39" i="1"/>
  <c r="AE39" i="1"/>
  <c r="AQ38" i="1"/>
  <c r="AK38" i="1"/>
  <c r="AE38" i="1"/>
  <c r="AQ37" i="1"/>
  <c r="AK37" i="1"/>
  <c r="AE37" i="1"/>
  <c r="AQ36" i="1"/>
  <c r="AK36" i="1"/>
  <c r="AE36" i="1"/>
  <c r="AQ35" i="1"/>
  <c r="AK35" i="1"/>
  <c r="AE35" i="1"/>
  <c r="AQ34" i="1"/>
  <c r="AK34" i="1"/>
  <c r="AE34" i="1"/>
  <c r="AQ33" i="1"/>
  <c r="AK33" i="1"/>
  <c r="AE33" i="1"/>
  <c r="AQ32" i="1"/>
  <c r="AK32" i="1"/>
  <c r="AE32" i="1"/>
  <c r="AQ31" i="1"/>
  <c r="AK31" i="1"/>
  <c r="AE31" i="1"/>
  <c r="AQ30" i="1"/>
  <c r="AK30" i="1"/>
  <c r="AE30" i="1"/>
  <c r="AQ29" i="1"/>
  <c r="AK29" i="1"/>
  <c r="AE29" i="1"/>
  <c r="AQ28" i="1"/>
  <c r="AK28" i="1"/>
  <c r="AE28" i="1"/>
  <c r="AQ27" i="1"/>
  <c r="AK27" i="1"/>
  <c r="AE27" i="1"/>
  <c r="AQ26" i="1"/>
  <c r="AK26" i="1"/>
  <c r="AE26" i="1"/>
  <c r="AQ25" i="1"/>
  <c r="AK25" i="1"/>
  <c r="AE25" i="1"/>
  <c r="AQ24" i="1"/>
  <c r="AK24" i="1"/>
  <c r="AE24" i="1"/>
  <c r="AQ23" i="1"/>
  <c r="AK23" i="1"/>
  <c r="AE23" i="1"/>
  <c r="AQ22" i="1"/>
  <c r="AK22" i="1"/>
  <c r="AE22" i="1"/>
  <c r="AQ21" i="1"/>
  <c r="AK21" i="1"/>
  <c r="AE21" i="1"/>
  <c r="AQ20" i="1"/>
  <c r="AK20" i="1"/>
  <c r="AE20" i="1"/>
  <c r="AQ19" i="1"/>
  <c r="AK19" i="1"/>
  <c r="AE19" i="1"/>
  <c r="AQ18" i="1"/>
  <c r="AK18" i="1"/>
  <c r="AE18" i="1"/>
  <c r="AQ17" i="1"/>
  <c r="AK17" i="1"/>
  <c r="AE17" i="1"/>
  <c r="AQ16" i="1"/>
  <c r="AK16" i="1"/>
  <c r="AE16" i="1"/>
  <c r="AQ15" i="1"/>
  <c r="AK15" i="1"/>
  <c r="AE15" i="1"/>
  <c r="AQ14" i="1"/>
  <c r="AK14" i="1"/>
  <c r="AE14" i="1"/>
  <c r="AQ13" i="1"/>
  <c r="AK13" i="1"/>
  <c r="AE13" i="1"/>
  <c r="AQ12" i="1"/>
  <c r="AK12" i="1"/>
  <c r="AE12" i="1"/>
  <c r="AQ11" i="1"/>
  <c r="AK11" i="1"/>
  <c r="AE11" i="1"/>
  <c r="AQ10" i="1"/>
  <c r="AK10" i="1"/>
  <c r="AE10" i="1"/>
  <c r="AQ9" i="1"/>
  <c r="AK9" i="1"/>
  <c r="AE9" i="1"/>
  <c r="AQ8" i="1"/>
  <c r="AK8" i="1"/>
  <c r="AE8" i="1"/>
  <c r="AQ7" i="1"/>
  <c r="AK7" i="1"/>
  <c r="AE7" i="1"/>
  <c r="AQ6" i="1"/>
  <c r="AK6" i="1"/>
  <c r="AE6" i="1"/>
  <c r="AQ5" i="1"/>
  <c r="AK5" i="1"/>
  <c r="AE5" i="1"/>
  <c r="AQ4" i="1"/>
  <c r="AK4" i="1"/>
  <c r="AE4" i="1"/>
  <c r="AQ3" i="1"/>
  <c r="AK3" i="1"/>
  <c r="AE3" i="1"/>
  <c r="AK3" i="2" l="1"/>
  <c r="AK2" i="2"/>
  <c r="AE11" i="2"/>
  <c r="AG11" i="2" s="1"/>
  <c r="AM11" i="2"/>
  <c r="AW12" i="2"/>
  <c r="AO12" i="2"/>
  <c r="AV12" i="2" s="1"/>
  <c r="W99" i="2"/>
  <c r="L115" i="2"/>
  <c r="L116" i="2"/>
  <c r="W163" i="2"/>
  <c r="W195" i="2"/>
  <c r="L201" i="2"/>
  <c r="L212" i="2"/>
  <c r="W227" i="2"/>
  <c r="AG2" i="2"/>
  <c r="AO2" i="2"/>
  <c r="AV2" i="2" s="1"/>
  <c r="AO3" i="2"/>
  <c r="AV3" i="2" s="1"/>
  <c r="AO4" i="2"/>
  <c r="AV4" i="2" s="1"/>
  <c r="AO5" i="2"/>
  <c r="AV5" i="2" s="1"/>
  <c r="AO6" i="2"/>
  <c r="AV6" i="2" s="1"/>
  <c r="AO7" i="2"/>
  <c r="AV7" i="2" s="1"/>
  <c r="AO8" i="2"/>
  <c r="AV8" i="2" s="1"/>
  <c r="AO9" i="2"/>
  <c r="AV9" i="2" s="1"/>
  <c r="AO10" i="2"/>
  <c r="AV10" i="2" s="1"/>
  <c r="L39" i="2"/>
  <c r="L47" i="2"/>
  <c r="L55" i="2"/>
  <c r="L87" i="2"/>
  <c r="W111" i="2"/>
  <c r="W143" i="2"/>
  <c r="W207" i="2"/>
  <c r="L252" i="2"/>
  <c r="AH11" i="2"/>
  <c r="AJ11" i="2" s="1"/>
  <c r="AP11" i="2"/>
  <c r="L97" i="2"/>
  <c r="W123" i="2"/>
  <c r="W155" i="2"/>
  <c r="W187" i="2"/>
  <c r="L225" i="2"/>
  <c r="L33" i="2"/>
  <c r="L347" i="2" s="1"/>
  <c r="L49" i="2"/>
  <c r="L57" i="2"/>
  <c r="L81" i="2"/>
  <c r="W103" i="2"/>
  <c r="L109" i="2"/>
  <c r="L120" i="2"/>
  <c r="L141" i="2"/>
  <c r="W167" i="2"/>
  <c r="L173" i="2"/>
  <c r="W199" i="2"/>
  <c r="L272" i="2"/>
  <c r="L99" i="2"/>
  <c r="L100" i="2"/>
  <c r="W147" i="2"/>
  <c r="L164" i="2"/>
  <c r="W179" i="2"/>
  <c r="L217" i="2"/>
  <c r="AC11" i="2"/>
  <c r="AD11" i="2" s="1"/>
  <c r="AK11" i="2" s="1"/>
  <c r="L19" i="2"/>
  <c r="L349" i="2" s="1"/>
  <c r="L35" i="2"/>
  <c r="L43" i="2"/>
  <c r="L348" i="2" s="1"/>
  <c r="L51" i="2"/>
  <c r="L59" i="2"/>
  <c r="L67" i="2"/>
  <c r="L75" i="2"/>
  <c r="L83" i="2"/>
  <c r="L91" i="2"/>
  <c r="W95" i="2"/>
  <c r="L101" i="2"/>
  <c r="L111" i="2"/>
  <c r="L112" i="2"/>
  <c r="W127" i="2"/>
  <c r="L133" i="2"/>
  <c r="L144" i="2"/>
  <c r="L165" i="2"/>
  <c r="L176" i="2"/>
  <c r="W191" i="2"/>
  <c r="L197" i="2"/>
  <c r="L208" i="2"/>
  <c r="W223" i="2"/>
  <c r="L229" i="2"/>
  <c r="L244" i="2"/>
  <c r="L260" i="2"/>
  <c r="L276" i="2"/>
  <c r="L292" i="2"/>
  <c r="L308" i="2"/>
  <c r="L324" i="2"/>
  <c r="L340" i="2"/>
  <c r="AD4" i="2"/>
  <c r="AK4" i="2" s="1"/>
  <c r="AD5" i="2"/>
  <c r="AK5" i="2" s="1"/>
  <c r="AD6" i="2"/>
  <c r="AK6" i="2" s="1"/>
  <c r="AD7" i="2"/>
  <c r="AK7" i="2" s="1"/>
  <c r="AD8" i="2"/>
  <c r="AK8" i="2" s="1"/>
  <c r="AD9" i="2"/>
  <c r="AK9" i="2" s="1"/>
  <c r="AD10" i="2"/>
  <c r="AK10" i="2" s="1"/>
  <c r="AD12" i="2"/>
  <c r="AK12" i="2" s="1"/>
  <c r="W107" i="2"/>
  <c r="L113" i="2"/>
  <c r="W139" i="2"/>
  <c r="L156" i="2"/>
  <c r="W171" i="2"/>
  <c r="W203" i="2"/>
  <c r="AL11" i="2" l="1"/>
  <c r="L346" i="2"/>
  <c r="AW11" i="2"/>
  <c r="AO11" i="2"/>
  <c r="AV11" i="2" s="1"/>
  <c r="N347" i="2" l="1"/>
  <c r="N346" i="2"/>
</calcChain>
</file>

<file path=xl/sharedStrings.xml><?xml version="1.0" encoding="utf-8"?>
<sst xmlns="http://schemas.openxmlformats.org/spreadsheetml/2006/main" count="1530" uniqueCount="397">
  <si>
    <t>Codigo</t>
  </si>
  <si>
    <t>Nombre de municipio/TIOC</t>
  </si>
  <si>
    <t>https://pre.jubileobolivia.org.bo/?</t>
  </si>
  <si>
    <t>Limpieza urbana y rural - GASTO CORRIENTE - FUNCIONAMIENTO Y OTROS (ACTIVIDAD)</t>
  </si>
  <si>
    <t>%</t>
  </si>
  <si>
    <t>Limpieza urbana y rural - PROY.  INVERSIÓN</t>
  </si>
  <si>
    <t>Total</t>
  </si>
  <si>
    <t>Total %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</si>
  <si>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</si>
  <si>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</si>
  <si>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</si>
  <si>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</si>
  <si>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</si>
  <si>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</si>
  <si>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</si>
  <si>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</si>
  <si>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</si>
  <si>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</si>
  <si>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</si>
  <si>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</si>
  <si>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</si>
  <si>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</si>
  <si>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</si>
  <si>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</si>
  <si>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</si>
  <si>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</si>
  <si>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</si>
  <si>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</si>
  <si>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</si>
  <si>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</si>
  <si>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</si>
  <si>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</si>
  <si>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</si>
  <si>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</si>
  <si>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</si>
  <si>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</si>
  <si>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</si>
  <si>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</si>
  <si>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</si>
  <si>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</si>
  <si>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</si>
  <si>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</si>
  <si>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</si>
  <si>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</si>
  <si>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</si>
  <si>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</si>
  <si>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</si>
  <si>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</si>
  <si>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</si>
  <si>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</si>
  <si>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</si>
  <si>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</si>
  <si>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</si>
  <si>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</si>
  <si>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</si>
  <si>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</si>
  <si>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</si>
  <si>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</si>
  <si>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</si>
  <si>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</si>
  <si>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</si>
  <si>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</si>
  <si>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</si>
  <si>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</si>
  <si>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</si>
  <si>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</si>
  <si>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</si>
  <si>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</si>
  <si>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</si>
  <si>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</si>
  <si>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</si>
  <si>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</si>
  <si>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</si>
  <si>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</si>
  <si>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</si>
  <si>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</si>
  <si>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</si>
  <si>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</si>
  <si>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</si>
  <si>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</si>
  <si>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</si>
  <si>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</si>
  <si>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</si>
  <si>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</si>
  <si>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</si>
  <si>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</si>
  <si>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</si>
  <si>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</si>
  <si>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</si>
  <si>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</si>
  <si>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</si>
  <si>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</si>
  <si>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</si>
  <si>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</si>
  <si>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</si>
  <si>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</si>
  <si>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</si>
  <si>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</si>
  <si>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</si>
  <si>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</si>
  <si>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</si>
  <si>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</si>
  <si>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</si>
  <si>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</si>
  <si>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</si>
  <si>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</si>
  <si>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</si>
  <si>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</si>
  <si>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</si>
  <si>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</si>
  <si>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</si>
  <si>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</si>
  <si>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</si>
  <si>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</si>
  <si>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</si>
  <si>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</si>
  <si>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</si>
  <si>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</si>
  <si>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</si>
  <si>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</si>
  <si>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</si>
  <si>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</si>
  <si>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</si>
  <si>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</si>
  <si>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</si>
  <si>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</si>
  <si>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</si>
  <si>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</si>
  <si>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</si>
  <si>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</si>
  <si>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</si>
  <si>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</si>
  <si>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</si>
  <si>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</si>
  <si>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</si>
  <si>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</si>
  <si>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</si>
  <si>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</si>
  <si>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</si>
  <si>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</si>
  <si>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</si>
  <si>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</si>
  <si>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</si>
  <si>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</si>
  <si>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</si>
  <si>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</si>
  <si>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</si>
  <si>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</si>
  <si>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</si>
  <si>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</si>
  <si>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</si>
  <si>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</si>
  <si>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</si>
  <si>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</si>
  <si>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</si>
  <si>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</si>
  <si>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</si>
  <si>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</si>
  <si>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</si>
  <si>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</si>
  <si>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</si>
  <si>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</si>
  <si>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</si>
  <si>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</si>
  <si>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</si>
  <si>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</si>
  <si>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</si>
  <si>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</si>
  <si>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</si>
  <si>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</si>
  <si>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</si>
  <si>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</si>
  <si>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</si>
  <si>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</si>
  <si>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</si>
  <si>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</si>
  <si>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</si>
  <si>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</si>
  <si>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</si>
  <si>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</si>
  <si>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</si>
  <si>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</si>
  <si>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</si>
  <si>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</si>
  <si>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</si>
  <si>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</si>
  <si>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</si>
  <si>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</si>
  <si>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</si>
  <si>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</si>
  <si>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</si>
  <si>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</si>
  <si>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</si>
  <si>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</si>
  <si>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</si>
  <si>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</si>
  <si>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</si>
  <si>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</si>
  <si>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</si>
  <si>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</si>
  <si>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</si>
  <si>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</si>
  <si>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</si>
  <si>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</si>
  <si>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</si>
  <si>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</si>
  <si>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</si>
  <si>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</si>
  <si>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</si>
  <si>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</si>
  <si>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</si>
  <si>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</si>
  <si>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</si>
  <si>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</si>
  <si>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</si>
  <si>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</si>
  <si>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</si>
  <si>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</si>
  <si>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</si>
  <si>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</si>
  <si>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</si>
  <si>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</si>
  <si>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</si>
  <si>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</si>
  <si>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</si>
  <si>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</si>
  <si>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</si>
  <si>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</si>
  <si>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</si>
  <si>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</si>
  <si>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</si>
  <si>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</si>
  <si>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</si>
  <si>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</si>
  <si>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</si>
  <si>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</si>
  <si>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</si>
  <si>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</si>
  <si>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</si>
  <si>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</si>
  <si>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</si>
  <si>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</si>
  <si>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</si>
  <si>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</si>
  <si>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</si>
  <si>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</si>
  <si>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</si>
  <si>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</si>
  <si>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</si>
  <si>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</si>
  <si>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</si>
  <si>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</si>
  <si>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</si>
  <si>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</si>
  <si>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</si>
  <si>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</si>
  <si>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</si>
  <si>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</si>
  <si>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</si>
  <si>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</si>
  <si>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</si>
  <si>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</si>
  <si>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</si>
  <si>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</si>
  <si>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</si>
  <si>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</si>
  <si>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Miguel</t>
  </si>
  <si>
    <t>San Rafael</t>
  </si>
  <si>
    <t>Buena Vista</t>
  </si>
  <si>
    <t>San Carlos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</si>
  <si>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</si>
  <si>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</si>
  <si>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</si>
  <si>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</si>
  <si>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</si>
  <si>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</si>
  <si>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</si>
  <si>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</si>
  <si>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</si>
  <si>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</si>
  <si>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</si>
  <si>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</si>
  <si>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</si>
  <si>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</si>
  <si>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</si>
  <si>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</si>
  <si>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</si>
  <si>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</si>
  <si>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</si>
  <si>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</si>
  <si>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</si>
  <si>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</si>
  <si>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</si>
  <si>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</si>
  <si>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</si>
  <si>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</si>
  <si>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</si>
  <si>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</si>
  <si>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</si>
  <si>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</si>
  <si>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</si>
  <si>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</si>
  <si>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</si>
  <si>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</si>
  <si>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</si>
  <si>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</si>
  <si>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</si>
  <si>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</si>
  <si>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</si>
  <si>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</si>
  <si>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</si>
  <si>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</si>
  <si>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</si>
  <si>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</si>
  <si>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</si>
  <si>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</si>
  <si>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</si>
  <si>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</si>
  <si>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</si>
  <si>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</si>
  <si>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</si>
  <si>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</si>
  <si>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</si>
  <si>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</si>
  <si>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</si>
  <si>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</si>
  <si>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</si>
  <si>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</si>
  <si>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</si>
  <si>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</si>
  <si>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</si>
  <si>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</si>
  <si>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</si>
  <si>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</si>
  <si>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</si>
  <si>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</si>
  <si>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</si>
  <si>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</si>
  <si>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</si>
  <si>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</si>
  <si>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Limpieza urbana y rural 2012</t>
  </si>
  <si>
    <t>Población 2012</t>
  </si>
  <si>
    <t>Inversión pública municipal en residuos sólidos per cápita 2012</t>
  </si>
  <si>
    <t>Limpieza urbana y rural 2013</t>
  </si>
  <si>
    <t>Población 2013</t>
  </si>
  <si>
    <t>Inversión pública municipal en residuos sólidos per cápita 2013</t>
  </si>
  <si>
    <t>Limpieza urbana y rural 2014</t>
  </si>
  <si>
    <t>Población 2014</t>
  </si>
  <si>
    <t>Inversión pública municipal en residuos sólidos per cápita 2014</t>
  </si>
  <si>
    <t>Promedio 2012-2014 (per capita)</t>
  </si>
  <si>
    <t>Promedio 2012-2014 (inversion total)</t>
  </si>
  <si>
    <t>Limpieza urbana y rural 2022</t>
  </si>
  <si>
    <t>Población 2022</t>
  </si>
  <si>
    <t>Inversión pública municipal en residuos sólidos per cápita 2022</t>
  </si>
  <si>
    <t>Limpieza urbana y rural 2023</t>
  </si>
  <si>
    <t>Población 2023</t>
  </si>
  <si>
    <t>Inversión pública municipal en residuos sólidos per cápita 2023</t>
  </si>
  <si>
    <t>Limpieza urbana y rural 2024</t>
  </si>
  <si>
    <t>Población 2024</t>
  </si>
  <si>
    <t>Inversión pública municipal en residuos sólidos per cápita 2024</t>
  </si>
  <si>
    <t>Promedio 2022-2024 (per capita)</t>
  </si>
  <si>
    <t>Promedio 2022-2024 (inversion total)</t>
  </si>
  <si>
    <t>id_departamento</t>
  </si>
  <si>
    <t>Departamento</t>
  </si>
  <si>
    <t>Chuquisaca</t>
  </si>
  <si>
    <t>La Paz</t>
  </si>
  <si>
    <t>Santa Cruz</t>
  </si>
  <si>
    <t>Beni</t>
  </si>
  <si>
    <t>Pando</t>
  </si>
  <si>
    <t>Bolivia</t>
  </si>
  <si>
    <t>Gran Chaco</t>
  </si>
  <si>
    <t>Promedio</t>
  </si>
  <si>
    <t>Desv. Est.</t>
  </si>
  <si>
    <t>Min</t>
  </si>
  <si>
    <t>Max</t>
  </si>
  <si>
    <t>Obs</t>
  </si>
  <si>
    <t>sdg12_4_inversion_residuos_2012</t>
  </si>
  <si>
    <t>sdg12_4_inversion_residuos_2024</t>
  </si>
  <si>
    <t>id</t>
  </si>
  <si>
    <t>Municipio</t>
  </si>
  <si>
    <t>sdg12_4_inversion_residuos_abs_2012</t>
  </si>
  <si>
    <t>sdg12_4_inversion_residuos_abs_2024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</si>
  <si>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</si>
  <si>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</si>
  <si>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</si>
  <si>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</si>
  <si>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</si>
  <si>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</si>
  <si>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</si>
  <si>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</si>
  <si>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</si>
  <si>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</si>
  <si>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Inversión pública municipal en residuos sólidos per cápita</t>
  </si>
  <si>
    <t>Gasto e inversión pública municipal en residuos sólidos per cápita 2012</t>
  </si>
  <si>
    <t>Gasto e inversión pública municipal en residuos sólidos per cápita 2013</t>
  </si>
  <si>
    <t>Gasto e inversión pública municipal en residuos sólidos per cápita 2014</t>
  </si>
  <si>
    <t>Promedio 2012-2014 (inversion+gasto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</si>
</sst>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Play"/>
    </font>
  </fonts>
  <fills count="18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A4C2F4"/>
        <bgColor rgb="FFA4C2F4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0" xfId="0" applyFont="1"/>
    <xf numFmtId="0" fontId="1" fillId="5" borderId="14" xfId="0" applyFont="1" applyFill="1" applyBorder="1" applyAlignment="1">
      <alignment vertical="center" wrapText="1"/>
    </xf>
    <xf numFmtId="2" fontId="1" fillId="6" borderId="15" xfId="0" applyNumberFormat="1" applyFont="1" applyFill="1" applyBorder="1" applyAlignment="1">
      <alignment vertical="center" wrapText="1"/>
    </xf>
    <xf numFmtId="0" fontId="1" fillId="5" borderId="15" xfId="0" applyFont="1" applyFill="1" applyBorder="1" applyAlignment="1">
      <alignment vertical="center" wrapText="1"/>
    </xf>
    <xf numFmtId="1" fontId="1" fillId="5" borderId="15" xfId="0" applyNumberFormat="1" applyFont="1" applyFill="1" applyBorder="1" applyAlignment="1">
      <alignment vertical="center" wrapText="1"/>
    </xf>
    <xf numFmtId="2" fontId="1" fillId="6" borderId="16" xfId="0" applyNumberFormat="1" applyFont="1" applyFill="1" applyBorder="1" applyAlignment="1">
      <alignment vertical="center" wrapText="1"/>
    </xf>
    <xf numFmtId="164" fontId="1" fillId="6" borderId="15" xfId="0" applyNumberFormat="1" applyFont="1" applyFill="1" applyBorder="1" applyAlignment="1">
      <alignment vertical="center" wrapText="1"/>
    </xf>
    <xf numFmtId="0" fontId="1" fillId="7" borderId="17" xfId="0" applyFont="1" applyFill="1" applyBorder="1" applyAlignment="1">
      <alignment vertical="center" wrapText="1"/>
    </xf>
    <xf numFmtId="4" fontId="1" fillId="8" borderId="15" xfId="0" applyNumberFormat="1" applyFont="1" applyFill="1" applyBorder="1" applyAlignment="1">
      <alignment vertical="center" wrapText="1"/>
    </xf>
    <xf numFmtId="0" fontId="1" fillId="7" borderId="15" xfId="0" applyFont="1" applyFill="1" applyBorder="1" applyAlignment="1">
      <alignment vertical="center" wrapText="1"/>
    </xf>
    <xf numFmtId="3" fontId="1" fillId="7" borderId="15" xfId="0" applyNumberFormat="1" applyFont="1" applyFill="1" applyBorder="1" applyAlignment="1">
      <alignment vertical="center" wrapText="1"/>
    </xf>
    <xf numFmtId="0" fontId="1" fillId="9" borderId="18" xfId="0" applyFont="1" applyFill="1" applyBorder="1" applyAlignment="1">
      <alignment vertical="center" wrapText="1"/>
    </xf>
    <xf numFmtId="4" fontId="1" fillId="8" borderId="18" xfId="0" applyNumberFormat="1" applyFont="1" applyFill="1" applyBorder="1" applyAlignment="1">
      <alignment vertical="center" wrapText="1"/>
    </xf>
    <xf numFmtId="3" fontId="1" fillId="9" borderId="18" xfId="0" applyNumberFormat="1" applyFont="1" applyFill="1" applyBorder="1" applyAlignment="1">
      <alignment vertical="center" wrapText="1"/>
    </xf>
    <xf numFmtId="0" fontId="1" fillId="0" borderId="0" xfId="0" applyFont="1"/>
    <xf numFmtId="0" fontId="4" fillId="0" borderId="15" xfId="0" applyFont="1" applyBorder="1" applyAlignment="1">
      <alignment horizontal="right"/>
    </xf>
    <xf numFmtId="0" fontId="4" fillId="0" borderId="19" xfId="0" applyFont="1" applyBorder="1"/>
    <xf numFmtId="3" fontId="4" fillId="5" borderId="14" xfId="0" applyNumberFormat="1" applyFont="1" applyFill="1" applyBorder="1"/>
    <xf numFmtId="2" fontId="4" fillId="6" borderId="15" xfId="0" applyNumberFormat="1" applyFont="1" applyFill="1" applyBorder="1"/>
    <xf numFmtId="0" fontId="4" fillId="5" borderId="15" xfId="0" applyFont="1" applyFill="1" applyBorder="1"/>
    <xf numFmtId="1" fontId="4" fillId="5" borderId="15" xfId="0" applyNumberFormat="1" applyFont="1" applyFill="1" applyBorder="1"/>
    <xf numFmtId="2" fontId="4" fillId="6" borderId="16" xfId="0" applyNumberFormat="1" applyFont="1" applyFill="1" applyBorder="1"/>
    <xf numFmtId="2" fontId="4" fillId="5" borderId="14" xfId="0" applyNumberFormat="1" applyFont="1" applyFill="1" applyBorder="1"/>
    <xf numFmtId="0" fontId="4" fillId="6" borderId="15" xfId="0" applyFont="1" applyFill="1" applyBorder="1"/>
    <xf numFmtId="2" fontId="4" fillId="5" borderId="15" xfId="0" applyNumberFormat="1" applyFont="1" applyFill="1" applyBorder="1"/>
    <xf numFmtId="164" fontId="4" fillId="6" borderId="15" xfId="0" applyNumberFormat="1" applyFont="1" applyFill="1" applyBorder="1"/>
    <xf numFmtId="0" fontId="4" fillId="6" borderId="16" xfId="0" applyFont="1" applyFill="1" applyBorder="1"/>
    <xf numFmtId="0" fontId="4" fillId="7" borderId="17" xfId="0" applyFont="1" applyFill="1" applyBorder="1"/>
    <xf numFmtId="4" fontId="4" fillId="8" borderId="15" xfId="0" applyNumberFormat="1" applyFont="1" applyFill="1" applyBorder="1"/>
    <xf numFmtId="0" fontId="4" fillId="7" borderId="15" xfId="0" applyFont="1" applyFill="1" applyBorder="1"/>
    <xf numFmtId="3" fontId="4" fillId="7" borderId="15" xfId="0" applyNumberFormat="1" applyFont="1" applyFill="1" applyBorder="1"/>
    <xf numFmtId="4" fontId="4" fillId="9" borderId="18" xfId="0" applyNumberFormat="1" applyFont="1" applyFill="1" applyBorder="1"/>
    <xf numFmtId="4" fontId="4" fillId="8" borderId="18" xfId="0" applyNumberFormat="1" applyFont="1" applyFill="1" applyBorder="1"/>
    <xf numFmtId="3" fontId="4" fillId="7" borderId="17" xfId="0" applyNumberFormat="1" applyFont="1" applyFill="1" applyBorder="1"/>
    <xf numFmtId="0" fontId="4" fillId="5" borderId="14" xfId="0" applyFont="1" applyFill="1" applyBorder="1"/>
    <xf numFmtId="3" fontId="4" fillId="5" borderId="15" xfId="0" applyNumberFormat="1" applyFont="1" applyFill="1" applyBorder="1"/>
    <xf numFmtId="0" fontId="4" fillId="9" borderId="18" xfId="0" applyFont="1" applyFill="1" applyBorder="1"/>
    <xf numFmtId="0" fontId="4" fillId="10" borderId="15" xfId="0" applyFont="1" applyFill="1" applyBorder="1" applyAlignment="1">
      <alignment horizontal="right"/>
    </xf>
    <xf numFmtId="0" fontId="4" fillId="10" borderId="20" xfId="0" applyFont="1" applyFill="1" applyBorder="1"/>
    <xf numFmtId="1" fontId="4" fillId="7" borderId="15" xfId="0" applyNumberFormat="1" applyFont="1" applyFill="1" applyBorder="1"/>
    <xf numFmtId="3" fontId="4" fillId="5" borderId="21" xfId="0" applyNumberFormat="1" applyFont="1" applyFill="1" applyBorder="1"/>
    <xf numFmtId="2" fontId="4" fillId="6" borderId="22" xfId="0" applyNumberFormat="1" applyFont="1" applyFill="1" applyBorder="1"/>
    <xf numFmtId="0" fontId="4" fillId="5" borderId="22" xfId="0" applyFont="1" applyFill="1" applyBorder="1"/>
    <xf numFmtId="1" fontId="4" fillId="5" borderId="22" xfId="0" applyNumberFormat="1" applyFont="1" applyFill="1" applyBorder="1"/>
    <xf numFmtId="2" fontId="4" fillId="6" borderId="23" xfId="0" applyNumberFormat="1" applyFont="1" applyFill="1" applyBorder="1"/>
    <xf numFmtId="2" fontId="4" fillId="5" borderId="21" xfId="0" applyNumberFormat="1" applyFont="1" applyFill="1" applyBorder="1"/>
    <xf numFmtId="0" fontId="4" fillId="6" borderId="22" xfId="0" applyFont="1" applyFill="1" applyBorder="1"/>
    <xf numFmtId="164" fontId="4" fillId="6" borderId="22" xfId="0" applyNumberFormat="1" applyFont="1" applyFill="1" applyBorder="1"/>
    <xf numFmtId="2" fontId="4" fillId="5" borderId="22" xfId="0" applyNumberFormat="1" applyFont="1" applyFill="1" applyBorder="1"/>
    <xf numFmtId="0" fontId="4" fillId="6" borderId="23" xfId="0" applyFont="1" applyFill="1" applyBorder="1"/>
    <xf numFmtId="0" fontId="4" fillId="0" borderId="0" xfId="0" applyFont="1"/>
    <xf numFmtId="2" fontId="4" fillId="0" borderId="0" xfId="0" applyNumberFormat="1" applyFont="1"/>
    <xf numFmtId="1" fontId="4" fillId="0" borderId="0" xfId="0" applyNumberFormat="1" applyFont="1"/>
    <xf numFmtId="164" fontId="4" fillId="0" borderId="0" xfId="0" applyNumberFormat="1" applyFont="1"/>
    <xf numFmtId="4" fontId="4" fillId="0" borderId="0" xfId="0" applyNumberFormat="1" applyFont="1"/>
    <xf numFmtId="3" fontId="4" fillId="0" borderId="0" xfId="0" applyNumberFormat="1" applyFont="1"/>
    <xf numFmtId="0" fontId="1" fillId="0" borderId="15" xfId="0" applyFont="1" applyBorder="1" applyAlignment="1">
      <alignment vertical="center" wrapText="1"/>
    </xf>
    <xf numFmtId="2" fontId="5" fillId="11" borderId="15" xfId="0" applyNumberFormat="1" applyFont="1" applyFill="1" applyBorder="1" applyAlignment="1">
      <alignment vertical="center" wrapText="1"/>
    </xf>
    <xf numFmtId="2" fontId="6" fillId="12" borderId="15" xfId="0" applyNumberFormat="1" applyFont="1" applyFill="1" applyBorder="1" applyAlignment="1">
      <alignment vertical="center" wrapText="1"/>
    </xf>
    <xf numFmtId="4" fontId="6" fillId="12" borderId="15" xfId="0" applyNumberFormat="1" applyFont="1" applyFill="1" applyBorder="1" applyAlignment="1">
      <alignment vertical="center" wrapText="1"/>
    </xf>
    <xf numFmtId="164" fontId="5" fillId="11" borderId="15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5" xfId="0" applyFont="1" applyBorder="1"/>
    <xf numFmtId="3" fontId="4" fillId="0" borderId="15" xfId="0" applyNumberFormat="1" applyFont="1" applyBorder="1"/>
    <xf numFmtId="2" fontId="4" fillId="0" borderId="15" xfId="0" applyNumberFormat="1" applyFont="1" applyBorder="1"/>
    <xf numFmtId="2" fontId="4" fillId="12" borderId="15" xfId="0" applyNumberFormat="1" applyFont="1" applyFill="1" applyBorder="1"/>
    <xf numFmtId="3" fontId="4" fillId="12" borderId="15" xfId="0" applyNumberFormat="1" applyFont="1" applyFill="1" applyBorder="1"/>
    <xf numFmtId="164" fontId="4" fillId="0" borderId="15" xfId="0" applyNumberFormat="1" applyFont="1" applyBorder="1"/>
    <xf numFmtId="4" fontId="4" fillId="0" borderId="15" xfId="0" applyNumberFormat="1" applyFont="1" applyBorder="1"/>
    <xf numFmtId="164" fontId="4" fillId="12" borderId="15" xfId="0" applyNumberFormat="1" applyFont="1" applyFill="1" applyBorder="1"/>
    <xf numFmtId="4" fontId="4" fillId="12" borderId="15" xfId="0" applyNumberFormat="1" applyFont="1" applyFill="1" applyBorder="1"/>
    <xf numFmtId="0" fontId="4" fillId="10" borderId="15" xfId="0" applyFont="1" applyFill="1" applyBorder="1"/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7" fillId="0" borderId="0" xfId="0" applyFont="1"/>
    <xf numFmtId="4" fontId="7" fillId="0" borderId="0" xfId="0" applyNumberFormat="1" applyFont="1"/>
    <xf numFmtId="2" fontId="7" fillId="0" borderId="0" xfId="0" applyNumberFormat="1" applyFont="1" applyAlignment="1">
      <alignment horizontal="right"/>
    </xf>
    <xf numFmtId="164" fontId="1" fillId="0" borderId="15" xfId="0" applyNumberFormat="1" applyFont="1" applyBorder="1" applyAlignment="1">
      <alignment wrapText="1"/>
    </xf>
    <xf numFmtId="3" fontId="1" fillId="0" borderId="15" xfId="0" applyNumberFormat="1" applyFont="1" applyBorder="1" applyAlignment="1">
      <alignment wrapText="1"/>
    </xf>
    <xf numFmtId="0" fontId="8" fillId="13" borderId="15" xfId="0" applyFont="1" applyFill="1" applyBorder="1" applyAlignment="1">
      <alignment vertical="center" wrapText="1"/>
    </xf>
    <xf numFmtId="0" fontId="9" fillId="14" borderId="15" xfId="0" applyFont="1" applyFill="1" applyBorder="1" applyAlignment="1">
      <alignment horizontal="center" vertical="center" wrapText="1"/>
    </xf>
    <xf numFmtId="0" fontId="9" fillId="15" borderId="15" xfId="0" applyFont="1" applyFill="1" applyBorder="1" applyAlignment="1">
      <alignment horizontal="center" vertical="center" wrapText="1"/>
    </xf>
    <xf numFmtId="0" fontId="9" fillId="16" borderId="15" xfId="0" applyFont="1" applyFill="1" applyBorder="1" applyAlignment="1">
      <alignment horizontal="center" vertical="center" wrapText="1"/>
    </xf>
    <xf numFmtId="0" fontId="9" fillId="17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wrapText="1"/>
    </xf>
    <xf numFmtId="0" fontId="1" fillId="4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0" borderId="1" xfId="0" applyFont="1" applyBorder="1"/>
    <xf numFmtId="0" fontId="2" fillId="0" borderId="12" xfId="0" applyFont="1" applyBorder="1"/>
    <xf numFmtId="0" fontId="1" fillId="0" borderId="2" xfId="0" applyFont="1" applyBorder="1" applyAlignment="1">
      <alignment wrapText="1"/>
    </xf>
    <xf numFmtId="0" fontId="2" fillId="0" borderId="13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857875" cy="39433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e.jubileobolivia.org.bo/?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5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" customHeight="1"/>
  <cols>
    <col min="1" max="1" width="7.6640625" customWidth="1"/>
    <col min="2" max="2" width="15.88671875" customWidth="1"/>
    <col min="3" max="3" width="13.88671875" customWidth="1"/>
    <col min="4" max="4" width="6.33203125" customWidth="1"/>
    <col min="5" max="5" width="13" customWidth="1"/>
    <col min="6" max="6" width="5.77734375" customWidth="1"/>
    <col min="7" max="7" width="6.6640625" customWidth="1"/>
    <col min="8" max="8" width="5.77734375" customWidth="1"/>
    <col min="9" max="9" width="13.33203125" customWidth="1"/>
    <col min="10" max="10" width="5.77734375" customWidth="1"/>
    <col min="11" max="11" width="12.21875" customWidth="1"/>
    <col min="12" max="12" width="5.77734375" customWidth="1"/>
    <col min="13" max="13" width="6.44140625" customWidth="1"/>
    <col min="14" max="14" width="5.77734375" customWidth="1"/>
    <col min="15" max="15" width="13.33203125" customWidth="1"/>
    <col min="16" max="16" width="5.77734375" customWidth="1"/>
    <col min="17" max="17" width="12.109375" customWidth="1"/>
    <col min="18" max="20" width="5.77734375" customWidth="1"/>
    <col min="21" max="21" width="13.21875" customWidth="1"/>
    <col min="22" max="22" width="5.6640625" customWidth="1"/>
    <col min="23" max="23" width="12.21875" customWidth="1"/>
    <col min="24" max="26" width="5.88671875" customWidth="1"/>
    <col min="27" max="27" width="13.6640625" customWidth="1"/>
    <col min="28" max="28" width="5.88671875" customWidth="1"/>
    <col min="29" max="29" width="14" customWidth="1"/>
    <col min="30" max="32" width="5.88671875" customWidth="1"/>
    <col min="33" max="33" width="13.21875" customWidth="1"/>
    <col min="34" max="34" width="5.88671875" customWidth="1"/>
    <col min="35" max="35" width="12.33203125" customWidth="1"/>
    <col min="36" max="38" width="5.88671875" customWidth="1"/>
    <col min="39" max="39" width="14.21875" customWidth="1"/>
    <col min="40" max="40" width="5.88671875" customWidth="1"/>
    <col min="41" max="41" width="14.109375" customWidth="1"/>
    <col min="42" max="44" width="5.88671875" customWidth="1"/>
  </cols>
  <sheetData>
    <row r="1" spans="1:64" ht="15.75" customHeight="1">
      <c r="A1" s="89" t="s">
        <v>0</v>
      </c>
      <c r="B1" s="91" t="s">
        <v>1</v>
      </c>
      <c r="C1" s="93">
        <v>2012</v>
      </c>
      <c r="D1" s="94"/>
      <c r="E1" s="94"/>
      <c r="F1" s="94"/>
      <c r="G1" s="94"/>
      <c r="H1" s="95"/>
      <c r="I1" s="93">
        <v>2013</v>
      </c>
      <c r="J1" s="94"/>
      <c r="K1" s="94"/>
      <c r="L1" s="94"/>
      <c r="M1" s="94"/>
      <c r="N1" s="95"/>
      <c r="O1" s="93">
        <v>2014</v>
      </c>
      <c r="P1" s="94"/>
      <c r="Q1" s="94"/>
      <c r="R1" s="94"/>
      <c r="S1" s="94"/>
      <c r="T1" s="95"/>
      <c r="U1" s="96">
        <v>2021</v>
      </c>
      <c r="V1" s="97"/>
      <c r="W1" s="97"/>
      <c r="X1" s="97"/>
      <c r="Y1" s="97"/>
      <c r="Z1" s="98"/>
      <c r="AA1" s="86">
        <v>2022</v>
      </c>
      <c r="AB1" s="87"/>
      <c r="AC1" s="87"/>
      <c r="AD1" s="87"/>
      <c r="AE1" s="87"/>
      <c r="AF1" s="88"/>
      <c r="AG1" s="86">
        <v>2023</v>
      </c>
      <c r="AH1" s="87"/>
      <c r="AI1" s="87"/>
      <c r="AJ1" s="87"/>
      <c r="AK1" s="87"/>
      <c r="AL1" s="88"/>
      <c r="AM1" s="86">
        <v>2024</v>
      </c>
      <c r="AN1" s="87"/>
      <c r="AO1" s="87"/>
      <c r="AP1" s="87"/>
      <c r="AQ1" s="87"/>
      <c r="AR1" s="88"/>
      <c r="AS1" s="1" t="s">
        <v>2</v>
      </c>
    </row>
    <row r="2" spans="1:64" ht="15.75" customHeight="1">
      <c r="A2" s="90"/>
      <c r="B2" s="92"/>
      <c r="C2" s="2" t="s">
        <v>3</v>
      </c>
      <c r="D2" s="3" t="s">
        <v>4</v>
      </c>
      <c r="E2" s="4" t="s">
        <v>5</v>
      </c>
      <c r="F2" s="3" t="s">
        <v>4</v>
      </c>
      <c r="G2" s="5" t="s">
        <v>6</v>
      </c>
      <c r="H2" s="6" t="s">
        <v>7</v>
      </c>
      <c r="I2" s="2" t="s">
        <v>3</v>
      </c>
      <c r="J2" s="3" t="s">
        <v>4</v>
      </c>
      <c r="K2" s="4" t="s">
        <v>5</v>
      </c>
      <c r="L2" s="7" t="s">
        <v>4</v>
      </c>
      <c r="M2" s="5" t="s">
        <v>6</v>
      </c>
      <c r="N2" s="6" t="s">
        <v>7</v>
      </c>
      <c r="O2" s="2" t="s">
        <v>3</v>
      </c>
      <c r="P2" s="3" t="s">
        <v>4</v>
      </c>
      <c r="Q2" s="4" t="s">
        <v>5</v>
      </c>
      <c r="R2" s="3" t="s">
        <v>4</v>
      </c>
      <c r="S2" s="5" t="s">
        <v>6</v>
      </c>
      <c r="T2" s="6" t="s">
        <v>7</v>
      </c>
      <c r="U2" s="8" t="s">
        <v>3</v>
      </c>
      <c r="V2" s="9" t="s">
        <v>4</v>
      </c>
      <c r="W2" s="10" t="s">
        <v>5</v>
      </c>
      <c r="X2" s="9" t="s">
        <v>4</v>
      </c>
      <c r="Y2" s="11" t="s">
        <v>6</v>
      </c>
      <c r="Z2" s="9" t="s">
        <v>7</v>
      </c>
      <c r="AA2" s="12" t="s">
        <v>3</v>
      </c>
      <c r="AB2" s="13" t="s">
        <v>4</v>
      </c>
      <c r="AC2" s="12" t="s">
        <v>5</v>
      </c>
      <c r="AD2" s="13" t="s">
        <v>4</v>
      </c>
      <c r="AE2" s="14" t="s">
        <v>6</v>
      </c>
      <c r="AF2" s="13" t="s">
        <v>7</v>
      </c>
      <c r="AG2" s="12" t="s">
        <v>3</v>
      </c>
      <c r="AH2" s="13" t="s">
        <v>4</v>
      </c>
      <c r="AI2" s="12" t="s">
        <v>5</v>
      </c>
      <c r="AJ2" s="13" t="s">
        <v>4</v>
      </c>
      <c r="AK2" s="14" t="s">
        <v>6</v>
      </c>
      <c r="AL2" s="13" t="s">
        <v>7</v>
      </c>
      <c r="AM2" s="12" t="s">
        <v>3</v>
      </c>
      <c r="AN2" s="13" t="s">
        <v>4</v>
      </c>
      <c r="AO2" s="12" t="s">
        <v>5</v>
      </c>
      <c r="AP2" s="13" t="s">
        <v>4</v>
      </c>
      <c r="AQ2" s="14" t="s">
        <v>6</v>
      </c>
      <c r="AR2" s="13" t="s">
        <v>7</v>
      </c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</row>
    <row r="3" spans="1:64" ht="15.75" customHeight="1">
      <c r="A3" s="16">
        <v>10101</v>
      </c>
      <c r="B3" s="17" t="s">
        <v>8</v>
      </c>
      <c r="C3" s="18">
        <v>1650000</v>
      </c>
      <c r="D3" s="19">
        <v>0.79</v>
      </c>
      <c r="E3" s="20">
        <v>0</v>
      </c>
      <c r="F3" s="19">
        <v>0</v>
      </c>
      <c r="G3" s="21">
        <v>1650000</v>
      </c>
      <c r="H3" s="22">
        <v>0.43</v>
      </c>
      <c r="I3" s="23">
        <v>1800000</v>
      </c>
      <c r="J3" s="24">
        <v>0.65</v>
      </c>
      <c r="K3" s="25">
        <v>0</v>
      </c>
      <c r="L3" s="26">
        <v>0</v>
      </c>
      <c r="M3" s="25">
        <v>1800000</v>
      </c>
      <c r="N3" s="27">
        <v>0.38</v>
      </c>
      <c r="O3" s="23">
        <v>2300000</v>
      </c>
      <c r="P3" s="24">
        <v>0.75</v>
      </c>
      <c r="Q3" s="25">
        <v>0</v>
      </c>
      <c r="R3" s="19">
        <v>0</v>
      </c>
      <c r="S3" s="25">
        <v>2300000</v>
      </c>
      <c r="T3" s="22">
        <v>0.38</v>
      </c>
      <c r="U3" s="28">
        <v>0</v>
      </c>
      <c r="V3" s="29">
        <v>0</v>
      </c>
      <c r="W3" s="30">
        <v>0</v>
      </c>
      <c r="X3" s="29">
        <v>0</v>
      </c>
      <c r="Y3" s="31">
        <v>0</v>
      </c>
      <c r="Z3" s="29">
        <v>0</v>
      </c>
      <c r="AA3" s="32">
        <v>0</v>
      </c>
      <c r="AB3" s="33"/>
      <c r="AC3" s="32">
        <v>0</v>
      </c>
      <c r="AD3" s="33"/>
      <c r="AE3" s="32">
        <f t="shared" ref="AE3:AE257" si="0">AA3+AC3</f>
        <v>0</v>
      </c>
      <c r="AF3" s="33"/>
      <c r="AG3" s="32">
        <v>1500000</v>
      </c>
      <c r="AH3" s="33"/>
      <c r="AI3" s="32">
        <v>0</v>
      </c>
      <c r="AJ3" s="33"/>
      <c r="AK3" s="32">
        <f t="shared" ref="AK3:AK257" si="1">AG3+AI3</f>
        <v>1500000</v>
      </c>
      <c r="AL3" s="33"/>
      <c r="AM3" s="32">
        <v>224028</v>
      </c>
      <c r="AN3" s="33"/>
      <c r="AO3" s="32">
        <v>0</v>
      </c>
      <c r="AP3" s="33"/>
      <c r="AQ3" s="32">
        <f t="shared" ref="AQ3:AQ257" si="2">AM3+AO3</f>
        <v>224028</v>
      </c>
      <c r="AR3" s="33"/>
    </row>
    <row r="4" spans="1:64" ht="15.75" customHeight="1">
      <c r="A4" s="16">
        <v>10102</v>
      </c>
      <c r="B4" s="17" t="s">
        <v>9</v>
      </c>
      <c r="C4" s="18">
        <v>66506</v>
      </c>
      <c r="D4" s="19">
        <v>0.87</v>
      </c>
      <c r="E4" s="20">
        <v>0</v>
      </c>
      <c r="F4" s="19">
        <v>0</v>
      </c>
      <c r="G4" s="21">
        <v>66506</v>
      </c>
      <c r="H4" s="22">
        <v>0.65</v>
      </c>
      <c r="I4" s="23">
        <v>70000</v>
      </c>
      <c r="J4" s="24">
        <v>0.82</v>
      </c>
      <c r="K4" s="25">
        <v>0</v>
      </c>
      <c r="L4" s="26">
        <v>0</v>
      </c>
      <c r="M4" s="25">
        <v>70000</v>
      </c>
      <c r="N4" s="22">
        <v>0.51</v>
      </c>
      <c r="O4" s="23">
        <v>82200</v>
      </c>
      <c r="P4" s="24">
        <v>0.95</v>
      </c>
      <c r="Q4" s="25">
        <v>0</v>
      </c>
      <c r="R4" s="19">
        <v>0</v>
      </c>
      <c r="S4" s="25">
        <v>82200</v>
      </c>
      <c r="T4" s="22">
        <v>0.7</v>
      </c>
      <c r="U4" s="28">
        <v>0</v>
      </c>
      <c r="V4" s="29">
        <v>0</v>
      </c>
      <c r="W4" s="30">
        <v>0</v>
      </c>
      <c r="X4" s="29">
        <v>0</v>
      </c>
      <c r="Y4" s="31">
        <v>0</v>
      </c>
      <c r="Z4" s="29">
        <v>0</v>
      </c>
      <c r="AA4" s="32">
        <v>45000</v>
      </c>
      <c r="AB4" s="33"/>
      <c r="AC4" s="32">
        <v>0</v>
      </c>
      <c r="AD4" s="33"/>
      <c r="AE4" s="32">
        <f t="shared" si="0"/>
        <v>45000</v>
      </c>
      <c r="AF4" s="33"/>
      <c r="AG4" s="32">
        <v>50000</v>
      </c>
      <c r="AH4" s="33"/>
      <c r="AI4" s="32">
        <v>0</v>
      </c>
      <c r="AJ4" s="33"/>
      <c r="AK4" s="32">
        <f t="shared" si="1"/>
        <v>50000</v>
      </c>
      <c r="AL4" s="33"/>
      <c r="AM4" s="32">
        <v>50000</v>
      </c>
      <c r="AN4" s="33"/>
      <c r="AO4" s="32">
        <v>0</v>
      </c>
      <c r="AP4" s="33"/>
      <c r="AQ4" s="32">
        <f t="shared" si="2"/>
        <v>50000</v>
      </c>
      <c r="AR4" s="33"/>
    </row>
    <row r="5" spans="1:64" ht="15.75" customHeight="1">
      <c r="A5" s="16">
        <v>10103</v>
      </c>
      <c r="B5" s="17" t="s">
        <v>10</v>
      </c>
      <c r="C5" s="18">
        <v>30000</v>
      </c>
      <c r="D5" s="19">
        <v>0.32</v>
      </c>
      <c r="E5" s="20">
        <v>0</v>
      </c>
      <c r="F5" s="19">
        <v>0</v>
      </c>
      <c r="G5" s="21">
        <v>30000</v>
      </c>
      <c r="H5" s="22">
        <v>0.15</v>
      </c>
      <c r="I5" s="23">
        <v>18000</v>
      </c>
      <c r="J5" s="24">
        <v>0.17</v>
      </c>
      <c r="K5" s="25">
        <v>0</v>
      </c>
      <c r="L5" s="26">
        <v>0</v>
      </c>
      <c r="M5" s="25">
        <v>18000</v>
      </c>
      <c r="N5" s="22">
        <v>7.0000000000000007E-2</v>
      </c>
      <c r="O5" s="23">
        <v>20000</v>
      </c>
      <c r="P5" s="24">
        <v>0.15</v>
      </c>
      <c r="Q5" s="25">
        <v>0</v>
      </c>
      <c r="R5" s="19">
        <v>0</v>
      </c>
      <c r="S5" s="25">
        <v>20000</v>
      </c>
      <c r="T5" s="22">
        <v>0.08</v>
      </c>
      <c r="U5" s="34">
        <v>17000</v>
      </c>
      <c r="V5" s="29">
        <v>0.12</v>
      </c>
      <c r="W5" s="30">
        <v>0</v>
      </c>
      <c r="X5" s="29">
        <v>0</v>
      </c>
      <c r="Y5" s="31">
        <v>17000</v>
      </c>
      <c r="Z5" s="29">
        <v>0.1</v>
      </c>
      <c r="AA5" s="32">
        <v>17000</v>
      </c>
      <c r="AB5" s="33"/>
      <c r="AC5" s="32">
        <v>0</v>
      </c>
      <c r="AD5" s="33"/>
      <c r="AE5" s="32">
        <f t="shared" si="0"/>
        <v>17000</v>
      </c>
      <c r="AF5" s="33"/>
      <c r="AG5" s="32">
        <v>17000</v>
      </c>
      <c r="AH5" s="33"/>
      <c r="AI5" s="32">
        <v>0</v>
      </c>
      <c r="AJ5" s="33"/>
      <c r="AK5" s="32">
        <f t="shared" si="1"/>
        <v>17000</v>
      </c>
      <c r="AL5" s="33"/>
      <c r="AM5" s="32">
        <v>17000</v>
      </c>
      <c r="AN5" s="33"/>
      <c r="AO5" s="32">
        <v>0</v>
      </c>
      <c r="AP5" s="33"/>
      <c r="AQ5" s="32">
        <f t="shared" si="2"/>
        <v>17000</v>
      </c>
      <c r="AR5" s="33"/>
    </row>
    <row r="6" spans="1:64" ht="15.75" customHeight="1">
      <c r="A6" s="16">
        <v>10201</v>
      </c>
      <c r="B6" s="17" t="s">
        <v>11</v>
      </c>
      <c r="C6" s="18">
        <v>56700</v>
      </c>
      <c r="D6" s="19">
        <v>0.65</v>
      </c>
      <c r="E6" s="20">
        <v>0</v>
      </c>
      <c r="F6" s="19">
        <v>0</v>
      </c>
      <c r="G6" s="21">
        <v>56700</v>
      </c>
      <c r="H6" s="22">
        <v>0.47</v>
      </c>
      <c r="I6" s="23">
        <v>62700</v>
      </c>
      <c r="J6" s="24">
        <v>0.53</v>
      </c>
      <c r="K6" s="25">
        <v>0</v>
      </c>
      <c r="L6" s="26">
        <v>0</v>
      </c>
      <c r="M6" s="25">
        <v>62700</v>
      </c>
      <c r="N6" s="22">
        <v>0.31</v>
      </c>
      <c r="O6" s="23">
        <v>59800</v>
      </c>
      <c r="P6" s="24">
        <v>0.52</v>
      </c>
      <c r="Q6" s="25">
        <v>0</v>
      </c>
      <c r="R6" s="19">
        <v>0</v>
      </c>
      <c r="S6" s="25">
        <v>59800</v>
      </c>
      <c r="T6" s="22">
        <v>0.45</v>
      </c>
      <c r="U6" s="34">
        <v>13800</v>
      </c>
      <c r="V6" s="29">
        <v>0.17</v>
      </c>
      <c r="W6" s="30">
        <v>0</v>
      </c>
      <c r="X6" s="29">
        <v>0</v>
      </c>
      <c r="Y6" s="31">
        <v>13800</v>
      </c>
      <c r="Z6" s="29">
        <v>0.09</v>
      </c>
      <c r="AA6" s="32">
        <v>10000</v>
      </c>
      <c r="AB6" s="33"/>
      <c r="AC6" s="32">
        <v>0</v>
      </c>
      <c r="AD6" s="33"/>
      <c r="AE6" s="32">
        <f t="shared" si="0"/>
        <v>10000</v>
      </c>
      <c r="AF6" s="33"/>
      <c r="AG6" s="32">
        <v>10000</v>
      </c>
      <c r="AH6" s="33"/>
      <c r="AI6" s="32">
        <v>0</v>
      </c>
      <c r="AJ6" s="33"/>
      <c r="AK6" s="32">
        <f t="shared" si="1"/>
        <v>10000</v>
      </c>
      <c r="AL6" s="33"/>
      <c r="AM6" s="32">
        <v>5000</v>
      </c>
      <c r="AN6" s="33"/>
      <c r="AO6" s="32">
        <v>0</v>
      </c>
      <c r="AP6" s="33"/>
      <c r="AQ6" s="32">
        <f t="shared" si="2"/>
        <v>5000</v>
      </c>
      <c r="AR6" s="33"/>
    </row>
    <row r="7" spans="1:64" ht="15.75" customHeight="1">
      <c r="A7" s="16">
        <v>10202</v>
      </c>
      <c r="B7" s="17" t="s">
        <v>12</v>
      </c>
      <c r="C7" s="18">
        <v>0</v>
      </c>
      <c r="D7" s="19">
        <v>0</v>
      </c>
      <c r="E7" s="20">
        <v>0</v>
      </c>
      <c r="F7" s="19">
        <v>0</v>
      </c>
      <c r="G7" s="21">
        <v>0</v>
      </c>
      <c r="H7" s="22">
        <v>0</v>
      </c>
      <c r="I7" s="23">
        <v>0</v>
      </c>
      <c r="J7" s="19">
        <v>0</v>
      </c>
      <c r="K7" s="25">
        <v>0</v>
      </c>
      <c r="L7" s="26">
        <v>0</v>
      </c>
      <c r="M7" s="25">
        <v>0</v>
      </c>
      <c r="N7" s="22">
        <v>0</v>
      </c>
      <c r="O7" s="23">
        <v>0</v>
      </c>
      <c r="P7" s="19">
        <v>0</v>
      </c>
      <c r="Q7" s="25">
        <v>0</v>
      </c>
      <c r="R7" s="19">
        <v>0</v>
      </c>
      <c r="S7" s="25">
        <v>0</v>
      </c>
      <c r="T7" s="22">
        <v>0</v>
      </c>
      <c r="U7" s="28">
        <v>0</v>
      </c>
      <c r="V7" s="29">
        <v>0</v>
      </c>
      <c r="W7" s="30">
        <v>0</v>
      </c>
      <c r="X7" s="29">
        <v>0</v>
      </c>
      <c r="Y7" s="31">
        <v>0</v>
      </c>
      <c r="Z7" s="29">
        <v>0</v>
      </c>
      <c r="AA7" s="32"/>
      <c r="AB7" s="33"/>
      <c r="AC7" s="32">
        <v>0</v>
      </c>
      <c r="AD7" s="33"/>
      <c r="AE7" s="32">
        <f t="shared" si="0"/>
        <v>0</v>
      </c>
      <c r="AF7" s="33"/>
      <c r="AG7" s="32"/>
      <c r="AH7" s="33"/>
      <c r="AI7" s="32">
        <v>0</v>
      </c>
      <c r="AJ7" s="33"/>
      <c r="AK7" s="32">
        <f t="shared" si="1"/>
        <v>0</v>
      </c>
      <c r="AL7" s="33"/>
      <c r="AM7" s="32"/>
      <c r="AN7" s="33"/>
      <c r="AO7" s="32">
        <v>0</v>
      </c>
      <c r="AP7" s="33"/>
      <c r="AQ7" s="32">
        <f t="shared" si="2"/>
        <v>0</v>
      </c>
      <c r="AR7" s="33"/>
    </row>
    <row r="8" spans="1:64" ht="15.75" customHeight="1">
      <c r="A8" s="16">
        <v>10301</v>
      </c>
      <c r="B8" s="17" t="s">
        <v>13</v>
      </c>
      <c r="C8" s="18">
        <v>31166</v>
      </c>
      <c r="D8" s="19">
        <v>0.66</v>
      </c>
      <c r="E8" s="20">
        <v>0</v>
      </c>
      <c r="F8" s="19">
        <v>0</v>
      </c>
      <c r="G8" s="21">
        <v>31166</v>
      </c>
      <c r="H8" s="22">
        <v>0.41</v>
      </c>
      <c r="I8" s="23">
        <v>66600</v>
      </c>
      <c r="J8" s="24">
        <v>0.87</v>
      </c>
      <c r="K8" s="25">
        <v>0</v>
      </c>
      <c r="L8" s="26">
        <v>0</v>
      </c>
      <c r="M8" s="25">
        <v>66600</v>
      </c>
      <c r="N8" s="22">
        <v>0.74</v>
      </c>
      <c r="O8" s="23">
        <v>99200</v>
      </c>
      <c r="P8" s="24">
        <v>0.88</v>
      </c>
      <c r="Q8" s="25">
        <v>0</v>
      </c>
      <c r="R8" s="19">
        <v>0</v>
      </c>
      <c r="S8" s="25">
        <v>99200</v>
      </c>
      <c r="T8" s="22">
        <v>0.66</v>
      </c>
      <c r="U8" s="34">
        <v>38600</v>
      </c>
      <c r="V8" s="29">
        <v>0.42</v>
      </c>
      <c r="W8" s="30">
        <v>0</v>
      </c>
      <c r="X8" s="29">
        <v>0</v>
      </c>
      <c r="Y8" s="31">
        <v>38600</v>
      </c>
      <c r="Z8" s="29">
        <v>0.28000000000000003</v>
      </c>
      <c r="AA8" s="32">
        <v>72200</v>
      </c>
      <c r="AB8" s="33"/>
      <c r="AC8" s="32">
        <v>0</v>
      </c>
      <c r="AD8" s="33"/>
      <c r="AE8" s="32">
        <f t="shared" si="0"/>
        <v>72200</v>
      </c>
      <c r="AF8" s="33"/>
      <c r="AG8" s="32">
        <v>103200</v>
      </c>
      <c r="AH8" s="33"/>
      <c r="AI8" s="32">
        <v>0</v>
      </c>
      <c r="AJ8" s="33"/>
      <c r="AK8" s="32">
        <f t="shared" si="1"/>
        <v>103200</v>
      </c>
      <c r="AL8" s="33"/>
      <c r="AM8" s="32">
        <v>68450</v>
      </c>
      <c r="AN8" s="33"/>
      <c r="AO8" s="32">
        <v>0</v>
      </c>
      <c r="AP8" s="33"/>
      <c r="AQ8" s="32">
        <f t="shared" si="2"/>
        <v>68450</v>
      </c>
      <c r="AR8" s="33"/>
    </row>
    <row r="9" spans="1:64" ht="15.75" customHeight="1">
      <c r="A9" s="16">
        <v>10302</v>
      </c>
      <c r="B9" s="17" t="s">
        <v>14</v>
      </c>
      <c r="C9" s="18">
        <v>0</v>
      </c>
      <c r="D9" s="19">
        <v>0</v>
      </c>
      <c r="E9" s="20">
        <v>0</v>
      </c>
      <c r="F9" s="19">
        <v>0</v>
      </c>
      <c r="G9" s="21">
        <v>0</v>
      </c>
      <c r="H9" s="22">
        <v>0</v>
      </c>
      <c r="I9" s="23">
        <v>0</v>
      </c>
      <c r="J9" s="19">
        <v>0</v>
      </c>
      <c r="K9" s="25">
        <v>0</v>
      </c>
      <c r="L9" s="26">
        <v>0</v>
      </c>
      <c r="M9" s="25">
        <v>0</v>
      </c>
      <c r="N9" s="22">
        <v>0</v>
      </c>
      <c r="O9" s="23">
        <v>0</v>
      </c>
      <c r="P9" s="19">
        <v>0</v>
      </c>
      <c r="Q9" s="25">
        <v>0</v>
      </c>
      <c r="R9" s="19">
        <v>0</v>
      </c>
      <c r="S9" s="25">
        <v>0</v>
      </c>
      <c r="T9" s="22">
        <v>0</v>
      </c>
      <c r="U9" s="28">
        <v>0</v>
      </c>
      <c r="V9" s="29">
        <v>0</v>
      </c>
      <c r="W9" s="30">
        <v>0</v>
      </c>
      <c r="X9" s="29">
        <v>0</v>
      </c>
      <c r="Y9" s="31">
        <v>0</v>
      </c>
      <c r="Z9" s="29">
        <v>0</v>
      </c>
      <c r="AA9" s="32"/>
      <c r="AB9" s="33"/>
      <c r="AC9" s="32">
        <v>0</v>
      </c>
      <c r="AD9" s="33"/>
      <c r="AE9" s="32">
        <f t="shared" si="0"/>
        <v>0</v>
      </c>
      <c r="AF9" s="33"/>
      <c r="AG9" s="32"/>
      <c r="AH9" s="33"/>
      <c r="AI9" s="32">
        <v>0</v>
      </c>
      <c r="AJ9" s="33"/>
      <c r="AK9" s="32">
        <f t="shared" si="1"/>
        <v>0</v>
      </c>
      <c r="AL9" s="33"/>
      <c r="AM9" s="32"/>
      <c r="AN9" s="33"/>
      <c r="AO9" s="32">
        <v>0</v>
      </c>
      <c r="AP9" s="33"/>
      <c r="AQ9" s="32">
        <f t="shared" si="2"/>
        <v>0</v>
      </c>
      <c r="AR9" s="33"/>
    </row>
    <row r="10" spans="1:64" ht="15.75" customHeight="1">
      <c r="A10" s="16">
        <v>10303</v>
      </c>
      <c r="B10" s="17" t="s">
        <v>15</v>
      </c>
      <c r="C10" s="18">
        <v>50000</v>
      </c>
      <c r="D10" s="19">
        <v>0.94</v>
      </c>
      <c r="E10" s="20">
        <v>0</v>
      </c>
      <c r="F10" s="19">
        <v>0</v>
      </c>
      <c r="G10" s="21">
        <v>50000</v>
      </c>
      <c r="H10" s="22">
        <v>0.61</v>
      </c>
      <c r="I10" s="23">
        <v>60001</v>
      </c>
      <c r="J10" s="24">
        <v>0.82</v>
      </c>
      <c r="K10" s="25">
        <v>0</v>
      </c>
      <c r="L10" s="26">
        <v>0</v>
      </c>
      <c r="M10" s="25">
        <v>60001</v>
      </c>
      <c r="N10" s="27">
        <v>0.48</v>
      </c>
      <c r="O10" s="23">
        <v>60000</v>
      </c>
      <c r="P10" s="24">
        <v>0.74</v>
      </c>
      <c r="Q10" s="25">
        <v>0</v>
      </c>
      <c r="R10" s="19">
        <v>0</v>
      </c>
      <c r="S10" s="25">
        <v>60000</v>
      </c>
      <c r="T10" s="27">
        <v>0.49</v>
      </c>
      <c r="U10" s="34">
        <v>50000</v>
      </c>
      <c r="V10" s="29">
        <v>0.74</v>
      </c>
      <c r="W10" s="30">
        <v>0</v>
      </c>
      <c r="X10" s="29">
        <v>0</v>
      </c>
      <c r="Y10" s="31">
        <v>50000</v>
      </c>
      <c r="Z10" s="29">
        <v>0.65</v>
      </c>
      <c r="AA10" s="32">
        <v>40000</v>
      </c>
      <c r="AB10" s="33"/>
      <c r="AC10" s="32">
        <v>0</v>
      </c>
      <c r="AD10" s="33"/>
      <c r="AE10" s="32">
        <f t="shared" si="0"/>
        <v>40000</v>
      </c>
      <c r="AF10" s="33"/>
      <c r="AG10" s="32">
        <v>40000</v>
      </c>
      <c r="AH10" s="33"/>
      <c r="AI10" s="32">
        <v>0</v>
      </c>
      <c r="AJ10" s="33"/>
      <c r="AK10" s="32">
        <f t="shared" si="1"/>
        <v>40000</v>
      </c>
      <c r="AL10" s="33"/>
      <c r="AM10" s="32">
        <v>40000</v>
      </c>
      <c r="AN10" s="33"/>
      <c r="AO10" s="32">
        <v>0</v>
      </c>
      <c r="AP10" s="33"/>
      <c r="AQ10" s="32">
        <f t="shared" si="2"/>
        <v>40000</v>
      </c>
      <c r="AR10" s="33"/>
    </row>
    <row r="11" spans="1:64" ht="15.75" customHeight="1">
      <c r="A11" s="16">
        <v>10304</v>
      </c>
      <c r="B11" s="17" t="s">
        <v>16</v>
      </c>
      <c r="C11" s="18">
        <v>30000</v>
      </c>
      <c r="D11" s="19">
        <v>0.36</v>
      </c>
      <c r="E11" s="20">
        <v>0</v>
      </c>
      <c r="F11" s="19">
        <v>0</v>
      </c>
      <c r="G11" s="21">
        <v>30000</v>
      </c>
      <c r="H11" s="22">
        <v>0.33</v>
      </c>
      <c r="I11" s="23">
        <v>40000</v>
      </c>
      <c r="J11" s="24">
        <v>0.43</v>
      </c>
      <c r="K11" s="25">
        <v>0</v>
      </c>
      <c r="L11" s="26">
        <v>0</v>
      </c>
      <c r="M11" s="25">
        <v>40000</v>
      </c>
      <c r="N11" s="27">
        <v>0.35</v>
      </c>
      <c r="O11" s="23">
        <v>39000</v>
      </c>
      <c r="P11" s="24">
        <v>0.42</v>
      </c>
      <c r="Q11" s="25">
        <v>0</v>
      </c>
      <c r="R11" s="19">
        <v>0</v>
      </c>
      <c r="S11" s="25">
        <v>39000</v>
      </c>
      <c r="T11" s="27">
        <v>0.31</v>
      </c>
      <c r="U11" s="34">
        <v>7000</v>
      </c>
      <c r="V11" s="29">
        <v>0.09</v>
      </c>
      <c r="W11" s="30">
        <v>0</v>
      </c>
      <c r="X11" s="29">
        <v>0</v>
      </c>
      <c r="Y11" s="31">
        <v>7000</v>
      </c>
      <c r="Z11" s="29">
        <v>0.08</v>
      </c>
      <c r="AA11" s="32">
        <v>4488</v>
      </c>
      <c r="AB11" s="33"/>
      <c r="AC11" s="32">
        <v>50000</v>
      </c>
      <c r="AD11" s="33"/>
      <c r="AE11" s="32">
        <f t="shared" si="0"/>
        <v>54488</v>
      </c>
      <c r="AF11" s="33"/>
      <c r="AG11" s="32">
        <v>4488</v>
      </c>
      <c r="AH11" s="33"/>
      <c r="AI11" s="32">
        <v>0</v>
      </c>
      <c r="AJ11" s="33"/>
      <c r="AK11" s="32">
        <f t="shared" si="1"/>
        <v>4488</v>
      </c>
      <c r="AL11" s="33"/>
      <c r="AM11" s="32">
        <v>4888</v>
      </c>
      <c r="AN11" s="33"/>
      <c r="AO11" s="32">
        <v>0</v>
      </c>
      <c r="AP11" s="33"/>
      <c r="AQ11" s="32">
        <f t="shared" si="2"/>
        <v>4888</v>
      </c>
      <c r="AR11" s="33"/>
    </row>
    <row r="12" spans="1:64" ht="15.75" customHeight="1">
      <c r="A12" s="16">
        <v>10401</v>
      </c>
      <c r="B12" s="17" t="s">
        <v>17</v>
      </c>
      <c r="C12" s="18">
        <v>100000</v>
      </c>
      <c r="D12" s="19">
        <v>1.05</v>
      </c>
      <c r="E12" s="20">
        <v>0</v>
      </c>
      <c r="F12" s="19">
        <v>0</v>
      </c>
      <c r="G12" s="21">
        <v>100000</v>
      </c>
      <c r="H12" s="22">
        <v>0.66</v>
      </c>
      <c r="I12" s="23">
        <v>76600</v>
      </c>
      <c r="J12" s="24">
        <v>0.71</v>
      </c>
      <c r="K12" s="25">
        <v>0</v>
      </c>
      <c r="L12" s="26">
        <v>0</v>
      </c>
      <c r="M12" s="25">
        <v>76600</v>
      </c>
      <c r="N12" s="27">
        <v>0.41</v>
      </c>
      <c r="O12" s="23">
        <v>137000</v>
      </c>
      <c r="P12" s="24">
        <v>1.21</v>
      </c>
      <c r="Q12" s="25">
        <v>0</v>
      </c>
      <c r="R12" s="19">
        <v>0</v>
      </c>
      <c r="S12" s="25">
        <v>137000</v>
      </c>
      <c r="T12" s="27">
        <v>0.69</v>
      </c>
      <c r="U12" s="34">
        <v>42000</v>
      </c>
      <c r="V12" s="29">
        <v>0.4</v>
      </c>
      <c r="W12" s="30">
        <v>0</v>
      </c>
      <c r="X12" s="29">
        <v>0</v>
      </c>
      <c r="Y12" s="31">
        <v>42000</v>
      </c>
      <c r="Z12" s="29">
        <v>0.25</v>
      </c>
      <c r="AA12" s="32">
        <v>59900</v>
      </c>
      <c r="AB12" s="33"/>
      <c r="AC12" s="32">
        <v>0</v>
      </c>
      <c r="AD12" s="33"/>
      <c r="AE12" s="32">
        <f t="shared" si="0"/>
        <v>59900</v>
      </c>
      <c r="AF12" s="33"/>
      <c r="AG12" s="32">
        <v>46720</v>
      </c>
      <c r="AH12" s="33"/>
      <c r="AI12" s="32">
        <v>0</v>
      </c>
      <c r="AJ12" s="33"/>
      <c r="AK12" s="32">
        <f t="shared" si="1"/>
        <v>46720</v>
      </c>
      <c r="AL12" s="33"/>
      <c r="AM12" s="32">
        <v>49500</v>
      </c>
      <c r="AN12" s="33"/>
      <c r="AO12" s="32">
        <v>0</v>
      </c>
      <c r="AP12" s="33"/>
      <c r="AQ12" s="32">
        <f t="shared" si="2"/>
        <v>49500</v>
      </c>
      <c r="AR12" s="33"/>
    </row>
    <row r="13" spans="1:64" ht="15.75" customHeight="1">
      <c r="A13" s="16">
        <v>10402</v>
      </c>
      <c r="B13" s="17" t="s">
        <v>18</v>
      </c>
      <c r="C13" s="18">
        <v>71160</v>
      </c>
      <c r="D13" s="19">
        <v>1.1399999999999999</v>
      </c>
      <c r="E13" s="20">
        <v>0</v>
      </c>
      <c r="F13" s="19">
        <v>0</v>
      </c>
      <c r="G13" s="21">
        <v>71160</v>
      </c>
      <c r="H13" s="22">
        <v>0.79</v>
      </c>
      <c r="I13" s="23">
        <v>60000</v>
      </c>
      <c r="J13" s="24">
        <v>0.81</v>
      </c>
      <c r="K13" s="25">
        <v>0</v>
      </c>
      <c r="L13" s="26">
        <v>0</v>
      </c>
      <c r="M13" s="25">
        <v>60000</v>
      </c>
      <c r="N13" s="27">
        <v>0.34</v>
      </c>
      <c r="O13" s="23">
        <v>55285</v>
      </c>
      <c r="P13" s="24">
        <v>0.84</v>
      </c>
      <c r="Q13" s="25">
        <v>0</v>
      </c>
      <c r="R13" s="19">
        <v>0</v>
      </c>
      <c r="S13" s="25">
        <v>55285</v>
      </c>
      <c r="T13" s="22">
        <v>0.55000000000000004</v>
      </c>
      <c r="U13" s="34">
        <v>15220</v>
      </c>
      <c r="V13" s="29">
        <v>0.19</v>
      </c>
      <c r="W13" s="30">
        <v>0</v>
      </c>
      <c r="X13" s="29">
        <v>0</v>
      </c>
      <c r="Y13" s="31">
        <v>15220</v>
      </c>
      <c r="Z13" s="29">
        <v>0.18</v>
      </c>
      <c r="AA13" s="32">
        <v>13916</v>
      </c>
      <c r="AB13" s="33"/>
      <c r="AC13" s="32">
        <v>0</v>
      </c>
      <c r="AD13" s="33"/>
      <c r="AE13" s="32">
        <f t="shared" si="0"/>
        <v>13916</v>
      </c>
      <c r="AF13" s="33"/>
      <c r="AG13" s="32">
        <v>24660</v>
      </c>
      <c r="AH13" s="33"/>
      <c r="AI13" s="32">
        <v>0</v>
      </c>
      <c r="AJ13" s="33"/>
      <c r="AK13" s="32">
        <f t="shared" si="1"/>
        <v>24660</v>
      </c>
      <c r="AL13" s="33"/>
      <c r="AM13" s="32">
        <v>23160</v>
      </c>
      <c r="AN13" s="33"/>
      <c r="AO13" s="32">
        <v>0</v>
      </c>
      <c r="AP13" s="33"/>
      <c r="AQ13" s="32">
        <f t="shared" si="2"/>
        <v>23160</v>
      </c>
      <c r="AR13" s="33"/>
    </row>
    <row r="14" spans="1:64" ht="15.75" customHeight="1">
      <c r="A14" s="16">
        <v>10403</v>
      </c>
      <c r="B14" s="17" t="s">
        <v>19</v>
      </c>
      <c r="C14" s="18">
        <v>0</v>
      </c>
      <c r="D14" s="19">
        <v>0</v>
      </c>
      <c r="E14" s="20">
        <v>0</v>
      </c>
      <c r="F14" s="19">
        <v>0</v>
      </c>
      <c r="G14" s="21">
        <v>0</v>
      </c>
      <c r="H14" s="22">
        <v>0</v>
      </c>
      <c r="I14" s="18">
        <v>0</v>
      </c>
      <c r="J14" s="19">
        <v>0</v>
      </c>
      <c r="K14" s="25">
        <v>0</v>
      </c>
      <c r="L14" s="26">
        <v>0</v>
      </c>
      <c r="M14" s="21">
        <v>0</v>
      </c>
      <c r="N14" s="22">
        <v>0</v>
      </c>
      <c r="O14" s="18">
        <v>0</v>
      </c>
      <c r="P14" s="19">
        <v>0</v>
      </c>
      <c r="Q14" s="25">
        <v>0</v>
      </c>
      <c r="R14" s="19">
        <v>0</v>
      </c>
      <c r="S14" s="21">
        <v>0</v>
      </c>
      <c r="T14" s="22">
        <v>0</v>
      </c>
      <c r="U14" s="28">
        <v>0</v>
      </c>
      <c r="V14" s="29">
        <v>0</v>
      </c>
      <c r="W14" s="30">
        <v>0</v>
      </c>
      <c r="X14" s="29">
        <v>0</v>
      </c>
      <c r="Y14" s="31">
        <v>0</v>
      </c>
      <c r="Z14" s="29">
        <v>0</v>
      </c>
      <c r="AA14" s="32"/>
      <c r="AB14" s="33"/>
      <c r="AC14" s="32">
        <v>0</v>
      </c>
      <c r="AD14" s="33"/>
      <c r="AE14" s="32">
        <f t="shared" si="0"/>
        <v>0</v>
      </c>
      <c r="AF14" s="33"/>
      <c r="AG14" s="32"/>
      <c r="AH14" s="33"/>
      <c r="AI14" s="32">
        <v>0</v>
      </c>
      <c r="AJ14" s="33"/>
      <c r="AK14" s="32">
        <f t="shared" si="1"/>
        <v>0</v>
      </c>
      <c r="AL14" s="33"/>
      <c r="AM14" s="32"/>
      <c r="AN14" s="33"/>
      <c r="AO14" s="32">
        <v>0</v>
      </c>
      <c r="AP14" s="33"/>
      <c r="AQ14" s="32">
        <f t="shared" si="2"/>
        <v>0</v>
      </c>
      <c r="AR14" s="33"/>
    </row>
    <row r="15" spans="1:64" ht="15.75" customHeight="1">
      <c r="A15" s="16">
        <v>10404</v>
      </c>
      <c r="B15" s="17" t="s">
        <v>20</v>
      </c>
      <c r="C15" s="18">
        <v>13000</v>
      </c>
      <c r="D15" s="19">
        <v>0.35</v>
      </c>
      <c r="E15" s="20">
        <v>0</v>
      </c>
      <c r="F15" s="19">
        <v>0</v>
      </c>
      <c r="G15" s="21">
        <v>13000</v>
      </c>
      <c r="H15" s="22">
        <v>0.26</v>
      </c>
      <c r="I15" s="23">
        <v>13000</v>
      </c>
      <c r="J15" s="24">
        <v>0.33</v>
      </c>
      <c r="K15" s="25">
        <v>0</v>
      </c>
      <c r="L15" s="26">
        <v>0</v>
      </c>
      <c r="M15" s="25">
        <v>13000</v>
      </c>
      <c r="N15" s="27">
        <v>0.28000000000000003</v>
      </c>
      <c r="O15" s="23">
        <v>13000</v>
      </c>
      <c r="P15" s="24">
        <v>0.27</v>
      </c>
      <c r="Q15" s="25">
        <v>0</v>
      </c>
      <c r="R15" s="19">
        <v>0</v>
      </c>
      <c r="S15" s="25">
        <v>13000</v>
      </c>
      <c r="T15" s="27">
        <v>0.24</v>
      </c>
      <c r="U15" s="34">
        <v>14000</v>
      </c>
      <c r="V15" s="29">
        <v>0.28999999999999998</v>
      </c>
      <c r="W15" s="30">
        <v>0</v>
      </c>
      <c r="X15" s="29">
        <v>0</v>
      </c>
      <c r="Y15" s="31">
        <v>14000</v>
      </c>
      <c r="Z15" s="29">
        <v>0.28000000000000003</v>
      </c>
      <c r="AA15" s="32">
        <v>89300</v>
      </c>
      <c r="AB15" s="33"/>
      <c r="AC15" s="32">
        <v>0</v>
      </c>
      <c r="AD15" s="33"/>
      <c r="AE15" s="32">
        <f t="shared" si="0"/>
        <v>89300</v>
      </c>
      <c r="AF15" s="33"/>
      <c r="AG15" s="32">
        <v>89300</v>
      </c>
      <c r="AH15" s="33"/>
      <c r="AI15" s="32">
        <v>0</v>
      </c>
      <c r="AJ15" s="33"/>
      <c r="AK15" s="32">
        <f t="shared" si="1"/>
        <v>89300</v>
      </c>
      <c r="AL15" s="33"/>
      <c r="AM15" s="32">
        <v>66500</v>
      </c>
      <c r="AN15" s="33"/>
      <c r="AO15" s="32">
        <v>0</v>
      </c>
      <c r="AP15" s="33"/>
      <c r="AQ15" s="32">
        <f t="shared" si="2"/>
        <v>66500</v>
      </c>
      <c r="AR15" s="33"/>
    </row>
    <row r="16" spans="1:64" ht="15.75" customHeight="1">
      <c r="A16" s="16">
        <v>10405</v>
      </c>
      <c r="B16" s="17" t="s">
        <v>21</v>
      </c>
      <c r="C16" s="18">
        <v>30000</v>
      </c>
      <c r="D16" s="19">
        <v>0.74</v>
      </c>
      <c r="E16" s="20">
        <v>0</v>
      </c>
      <c r="F16" s="19">
        <v>0</v>
      </c>
      <c r="G16" s="21">
        <v>30000</v>
      </c>
      <c r="H16" s="22">
        <v>0.52</v>
      </c>
      <c r="I16" s="23">
        <v>30000</v>
      </c>
      <c r="J16" s="24">
        <v>0.66</v>
      </c>
      <c r="K16" s="25">
        <v>0</v>
      </c>
      <c r="L16" s="26">
        <v>0</v>
      </c>
      <c r="M16" s="25">
        <v>30000</v>
      </c>
      <c r="N16" s="27">
        <v>0.63</v>
      </c>
      <c r="O16" s="23">
        <v>33000</v>
      </c>
      <c r="P16" s="24">
        <v>0.68</v>
      </c>
      <c r="Q16" s="25">
        <v>0</v>
      </c>
      <c r="R16" s="19">
        <v>0</v>
      </c>
      <c r="S16" s="25">
        <v>33000</v>
      </c>
      <c r="T16" s="27">
        <v>0.62</v>
      </c>
      <c r="U16" s="34">
        <v>14000</v>
      </c>
      <c r="V16" s="29">
        <v>0.28000000000000003</v>
      </c>
      <c r="W16" s="30">
        <v>0</v>
      </c>
      <c r="X16" s="29">
        <v>0</v>
      </c>
      <c r="Y16" s="31">
        <v>14000</v>
      </c>
      <c r="Z16" s="29">
        <v>0.28000000000000003</v>
      </c>
      <c r="AA16" s="32">
        <v>16000</v>
      </c>
      <c r="AB16" s="33"/>
      <c r="AC16" s="32">
        <v>0</v>
      </c>
      <c r="AD16" s="33"/>
      <c r="AE16" s="32">
        <f t="shared" si="0"/>
        <v>16000</v>
      </c>
      <c r="AF16" s="33"/>
      <c r="AG16" s="32">
        <v>16000</v>
      </c>
      <c r="AH16" s="33"/>
      <c r="AI16" s="32">
        <v>0</v>
      </c>
      <c r="AJ16" s="33"/>
      <c r="AK16" s="32">
        <f t="shared" si="1"/>
        <v>16000</v>
      </c>
      <c r="AL16" s="33"/>
      <c r="AM16" s="32">
        <v>17000</v>
      </c>
      <c r="AN16" s="33"/>
      <c r="AO16" s="32">
        <v>0</v>
      </c>
      <c r="AP16" s="33"/>
      <c r="AQ16" s="32">
        <f t="shared" si="2"/>
        <v>17000</v>
      </c>
      <c r="AR16" s="33"/>
    </row>
    <row r="17" spans="1:44" ht="15.75" customHeight="1">
      <c r="A17" s="16">
        <v>10501</v>
      </c>
      <c r="B17" s="17" t="s">
        <v>22</v>
      </c>
      <c r="C17" s="18">
        <v>300000</v>
      </c>
      <c r="D17" s="19">
        <v>1.36</v>
      </c>
      <c r="E17" s="20">
        <v>0</v>
      </c>
      <c r="F17" s="19">
        <v>0</v>
      </c>
      <c r="G17" s="21">
        <v>300000</v>
      </c>
      <c r="H17" s="22">
        <v>0.97</v>
      </c>
      <c r="I17" s="23">
        <v>300000</v>
      </c>
      <c r="J17" s="24">
        <v>1.1499999999999999</v>
      </c>
      <c r="K17" s="25">
        <v>0</v>
      </c>
      <c r="L17" s="26">
        <v>0</v>
      </c>
      <c r="M17" s="25">
        <v>300000</v>
      </c>
      <c r="N17" s="27">
        <v>0.84</v>
      </c>
      <c r="O17" s="23">
        <v>450000</v>
      </c>
      <c r="P17" s="24">
        <v>1.74</v>
      </c>
      <c r="Q17" s="25">
        <v>0</v>
      </c>
      <c r="R17" s="19">
        <v>0</v>
      </c>
      <c r="S17" s="25">
        <v>450000</v>
      </c>
      <c r="T17" s="22">
        <v>1.51</v>
      </c>
      <c r="U17" s="28">
        <v>0</v>
      </c>
      <c r="V17" s="29">
        <v>0</v>
      </c>
      <c r="W17" s="30">
        <v>0</v>
      </c>
      <c r="X17" s="29">
        <v>0</v>
      </c>
      <c r="Y17" s="31">
        <v>0</v>
      </c>
      <c r="Z17" s="29">
        <v>0</v>
      </c>
      <c r="AA17" s="32">
        <v>450000</v>
      </c>
      <c r="AB17" s="33"/>
      <c r="AC17" s="32">
        <v>0</v>
      </c>
      <c r="AD17" s="33"/>
      <c r="AE17" s="32">
        <f t="shared" si="0"/>
        <v>450000</v>
      </c>
      <c r="AF17" s="33"/>
      <c r="AG17" s="32">
        <v>505505</v>
      </c>
      <c r="AH17" s="33"/>
      <c r="AI17" s="32">
        <v>0</v>
      </c>
      <c r="AJ17" s="33"/>
      <c r="AK17" s="32">
        <f t="shared" si="1"/>
        <v>505505</v>
      </c>
      <c r="AL17" s="33"/>
      <c r="AM17" s="32">
        <v>456772</v>
      </c>
      <c r="AN17" s="33"/>
      <c r="AO17" s="32">
        <v>0</v>
      </c>
      <c r="AP17" s="33"/>
      <c r="AQ17" s="32">
        <f t="shared" si="2"/>
        <v>456772</v>
      </c>
      <c r="AR17" s="33"/>
    </row>
    <row r="18" spans="1:44" ht="15.75" customHeight="1">
      <c r="A18" s="16">
        <v>10502</v>
      </c>
      <c r="B18" s="17" t="s">
        <v>23</v>
      </c>
      <c r="C18" s="18">
        <v>60000</v>
      </c>
      <c r="D18" s="19">
        <v>0.7</v>
      </c>
      <c r="E18" s="20">
        <v>0</v>
      </c>
      <c r="F18" s="19">
        <v>0</v>
      </c>
      <c r="G18" s="21">
        <v>60000</v>
      </c>
      <c r="H18" s="22">
        <v>0.56999999999999995</v>
      </c>
      <c r="I18" s="23">
        <v>66000</v>
      </c>
      <c r="J18" s="24">
        <v>0.75</v>
      </c>
      <c r="K18" s="25">
        <v>0</v>
      </c>
      <c r="L18" s="26">
        <v>0</v>
      </c>
      <c r="M18" s="25">
        <v>66000</v>
      </c>
      <c r="N18" s="27">
        <v>0.57999999999999996</v>
      </c>
      <c r="O18" s="23">
        <v>120000</v>
      </c>
      <c r="P18" s="24">
        <v>1.42</v>
      </c>
      <c r="Q18" s="25">
        <v>0</v>
      </c>
      <c r="R18" s="19">
        <v>0</v>
      </c>
      <c r="S18" s="25">
        <v>120000</v>
      </c>
      <c r="T18" s="22">
        <v>0.91</v>
      </c>
      <c r="U18" s="34">
        <v>115000</v>
      </c>
      <c r="V18" s="29">
        <v>1.44</v>
      </c>
      <c r="W18" s="30">
        <v>0</v>
      </c>
      <c r="X18" s="29">
        <v>0</v>
      </c>
      <c r="Y18" s="31">
        <v>115000</v>
      </c>
      <c r="Z18" s="29">
        <v>1.3</v>
      </c>
      <c r="AA18" s="32">
        <v>150000</v>
      </c>
      <c r="AB18" s="33"/>
      <c r="AC18" s="32">
        <v>0</v>
      </c>
      <c r="AD18" s="33"/>
      <c r="AE18" s="32">
        <f t="shared" si="0"/>
        <v>150000</v>
      </c>
      <c r="AF18" s="33"/>
      <c r="AG18" s="32">
        <v>60000</v>
      </c>
      <c r="AH18" s="33"/>
      <c r="AI18" s="32">
        <v>0</v>
      </c>
      <c r="AJ18" s="33"/>
      <c r="AK18" s="32">
        <f t="shared" si="1"/>
        <v>60000</v>
      </c>
      <c r="AL18" s="33"/>
      <c r="AM18" s="32">
        <v>100000</v>
      </c>
      <c r="AN18" s="33"/>
      <c r="AO18" s="32">
        <v>0</v>
      </c>
      <c r="AP18" s="33"/>
      <c r="AQ18" s="32">
        <f t="shared" si="2"/>
        <v>100000</v>
      </c>
      <c r="AR18" s="33"/>
    </row>
    <row r="19" spans="1:44" ht="15.75" customHeight="1">
      <c r="A19" s="16">
        <v>10601</v>
      </c>
      <c r="B19" s="17" t="s">
        <v>24</v>
      </c>
      <c r="C19" s="18">
        <v>53857</v>
      </c>
      <c r="D19" s="19">
        <v>0.43</v>
      </c>
      <c r="E19" s="20">
        <v>0</v>
      </c>
      <c r="F19" s="19">
        <v>0</v>
      </c>
      <c r="G19" s="21">
        <v>53857</v>
      </c>
      <c r="H19" s="22">
        <v>0.23</v>
      </c>
      <c r="I19" s="23">
        <v>54032</v>
      </c>
      <c r="J19" s="24">
        <v>0.24</v>
      </c>
      <c r="K19" s="25">
        <v>0</v>
      </c>
      <c r="L19" s="26">
        <v>0</v>
      </c>
      <c r="M19" s="25">
        <v>54032</v>
      </c>
      <c r="N19" s="27">
        <v>0.16</v>
      </c>
      <c r="O19" s="23">
        <v>51032</v>
      </c>
      <c r="P19" s="24">
        <v>0.37</v>
      </c>
      <c r="Q19" s="25">
        <v>0</v>
      </c>
      <c r="R19" s="19">
        <v>0</v>
      </c>
      <c r="S19" s="25">
        <v>51032</v>
      </c>
      <c r="T19" s="22">
        <v>0.24</v>
      </c>
      <c r="U19" s="34">
        <v>155416</v>
      </c>
      <c r="V19" s="29">
        <v>0.84</v>
      </c>
      <c r="W19" s="30">
        <v>0</v>
      </c>
      <c r="X19" s="29">
        <v>0</v>
      </c>
      <c r="Y19" s="31">
        <v>155416</v>
      </c>
      <c r="Z19" s="29">
        <v>0.65</v>
      </c>
      <c r="AA19" s="32">
        <v>150000</v>
      </c>
      <c r="AB19" s="33"/>
      <c r="AC19" s="32">
        <v>0</v>
      </c>
      <c r="AD19" s="33"/>
      <c r="AE19" s="32">
        <f t="shared" si="0"/>
        <v>150000</v>
      </c>
      <c r="AF19" s="33"/>
      <c r="AG19" s="32">
        <v>134000</v>
      </c>
      <c r="AH19" s="33"/>
      <c r="AI19" s="32">
        <v>0</v>
      </c>
      <c r="AJ19" s="33"/>
      <c r="AK19" s="32">
        <f t="shared" si="1"/>
        <v>134000</v>
      </c>
      <c r="AL19" s="33"/>
      <c r="AM19" s="32">
        <v>80000</v>
      </c>
      <c r="AN19" s="33"/>
      <c r="AO19" s="32">
        <v>0</v>
      </c>
      <c r="AP19" s="33"/>
      <c r="AQ19" s="32">
        <f t="shared" si="2"/>
        <v>80000</v>
      </c>
      <c r="AR19" s="33"/>
    </row>
    <row r="20" spans="1:44" ht="15.75" customHeight="1">
      <c r="A20" s="16">
        <v>10602</v>
      </c>
      <c r="B20" s="17" t="s">
        <v>25</v>
      </c>
      <c r="C20" s="18">
        <v>3000</v>
      </c>
      <c r="D20" s="19">
        <v>0.05</v>
      </c>
      <c r="E20" s="20">
        <v>0</v>
      </c>
      <c r="F20" s="19">
        <v>0</v>
      </c>
      <c r="G20" s="21">
        <v>3000</v>
      </c>
      <c r="H20" s="22">
        <v>0.04</v>
      </c>
      <c r="I20" s="23">
        <v>7680</v>
      </c>
      <c r="J20" s="24">
        <v>0.11</v>
      </c>
      <c r="K20" s="25">
        <v>0</v>
      </c>
      <c r="L20" s="26">
        <v>0</v>
      </c>
      <c r="M20" s="25">
        <v>7680</v>
      </c>
      <c r="N20" s="27">
        <v>7.0000000000000007E-2</v>
      </c>
      <c r="O20" s="23">
        <v>7680</v>
      </c>
      <c r="P20" s="24">
        <v>0.11</v>
      </c>
      <c r="Q20" s="25">
        <v>0</v>
      </c>
      <c r="R20" s="19">
        <v>0</v>
      </c>
      <c r="S20" s="25">
        <v>7680</v>
      </c>
      <c r="T20" s="22">
        <v>0.09</v>
      </c>
      <c r="U20" s="34">
        <v>5500</v>
      </c>
      <c r="V20" s="29">
        <v>0.06</v>
      </c>
      <c r="W20" s="30">
        <v>0</v>
      </c>
      <c r="X20" s="29">
        <v>0</v>
      </c>
      <c r="Y20" s="31">
        <v>5500</v>
      </c>
      <c r="Z20" s="29">
        <v>0.05</v>
      </c>
      <c r="AA20" s="32">
        <v>6000</v>
      </c>
      <c r="AB20" s="33"/>
      <c r="AC20" s="32">
        <v>0</v>
      </c>
      <c r="AD20" s="33"/>
      <c r="AE20" s="32">
        <f t="shared" si="0"/>
        <v>6000</v>
      </c>
      <c r="AF20" s="33"/>
      <c r="AG20" s="32">
        <v>6000</v>
      </c>
      <c r="AH20" s="33"/>
      <c r="AI20" s="32">
        <v>0</v>
      </c>
      <c r="AJ20" s="33"/>
      <c r="AK20" s="32">
        <f t="shared" si="1"/>
        <v>6000</v>
      </c>
      <c r="AL20" s="33"/>
      <c r="AM20" s="32">
        <v>6000</v>
      </c>
      <c r="AN20" s="33"/>
      <c r="AO20" s="32">
        <v>0</v>
      </c>
      <c r="AP20" s="33"/>
      <c r="AQ20" s="32">
        <f t="shared" si="2"/>
        <v>6000</v>
      </c>
      <c r="AR20" s="33"/>
    </row>
    <row r="21" spans="1:44" ht="15.75" customHeight="1">
      <c r="A21" s="16">
        <v>10701</v>
      </c>
      <c r="B21" s="17" t="s">
        <v>26</v>
      </c>
      <c r="C21" s="18">
        <v>140000</v>
      </c>
      <c r="D21" s="19">
        <v>1.27</v>
      </c>
      <c r="E21" s="20">
        <v>0</v>
      </c>
      <c r="F21" s="19">
        <v>0</v>
      </c>
      <c r="G21" s="21">
        <v>140000</v>
      </c>
      <c r="H21" s="22">
        <v>0.8</v>
      </c>
      <c r="I21" s="23">
        <v>183800</v>
      </c>
      <c r="J21" s="24">
        <v>1.42</v>
      </c>
      <c r="K21" s="25">
        <v>0</v>
      </c>
      <c r="L21" s="26">
        <v>0</v>
      </c>
      <c r="M21" s="25">
        <v>183800</v>
      </c>
      <c r="N21" s="27">
        <v>0.97</v>
      </c>
      <c r="O21" s="23">
        <v>200000</v>
      </c>
      <c r="P21" s="24">
        <v>1.36</v>
      </c>
      <c r="Q21" s="25">
        <v>0</v>
      </c>
      <c r="R21" s="19">
        <v>0</v>
      </c>
      <c r="S21" s="25">
        <v>200000</v>
      </c>
      <c r="T21" s="22">
        <v>0.99</v>
      </c>
      <c r="U21" s="34">
        <v>263268</v>
      </c>
      <c r="V21" s="29">
        <v>1.4</v>
      </c>
      <c r="W21" s="30">
        <v>0</v>
      </c>
      <c r="X21" s="29">
        <v>0</v>
      </c>
      <c r="Y21" s="31">
        <v>263268</v>
      </c>
      <c r="Z21" s="29">
        <v>1.25</v>
      </c>
      <c r="AA21" s="32">
        <v>259089</v>
      </c>
      <c r="AB21" s="33"/>
      <c r="AC21" s="32">
        <v>0</v>
      </c>
      <c r="AD21" s="33"/>
      <c r="AE21" s="32">
        <f t="shared" si="0"/>
        <v>259089</v>
      </c>
      <c r="AF21" s="33"/>
      <c r="AG21" s="32">
        <v>268168</v>
      </c>
      <c r="AH21" s="33"/>
      <c r="AI21" s="32">
        <v>0</v>
      </c>
      <c r="AJ21" s="33"/>
      <c r="AK21" s="32">
        <f t="shared" si="1"/>
        <v>268168</v>
      </c>
      <c r="AL21" s="33"/>
      <c r="AM21" s="32">
        <v>254890</v>
      </c>
      <c r="AN21" s="33"/>
      <c r="AO21" s="32">
        <v>0</v>
      </c>
      <c r="AP21" s="33"/>
      <c r="AQ21" s="32">
        <f t="shared" si="2"/>
        <v>254890</v>
      </c>
      <c r="AR21" s="33"/>
    </row>
    <row r="22" spans="1:44" ht="15.75" customHeight="1">
      <c r="A22" s="16">
        <v>10702</v>
      </c>
      <c r="B22" s="17" t="s">
        <v>27</v>
      </c>
      <c r="C22" s="18">
        <v>5500</v>
      </c>
      <c r="D22" s="19">
        <v>0.02</v>
      </c>
      <c r="E22" s="20">
        <v>0</v>
      </c>
      <c r="F22" s="19">
        <v>0</v>
      </c>
      <c r="G22" s="21">
        <v>5500</v>
      </c>
      <c r="H22" s="22">
        <v>0.02</v>
      </c>
      <c r="I22" s="23">
        <v>50000</v>
      </c>
      <c r="J22" s="24">
        <v>0.16</v>
      </c>
      <c r="K22" s="25">
        <v>0</v>
      </c>
      <c r="L22" s="26">
        <v>0</v>
      </c>
      <c r="M22" s="25">
        <v>50000</v>
      </c>
      <c r="N22" s="27">
        <v>0.12</v>
      </c>
      <c r="O22" s="23">
        <v>10000</v>
      </c>
      <c r="P22" s="24">
        <v>0.03</v>
      </c>
      <c r="Q22" s="25">
        <v>0</v>
      </c>
      <c r="R22" s="19">
        <v>0</v>
      </c>
      <c r="S22" s="25">
        <v>10000</v>
      </c>
      <c r="T22" s="22">
        <v>0.02</v>
      </c>
      <c r="U22" s="34">
        <v>10000</v>
      </c>
      <c r="V22" s="29">
        <v>0.03</v>
      </c>
      <c r="W22" s="30">
        <v>0</v>
      </c>
      <c r="X22" s="29">
        <v>0</v>
      </c>
      <c r="Y22" s="31">
        <v>10000</v>
      </c>
      <c r="Z22" s="29">
        <v>0.03</v>
      </c>
      <c r="AA22" s="32">
        <v>70000</v>
      </c>
      <c r="AB22" s="33"/>
      <c r="AC22" s="32">
        <v>0</v>
      </c>
      <c r="AD22" s="33"/>
      <c r="AE22" s="32">
        <f t="shared" si="0"/>
        <v>70000</v>
      </c>
      <c r="AF22" s="33"/>
      <c r="AG22" s="32">
        <v>70000</v>
      </c>
      <c r="AH22" s="33"/>
      <c r="AI22" s="32">
        <v>0</v>
      </c>
      <c r="AJ22" s="33"/>
      <c r="AK22" s="32">
        <f t="shared" si="1"/>
        <v>70000</v>
      </c>
      <c r="AL22" s="33"/>
      <c r="AM22" s="32">
        <v>70000</v>
      </c>
      <c r="AN22" s="33"/>
      <c r="AO22" s="32">
        <v>0</v>
      </c>
      <c r="AP22" s="33"/>
      <c r="AQ22" s="32">
        <f t="shared" si="2"/>
        <v>70000</v>
      </c>
      <c r="AR22" s="33"/>
    </row>
    <row r="23" spans="1:44" ht="15.75" customHeight="1">
      <c r="A23" s="16">
        <v>10703</v>
      </c>
      <c r="B23" s="17" t="s">
        <v>28</v>
      </c>
      <c r="C23" s="18">
        <v>49090</v>
      </c>
      <c r="D23" s="19">
        <v>0.5</v>
      </c>
      <c r="E23" s="20">
        <v>0</v>
      </c>
      <c r="F23" s="19">
        <v>0</v>
      </c>
      <c r="G23" s="21">
        <v>49090</v>
      </c>
      <c r="H23" s="22">
        <v>0.37</v>
      </c>
      <c r="I23" s="23">
        <v>60150</v>
      </c>
      <c r="J23" s="24">
        <v>0.57999999999999996</v>
      </c>
      <c r="K23" s="25">
        <v>0</v>
      </c>
      <c r="L23" s="26">
        <v>0</v>
      </c>
      <c r="M23" s="25">
        <v>60150</v>
      </c>
      <c r="N23" s="27">
        <v>0.43</v>
      </c>
      <c r="O23" s="23">
        <v>66750</v>
      </c>
      <c r="P23" s="24">
        <v>0.56000000000000005</v>
      </c>
      <c r="Q23" s="25">
        <v>0</v>
      </c>
      <c r="R23" s="19">
        <v>0</v>
      </c>
      <c r="S23" s="25">
        <v>66750</v>
      </c>
      <c r="T23" s="22">
        <v>0.52</v>
      </c>
      <c r="U23" s="34">
        <v>63000</v>
      </c>
      <c r="V23" s="29">
        <v>0.52</v>
      </c>
      <c r="W23" s="30">
        <v>0</v>
      </c>
      <c r="X23" s="29">
        <v>0</v>
      </c>
      <c r="Y23" s="31">
        <v>63000</v>
      </c>
      <c r="Z23" s="29">
        <v>0.42</v>
      </c>
      <c r="AA23" s="32">
        <v>63000</v>
      </c>
      <c r="AB23" s="33"/>
      <c r="AC23" s="32">
        <v>0</v>
      </c>
      <c r="AD23" s="33"/>
      <c r="AE23" s="32">
        <f t="shared" si="0"/>
        <v>63000</v>
      </c>
      <c r="AF23" s="33"/>
      <c r="AG23" s="32">
        <v>83880</v>
      </c>
      <c r="AH23" s="33"/>
      <c r="AI23" s="32">
        <v>0</v>
      </c>
      <c r="AJ23" s="33"/>
      <c r="AK23" s="32">
        <f t="shared" si="1"/>
        <v>83880</v>
      </c>
      <c r="AL23" s="33"/>
      <c r="AM23" s="32">
        <v>83880</v>
      </c>
      <c r="AN23" s="33"/>
      <c r="AO23" s="32">
        <v>0</v>
      </c>
      <c r="AP23" s="33"/>
      <c r="AQ23" s="32">
        <f t="shared" si="2"/>
        <v>83880</v>
      </c>
      <c r="AR23" s="33"/>
    </row>
    <row r="24" spans="1:44" ht="15.75" customHeight="1">
      <c r="A24" s="16">
        <v>10704</v>
      </c>
      <c r="B24" s="17" t="s">
        <v>29</v>
      </c>
      <c r="C24" s="18">
        <v>80876</v>
      </c>
      <c r="D24" s="19">
        <v>0.82</v>
      </c>
      <c r="E24" s="20">
        <v>0</v>
      </c>
      <c r="F24" s="19">
        <v>0</v>
      </c>
      <c r="G24" s="21">
        <v>80876</v>
      </c>
      <c r="H24" s="22">
        <v>0.79</v>
      </c>
      <c r="I24" s="23">
        <v>115256</v>
      </c>
      <c r="J24" s="24">
        <v>1.06</v>
      </c>
      <c r="K24" s="25">
        <v>0</v>
      </c>
      <c r="L24" s="26">
        <v>0</v>
      </c>
      <c r="M24" s="25">
        <v>115256</v>
      </c>
      <c r="N24" s="27">
        <v>0.81</v>
      </c>
      <c r="O24" s="23">
        <v>125792</v>
      </c>
      <c r="P24" s="24">
        <v>1</v>
      </c>
      <c r="Q24" s="25">
        <v>0</v>
      </c>
      <c r="R24" s="19">
        <v>0</v>
      </c>
      <c r="S24" s="25">
        <v>125792</v>
      </c>
      <c r="T24" s="22">
        <v>0.81</v>
      </c>
      <c r="U24" s="34">
        <v>216400</v>
      </c>
      <c r="V24" s="29">
        <v>1.45</v>
      </c>
      <c r="W24" s="30">
        <v>0</v>
      </c>
      <c r="X24" s="29">
        <v>0</v>
      </c>
      <c r="Y24" s="31">
        <v>216400</v>
      </c>
      <c r="Z24" s="29">
        <v>1.1599999999999999</v>
      </c>
      <c r="AA24" s="32">
        <v>216400</v>
      </c>
      <c r="AB24" s="33"/>
      <c r="AC24" s="32">
        <v>0</v>
      </c>
      <c r="AD24" s="33"/>
      <c r="AE24" s="32">
        <f t="shared" si="0"/>
        <v>216400</v>
      </c>
      <c r="AF24" s="33"/>
      <c r="AG24" s="32">
        <v>250400</v>
      </c>
      <c r="AH24" s="33"/>
      <c r="AI24" s="32">
        <v>0</v>
      </c>
      <c r="AJ24" s="33"/>
      <c r="AK24" s="32">
        <f t="shared" si="1"/>
        <v>250400</v>
      </c>
      <c r="AL24" s="33"/>
      <c r="AM24" s="32">
        <v>250000</v>
      </c>
      <c r="AN24" s="33"/>
      <c r="AO24" s="32">
        <v>0</v>
      </c>
      <c r="AP24" s="33"/>
      <c r="AQ24" s="32">
        <f t="shared" si="2"/>
        <v>250000</v>
      </c>
      <c r="AR24" s="33"/>
    </row>
    <row r="25" spans="1:44" ht="15.75" customHeight="1">
      <c r="A25" s="16">
        <v>10801</v>
      </c>
      <c r="B25" s="17" t="s">
        <v>30</v>
      </c>
      <c r="C25" s="18">
        <v>161734</v>
      </c>
      <c r="D25" s="19">
        <v>1.85</v>
      </c>
      <c r="E25" s="20">
        <v>0</v>
      </c>
      <c r="F25" s="19">
        <v>0</v>
      </c>
      <c r="G25" s="21">
        <v>161734</v>
      </c>
      <c r="H25" s="22">
        <v>1.28</v>
      </c>
      <c r="I25" s="23">
        <v>145000</v>
      </c>
      <c r="J25" s="24">
        <v>1.21</v>
      </c>
      <c r="K25" s="25">
        <v>0</v>
      </c>
      <c r="L25" s="26">
        <v>0</v>
      </c>
      <c r="M25" s="25">
        <v>145000</v>
      </c>
      <c r="N25" s="27">
        <v>0.62</v>
      </c>
      <c r="O25" s="23">
        <v>155173</v>
      </c>
      <c r="P25" s="24">
        <v>1.26</v>
      </c>
      <c r="Q25" s="25">
        <v>0</v>
      </c>
      <c r="R25" s="19">
        <v>0</v>
      </c>
      <c r="S25" s="25">
        <v>155173</v>
      </c>
      <c r="T25" s="22">
        <v>0.98</v>
      </c>
      <c r="U25" s="34">
        <v>70000</v>
      </c>
      <c r="V25" s="29">
        <v>0.72</v>
      </c>
      <c r="W25" s="30">
        <v>0</v>
      </c>
      <c r="X25" s="29">
        <v>0</v>
      </c>
      <c r="Y25" s="31">
        <v>70000</v>
      </c>
      <c r="Z25" s="29">
        <v>0.56999999999999995</v>
      </c>
      <c r="AA25" s="32">
        <v>70000</v>
      </c>
      <c r="AB25" s="33"/>
      <c r="AC25" s="32">
        <v>0</v>
      </c>
      <c r="AD25" s="33"/>
      <c r="AE25" s="32">
        <f t="shared" si="0"/>
        <v>70000</v>
      </c>
      <c r="AF25" s="33"/>
      <c r="AG25" s="32">
        <v>70000</v>
      </c>
      <c r="AH25" s="33"/>
      <c r="AI25" s="32">
        <v>0</v>
      </c>
      <c r="AJ25" s="33"/>
      <c r="AK25" s="32">
        <f t="shared" si="1"/>
        <v>70000</v>
      </c>
      <c r="AL25" s="33"/>
      <c r="AM25" s="32">
        <v>80295</v>
      </c>
      <c r="AN25" s="33"/>
      <c r="AO25" s="32">
        <v>0</v>
      </c>
      <c r="AP25" s="33"/>
      <c r="AQ25" s="32">
        <f t="shared" si="2"/>
        <v>80295</v>
      </c>
      <c r="AR25" s="33"/>
    </row>
    <row r="26" spans="1:44" ht="15.75" customHeight="1">
      <c r="A26" s="16">
        <v>10901</v>
      </c>
      <c r="B26" s="17" t="s">
        <v>31</v>
      </c>
      <c r="C26" s="18">
        <v>15996</v>
      </c>
      <c r="D26" s="19">
        <v>0.56000000000000005</v>
      </c>
      <c r="E26" s="20">
        <v>0</v>
      </c>
      <c r="F26" s="19">
        <v>0</v>
      </c>
      <c r="G26" s="21">
        <v>15996</v>
      </c>
      <c r="H26" s="22">
        <v>0.34</v>
      </c>
      <c r="I26" s="23">
        <v>16000</v>
      </c>
      <c r="J26" s="24">
        <v>0.55000000000000004</v>
      </c>
      <c r="K26" s="25">
        <v>0</v>
      </c>
      <c r="L26" s="26">
        <v>0</v>
      </c>
      <c r="M26" s="25">
        <v>16000</v>
      </c>
      <c r="N26" s="27">
        <v>0.44</v>
      </c>
      <c r="O26" s="23">
        <v>40704</v>
      </c>
      <c r="P26" s="24">
        <v>1.21</v>
      </c>
      <c r="Q26" s="25">
        <v>0</v>
      </c>
      <c r="R26" s="19">
        <v>0</v>
      </c>
      <c r="S26" s="25">
        <v>40704</v>
      </c>
      <c r="T26" s="22">
        <v>0.65</v>
      </c>
      <c r="U26" s="34">
        <v>53600</v>
      </c>
      <c r="V26" s="29">
        <v>1.85</v>
      </c>
      <c r="W26" s="30">
        <v>0</v>
      </c>
      <c r="X26" s="29">
        <v>0</v>
      </c>
      <c r="Y26" s="31">
        <v>53600</v>
      </c>
      <c r="Z26" s="29">
        <v>1.85</v>
      </c>
      <c r="AA26" s="32">
        <v>53600</v>
      </c>
      <c r="AB26" s="33"/>
      <c r="AC26" s="32">
        <v>0</v>
      </c>
      <c r="AD26" s="33"/>
      <c r="AE26" s="32">
        <f t="shared" si="0"/>
        <v>53600</v>
      </c>
      <c r="AF26" s="33"/>
      <c r="AG26" s="32">
        <v>56800</v>
      </c>
      <c r="AH26" s="33"/>
      <c r="AI26" s="32">
        <v>0</v>
      </c>
      <c r="AJ26" s="33"/>
      <c r="AK26" s="32">
        <f t="shared" si="1"/>
        <v>56800</v>
      </c>
      <c r="AL26" s="33"/>
      <c r="AM26" s="32">
        <v>56800</v>
      </c>
      <c r="AN26" s="33"/>
      <c r="AO26" s="32">
        <v>0</v>
      </c>
      <c r="AP26" s="33"/>
      <c r="AQ26" s="32">
        <f t="shared" si="2"/>
        <v>56800</v>
      </c>
      <c r="AR26" s="33"/>
    </row>
    <row r="27" spans="1:44" ht="15.75" customHeight="1">
      <c r="A27" s="16">
        <v>10902</v>
      </c>
      <c r="B27" s="17" t="s">
        <v>32</v>
      </c>
      <c r="C27" s="18">
        <v>116995</v>
      </c>
      <c r="D27" s="19">
        <v>0.83</v>
      </c>
      <c r="E27" s="20">
        <v>0</v>
      </c>
      <c r="F27" s="19">
        <v>0</v>
      </c>
      <c r="G27" s="21">
        <v>116995</v>
      </c>
      <c r="H27" s="22">
        <v>0.43</v>
      </c>
      <c r="I27" s="23">
        <v>170546</v>
      </c>
      <c r="J27" s="24">
        <v>1.03</v>
      </c>
      <c r="K27" s="25">
        <v>0</v>
      </c>
      <c r="L27" s="26">
        <v>0</v>
      </c>
      <c r="M27" s="25">
        <v>170546</v>
      </c>
      <c r="N27" s="27">
        <v>0.69</v>
      </c>
      <c r="O27" s="23">
        <v>189451</v>
      </c>
      <c r="P27" s="24">
        <v>1.1000000000000001</v>
      </c>
      <c r="Q27" s="25">
        <v>0</v>
      </c>
      <c r="R27" s="19">
        <v>0</v>
      </c>
      <c r="S27" s="25">
        <v>189451</v>
      </c>
      <c r="T27" s="22">
        <v>0.74</v>
      </c>
      <c r="U27" s="34">
        <v>96594</v>
      </c>
      <c r="V27" s="29">
        <v>0.65</v>
      </c>
      <c r="W27" s="30">
        <v>0</v>
      </c>
      <c r="X27" s="29">
        <v>0</v>
      </c>
      <c r="Y27" s="31">
        <v>96594</v>
      </c>
      <c r="Z27" s="29">
        <v>0.65</v>
      </c>
      <c r="AA27" s="32">
        <v>101794</v>
      </c>
      <c r="AB27" s="33"/>
      <c r="AC27" s="32">
        <v>0</v>
      </c>
      <c r="AD27" s="33"/>
      <c r="AE27" s="32">
        <f t="shared" si="0"/>
        <v>101794</v>
      </c>
      <c r="AF27" s="33"/>
      <c r="AG27" s="32">
        <v>252607</v>
      </c>
      <c r="AH27" s="33"/>
      <c r="AI27" s="32">
        <v>120000</v>
      </c>
      <c r="AJ27" s="33"/>
      <c r="AK27" s="32">
        <f t="shared" si="1"/>
        <v>372607</v>
      </c>
      <c r="AL27" s="33"/>
      <c r="AM27" s="32">
        <v>263007</v>
      </c>
      <c r="AN27" s="33"/>
      <c r="AO27" s="32">
        <v>0</v>
      </c>
      <c r="AP27" s="33"/>
      <c r="AQ27" s="32">
        <f t="shared" si="2"/>
        <v>263007</v>
      </c>
      <c r="AR27" s="33"/>
    </row>
    <row r="28" spans="1:44" ht="15.75" customHeight="1">
      <c r="A28" s="16">
        <v>10903</v>
      </c>
      <c r="B28" s="17" t="s">
        <v>33</v>
      </c>
      <c r="C28" s="35">
        <v>0</v>
      </c>
      <c r="D28" s="19">
        <v>0</v>
      </c>
      <c r="E28" s="20">
        <v>0</v>
      </c>
      <c r="F28" s="19">
        <v>0</v>
      </c>
      <c r="G28" s="21">
        <v>0</v>
      </c>
      <c r="H28" s="22">
        <v>0</v>
      </c>
      <c r="I28" s="23">
        <v>15000</v>
      </c>
      <c r="J28" s="24">
        <v>0.41</v>
      </c>
      <c r="K28" s="25">
        <v>0</v>
      </c>
      <c r="L28" s="26">
        <v>0</v>
      </c>
      <c r="M28" s="25">
        <v>15000</v>
      </c>
      <c r="N28" s="27">
        <v>0.39</v>
      </c>
      <c r="O28" s="23">
        <v>15000</v>
      </c>
      <c r="P28" s="24">
        <v>0.36</v>
      </c>
      <c r="Q28" s="25">
        <v>0</v>
      </c>
      <c r="R28" s="19">
        <v>0</v>
      </c>
      <c r="S28" s="25">
        <v>15000</v>
      </c>
      <c r="T28" s="22">
        <v>0.34</v>
      </c>
      <c r="U28" s="34">
        <v>15000</v>
      </c>
      <c r="V28" s="29">
        <v>0.34</v>
      </c>
      <c r="W28" s="30">
        <v>0</v>
      </c>
      <c r="X28" s="29">
        <v>0</v>
      </c>
      <c r="Y28" s="31">
        <v>15000</v>
      </c>
      <c r="Z28" s="29">
        <v>0.34</v>
      </c>
      <c r="AA28" s="32">
        <v>14400</v>
      </c>
      <c r="AB28" s="33"/>
      <c r="AC28" s="32">
        <v>0</v>
      </c>
      <c r="AD28" s="33"/>
      <c r="AE28" s="32">
        <f t="shared" si="0"/>
        <v>14400</v>
      </c>
      <c r="AF28" s="33"/>
      <c r="AG28" s="32">
        <v>16245</v>
      </c>
      <c r="AH28" s="33"/>
      <c r="AI28" s="32">
        <v>0</v>
      </c>
      <c r="AJ28" s="33"/>
      <c r="AK28" s="32">
        <f t="shared" si="1"/>
        <v>16245</v>
      </c>
      <c r="AL28" s="33"/>
      <c r="AM28" s="32">
        <v>21000</v>
      </c>
      <c r="AN28" s="33"/>
      <c r="AO28" s="32">
        <v>0</v>
      </c>
      <c r="AP28" s="33"/>
      <c r="AQ28" s="32">
        <f t="shared" si="2"/>
        <v>21000</v>
      </c>
      <c r="AR28" s="33"/>
    </row>
    <row r="29" spans="1:44" ht="15.75" customHeight="1">
      <c r="A29" s="16">
        <v>11001</v>
      </c>
      <c r="B29" s="17" t="s">
        <v>34</v>
      </c>
      <c r="C29" s="18">
        <v>29000</v>
      </c>
      <c r="D29" s="19">
        <v>0.38</v>
      </c>
      <c r="E29" s="20">
        <v>0</v>
      </c>
      <c r="F29" s="19">
        <v>0</v>
      </c>
      <c r="G29" s="21">
        <v>29000</v>
      </c>
      <c r="H29" s="22">
        <v>0.24</v>
      </c>
      <c r="I29" s="23">
        <v>29000</v>
      </c>
      <c r="J29" s="24">
        <v>0.37</v>
      </c>
      <c r="K29" s="25">
        <v>0</v>
      </c>
      <c r="L29" s="26">
        <v>0</v>
      </c>
      <c r="M29" s="25">
        <v>29000</v>
      </c>
      <c r="N29" s="27">
        <v>0.17</v>
      </c>
      <c r="O29" s="23">
        <v>29000</v>
      </c>
      <c r="P29" s="24">
        <v>0.35</v>
      </c>
      <c r="Q29" s="25">
        <v>0</v>
      </c>
      <c r="R29" s="19">
        <v>0</v>
      </c>
      <c r="S29" s="25">
        <v>29000</v>
      </c>
      <c r="T29" s="22">
        <v>0.23</v>
      </c>
      <c r="U29" s="34">
        <v>94058</v>
      </c>
      <c r="V29" s="29">
        <v>0.96</v>
      </c>
      <c r="W29" s="30">
        <v>0</v>
      </c>
      <c r="X29" s="29">
        <v>0</v>
      </c>
      <c r="Y29" s="31">
        <v>94058</v>
      </c>
      <c r="Z29" s="29">
        <v>0.69</v>
      </c>
      <c r="AA29" s="32">
        <v>92500</v>
      </c>
      <c r="AB29" s="33"/>
      <c r="AC29" s="32">
        <v>0</v>
      </c>
      <c r="AD29" s="33"/>
      <c r="AE29" s="32">
        <f t="shared" si="0"/>
        <v>92500</v>
      </c>
      <c r="AF29" s="33"/>
      <c r="AG29" s="32">
        <v>92500</v>
      </c>
      <c r="AH29" s="33"/>
      <c r="AI29" s="32">
        <v>0</v>
      </c>
      <c r="AJ29" s="33"/>
      <c r="AK29" s="32">
        <f t="shared" si="1"/>
        <v>92500</v>
      </c>
      <c r="AL29" s="33"/>
      <c r="AM29" s="32">
        <v>98500</v>
      </c>
      <c r="AN29" s="33"/>
      <c r="AO29" s="32">
        <v>0</v>
      </c>
      <c r="AP29" s="33"/>
      <c r="AQ29" s="32">
        <f t="shared" si="2"/>
        <v>98500</v>
      </c>
      <c r="AR29" s="33"/>
    </row>
    <row r="30" spans="1:44" ht="15.75" customHeight="1">
      <c r="A30" s="16">
        <v>11002</v>
      </c>
      <c r="B30" s="17" t="s">
        <v>35</v>
      </c>
      <c r="C30" s="18">
        <v>21600</v>
      </c>
      <c r="D30" s="19">
        <v>1.05</v>
      </c>
      <c r="E30" s="20">
        <v>0</v>
      </c>
      <c r="F30" s="19">
        <v>0</v>
      </c>
      <c r="G30" s="21">
        <v>21600</v>
      </c>
      <c r="H30" s="22">
        <v>0.8</v>
      </c>
      <c r="I30" s="23">
        <v>21600</v>
      </c>
      <c r="J30" s="24">
        <v>1.01</v>
      </c>
      <c r="K30" s="25">
        <v>0</v>
      </c>
      <c r="L30" s="26">
        <v>0</v>
      </c>
      <c r="M30" s="25">
        <v>21600</v>
      </c>
      <c r="N30" s="27">
        <v>0.91</v>
      </c>
      <c r="O30" s="23">
        <v>21600</v>
      </c>
      <c r="P30" s="24">
        <v>0.89</v>
      </c>
      <c r="Q30" s="25">
        <v>0</v>
      </c>
      <c r="R30" s="19">
        <v>0</v>
      </c>
      <c r="S30" s="25">
        <v>21600</v>
      </c>
      <c r="T30" s="22">
        <v>0.79</v>
      </c>
      <c r="U30" s="34">
        <v>5000</v>
      </c>
      <c r="V30" s="29">
        <v>0.19</v>
      </c>
      <c r="W30" s="30">
        <v>0</v>
      </c>
      <c r="X30" s="29">
        <v>0</v>
      </c>
      <c r="Y30" s="31">
        <v>5000</v>
      </c>
      <c r="Z30" s="29">
        <v>0.19</v>
      </c>
      <c r="AA30" s="32">
        <v>15000</v>
      </c>
      <c r="AB30" s="33"/>
      <c r="AC30" s="32">
        <v>0</v>
      </c>
      <c r="AD30" s="33"/>
      <c r="AE30" s="32">
        <f t="shared" si="0"/>
        <v>15000</v>
      </c>
      <c r="AF30" s="33"/>
      <c r="AG30" s="32">
        <v>15000</v>
      </c>
      <c r="AH30" s="33"/>
      <c r="AI30" s="32">
        <v>0</v>
      </c>
      <c r="AJ30" s="33"/>
      <c r="AK30" s="32">
        <f t="shared" si="1"/>
        <v>15000</v>
      </c>
      <c r="AL30" s="33"/>
      <c r="AM30" s="32">
        <v>15000</v>
      </c>
      <c r="AN30" s="33"/>
      <c r="AO30" s="32">
        <v>0</v>
      </c>
      <c r="AP30" s="33"/>
      <c r="AQ30" s="32">
        <f t="shared" si="2"/>
        <v>15000</v>
      </c>
      <c r="AR30" s="33"/>
    </row>
    <row r="31" spans="1:44" ht="15.75" customHeight="1">
      <c r="A31" s="16">
        <v>11003</v>
      </c>
      <c r="B31" s="17" t="s">
        <v>36</v>
      </c>
      <c r="C31" s="18">
        <v>68000</v>
      </c>
      <c r="D31" s="19">
        <v>0.86</v>
      </c>
      <c r="E31" s="20">
        <v>0</v>
      </c>
      <c r="F31" s="19">
        <v>0</v>
      </c>
      <c r="G31" s="21">
        <v>68000</v>
      </c>
      <c r="H31" s="22">
        <v>0.82</v>
      </c>
      <c r="I31" s="23">
        <v>70000</v>
      </c>
      <c r="J31" s="24">
        <v>0.77</v>
      </c>
      <c r="K31" s="25">
        <v>0</v>
      </c>
      <c r="L31" s="26">
        <v>0</v>
      </c>
      <c r="M31" s="25">
        <v>70000</v>
      </c>
      <c r="N31" s="27">
        <v>0.76</v>
      </c>
      <c r="O31" s="23">
        <v>80000</v>
      </c>
      <c r="P31" s="24">
        <v>1.1299999999999999</v>
      </c>
      <c r="Q31" s="25">
        <v>0</v>
      </c>
      <c r="R31" s="19">
        <v>0</v>
      </c>
      <c r="S31" s="25">
        <v>80000</v>
      </c>
      <c r="T31" s="22">
        <v>0.98</v>
      </c>
      <c r="U31" s="34">
        <v>37976</v>
      </c>
      <c r="V31" s="29">
        <v>0.5</v>
      </c>
      <c r="W31" s="30">
        <v>0</v>
      </c>
      <c r="X31" s="29">
        <v>0</v>
      </c>
      <c r="Y31" s="31">
        <v>37976</v>
      </c>
      <c r="Z31" s="29">
        <v>0.5</v>
      </c>
      <c r="AA31" s="32">
        <v>60000</v>
      </c>
      <c r="AB31" s="33"/>
      <c r="AC31" s="32">
        <v>0</v>
      </c>
      <c r="AD31" s="33"/>
      <c r="AE31" s="32">
        <f t="shared" si="0"/>
        <v>60000</v>
      </c>
      <c r="AF31" s="33"/>
      <c r="AG31" s="32">
        <v>86535</v>
      </c>
      <c r="AH31" s="33"/>
      <c r="AI31" s="32">
        <v>0</v>
      </c>
      <c r="AJ31" s="33"/>
      <c r="AK31" s="32">
        <f t="shared" si="1"/>
        <v>86535</v>
      </c>
      <c r="AL31" s="33"/>
      <c r="AM31" s="32">
        <v>70210</v>
      </c>
      <c r="AN31" s="33"/>
      <c r="AO31" s="32">
        <v>0</v>
      </c>
      <c r="AP31" s="33"/>
      <c r="AQ31" s="32">
        <f t="shared" si="2"/>
        <v>70210</v>
      </c>
      <c r="AR31" s="33"/>
    </row>
    <row r="32" spans="1:44" ht="15.75" customHeight="1">
      <c r="A32" s="16">
        <v>20101</v>
      </c>
      <c r="B32" s="17" t="s">
        <v>37</v>
      </c>
      <c r="C32" s="18">
        <v>75500000</v>
      </c>
      <c r="D32" s="19">
        <v>10.76</v>
      </c>
      <c r="E32" s="36">
        <v>2487987</v>
      </c>
      <c r="F32" s="19">
        <v>0.39</v>
      </c>
      <c r="G32" s="21">
        <v>77987987</v>
      </c>
      <c r="H32" s="22">
        <v>5.8</v>
      </c>
      <c r="I32" s="23">
        <v>47580000</v>
      </c>
      <c r="J32" s="24">
        <v>6.33</v>
      </c>
      <c r="K32" s="25">
        <v>0</v>
      </c>
      <c r="L32" s="26">
        <v>0</v>
      </c>
      <c r="M32" s="25">
        <v>47580000</v>
      </c>
      <c r="N32" s="27">
        <v>3.07</v>
      </c>
      <c r="O32" s="23">
        <v>68115002</v>
      </c>
      <c r="P32" s="24">
        <v>7.93</v>
      </c>
      <c r="Q32" s="25">
        <v>0</v>
      </c>
      <c r="R32" s="19">
        <v>0</v>
      </c>
      <c r="S32" s="25">
        <v>68115002</v>
      </c>
      <c r="T32" s="22">
        <v>4.2300000000000004</v>
      </c>
      <c r="U32" s="34">
        <v>114025343</v>
      </c>
      <c r="V32" s="29">
        <v>8.98</v>
      </c>
      <c r="W32" s="31">
        <v>1144320</v>
      </c>
      <c r="X32" s="29">
        <v>0.26</v>
      </c>
      <c r="Y32" s="31">
        <v>115169663</v>
      </c>
      <c r="Z32" s="29">
        <v>6.75</v>
      </c>
      <c r="AA32" s="32">
        <v>238322830</v>
      </c>
      <c r="AB32" s="33"/>
      <c r="AC32" s="32">
        <v>4825040</v>
      </c>
      <c r="AD32" s="33"/>
      <c r="AE32" s="32">
        <f t="shared" si="0"/>
        <v>243147870</v>
      </c>
      <c r="AF32" s="33"/>
      <c r="AG32" s="32">
        <v>220555391</v>
      </c>
      <c r="AH32" s="33"/>
      <c r="AI32" s="32">
        <v>0</v>
      </c>
      <c r="AJ32" s="33"/>
      <c r="AK32" s="32">
        <f t="shared" si="1"/>
        <v>220555391</v>
      </c>
      <c r="AL32" s="33"/>
      <c r="AM32" s="32">
        <v>190631493</v>
      </c>
      <c r="AN32" s="33"/>
      <c r="AO32" s="32">
        <v>0</v>
      </c>
      <c r="AP32" s="33"/>
      <c r="AQ32" s="32">
        <f t="shared" si="2"/>
        <v>190631493</v>
      </c>
      <c r="AR32" s="33"/>
    </row>
    <row r="33" spans="1:44" ht="15.75" customHeight="1">
      <c r="A33" s="16">
        <v>20102</v>
      </c>
      <c r="B33" s="17" t="s">
        <v>38</v>
      </c>
      <c r="C33" s="35">
        <v>0</v>
      </c>
      <c r="D33" s="19">
        <v>0</v>
      </c>
      <c r="E33" s="20">
        <v>0</v>
      </c>
      <c r="F33" s="19">
        <v>0</v>
      </c>
      <c r="G33" s="21">
        <v>0</v>
      </c>
      <c r="H33" s="22">
        <v>0</v>
      </c>
      <c r="I33" s="23">
        <v>10000</v>
      </c>
      <c r="J33" s="24">
        <v>0.1</v>
      </c>
      <c r="K33" s="25">
        <v>0</v>
      </c>
      <c r="L33" s="26">
        <v>0</v>
      </c>
      <c r="M33" s="25">
        <v>10000</v>
      </c>
      <c r="N33" s="27">
        <v>0.08</v>
      </c>
      <c r="O33" s="23">
        <v>10000</v>
      </c>
      <c r="P33" s="24">
        <v>0.09</v>
      </c>
      <c r="Q33" s="25">
        <v>0</v>
      </c>
      <c r="R33" s="19">
        <v>0</v>
      </c>
      <c r="S33" s="25">
        <v>10000</v>
      </c>
      <c r="T33" s="22">
        <v>0.08</v>
      </c>
      <c r="U33" s="34">
        <v>26000</v>
      </c>
      <c r="V33" s="29">
        <v>0.18</v>
      </c>
      <c r="W33" s="30">
        <v>0</v>
      </c>
      <c r="X33" s="29">
        <v>0</v>
      </c>
      <c r="Y33" s="31">
        <v>26000</v>
      </c>
      <c r="Z33" s="29">
        <v>0.15</v>
      </c>
      <c r="AA33" s="32">
        <v>27000</v>
      </c>
      <c r="AB33" s="33"/>
      <c r="AC33" s="32">
        <v>0</v>
      </c>
      <c r="AD33" s="33"/>
      <c r="AE33" s="32">
        <f t="shared" si="0"/>
        <v>27000</v>
      </c>
      <c r="AF33" s="33"/>
      <c r="AG33" s="32">
        <v>50000</v>
      </c>
      <c r="AH33" s="33"/>
      <c r="AI33" s="32">
        <v>0</v>
      </c>
      <c r="AJ33" s="33"/>
      <c r="AK33" s="32">
        <f t="shared" si="1"/>
        <v>50000</v>
      </c>
      <c r="AL33" s="33"/>
      <c r="AM33" s="32">
        <v>50000</v>
      </c>
      <c r="AN33" s="33"/>
      <c r="AO33" s="32">
        <v>0</v>
      </c>
      <c r="AP33" s="33"/>
      <c r="AQ33" s="32">
        <f t="shared" si="2"/>
        <v>50000</v>
      </c>
      <c r="AR33" s="33"/>
    </row>
    <row r="34" spans="1:44" ht="15.75" customHeight="1">
      <c r="A34" s="16">
        <v>20103</v>
      </c>
      <c r="B34" s="17" t="s">
        <v>39</v>
      </c>
      <c r="C34" s="18">
        <v>50000</v>
      </c>
      <c r="D34" s="19">
        <v>0.57999999999999996</v>
      </c>
      <c r="E34" s="20">
        <v>0</v>
      </c>
      <c r="F34" s="19">
        <v>0</v>
      </c>
      <c r="G34" s="21">
        <v>50000</v>
      </c>
      <c r="H34" s="22">
        <v>0.49</v>
      </c>
      <c r="I34" s="23">
        <v>50000</v>
      </c>
      <c r="J34" s="24">
        <v>0.65</v>
      </c>
      <c r="K34" s="25">
        <v>0</v>
      </c>
      <c r="L34" s="26">
        <v>0</v>
      </c>
      <c r="M34" s="25">
        <v>50000</v>
      </c>
      <c r="N34" s="27">
        <v>0.6</v>
      </c>
      <c r="O34" s="23">
        <v>100000</v>
      </c>
      <c r="P34" s="24">
        <v>1.24</v>
      </c>
      <c r="Q34" s="25">
        <v>0</v>
      </c>
      <c r="R34" s="19">
        <v>0</v>
      </c>
      <c r="S34" s="25">
        <v>100000</v>
      </c>
      <c r="T34" s="22">
        <v>0.89</v>
      </c>
      <c r="U34" s="34">
        <v>251460</v>
      </c>
      <c r="V34" s="29">
        <v>2.02</v>
      </c>
      <c r="W34" s="30">
        <v>0</v>
      </c>
      <c r="X34" s="29">
        <v>0</v>
      </c>
      <c r="Y34" s="31">
        <v>251460</v>
      </c>
      <c r="Z34" s="29">
        <v>1.75</v>
      </c>
      <c r="AA34" s="32">
        <v>274600</v>
      </c>
      <c r="AB34" s="33"/>
      <c r="AC34" s="32">
        <v>0</v>
      </c>
      <c r="AD34" s="33"/>
      <c r="AE34" s="32">
        <f t="shared" si="0"/>
        <v>274600</v>
      </c>
      <c r="AF34" s="33"/>
      <c r="AG34" s="32">
        <v>274600</v>
      </c>
      <c r="AH34" s="33"/>
      <c r="AI34" s="32">
        <v>0</v>
      </c>
      <c r="AJ34" s="33"/>
      <c r="AK34" s="32">
        <f t="shared" si="1"/>
        <v>274600</v>
      </c>
      <c r="AL34" s="33"/>
      <c r="AM34" s="32">
        <v>274600</v>
      </c>
      <c r="AN34" s="33"/>
      <c r="AO34" s="32">
        <v>0</v>
      </c>
      <c r="AP34" s="33"/>
      <c r="AQ34" s="32">
        <f t="shared" si="2"/>
        <v>274600</v>
      </c>
      <c r="AR34" s="33"/>
    </row>
    <row r="35" spans="1:44" ht="15.75" customHeight="1">
      <c r="A35" s="16">
        <v>20104</v>
      </c>
      <c r="B35" s="17" t="s">
        <v>40</v>
      </c>
      <c r="C35" s="18">
        <v>288800</v>
      </c>
      <c r="D35" s="19">
        <v>2.72</v>
      </c>
      <c r="E35" s="20">
        <v>0</v>
      </c>
      <c r="F35" s="19">
        <v>0</v>
      </c>
      <c r="G35" s="21">
        <v>288800</v>
      </c>
      <c r="H35" s="22">
        <v>2.25</v>
      </c>
      <c r="I35" s="23">
        <v>130000</v>
      </c>
      <c r="J35" s="24">
        <v>1.06</v>
      </c>
      <c r="K35" s="25">
        <v>0</v>
      </c>
      <c r="L35" s="26">
        <v>0</v>
      </c>
      <c r="M35" s="25">
        <v>130000</v>
      </c>
      <c r="N35" s="27">
        <v>1.06</v>
      </c>
      <c r="O35" s="23">
        <v>548640</v>
      </c>
      <c r="P35" s="24">
        <v>4.0999999999999996</v>
      </c>
      <c r="Q35" s="25">
        <v>0</v>
      </c>
      <c r="R35" s="19">
        <v>0</v>
      </c>
      <c r="S35" s="25">
        <v>548640</v>
      </c>
      <c r="T35" s="22">
        <v>3.92</v>
      </c>
      <c r="U35" s="34">
        <v>1099270</v>
      </c>
      <c r="V35" s="29">
        <v>3.29</v>
      </c>
      <c r="W35" s="30">
        <v>0</v>
      </c>
      <c r="X35" s="29">
        <v>0</v>
      </c>
      <c r="Y35" s="31">
        <v>1099270</v>
      </c>
      <c r="Z35" s="29">
        <v>2.23</v>
      </c>
      <c r="AA35" s="32">
        <v>1153098</v>
      </c>
      <c r="AB35" s="33"/>
      <c r="AC35" s="32">
        <v>0</v>
      </c>
      <c r="AD35" s="33"/>
      <c r="AE35" s="32">
        <f t="shared" si="0"/>
        <v>1153098</v>
      </c>
      <c r="AF35" s="33"/>
      <c r="AG35" s="32">
        <v>1203098</v>
      </c>
      <c r="AH35" s="33"/>
      <c r="AI35" s="32">
        <v>0</v>
      </c>
      <c r="AJ35" s="33"/>
      <c r="AK35" s="32">
        <f t="shared" si="1"/>
        <v>1203098</v>
      </c>
      <c r="AL35" s="33"/>
      <c r="AM35" s="32">
        <v>1415154</v>
      </c>
      <c r="AN35" s="33"/>
      <c r="AO35" s="32">
        <v>0</v>
      </c>
      <c r="AP35" s="33"/>
      <c r="AQ35" s="32">
        <f t="shared" si="2"/>
        <v>1415154</v>
      </c>
      <c r="AR35" s="33"/>
    </row>
    <row r="36" spans="1:44" ht="15.75" customHeight="1">
      <c r="A36" s="16">
        <v>20105</v>
      </c>
      <c r="B36" s="17" t="s">
        <v>41</v>
      </c>
      <c r="C36" s="18">
        <v>17578130</v>
      </c>
      <c r="D36" s="19">
        <v>4.71</v>
      </c>
      <c r="E36" s="36">
        <v>300000</v>
      </c>
      <c r="F36" s="19">
        <v>0.06</v>
      </c>
      <c r="G36" s="21">
        <v>17878130</v>
      </c>
      <c r="H36" s="22">
        <v>1.98</v>
      </c>
      <c r="I36" s="23">
        <v>0</v>
      </c>
      <c r="J36" s="24">
        <v>0</v>
      </c>
      <c r="K36" s="25">
        <v>0</v>
      </c>
      <c r="L36" s="26">
        <v>0</v>
      </c>
      <c r="M36" s="25">
        <v>0</v>
      </c>
      <c r="N36" s="27">
        <v>0</v>
      </c>
      <c r="O36" s="23">
        <v>61402847</v>
      </c>
      <c r="P36" s="24">
        <v>12.85</v>
      </c>
      <c r="Q36" s="25">
        <v>0</v>
      </c>
      <c r="R36" s="19">
        <v>0</v>
      </c>
      <c r="S36" s="25">
        <v>61402847</v>
      </c>
      <c r="T36" s="22">
        <v>4.99</v>
      </c>
      <c r="U36" s="34">
        <v>150650165</v>
      </c>
      <c r="V36" s="29">
        <v>18.3</v>
      </c>
      <c r="W36" s="30">
        <v>0</v>
      </c>
      <c r="X36" s="29">
        <v>0</v>
      </c>
      <c r="Y36" s="31">
        <v>150650165</v>
      </c>
      <c r="Z36" s="29">
        <v>14.16</v>
      </c>
      <c r="AA36" s="32">
        <v>177793295</v>
      </c>
      <c r="AB36" s="33"/>
      <c r="AC36" s="32">
        <v>0</v>
      </c>
      <c r="AD36" s="33"/>
      <c r="AE36" s="32">
        <f t="shared" si="0"/>
        <v>177793295</v>
      </c>
      <c r="AF36" s="33"/>
      <c r="AG36" s="32">
        <v>168328939</v>
      </c>
      <c r="AH36" s="33"/>
      <c r="AI36" s="32">
        <v>0</v>
      </c>
      <c r="AJ36" s="33"/>
      <c r="AK36" s="32">
        <f t="shared" si="1"/>
        <v>168328939</v>
      </c>
      <c r="AL36" s="33"/>
      <c r="AM36" s="32">
        <v>140413597</v>
      </c>
      <c r="AN36" s="33"/>
      <c r="AO36" s="32">
        <v>0</v>
      </c>
      <c r="AP36" s="33"/>
      <c r="AQ36" s="32">
        <f t="shared" si="2"/>
        <v>140413597</v>
      </c>
      <c r="AR36" s="33"/>
    </row>
    <row r="37" spans="1:44" ht="15.75" customHeight="1">
      <c r="A37" s="16">
        <v>20201</v>
      </c>
      <c r="B37" s="17" t="s">
        <v>42</v>
      </c>
      <c r="C37" s="18">
        <v>51264</v>
      </c>
      <c r="D37" s="19">
        <v>0.22</v>
      </c>
      <c r="E37" s="36">
        <v>160102</v>
      </c>
      <c r="F37" s="19">
        <v>1.25</v>
      </c>
      <c r="G37" s="21">
        <v>211366</v>
      </c>
      <c r="H37" s="22">
        <v>0.57999999999999996</v>
      </c>
      <c r="I37" s="23">
        <v>62926</v>
      </c>
      <c r="J37" s="24">
        <v>0.17</v>
      </c>
      <c r="K37" s="25">
        <v>0</v>
      </c>
      <c r="L37" s="26">
        <v>0</v>
      </c>
      <c r="M37" s="25">
        <v>62926</v>
      </c>
      <c r="N37" s="27">
        <v>0.14000000000000001</v>
      </c>
      <c r="O37" s="23">
        <v>70623</v>
      </c>
      <c r="P37" s="24">
        <v>0.21</v>
      </c>
      <c r="Q37" s="25">
        <v>1303463</v>
      </c>
      <c r="R37" s="19">
        <v>5.63</v>
      </c>
      <c r="S37" s="25">
        <v>1374086</v>
      </c>
      <c r="T37" s="22">
        <v>2.44</v>
      </c>
      <c r="U37" s="28">
        <v>0</v>
      </c>
      <c r="V37" s="29">
        <v>0</v>
      </c>
      <c r="W37" s="30">
        <v>0</v>
      </c>
      <c r="X37" s="29">
        <v>0</v>
      </c>
      <c r="Y37" s="31">
        <v>0</v>
      </c>
      <c r="Z37" s="29">
        <v>0</v>
      </c>
      <c r="AA37" s="32">
        <v>776802</v>
      </c>
      <c r="AB37" s="33"/>
      <c r="AC37" s="32">
        <v>0</v>
      </c>
      <c r="AD37" s="33"/>
      <c r="AE37" s="32">
        <f t="shared" si="0"/>
        <v>776802</v>
      </c>
      <c r="AF37" s="33"/>
      <c r="AG37" s="32">
        <v>829620</v>
      </c>
      <c r="AH37" s="33"/>
      <c r="AI37" s="32">
        <v>0</v>
      </c>
      <c r="AJ37" s="33"/>
      <c r="AK37" s="32">
        <f t="shared" si="1"/>
        <v>829620</v>
      </c>
      <c r="AL37" s="33"/>
      <c r="AM37" s="32">
        <v>829620</v>
      </c>
      <c r="AN37" s="33"/>
      <c r="AO37" s="32">
        <v>0</v>
      </c>
      <c r="AP37" s="33"/>
      <c r="AQ37" s="32">
        <f t="shared" si="2"/>
        <v>829620</v>
      </c>
      <c r="AR37" s="33"/>
    </row>
    <row r="38" spans="1:44" ht="15.75" customHeight="1">
      <c r="A38" s="16">
        <v>20202</v>
      </c>
      <c r="B38" s="17" t="s">
        <v>43</v>
      </c>
      <c r="C38" s="18">
        <v>5000</v>
      </c>
      <c r="D38" s="19">
        <v>7.0000000000000007E-2</v>
      </c>
      <c r="E38" s="20">
        <v>0</v>
      </c>
      <c r="F38" s="19">
        <v>0</v>
      </c>
      <c r="G38" s="21">
        <v>5000</v>
      </c>
      <c r="H38" s="22">
        <v>0.04</v>
      </c>
      <c r="I38" s="23">
        <v>10000</v>
      </c>
      <c r="J38" s="24">
        <v>0.09</v>
      </c>
      <c r="K38" s="25">
        <v>0</v>
      </c>
      <c r="L38" s="26">
        <v>0</v>
      </c>
      <c r="M38" s="25">
        <v>10000</v>
      </c>
      <c r="N38" s="27">
        <v>0.09</v>
      </c>
      <c r="O38" s="23">
        <v>10000</v>
      </c>
      <c r="P38" s="24">
        <v>0.12</v>
      </c>
      <c r="Q38" s="25">
        <v>0</v>
      </c>
      <c r="R38" s="19">
        <v>0</v>
      </c>
      <c r="S38" s="25">
        <v>10000</v>
      </c>
      <c r="T38" s="22">
        <v>0.1</v>
      </c>
      <c r="U38" s="34">
        <v>75000</v>
      </c>
      <c r="V38" s="29">
        <v>0.98</v>
      </c>
      <c r="W38" s="30">
        <v>0</v>
      </c>
      <c r="X38" s="29">
        <v>0</v>
      </c>
      <c r="Y38" s="31">
        <v>75000</v>
      </c>
      <c r="Z38" s="29">
        <v>0.92</v>
      </c>
      <c r="AA38" s="32">
        <v>22500</v>
      </c>
      <c r="AB38" s="33"/>
      <c r="AC38" s="32">
        <v>0</v>
      </c>
      <c r="AD38" s="33"/>
      <c r="AE38" s="32">
        <f t="shared" si="0"/>
        <v>22500</v>
      </c>
      <c r="AF38" s="33"/>
      <c r="AG38" s="32"/>
      <c r="AH38" s="33"/>
      <c r="AI38" s="32">
        <v>0</v>
      </c>
      <c r="AJ38" s="33"/>
      <c r="AK38" s="32">
        <f t="shared" si="1"/>
        <v>0</v>
      </c>
      <c r="AL38" s="33"/>
      <c r="AM38" s="32">
        <v>60000</v>
      </c>
      <c r="AN38" s="33"/>
      <c r="AO38" s="32">
        <v>0</v>
      </c>
      <c r="AP38" s="33"/>
      <c r="AQ38" s="32">
        <f t="shared" si="2"/>
        <v>60000</v>
      </c>
      <c r="AR38" s="33"/>
    </row>
    <row r="39" spans="1:44" ht="15.75" customHeight="1">
      <c r="A39" s="16">
        <v>20203</v>
      </c>
      <c r="B39" s="17" t="s">
        <v>44</v>
      </c>
      <c r="C39" s="35">
        <v>0</v>
      </c>
      <c r="D39" s="19">
        <v>0</v>
      </c>
      <c r="E39" s="20">
        <v>0</v>
      </c>
      <c r="F39" s="19">
        <v>0</v>
      </c>
      <c r="G39" s="21">
        <v>0</v>
      </c>
      <c r="H39" s="22">
        <v>0</v>
      </c>
      <c r="I39" s="23">
        <v>0</v>
      </c>
      <c r="J39" s="19">
        <v>0</v>
      </c>
      <c r="K39" s="25">
        <v>0</v>
      </c>
      <c r="L39" s="26">
        <v>0</v>
      </c>
      <c r="M39" s="25">
        <v>0</v>
      </c>
      <c r="N39" s="22">
        <v>0</v>
      </c>
      <c r="O39" s="23">
        <v>70000</v>
      </c>
      <c r="P39" s="24">
        <v>2.38</v>
      </c>
      <c r="Q39" s="25">
        <v>0</v>
      </c>
      <c r="R39" s="19">
        <v>0</v>
      </c>
      <c r="S39" s="25">
        <v>70000</v>
      </c>
      <c r="T39" s="22">
        <v>1.64</v>
      </c>
      <c r="U39" s="34">
        <v>46000</v>
      </c>
      <c r="V39" s="29">
        <v>1.52</v>
      </c>
      <c r="W39" s="30">
        <v>0</v>
      </c>
      <c r="X39" s="29">
        <v>0</v>
      </c>
      <c r="Y39" s="31">
        <v>46000</v>
      </c>
      <c r="Z39" s="29">
        <v>1.51</v>
      </c>
      <c r="AA39" s="32">
        <v>40000</v>
      </c>
      <c r="AB39" s="33"/>
      <c r="AC39" s="32">
        <v>0</v>
      </c>
      <c r="AD39" s="33"/>
      <c r="AE39" s="32">
        <f t="shared" si="0"/>
        <v>40000</v>
      </c>
      <c r="AF39" s="33"/>
      <c r="AG39" s="32">
        <v>35000</v>
      </c>
      <c r="AH39" s="33"/>
      <c r="AI39" s="32">
        <v>0</v>
      </c>
      <c r="AJ39" s="33"/>
      <c r="AK39" s="32">
        <f t="shared" si="1"/>
        <v>35000</v>
      </c>
      <c r="AL39" s="33"/>
      <c r="AM39" s="32">
        <v>35000</v>
      </c>
      <c r="AN39" s="33"/>
      <c r="AO39" s="32">
        <v>0</v>
      </c>
      <c r="AP39" s="33"/>
      <c r="AQ39" s="32">
        <f t="shared" si="2"/>
        <v>35000</v>
      </c>
      <c r="AR39" s="33"/>
    </row>
    <row r="40" spans="1:44" ht="15.75" customHeight="1">
      <c r="A40" s="16">
        <v>20204</v>
      </c>
      <c r="B40" s="17" t="s">
        <v>45</v>
      </c>
      <c r="C40" s="18">
        <v>39584</v>
      </c>
      <c r="D40" s="19">
        <v>0.7</v>
      </c>
      <c r="E40" s="20">
        <v>0</v>
      </c>
      <c r="F40" s="19">
        <v>0</v>
      </c>
      <c r="G40" s="21">
        <v>39584</v>
      </c>
      <c r="H40" s="22">
        <v>0.42</v>
      </c>
      <c r="I40" s="23">
        <v>24294</v>
      </c>
      <c r="J40" s="24">
        <v>0.36</v>
      </c>
      <c r="K40" s="25">
        <v>0</v>
      </c>
      <c r="L40" s="26">
        <v>0</v>
      </c>
      <c r="M40" s="25">
        <v>24294</v>
      </c>
      <c r="N40" s="27">
        <v>0.26</v>
      </c>
      <c r="O40" s="23">
        <v>32000</v>
      </c>
      <c r="P40" s="24">
        <v>0.44</v>
      </c>
      <c r="Q40" s="25">
        <v>0</v>
      </c>
      <c r="R40" s="19">
        <v>0</v>
      </c>
      <c r="S40" s="25">
        <v>32000</v>
      </c>
      <c r="T40" s="22">
        <v>0.38</v>
      </c>
      <c r="U40" s="34">
        <v>70000</v>
      </c>
      <c r="V40" s="29">
        <v>1.27</v>
      </c>
      <c r="W40" s="30">
        <v>0</v>
      </c>
      <c r="X40" s="29">
        <v>0</v>
      </c>
      <c r="Y40" s="31">
        <v>70000</v>
      </c>
      <c r="Z40" s="29">
        <v>1.27</v>
      </c>
      <c r="AA40" s="32">
        <v>60000</v>
      </c>
      <c r="AB40" s="33"/>
      <c r="AC40" s="32">
        <v>0</v>
      </c>
      <c r="AD40" s="33"/>
      <c r="AE40" s="32">
        <f t="shared" si="0"/>
        <v>60000</v>
      </c>
      <c r="AF40" s="33"/>
      <c r="AG40" s="32">
        <v>60000</v>
      </c>
      <c r="AH40" s="33"/>
      <c r="AI40" s="32">
        <v>0</v>
      </c>
      <c r="AJ40" s="33"/>
      <c r="AK40" s="32">
        <f t="shared" si="1"/>
        <v>60000</v>
      </c>
      <c r="AL40" s="33"/>
      <c r="AM40" s="32">
        <v>60000</v>
      </c>
      <c r="AN40" s="33"/>
      <c r="AO40" s="32">
        <v>0</v>
      </c>
      <c r="AP40" s="33"/>
      <c r="AQ40" s="32">
        <f t="shared" si="2"/>
        <v>60000</v>
      </c>
      <c r="AR40" s="33"/>
    </row>
    <row r="41" spans="1:44" ht="15.75" customHeight="1">
      <c r="A41" s="16">
        <v>20205</v>
      </c>
      <c r="B41" s="17" t="s">
        <v>46</v>
      </c>
      <c r="C41" s="35">
        <v>0</v>
      </c>
      <c r="D41" s="19">
        <v>0</v>
      </c>
      <c r="E41" s="20">
        <v>0</v>
      </c>
      <c r="F41" s="19">
        <v>0</v>
      </c>
      <c r="G41" s="21">
        <v>0</v>
      </c>
      <c r="H41" s="22">
        <v>0</v>
      </c>
      <c r="I41" s="23">
        <v>0</v>
      </c>
      <c r="J41" s="19">
        <v>0</v>
      </c>
      <c r="K41" s="25">
        <v>0</v>
      </c>
      <c r="L41" s="26">
        <v>0</v>
      </c>
      <c r="M41" s="25">
        <v>0</v>
      </c>
      <c r="N41" s="22">
        <v>0</v>
      </c>
      <c r="O41" s="23">
        <v>50000</v>
      </c>
      <c r="P41" s="24">
        <v>1.07</v>
      </c>
      <c r="Q41" s="25">
        <v>0</v>
      </c>
      <c r="R41" s="19">
        <v>0</v>
      </c>
      <c r="S41" s="25">
        <v>50000</v>
      </c>
      <c r="T41" s="22">
        <v>0.78</v>
      </c>
      <c r="U41" s="28">
        <v>0</v>
      </c>
      <c r="V41" s="29">
        <v>0</v>
      </c>
      <c r="W41" s="30">
        <v>0</v>
      </c>
      <c r="X41" s="29">
        <v>0</v>
      </c>
      <c r="Y41" s="31">
        <v>0</v>
      </c>
      <c r="Z41" s="29">
        <v>0</v>
      </c>
      <c r="AA41" s="32">
        <v>105600</v>
      </c>
      <c r="AB41" s="33"/>
      <c r="AC41" s="32">
        <v>0</v>
      </c>
      <c r="AD41" s="33"/>
      <c r="AE41" s="32">
        <f t="shared" si="0"/>
        <v>105600</v>
      </c>
      <c r="AF41" s="33"/>
      <c r="AG41" s="32">
        <v>105600</v>
      </c>
      <c r="AH41" s="33"/>
      <c r="AI41" s="32">
        <v>0</v>
      </c>
      <c r="AJ41" s="33"/>
      <c r="AK41" s="32">
        <f t="shared" si="1"/>
        <v>105600</v>
      </c>
      <c r="AL41" s="33"/>
      <c r="AM41" s="32">
        <v>105600</v>
      </c>
      <c r="AN41" s="33"/>
      <c r="AO41" s="32">
        <v>0</v>
      </c>
      <c r="AP41" s="33"/>
      <c r="AQ41" s="32">
        <f t="shared" si="2"/>
        <v>105600</v>
      </c>
      <c r="AR41" s="33"/>
    </row>
    <row r="42" spans="1:44" ht="15.75" customHeight="1">
      <c r="A42" s="16">
        <v>20206</v>
      </c>
      <c r="B42" s="17" t="s">
        <v>47</v>
      </c>
      <c r="C42" s="35">
        <v>0</v>
      </c>
      <c r="D42" s="19">
        <v>0</v>
      </c>
      <c r="E42" s="20">
        <v>0</v>
      </c>
      <c r="F42" s="19">
        <v>0</v>
      </c>
      <c r="G42" s="21">
        <v>0</v>
      </c>
      <c r="H42" s="22">
        <v>0</v>
      </c>
      <c r="I42" s="23">
        <v>0</v>
      </c>
      <c r="J42" s="19">
        <v>0</v>
      </c>
      <c r="K42" s="25">
        <v>0</v>
      </c>
      <c r="L42" s="26">
        <v>0</v>
      </c>
      <c r="M42" s="25">
        <v>0</v>
      </c>
      <c r="N42" s="22">
        <v>0</v>
      </c>
      <c r="O42" s="23">
        <v>9460</v>
      </c>
      <c r="P42" s="24">
        <v>0.37</v>
      </c>
      <c r="Q42" s="25">
        <v>0</v>
      </c>
      <c r="R42" s="19">
        <v>0</v>
      </c>
      <c r="S42" s="25">
        <v>9460</v>
      </c>
      <c r="T42" s="22">
        <v>0.22</v>
      </c>
      <c r="U42" s="34">
        <v>10000</v>
      </c>
      <c r="V42" s="29">
        <v>0.38</v>
      </c>
      <c r="W42" s="30">
        <v>0</v>
      </c>
      <c r="X42" s="29">
        <v>0</v>
      </c>
      <c r="Y42" s="31">
        <v>10000</v>
      </c>
      <c r="Z42" s="29">
        <v>0.31</v>
      </c>
      <c r="AA42" s="32">
        <v>10000</v>
      </c>
      <c r="AB42" s="33"/>
      <c r="AC42" s="32">
        <v>0</v>
      </c>
      <c r="AD42" s="33"/>
      <c r="AE42" s="32">
        <f t="shared" si="0"/>
        <v>10000</v>
      </c>
      <c r="AF42" s="33"/>
      <c r="AG42" s="32">
        <v>5000</v>
      </c>
      <c r="AH42" s="33"/>
      <c r="AI42" s="32">
        <v>0</v>
      </c>
      <c r="AJ42" s="33"/>
      <c r="AK42" s="32">
        <f t="shared" si="1"/>
        <v>5000</v>
      </c>
      <c r="AL42" s="33"/>
      <c r="AM42" s="32">
        <v>20000</v>
      </c>
      <c r="AN42" s="33"/>
      <c r="AO42" s="32">
        <v>0</v>
      </c>
      <c r="AP42" s="33"/>
      <c r="AQ42" s="32">
        <f t="shared" si="2"/>
        <v>20000</v>
      </c>
      <c r="AR42" s="33"/>
    </row>
    <row r="43" spans="1:44" ht="15.75" customHeight="1">
      <c r="A43" s="16">
        <v>20301</v>
      </c>
      <c r="B43" s="17" t="s">
        <v>48</v>
      </c>
      <c r="C43" s="18">
        <v>10000</v>
      </c>
      <c r="D43" s="19">
        <v>0.13</v>
      </c>
      <c r="E43" s="20">
        <v>0</v>
      </c>
      <c r="F43" s="19">
        <v>0</v>
      </c>
      <c r="G43" s="21">
        <v>10000</v>
      </c>
      <c r="H43" s="22">
        <v>0.1</v>
      </c>
      <c r="I43" s="23">
        <v>15000</v>
      </c>
      <c r="J43" s="24">
        <v>0.18</v>
      </c>
      <c r="K43" s="25">
        <v>0</v>
      </c>
      <c r="L43" s="26">
        <v>0</v>
      </c>
      <c r="M43" s="25">
        <v>15000</v>
      </c>
      <c r="N43" s="27">
        <v>0.18</v>
      </c>
      <c r="O43" s="23"/>
      <c r="P43" s="24">
        <v>0</v>
      </c>
      <c r="Q43" s="25">
        <v>0</v>
      </c>
      <c r="R43" s="19">
        <v>0</v>
      </c>
      <c r="S43" s="25"/>
      <c r="T43" s="22">
        <v>0</v>
      </c>
      <c r="U43" s="34">
        <v>10000</v>
      </c>
      <c r="V43" s="29">
        <v>0.17</v>
      </c>
      <c r="W43" s="30">
        <v>0</v>
      </c>
      <c r="X43" s="29">
        <v>0</v>
      </c>
      <c r="Y43" s="31">
        <v>10000</v>
      </c>
      <c r="Z43" s="29">
        <v>0.14000000000000001</v>
      </c>
      <c r="AA43" s="32">
        <v>10000</v>
      </c>
      <c r="AB43" s="33"/>
      <c r="AC43" s="32">
        <v>0</v>
      </c>
      <c r="AD43" s="33"/>
      <c r="AE43" s="32">
        <f t="shared" si="0"/>
        <v>10000</v>
      </c>
      <c r="AF43" s="33"/>
      <c r="AG43" s="32">
        <v>70000</v>
      </c>
      <c r="AH43" s="33"/>
      <c r="AI43" s="32">
        <v>0</v>
      </c>
      <c r="AJ43" s="33"/>
      <c r="AK43" s="32">
        <f t="shared" si="1"/>
        <v>70000</v>
      </c>
      <c r="AL43" s="33"/>
      <c r="AM43" s="32">
        <v>67000</v>
      </c>
      <c r="AN43" s="33"/>
      <c r="AO43" s="32">
        <v>0</v>
      </c>
      <c r="AP43" s="33"/>
      <c r="AQ43" s="32">
        <f t="shared" si="2"/>
        <v>67000</v>
      </c>
      <c r="AR43" s="33"/>
    </row>
    <row r="44" spans="1:44" ht="15.75" customHeight="1">
      <c r="A44" s="16">
        <v>20302</v>
      </c>
      <c r="B44" s="17" t="s">
        <v>49</v>
      </c>
      <c r="C44" s="35">
        <v>0</v>
      </c>
      <c r="D44" s="19">
        <v>0</v>
      </c>
      <c r="E44" s="20">
        <v>0</v>
      </c>
      <c r="F44" s="19">
        <v>0</v>
      </c>
      <c r="G44" s="21">
        <v>0</v>
      </c>
      <c r="H44" s="22">
        <v>0</v>
      </c>
      <c r="I44" s="35">
        <v>0</v>
      </c>
      <c r="J44" s="19">
        <v>0</v>
      </c>
      <c r="K44" s="25">
        <v>0</v>
      </c>
      <c r="L44" s="26">
        <v>0</v>
      </c>
      <c r="M44" s="21">
        <v>0</v>
      </c>
      <c r="N44" s="22">
        <v>0</v>
      </c>
      <c r="O44" s="35">
        <v>0</v>
      </c>
      <c r="P44" s="19">
        <v>0</v>
      </c>
      <c r="Q44" s="25">
        <v>0</v>
      </c>
      <c r="R44" s="19">
        <v>0</v>
      </c>
      <c r="S44" s="21">
        <v>0</v>
      </c>
      <c r="T44" s="22">
        <v>0</v>
      </c>
      <c r="U44" s="28">
        <v>0</v>
      </c>
      <c r="V44" s="29">
        <v>0</v>
      </c>
      <c r="W44" s="30">
        <v>0</v>
      </c>
      <c r="X44" s="29">
        <v>0</v>
      </c>
      <c r="Y44" s="31">
        <v>0</v>
      </c>
      <c r="Z44" s="29">
        <v>0</v>
      </c>
      <c r="AA44" s="32">
        <v>30000</v>
      </c>
      <c r="AB44" s="33"/>
      <c r="AC44" s="32">
        <v>0</v>
      </c>
      <c r="AD44" s="33"/>
      <c r="AE44" s="32">
        <f t="shared" si="0"/>
        <v>30000</v>
      </c>
      <c r="AF44" s="33"/>
      <c r="AG44" s="32">
        <v>30000</v>
      </c>
      <c r="AH44" s="33"/>
      <c r="AI44" s="32">
        <v>0</v>
      </c>
      <c r="AJ44" s="33"/>
      <c r="AK44" s="32">
        <f t="shared" si="1"/>
        <v>30000</v>
      </c>
      <c r="AL44" s="33"/>
      <c r="AM44" s="32">
        <v>15000</v>
      </c>
      <c r="AN44" s="33"/>
      <c r="AO44" s="32">
        <v>0</v>
      </c>
      <c r="AP44" s="33"/>
      <c r="AQ44" s="32">
        <f t="shared" si="2"/>
        <v>15000</v>
      </c>
      <c r="AR44" s="33"/>
    </row>
    <row r="45" spans="1:44" ht="15.75" customHeight="1">
      <c r="A45" s="16">
        <v>20303</v>
      </c>
      <c r="B45" s="17" t="s">
        <v>50</v>
      </c>
      <c r="C45" s="35">
        <v>0</v>
      </c>
      <c r="D45" s="19">
        <v>0</v>
      </c>
      <c r="E45" s="20">
        <v>0</v>
      </c>
      <c r="F45" s="19">
        <v>0</v>
      </c>
      <c r="G45" s="21">
        <v>0</v>
      </c>
      <c r="H45" s="22">
        <v>0</v>
      </c>
      <c r="I45" s="35">
        <v>0</v>
      </c>
      <c r="J45" s="19">
        <v>0</v>
      </c>
      <c r="K45" s="25">
        <v>0</v>
      </c>
      <c r="L45" s="26">
        <v>0</v>
      </c>
      <c r="M45" s="21">
        <v>0</v>
      </c>
      <c r="N45" s="22">
        <v>0</v>
      </c>
      <c r="O45" s="35">
        <v>0</v>
      </c>
      <c r="P45" s="19">
        <v>0</v>
      </c>
      <c r="Q45" s="25">
        <v>0</v>
      </c>
      <c r="R45" s="19">
        <v>0</v>
      </c>
      <c r="S45" s="21">
        <v>0</v>
      </c>
      <c r="T45" s="22">
        <v>0</v>
      </c>
      <c r="U45" s="28">
        <v>0</v>
      </c>
      <c r="V45" s="29">
        <v>0</v>
      </c>
      <c r="W45" s="30">
        <v>0</v>
      </c>
      <c r="X45" s="29">
        <v>0</v>
      </c>
      <c r="Y45" s="31">
        <v>0</v>
      </c>
      <c r="Z45" s="29">
        <v>0</v>
      </c>
      <c r="AA45" s="32">
        <v>5000</v>
      </c>
      <c r="AB45" s="33"/>
      <c r="AC45" s="32">
        <v>0</v>
      </c>
      <c r="AD45" s="33"/>
      <c r="AE45" s="32">
        <f t="shared" si="0"/>
        <v>5000</v>
      </c>
      <c r="AF45" s="33"/>
      <c r="AG45" s="32"/>
      <c r="AH45" s="33"/>
      <c r="AI45" s="32">
        <v>0</v>
      </c>
      <c r="AJ45" s="33"/>
      <c r="AK45" s="32">
        <f t="shared" si="1"/>
        <v>0</v>
      </c>
      <c r="AL45" s="33"/>
      <c r="AM45" s="32"/>
      <c r="AN45" s="33"/>
      <c r="AO45" s="32">
        <v>0</v>
      </c>
      <c r="AP45" s="33"/>
      <c r="AQ45" s="32">
        <f t="shared" si="2"/>
        <v>0</v>
      </c>
      <c r="AR45" s="33"/>
    </row>
    <row r="46" spans="1:44" ht="15.75" customHeight="1">
      <c r="A46" s="16">
        <v>20304</v>
      </c>
      <c r="B46" s="17" t="s">
        <v>51</v>
      </c>
      <c r="C46" s="35">
        <v>0</v>
      </c>
      <c r="D46" s="19">
        <v>0</v>
      </c>
      <c r="E46" s="20">
        <v>0</v>
      </c>
      <c r="F46" s="19">
        <v>0</v>
      </c>
      <c r="G46" s="21">
        <v>0</v>
      </c>
      <c r="H46" s="22">
        <v>0</v>
      </c>
      <c r="I46" s="35">
        <v>0</v>
      </c>
      <c r="J46" s="19">
        <v>0</v>
      </c>
      <c r="K46" s="25">
        <v>0</v>
      </c>
      <c r="L46" s="26">
        <v>0</v>
      </c>
      <c r="M46" s="21">
        <v>0</v>
      </c>
      <c r="N46" s="22">
        <v>0</v>
      </c>
      <c r="O46" s="35">
        <v>0</v>
      </c>
      <c r="P46" s="19">
        <v>0</v>
      </c>
      <c r="Q46" s="25">
        <v>0</v>
      </c>
      <c r="R46" s="19">
        <v>0</v>
      </c>
      <c r="S46" s="21">
        <v>0</v>
      </c>
      <c r="T46" s="22">
        <v>0</v>
      </c>
      <c r="U46" s="34">
        <v>10000</v>
      </c>
      <c r="V46" s="29">
        <v>0.4</v>
      </c>
      <c r="W46" s="30">
        <v>0</v>
      </c>
      <c r="X46" s="29">
        <v>0</v>
      </c>
      <c r="Y46" s="31">
        <v>10000</v>
      </c>
      <c r="Z46" s="29">
        <v>0.16</v>
      </c>
      <c r="AA46" s="32">
        <v>10000</v>
      </c>
      <c r="AB46" s="33"/>
      <c r="AC46" s="32">
        <v>0</v>
      </c>
      <c r="AD46" s="33"/>
      <c r="AE46" s="32">
        <f t="shared" si="0"/>
        <v>10000</v>
      </c>
      <c r="AF46" s="33"/>
      <c r="AG46" s="32">
        <v>10000</v>
      </c>
      <c r="AH46" s="33"/>
      <c r="AI46" s="32">
        <v>0</v>
      </c>
      <c r="AJ46" s="33"/>
      <c r="AK46" s="32">
        <f t="shared" si="1"/>
        <v>10000</v>
      </c>
      <c r="AL46" s="33"/>
      <c r="AM46" s="32">
        <v>5000</v>
      </c>
      <c r="AN46" s="33"/>
      <c r="AO46" s="32">
        <v>0</v>
      </c>
      <c r="AP46" s="33"/>
      <c r="AQ46" s="32">
        <f t="shared" si="2"/>
        <v>5000</v>
      </c>
      <c r="AR46" s="33"/>
    </row>
    <row r="47" spans="1:44" ht="15.75" customHeight="1">
      <c r="A47" s="16">
        <v>20305</v>
      </c>
      <c r="B47" s="17" t="s">
        <v>52</v>
      </c>
      <c r="C47" s="18">
        <v>5000</v>
      </c>
      <c r="D47" s="19">
        <v>0.26</v>
      </c>
      <c r="E47" s="20">
        <v>0</v>
      </c>
      <c r="F47" s="19">
        <v>0</v>
      </c>
      <c r="G47" s="21">
        <v>5000</v>
      </c>
      <c r="H47" s="22">
        <v>0.15</v>
      </c>
      <c r="I47" s="23">
        <v>5000</v>
      </c>
      <c r="J47" s="24">
        <v>0.2</v>
      </c>
      <c r="K47" s="25">
        <v>0</v>
      </c>
      <c r="L47" s="26">
        <v>0</v>
      </c>
      <c r="M47" s="25">
        <v>5000</v>
      </c>
      <c r="N47" s="27">
        <v>0.16</v>
      </c>
      <c r="O47" s="23">
        <v>5000</v>
      </c>
      <c r="P47" s="24">
        <v>0.23</v>
      </c>
      <c r="Q47" s="25">
        <v>0</v>
      </c>
      <c r="R47" s="19">
        <v>0</v>
      </c>
      <c r="S47" s="25">
        <v>5000</v>
      </c>
      <c r="T47" s="22">
        <v>0.16</v>
      </c>
      <c r="U47" s="34">
        <v>3000</v>
      </c>
      <c r="V47" s="29">
        <v>0.12</v>
      </c>
      <c r="W47" s="30">
        <v>0</v>
      </c>
      <c r="X47" s="29">
        <v>0</v>
      </c>
      <c r="Y47" s="31">
        <v>3000</v>
      </c>
      <c r="Z47" s="29">
        <v>0.11</v>
      </c>
      <c r="AA47" s="32">
        <v>3000</v>
      </c>
      <c r="AB47" s="33"/>
      <c r="AC47" s="32">
        <v>0</v>
      </c>
      <c r="AD47" s="33"/>
      <c r="AE47" s="32">
        <f t="shared" si="0"/>
        <v>3000</v>
      </c>
      <c r="AF47" s="33"/>
      <c r="AG47" s="32">
        <v>3000</v>
      </c>
      <c r="AH47" s="33"/>
      <c r="AI47" s="32">
        <v>0</v>
      </c>
      <c r="AJ47" s="33"/>
      <c r="AK47" s="32">
        <f t="shared" si="1"/>
        <v>3000</v>
      </c>
      <c r="AL47" s="33"/>
      <c r="AM47" s="32">
        <v>3000</v>
      </c>
      <c r="AN47" s="33"/>
      <c r="AO47" s="32">
        <v>0</v>
      </c>
      <c r="AP47" s="33"/>
      <c r="AQ47" s="32">
        <f t="shared" si="2"/>
        <v>3000</v>
      </c>
      <c r="AR47" s="33"/>
    </row>
    <row r="48" spans="1:44" ht="15.75" customHeight="1">
      <c r="A48" s="16">
        <v>20306</v>
      </c>
      <c r="B48" s="17" t="s">
        <v>53</v>
      </c>
      <c r="C48" s="18">
        <v>2000</v>
      </c>
      <c r="D48" s="19">
        <v>0.19</v>
      </c>
      <c r="E48" s="20">
        <v>0</v>
      </c>
      <c r="F48" s="19">
        <v>0</v>
      </c>
      <c r="G48" s="21">
        <v>2000</v>
      </c>
      <c r="H48" s="22">
        <v>0.12</v>
      </c>
      <c r="I48" s="23">
        <v>4000</v>
      </c>
      <c r="J48" s="24">
        <v>0.37</v>
      </c>
      <c r="K48" s="25">
        <v>0</v>
      </c>
      <c r="L48" s="26">
        <v>0</v>
      </c>
      <c r="M48" s="25">
        <v>4000</v>
      </c>
      <c r="N48" s="27">
        <v>0.37</v>
      </c>
      <c r="O48" s="23">
        <v>10000</v>
      </c>
      <c r="P48" s="24">
        <v>0.44</v>
      </c>
      <c r="Q48" s="25">
        <v>0</v>
      </c>
      <c r="R48" s="19">
        <v>0</v>
      </c>
      <c r="S48" s="25">
        <v>10000</v>
      </c>
      <c r="T48" s="22">
        <v>0.43</v>
      </c>
      <c r="U48" s="34">
        <v>19600</v>
      </c>
      <c r="V48" s="29">
        <v>0.7</v>
      </c>
      <c r="W48" s="30">
        <v>0</v>
      </c>
      <c r="X48" s="29">
        <v>0</v>
      </c>
      <c r="Y48" s="31">
        <v>19600</v>
      </c>
      <c r="Z48" s="29">
        <v>0.69</v>
      </c>
      <c r="AA48" s="32">
        <v>30968</v>
      </c>
      <c r="AB48" s="33"/>
      <c r="AC48" s="32">
        <v>0</v>
      </c>
      <c r="AD48" s="33"/>
      <c r="AE48" s="32">
        <f t="shared" si="0"/>
        <v>30968</v>
      </c>
      <c r="AF48" s="33"/>
      <c r="AG48" s="32">
        <v>30968</v>
      </c>
      <c r="AH48" s="33"/>
      <c r="AI48" s="32">
        <v>0</v>
      </c>
      <c r="AJ48" s="33"/>
      <c r="AK48" s="32">
        <f t="shared" si="1"/>
        <v>30968</v>
      </c>
      <c r="AL48" s="33"/>
      <c r="AM48" s="32">
        <v>31968</v>
      </c>
      <c r="AN48" s="33"/>
      <c r="AO48" s="32">
        <v>0</v>
      </c>
      <c r="AP48" s="33"/>
      <c r="AQ48" s="32">
        <f t="shared" si="2"/>
        <v>31968</v>
      </c>
      <c r="AR48" s="33"/>
    </row>
    <row r="49" spans="1:44" ht="15.75" customHeight="1">
      <c r="A49" s="16">
        <v>20307</v>
      </c>
      <c r="B49" s="17" t="s">
        <v>54</v>
      </c>
      <c r="C49" s="35">
        <v>0</v>
      </c>
      <c r="D49" s="19">
        <v>0</v>
      </c>
      <c r="E49" s="20">
        <v>0</v>
      </c>
      <c r="F49" s="19">
        <v>0</v>
      </c>
      <c r="G49" s="21">
        <v>0</v>
      </c>
      <c r="H49" s="22">
        <v>0</v>
      </c>
      <c r="I49" s="35">
        <v>0</v>
      </c>
      <c r="J49" s="19">
        <v>0</v>
      </c>
      <c r="K49" s="25">
        <v>0</v>
      </c>
      <c r="L49" s="26">
        <v>0</v>
      </c>
      <c r="M49" s="21">
        <v>0</v>
      </c>
      <c r="N49" s="22">
        <v>0</v>
      </c>
      <c r="O49" s="35">
        <v>0</v>
      </c>
      <c r="P49" s="19">
        <v>0</v>
      </c>
      <c r="Q49" s="25">
        <v>0</v>
      </c>
      <c r="R49" s="19">
        <v>0</v>
      </c>
      <c r="S49" s="21">
        <v>0</v>
      </c>
      <c r="T49" s="22">
        <v>0</v>
      </c>
      <c r="U49" s="28">
        <v>0</v>
      </c>
      <c r="V49" s="29">
        <v>0</v>
      </c>
      <c r="W49" s="30">
        <v>0</v>
      </c>
      <c r="X49" s="29">
        <v>0</v>
      </c>
      <c r="Y49" s="31">
        <v>0</v>
      </c>
      <c r="Z49" s="29">
        <v>0</v>
      </c>
      <c r="AA49" s="32">
        <v>0</v>
      </c>
      <c r="AB49" s="33"/>
      <c r="AC49" s="32">
        <v>0</v>
      </c>
      <c r="AD49" s="33"/>
      <c r="AE49" s="32">
        <f t="shared" si="0"/>
        <v>0</v>
      </c>
      <c r="AF49" s="33"/>
      <c r="AG49" s="32">
        <v>1000</v>
      </c>
      <c r="AH49" s="33"/>
      <c r="AI49" s="32">
        <v>0</v>
      </c>
      <c r="AJ49" s="33"/>
      <c r="AK49" s="32">
        <f t="shared" si="1"/>
        <v>1000</v>
      </c>
      <c r="AL49" s="33"/>
      <c r="AM49" s="32">
        <v>1000</v>
      </c>
      <c r="AN49" s="33"/>
      <c r="AO49" s="32">
        <v>0</v>
      </c>
      <c r="AP49" s="33"/>
      <c r="AQ49" s="32">
        <f t="shared" si="2"/>
        <v>1000</v>
      </c>
      <c r="AR49" s="33"/>
    </row>
    <row r="50" spans="1:44" ht="15.75" customHeight="1">
      <c r="A50" s="16">
        <v>20308</v>
      </c>
      <c r="B50" s="17" t="s">
        <v>55</v>
      </c>
      <c r="C50" s="35">
        <v>0</v>
      </c>
      <c r="D50" s="19">
        <v>0</v>
      </c>
      <c r="E50" s="20">
        <v>0</v>
      </c>
      <c r="F50" s="19">
        <v>0</v>
      </c>
      <c r="G50" s="21">
        <v>0</v>
      </c>
      <c r="H50" s="22">
        <v>0</v>
      </c>
      <c r="I50" s="35">
        <v>0</v>
      </c>
      <c r="J50" s="19">
        <v>0</v>
      </c>
      <c r="K50" s="25">
        <v>0</v>
      </c>
      <c r="L50" s="26">
        <v>0</v>
      </c>
      <c r="M50" s="21">
        <v>0</v>
      </c>
      <c r="N50" s="22">
        <v>0</v>
      </c>
      <c r="O50" s="35">
        <v>0</v>
      </c>
      <c r="P50" s="19">
        <v>0</v>
      </c>
      <c r="Q50" s="25">
        <v>0</v>
      </c>
      <c r="R50" s="19">
        <v>0</v>
      </c>
      <c r="S50" s="21">
        <v>0</v>
      </c>
      <c r="T50" s="22">
        <v>0</v>
      </c>
      <c r="U50" s="34">
        <v>20000</v>
      </c>
      <c r="V50" s="29">
        <v>0.37</v>
      </c>
      <c r="W50" s="30">
        <v>0</v>
      </c>
      <c r="X50" s="29">
        <v>0</v>
      </c>
      <c r="Y50" s="31">
        <v>20000</v>
      </c>
      <c r="Z50" s="29">
        <v>0.34</v>
      </c>
      <c r="AA50" s="32">
        <v>10000</v>
      </c>
      <c r="AB50" s="33"/>
      <c r="AC50" s="32">
        <v>0</v>
      </c>
      <c r="AD50" s="33"/>
      <c r="AE50" s="32">
        <f t="shared" si="0"/>
        <v>10000</v>
      </c>
      <c r="AF50" s="33"/>
      <c r="AG50" s="32">
        <v>10000</v>
      </c>
      <c r="AH50" s="33"/>
      <c r="AI50" s="32">
        <v>0</v>
      </c>
      <c r="AJ50" s="33"/>
      <c r="AK50" s="32">
        <f t="shared" si="1"/>
        <v>10000</v>
      </c>
      <c r="AL50" s="33"/>
      <c r="AM50" s="32">
        <v>10000</v>
      </c>
      <c r="AN50" s="33"/>
      <c r="AO50" s="32">
        <v>0</v>
      </c>
      <c r="AP50" s="33"/>
      <c r="AQ50" s="32">
        <f t="shared" si="2"/>
        <v>10000</v>
      </c>
      <c r="AR50" s="33"/>
    </row>
    <row r="51" spans="1:44" ht="15.75" customHeight="1">
      <c r="A51" s="16">
        <v>20401</v>
      </c>
      <c r="B51" s="17" t="s">
        <v>56</v>
      </c>
      <c r="C51" s="35">
        <v>0</v>
      </c>
      <c r="D51" s="19">
        <v>0</v>
      </c>
      <c r="E51" s="20">
        <v>0</v>
      </c>
      <c r="F51" s="19">
        <v>0</v>
      </c>
      <c r="G51" s="21">
        <v>0</v>
      </c>
      <c r="H51" s="22">
        <v>0</v>
      </c>
      <c r="I51" s="23">
        <v>40000</v>
      </c>
      <c r="J51" s="24">
        <v>0.53</v>
      </c>
      <c r="K51" s="25">
        <v>0</v>
      </c>
      <c r="L51" s="26">
        <v>0</v>
      </c>
      <c r="M51" s="25">
        <v>40000</v>
      </c>
      <c r="N51" s="27">
        <v>0.51</v>
      </c>
      <c r="O51" s="23">
        <v>70000</v>
      </c>
      <c r="P51" s="24">
        <v>0.91</v>
      </c>
      <c r="Q51" s="25">
        <v>0</v>
      </c>
      <c r="R51" s="19">
        <v>0</v>
      </c>
      <c r="S51" s="25">
        <v>70000</v>
      </c>
      <c r="T51" s="22">
        <v>0.42</v>
      </c>
      <c r="U51" s="28">
        <v>0</v>
      </c>
      <c r="V51" s="29">
        <v>0</v>
      </c>
      <c r="W51" s="30">
        <v>0</v>
      </c>
      <c r="X51" s="29">
        <v>0</v>
      </c>
      <c r="Y51" s="31">
        <v>0</v>
      </c>
      <c r="Z51" s="29">
        <v>0</v>
      </c>
      <c r="AA51" s="32">
        <v>70000</v>
      </c>
      <c r="AB51" s="33"/>
      <c r="AC51" s="32">
        <v>0</v>
      </c>
      <c r="AD51" s="33"/>
      <c r="AE51" s="32">
        <f t="shared" si="0"/>
        <v>70000</v>
      </c>
      <c r="AF51" s="33"/>
      <c r="AG51" s="32">
        <v>65000</v>
      </c>
      <c r="AH51" s="33"/>
      <c r="AI51" s="32">
        <v>0</v>
      </c>
      <c r="AJ51" s="33"/>
      <c r="AK51" s="32">
        <f t="shared" si="1"/>
        <v>65000</v>
      </c>
      <c r="AL51" s="33"/>
      <c r="AM51" s="32">
        <v>388871</v>
      </c>
      <c r="AN51" s="33"/>
      <c r="AO51" s="32">
        <v>0</v>
      </c>
      <c r="AP51" s="33"/>
      <c r="AQ51" s="32">
        <f t="shared" si="2"/>
        <v>388871</v>
      </c>
      <c r="AR51" s="33"/>
    </row>
    <row r="52" spans="1:44" ht="15.75" customHeight="1">
      <c r="A52" s="16">
        <v>20402</v>
      </c>
      <c r="B52" s="17" t="s">
        <v>57</v>
      </c>
      <c r="C52" s="18">
        <v>20000</v>
      </c>
      <c r="D52" s="19">
        <v>0.22</v>
      </c>
      <c r="E52" s="20">
        <v>0</v>
      </c>
      <c r="F52" s="19">
        <v>0</v>
      </c>
      <c r="G52" s="21">
        <v>20000</v>
      </c>
      <c r="H52" s="22">
        <v>0.13</v>
      </c>
      <c r="I52" s="23">
        <v>0</v>
      </c>
      <c r="J52" s="24">
        <v>0</v>
      </c>
      <c r="K52" s="25">
        <v>0</v>
      </c>
      <c r="L52" s="26">
        <v>0</v>
      </c>
      <c r="M52" s="25">
        <v>0</v>
      </c>
      <c r="N52" s="27">
        <v>0</v>
      </c>
      <c r="O52" s="23">
        <v>0</v>
      </c>
      <c r="P52" s="24">
        <v>0</v>
      </c>
      <c r="Q52" s="25">
        <v>0</v>
      </c>
      <c r="R52" s="19">
        <v>0</v>
      </c>
      <c r="S52" s="25">
        <v>0</v>
      </c>
      <c r="T52" s="22">
        <v>0</v>
      </c>
      <c r="U52" s="34">
        <v>115000</v>
      </c>
      <c r="V52" s="29">
        <v>1.18</v>
      </c>
      <c r="W52" s="30">
        <v>0</v>
      </c>
      <c r="X52" s="29">
        <v>0</v>
      </c>
      <c r="Y52" s="31">
        <v>115000</v>
      </c>
      <c r="Z52" s="29">
        <v>0.77</v>
      </c>
      <c r="AA52" s="32">
        <v>40000</v>
      </c>
      <c r="AB52" s="33"/>
      <c r="AC52" s="32">
        <v>0</v>
      </c>
      <c r="AD52" s="33"/>
      <c r="AE52" s="32">
        <f t="shared" si="0"/>
        <v>40000</v>
      </c>
      <c r="AF52" s="33"/>
      <c r="AG52" s="32">
        <v>120000</v>
      </c>
      <c r="AH52" s="33"/>
      <c r="AI52" s="32">
        <v>0</v>
      </c>
      <c r="AJ52" s="33"/>
      <c r="AK52" s="32">
        <f t="shared" si="1"/>
        <v>120000</v>
      </c>
      <c r="AL52" s="33"/>
      <c r="AM52" s="32">
        <v>120000</v>
      </c>
      <c r="AN52" s="33"/>
      <c r="AO52" s="32">
        <v>0</v>
      </c>
      <c r="AP52" s="33"/>
      <c r="AQ52" s="32">
        <f t="shared" si="2"/>
        <v>120000</v>
      </c>
      <c r="AR52" s="33"/>
    </row>
    <row r="53" spans="1:44" ht="15.75" customHeight="1">
      <c r="A53" s="16">
        <v>20403</v>
      </c>
      <c r="B53" s="17" t="s">
        <v>58</v>
      </c>
      <c r="C53" s="18">
        <v>50000</v>
      </c>
      <c r="D53" s="19">
        <v>0.69</v>
      </c>
      <c r="E53" s="20">
        <v>0</v>
      </c>
      <c r="F53" s="19">
        <v>0</v>
      </c>
      <c r="G53" s="21">
        <v>50000</v>
      </c>
      <c r="H53" s="22">
        <v>0.5</v>
      </c>
      <c r="I53" s="23">
        <v>40000</v>
      </c>
      <c r="J53" s="24">
        <v>0.51</v>
      </c>
      <c r="K53" s="25">
        <v>0</v>
      </c>
      <c r="L53" s="26">
        <v>0</v>
      </c>
      <c r="M53" s="25">
        <v>40000</v>
      </c>
      <c r="N53" s="27">
        <v>0.34</v>
      </c>
      <c r="O53" s="23">
        <v>50027</v>
      </c>
      <c r="P53" s="24">
        <v>0.77</v>
      </c>
      <c r="Q53" s="25">
        <v>0</v>
      </c>
      <c r="R53" s="19">
        <v>0</v>
      </c>
      <c r="S53" s="25">
        <v>50027</v>
      </c>
      <c r="T53" s="22">
        <v>0.37</v>
      </c>
      <c r="U53" s="34">
        <v>70000</v>
      </c>
      <c r="V53" s="29">
        <v>0.84</v>
      </c>
      <c r="W53" s="30">
        <v>0</v>
      </c>
      <c r="X53" s="29">
        <v>0</v>
      </c>
      <c r="Y53" s="31">
        <v>70000</v>
      </c>
      <c r="Z53" s="29">
        <v>0.62</v>
      </c>
      <c r="AA53" s="32">
        <v>105000</v>
      </c>
      <c r="AB53" s="33"/>
      <c r="AC53" s="32">
        <v>0</v>
      </c>
      <c r="AD53" s="33"/>
      <c r="AE53" s="32">
        <f t="shared" si="0"/>
        <v>105000</v>
      </c>
      <c r="AF53" s="33"/>
      <c r="AG53" s="32">
        <v>60000</v>
      </c>
      <c r="AH53" s="33"/>
      <c r="AI53" s="32">
        <v>0</v>
      </c>
      <c r="AJ53" s="33"/>
      <c r="AK53" s="32">
        <f t="shared" si="1"/>
        <v>60000</v>
      </c>
      <c r="AL53" s="33"/>
      <c r="AM53" s="32">
        <v>70000</v>
      </c>
      <c r="AN53" s="33"/>
      <c r="AO53" s="32">
        <v>0</v>
      </c>
      <c r="AP53" s="33"/>
      <c r="AQ53" s="32">
        <f t="shared" si="2"/>
        <v>70000</v>
      </c>
      <c r="AR53" s="33"/>
    </row>
    <row r="54" spans="1:44" ht="15.75" customHeight="1">
      <c r="A54" s="16">
        <v>20404</v>
      </c>
      <c r="B54" s="17" t="s">
        <v>59</v>
      </c>
      <c r="C54" s="35">
        <v>0</v>
      </c>
      <c r="D54" s="19">
        <v>0</v>
      </c>
      <c r="E54" s="20">
        <v>0</v>
      </c>
      <c r="F54" s="19">
        <v>0</v>
      </c>
      <c r="G54" s="21">
        <v>0</v>
      </c>
      <c r="H54" s="22">
        <v>0</v>
      </c>
      <c r="I54" s="35">
        <v>0</v>
      </c>
      <c r="J54" s="19">
        <v>0</v>
      </c>
      <c r="K54" s="25">
        <v>0</v>
      </c>
      <c r="L54" s="26">
        <v>0</v>
      </c>
      <c r="M54" s="21">
        <v>0</v>
      </c>
      <c r="N54" s="22">
        <v>0</v>
      </c>
      <c r="O54" s="23">
        <v>30000</v>
      </c>
      <c r="P54" s="24">
        <v>0.76</v>
      </c>
      <c r="Q54" s="25">
        <v>0</v>
      </c>
      <c r="R54" s="19">
        <v>0</v>
      </c>
      <c r="S54" s="25">
        <v>30000</v>
      </c>
      <c r="T54" s="22">
        <v>0.54</v>
      </c>
      <c r="U54" s="34">
        <v>23342</v>
      </c>
      <c r="V54" s="29">
        <v>0.88</v>
      </c>
      <c r="W54" s="30">
        <v>0</v>
      </c>
      <c r="X54" s="29">
        <v>0</v>
      </c>
      <c r="Y54" s="31">
        <v>23342</v>
      </c>
      <c r="Z54" s="29">
        <v>0.75</v>
      </c>
      <c r="AA54" s="32">
        <v>30000</v>
      </c>
      <c r="AB54" s="33"/>
      <c r="AC54" s="32">
        <v>0</v>
      </c>
      <c r="AD54" s="33"/>
      <c r="AE54" s="32">
        <f t="shared" si="0"/>
        <v>30000</v>
      </c>
      <c r="AF54" s="33"/>
      <c r="AG54" s="32">
        <v>22500</v>
      </c>
      <c r="AH54" s="33"/>
      <c r="AI54" s="32">
        <v>0</v>
      </c>
      <c r="AJ54" s="33"/>
      <c r="AK54" s="32">
        <f t="shared" si="1"/>
        <v>22500</v>
      </c>
      <c r="AL54" s="33"/>
      <c r="AM54" s="32">
        <v>28344</v>
      </c>
      <c r="AN54" s="33"/>
      <c r="AO54" s="32">
        <v>0</v>
      </c>
      <c r="AP54" s="33"/>
      <c r="AQ54" s="32">
        <f t="shared" si="2"/>
        <v>28344</v>
      </c>
      <c r="AR54" s="33"/>
    </row>
    <row r="55" spans="1:44" ht="15.75" customHeight="1">
      <c r="A55" s="16">
        <v>20405</v>
      </c>
      <c r="B55" s="17" t="s">
        <v>60</v>
      </c>
      <c r="C55" s="18">
        <v>20000</v>
      </c>
      <c r="D55" s="19">
        <v>0.66</v>
      </c>
      <c r="E55" s="36">
        <v>0</v>
      </c>
      <c r="F55" s="19">
        <v>0</v>
      </c>
      <c r="G55" s="21">
        <v>20000</v>
      </c>
      <c r="H55" s="22">
        <v>0.27</v>
      </c>
      <c r="I55" s="23">
        <v>30000</v>
      </c>
      <c r="J55" s="24">
        <v>0.76</v>
      </c>
      <c r="K55" s="25">
        <v>0</v>
      </c>
      <c r="L55" s="26">
        <v>0</v>
      </c>
      <c r="M55" s="25">
        <v>30000</v>
      </c>
      <c r="N55" s="27">
        <v>0.74</v>
      </c>
      <c r="O55" s="23">
        <v>90000</v>
      </c>
      <c r="P55" s="24">
        <v>2.1</v>
      </c>
      <c r="Q55" s="25">
        <v>0</v>
      </c>
      <c r="R55" s="19">
        <v>0</v>
      </c>
      <c r="S55" s="25">
        <v>90000</v>
      </c>
      <c r="T55" s="22">
        <v>1.48</v>
      </c>
      <c r="U55" s="34">
        <v>6000</v>
      </c>
      <c r="V55" s="29">
        <v>0.14000000000000001</v>
      </c>
      <c r="W55" s="30">
        <v>0</v>
      </c>
      <c r="X55" s="29">
        <v>0</v>
      </c>
      <c r="Y55" s="31">
        <v>6000</v>
      </c>
      <c r="Z55" s="29">
        <v>0.13</v>
      </c>
      <c r="AA55" s="32">
        <v>0</v>
      </c>
      <c r="AB55" s="33"/>
      <c r="AC55" s="32">
        <v>0</v>
      </c>
      <c r="AD55" s="33"/>
      <c r="AE55" s="32">
        <f t="shared" si="0"/>
        <v>0</v>
      </c>
      <c r="AF55" s="33"/>
      <c r="AG55" s="32">
        <v>10000</v>
      </c>
      <c r="AH55" s="33"/>
      <c r="AI55" s="32">
        <v>0</v>
      </c>
      <c r="AJ55" s="33"/>
      <c r="AK55" s="32">
        <f t="shared" si="1"/>
        <v>10000</v>
      </c>
      <c r="AL55" s="33"/>
      <c r="AM55" s="32">
        <v>20000</v>
      </c>
      <c r="AN55" s="33"/>
      <c r="AO55" s="32">
        <v>0</v>
      </c>
      <c r="AP55" s="33"/>
      <c r="AQ55" s="32">
        <f t="shared" si="2"/>
        <v>20000</v>
      </c>
      <c r="AR55" s="33"/>
    </row>
    <row r="56" spans="1:44" ht="15.75" customHeight="1">
      <c r="A56" s="16">
        <v>20501</v>
      </c>
      <c r="B56" s="17" t="s">
        <v>61</v>
      </c>
      <c r="C56" s="18">
        <v>20000</v>
      </c>
      <c r="D56" s="19">
        <v>0.28000000000000003</v>
      </c>
      <c r="E56" s="20">
        <v>0</v>
      </c>
      <c r="F56" s="19">
        <v>0</v>
      </c>
      <c r="G56" s="21">
        <v>20000</v>
      </c>
      <c r="H56" s="22">
        <v>0.17</v>
      </c>
      <c r="I56" s="23">
        <v>15000</v>
      </c>
      <c r="J56" s="24">
        <v>0.2</v>
      </c>
      <c r="K56" s="25">
        <v>0</v>
      </c>
      <c r="L56" s="26">
        <v>0</v>
      </c>
      <c r="M56" s="25">
        <v>15000</v>
      </c>
      <c r="N56" s="27">
        <v>0.11</v>
      </c>
      <c r="O56" s="23">
        <v>10000</v>
      </c>
      <c r="P56" s="24">
        <v>0.14000000000000001</v>
      </c>
      <c r="Q56" s="25">
        <v>0</v>
      </c>
      <c r="R56" s="19">
        <v>0</v>
      </c>
      <c r="S56" s="25">
        <v>10000</v>
      </c>
      <c r="T56" s="22">
        <v>0.09</v>
      </c>
      <c r="U56" s="28">
        <v>0</v>
      </c>
      <c r="V56" s="29">
        <v>0</v>
      </c>
      <c r="W56" s="30">
        <v>0</v>
      </c>
      <c r="X56" s="29">
        <v>0</v>
      </c>
      <c r="Y56" s="31">
        <v>0</v>
      </c>
      <c r="Z56" s="29">
        <v>0</v>
      </c>
      <c r="AA56" s="32">
        <v>24000</v>
      </c>
      <c r="AB56" s="33"/>
      <c r="AC56" s="32">
        <v>0</v>
      </c>
      <c r="AD56" s="33"/>
      <c r="AE56" s="32">
        <f t="shared" si="0"/>
        <v>24000</v>
      </c>
      <c r="AF56" s="33"/>
      <c r="AG56" s="32">
        <v>24000</v>
      </c>
      <c r="AH56" s="33"/>
      <c r="AI56" s="32">
        <v>0</v>
      </c>
      <c r="AJ56" s="33"/>
      <c r="AK56" s="32">
        <f t="shared" si="1"/>
        <v>24000</v>
      </c>
      <c r="AL56" s="33"/>
      <c r="AM56" s="32">
        <v>24000</v>
      </c>
      <c r="AN56" s="33"/>
      <c r="AO56" s="32">
        <v>0</v>
      </c>
      <c r="AP56" s="33"/>
      <c r="AQ56" s="32">
        <f t="shared" si="2"/>
        <v>24000</v>
      </c>
      <c r="AR56" s="33"/>
    </row>
    <row r="57" spans="1:44" ht="15.75" customHeight="1">
      <c r="A57" s="16">
        <v>20502</v>
      </c>
      <c r="B57" s="17" t="s">
        <v>62</v>
      </c>
      <c r="C57" s="35">
        <v>0</v>
      </c>
      <c r="D57" s="19">
        <v>0</v>
      </c>
      <c r="E57" s="20">
        <v>0</v>
      </c>
      <c r="F57" s="19">
        <v>0</v>
      </c>
      <c r="G57" s="21">
        <v>0</v>
      </c>
      <c r="H57" s="22">
        <v>0</v>
      </c>
      <c r="I57" s="35">
        <v>0</v>
      </c>
      <c r="J57" s="19">
        <v>0</v>
      </c>
      <c r="K57" s="25">
        <v>0</v>
      </c>
      <c r="L57" s="26">
        <v>0</v>
      </c>
      <c r="M57" s="21">
        <v>0</v>
      </c>
      <c r="N57" s="22">
        <v>0</v>
      </c>
      <c r="O57" s="35">
        <v>0</v>
      </c>
      <c r="P57" s="19">
        <v>0</v>
      </c>
      <c r="Q57" s="25">
        <v>0</v>
      </c>
      <c r="R57" s="19">
        <v>0</v>
      </c>
      <c r="S57" s="21">
        <v>0</v>
      </c>
      <c r="T57" s="22">
        <v>0</v>
      </c>
      <c r="U57" s="34">
        <v>10000</v>
      </c>
      <c r="V57" s="29">
        <v>0.21</v>
      </c>
      <c r="W57" s="30">
        <v>0</v>
      </c>
      <c r="X57" s="29">
        <v>0</v>
      </c>
      <c r="Y57" s="31">
        <v>10000</v>
      </c>
      <c r="Z57" s="29">
        <v>0.2</v>
      </c>
      <c r="AA57" s="32">
        <v>50000</v>
      </c>
      <c r="AB57" s="33"/>
      <c r="AC57" s="32">
        <v>0</v>
      </c>
      <c r="AD57" s="33"/>
      <c r="AE57" s="32">
        <f t="shared" si="0"/>
        <v>50000</v>
      </c>
      <c r="AF57" s="33"/>
      <c r="AG57" s="32">
        <v>50000</v>
      </c>
      <c r="AH57" s="33"/>
      <c r="AI57" s="32">
        <v>0</v>
      </c>
      <c r="AJ57" s="33"/>
      <c r="AK57" s="32">
        <f t="shared" si="1"/>
        <v>50000</v>
      </c>
      <c r="AL57" s="33"/>
      <c r="AM57" s="32">
        <v>80000</v>
      </c>
      <c r="AN57" s="33"/>
      <c r="AO57" s="32">
        <v>0</v>
      </c>
      <c r="AP57" s="33"/>
      <c r="AQ57" s="32">
        <f t="shared" si="2"/>
        <v>80000</v>
      </c>
      <c r="AR57" s="33"/>
    </row>
    <row r="58" spans="1:44" ht="15.75" customHeight="1">
      <c r="A58" s="16">
        <v>20503</v>
      </c>
      <c r="B58" s="17" t="s">
        <v>63</v>
      </c>
      <c r="C58" s="35">
        <v>0</v>
      </c>
      <c r="D58" s="19">
        <v>0</v>
      </c>
      <c r="E58" s="20">
        <v>0</v>
      </c>
      <c r="F58" s="19">
        <v>0</v>
      </c>
      <c r="G58" s="21">
        <v>0</v>
      </c>
      <c r="H58" s="22">
        <v>0</v>
      </c>
      <c r="I58" s="35">
        <v>0</v>
      </c>
      <c r="J58" s="19">
        <v>0</v>
      </c>
      <c r="K58" s="25">
        <v>0</v>
      </c>
      <c r="L58" s="26">
        <v>0</v>
      </c>
      <c r="M58" s="21">
        <v>0</v>
      </c>
      <c r="N58" s="22">
        <v>0</v>
      </c>
      <c r="O58" s="35">
        <v>0</v>
      </c>
      <c r="P58" s="19">
        <v>0</v>
      </c>
      <c r="Q58" s="25">
        <v>0</v>
      </c>
      <c r="R58" s="19">
        <v>0</v>
      </c>
      <c r="S58" s="21">
        <v>0</v>
      </c>
      <c r="T58" s="22">
        <v>0</v>
      </c>
      <c r="U58" s="28">
        <v>0</v>
      </c>
      <c r="V58" s="29">
        <v>0</v>
      </c>
      <c r="W58" s="30">
        <v>0</v>
      </c>
      <c r="X58" s="29">
        <v>0</v>
      </c>
      <c r="Y58" s="31">
        <v>0</v>
      </c>
      <c r="Z58" s="29">
        <v>0</v>
      </c>
      <c r="AA58" s="32"/>
      <c r="AB58" s="33"/>
      <c r="AC58" s="32">
        <v>0</v>
      </c>
      <c r="AD58" s="33"/>
      <c r="AE58" s="32">
        <f t="shared" si="0"/>
        <v>0</v>
      </c>
      <c r="AF58" s="33"/>
      <c r="AG58" s="32">
        <v>10000</v>
      </c>
      <c r="AH58" s="33"/>
      <c r="AI58" s="32">
        <v>0</v>
      </c>
      <c r="AJ58" s="33"/>
      <c r="AK58" s="32">
        <f t="shared" si="1"/>
        <v>10000</v>
      </c>
      <c r="AL58" s="33"/>
      <c r="AM58" s="32">
        <v>10000</v>
      </c>
      <c r="AN58" s="33"/>
      <c r="AO58" s="32">
        <v>0</v>
      </c>
      <c r="AP58" s="33"/>
      <c r="AQ58" s="32">
        <f t="shared" si="2"/>
        <v>10000</v>
      </c>
      <c r="AR58" s="33"/>
    </row>
    <row r="59" spans="1:44" ht="15.75" customHeight="1">
      <c r="A59" s="16">
        <v>20601</v>
      </c>
      <c r="B59" s="17" t="s">
        <v>64</v>
      </c>
      <c r="C59" s="18">
        <v>70000</v>
      </c>
      <c r="D59" s="19">
        <v>0.67</v>
      </c>
      <c r="E59" s="20">
        <v>0</v>
      </c>
      <c r="F59" s="19">
        <v>0</v>
      </c>
      <c r="G59" s="21">
        <v>70000</v>
      </c>
      <c r="H59" s="22">
        <v>0.59</v>
      </c>
      <c r="I59" s="23">
        <v>95000</v>
      </c>
      <c r="J59" s="24">
        <v>0.82</v>
      </c>
      <c r="K59" s="25">
        <v>0</v>
      </c>
      <c r="L59" s="26">
        <v>0</v>
      </c>
      <c r="M59" s="25">
        <v>95000</v>
      </c>
      <c r="N59" s="27">
        <v>0.79</v>
      </c>
      <c r="O59" s="23">
        <v>0</v>
      </c>
      <c r="P59" s="24">
        <v>0</v>
      </c>
      <c r="Q59" s="25">
        <v>0</v>
      </c>
      <c r="R59" s="19">
        <v>0</v>
      </c>
      <c r="S59" s="25">
        <v>0</v>
      </c>
      <c r="T59" s="22">
        <v>0</v>
      </c>
      <c r="U59" s="34">
        <v>120000</v>
      </c>
      <c r="V59" s="29">
        <v>0.75</v>
      </c>
      <c r="W59" s="30">
        <v>0</v>
      </c>
      <c r="X59" s="29">
        <v>0</v>
      </c>
      <c r="Y59" s="31">
        <v>120000</v>
      </c>
      <c r="Z59" s="29">
        <v>0.55000000000000004</v>
      </c>
      <c r="AA59" s="32">
        <v>455400</v>
      </c>
      <c r="AB59" s="33"/>
      <c r="AC59" s="32">
        <v>0</v>
      </c>
      <c r="AD59" s="33"/>
      <c r="AE59" s="32">
        <f t="shared" si="0"/>
        <v>455400</v>
      </c>
      <c r="AF59" s="33"/>
      <c r="AG59" s="32">
        <v>500000</v>
      </c>
      <c r="AH59" s="33"/>
      <c r="AI59" s="32">
        <v>0</v>
      </c>
      <c r="AJ59" s="33"/>
      <c r="AK59" s="32">
        <f t="shared" si="1"/>
        <v>500000</v>
      </c>
      <c r="AL59" s="33"/>
      <c r="AM59" s="37">
        <v>540245</v>
      </c>
      <c r="AN59" s="33"/>
      <c r="AO59" s="32">
        <v>0</v>
      </c>
      <c r="AP59" s="33"/>
      <c r="AQ59" s="32">
        <f t="shared" si="2"/>
        <v>540245</v>
      </c>
      <c r="AR59" s="33"/>
    </row>
    <row r="60" spans="1:44" ht="15.75" customHeight="1">
      <c r="A60" s="16">
        <v>20602</v>
      </c>
      <c r="B60" s="17" t="s">
        <v>65</v>
      </c>
      <c r="C60" s="18">
        <v>100000</v>
      </c>
      <c r="D60" s="19">
        <v>1.24</v>
      </c>
      <c r="E60" s="20">
        <v>0</v>
      </c>
      <c r="F60" s="19">
        <v>0</v>
      </c>
      <c r="G60" s="21">
        <v>100000</v>
      </c>
      <c r="H60" s="22">
        <v>1.02</v>
      </c>
      <c r="I60" s="23">
        <v>100000</v>
      </c>
      <c r="J60" s="24">
        <v>1.57</v>
      </c>
      <c r="K60" s="25">
        <v>0</v>
      </c>
      <c r="L60" s="26">
        <v>0</v>
      </c>
      <c r="M60" s="25">
        <v>100000</v>
      </c>
      <c r="N60" s="27">
        <v>1.19</v>
      </c>
      <c r="O60" s="23">
        <v>144000</v>
      </c>
      <c r="P60" s="24">
        <v>1.61</v>
      </c>
      <c r="Q60" s="25">
        <v>0</v>
      </c>
      <c r="R60" s="19">
        <v>0</v>
      </c>
      <c r="S60" s="25">
        <v>144000</v>
      </c>
      <c r="T60" s="22">
        <v>0.99</v>
      </c>
      <c r="U60" s="34">
        <v>110000</v>
      </c>
      <c r="V60" s="29">
        <v>0.79</v>
      </c>
      <c r="W60" s="30">
        <v>0</v>
      </c>
      <c r="X60" s="29">
        <v>0</v>
      </c>
      <c r="Y60" s="31">
        <v>110000</v>
      </c>
      <c r="Z60" s="29">
        <v>0.79</v>
      </c>
      <c r="AA60" s="32">
        <v>150000</v>
      </c>
      <c r="AB60" s="33"/>
      <c r="AC60" s="32">
        <v>0</v>
      </c>
      <c r="AD60" s="33"/>
      <c r="AE60" s="32">
        <f t="shared" si="0"/>
        <v>150000</v>
      </c>
      <c r="AF60" s="33"/>
      <c r="AG60" s="32">
        <v>150000</v>
      </c>
      <c r="AH60" s="33"/>
      <c r="AI60" s="32">
        <v>0</v>
      </c>
      <c r="AJ60" s="33"/>
      <c r="AK60" s="32">
        <f t="shared" si="1"/>
        <v>150000</v>
      </c>
      <c r="AL60" s="33"/>
      <c r="AM60" s="37">
        <v>130000</v>
      </c>
      <c r="AN60" s="33"/>
      <c r="AO60" s="32">
        <v>0</v>
      </c>
      <c r="AP60" s="33"/>
      <c r="AQ60" s="32">
        <f t="shared" si="2"/>
        <v>130000</v>
      </c>
      <c r="AR60" s="33"/>
    </row>
    <row r="61" spans="1:44" ht="15.75" customHeight="1">
      <c r="A61" s="16">
        <v>20603</v>
      </c>
      <c r="B61" s="17" t="s">
        <v>66</v>
      </c>
      <c r="C61" s="35">
        <v>0</v>
      </c>
      <c r="D61" s="19">
        <v>0</v>
      </c>
      <c r="E61" s="20">
        <v>0</v>
      </c>
      <c r="F61" s="19">
        <v>0</v>
      </c>
      <c r="G61" s="21">
        <v>0</v>
      </c>
      <c r="H61" s="22">
        <v>0</v>
      </c>
      <c r="I61" s="35">
        <v>0</v>
      </c>
      <c r="J61" s="19">
        <v>0</v>
      </c>
      <c r="K61" s="25">
        <v>0</v>
      </c>
      <c r="L61" s="26">
        <v>0</v>
      </c>
      <c r="M61" s="21">
        <v>0</v>
      </c>
      <c r="N61" s="22">
        <v>0</v>
      </c>
      <c r="O61" s="35">
        <v>0</v>
      </c>
      <c r="P61" s="19">
        <v>0</v>
      </c>
      <c r="Q61" s="25">
        <v>0</v>
      </c>
      <c r="R61" s="19">
        <v>0</v>
      </c>
      <c r="S61" s="21">
        <v>0</v>
      </c>
      <c r="T61" s="22">
        <v>0</v>
      </c>
      <c r="U61" s="28">
        <v>0</v>
      </c>
      <c r="V61" s="29">
        <v>0</v>
      </c>
      <c r="W61" s="30">
        <v>0</v>
      </c>
      <c r="X61" s="29">
        <v>0</v>
      </c>
      <c r="Y61" s="31">
        <v>0</v>
      </c>
      <c r="Z61" s="29">
        <v>0</v>
      </c>
      <c r="AA61" s="32"/>
      <c r="AB61" s="33"/>
      <c r="AC61" s="32">
        <v>0</v>
      </c>
      <c r="AD61" s="33"/>
      <c r="AE61" s="32">
        <f t="shared" si="0"/>
        <v>0</v>
      </c>
      <c r="AF61" s="33"/>
      <c r="AG61" s="32"/>
      <c r="AH61" s="33"/>
      <c r="AI61" s="32">
        <v>0</v>
      </c>
      <c r="AJ61" s="33"/>
      <c r="AK61" s="32">
        <f t="shared" si="1"/>
        <v>0</v>
      </c>
      <c r="AL61" s="33"/>
      <c r="AM61" s="37"/>
      <c r="AN61" s="33"/>
      <c r="AO61" s="32">
        <v>0</v>
      </c>
      <c r="AP61" s="33"/>
      <c r="AQ61" s="32">
        <f t="shared" si="2"/>
        <v>0</v>
      </c>
      <c r="AR61" s="33"/>
    </row>
    <row r="62" spans="1:44" ht="15.75" customHeight="1">
      <c r="A62" s="16">
        <v>20604</v>
      </c>
      <c r="B62" s="17" t="s">
        <v>67</v>
      </c>
      <c r="C62" s="35">
        <v>0</v>
      </c>
      <c r="D62" s="19">
        <v>0</v>
      </c>
      <c r="E62" s="20">
        <v>0</v>
      </c>
      <c r="F62" s="19">
        <v>0</v>
      </c>
      <c r="G62" s="21">
        <v>0</v>
      </c>
      <c r="H62" s="22">
        <v>0</v>
      </c>
      <c r="I62" s="23">
        <v>20000</v>
      </c>
      <c r="J62" s="24">
        <v>1.08</v>
      </c>
      <c r="K62" s="25">
        <v>0</v>
      </c>
      <c r="L62" s="26">
        <v>0</v>
      </c>
      <c r="M62" s="25">
        <v>20000</v>
      </c>
      <c r="N62" s="27">
        <v>0.61</v>
      </c>
      <c r="O62" s="23">
        <v>5000</v>
      </c>
      <c r="P62" s="24">
        <v>0.23</v>
      </c>
      <c r="Q62" s="25">
        <v>0</v>
      </c>
      <c r="R62" s="19">
        <v>0</v>
      </c>
      <c r="S62" s="25">
        <v>5000</v>
      </c>
      <c r="T62" s="22">
        <v>0.09</v>
      </c>
      <c r="U62" s="34">
        <v>5000</v>
      </c>
      <c r="V62" s="29">
        <v>0.23</v>
      </c>
      <c r="W62" s="30">
        <v>0</v>
      </c>
      <c r="X62" s="29">
        <v>0</v>
      </c>
      <c r="Y62" s="31">
        <v>5000</v>
      </c>
      <c r="Z62" s="29">
        <v>0.23</v>
      </c>
      <c r="AA62" s="32">
        <v>5000</v>
      </c>
      <c r="AB62" s="33"/>
      <c r="AC62" s="32">
        <v>0</v>
      </c>
      <c r="AD62" s="33"/>
      <c r="AE62" s="32">
        <f t="shared" si="0"/>
        <v>5000</v>
      </c>
      <c r="AF62" s="33"/>
      <c r="AG62" s="32">
        <v>8000</v>
      </c>
      <c r="AH62" s="33"/>
      <c r="AI62" s="32">
        <v>0</v>
      </c>
      <c r="AJ62" s="33"/>
      <c r="AK62" s="32">
        <f t="shared" si="1"/>
        <v>8000</v>
      </c>
      <c r="AL62" s="33"/>
      <c r="AM62" s="37">
        <v>76057</v>
      </c>
      <c r="AN62" s="33"/>
      <c r="AO62" s="32">
        <v>0</v>
      </c>
      <c r="AP62" s="33"/>
      <c r="AQ62" s="32">
        <f t="shared" si="2"/>
        <v>76057</v>
      </c>
      <c r="AR62" s="33"/>
    </row>
    <row r="63" spans="1:44" ht="15.75" customHeight="1">
      <c r="A63" s="16">
        <v>20605</v>
      </c>
      <c r="B63" s="17" t="s">
        <v>68</v>
      </c>
      <c r="C63" s="35">
        <v>0</v>
      </c>
      <c r="D63" s="19">
        <v>0</v>
      </c>
      <c r="E63" s="20">
        <v>0</v>
      </c>
      <c r="F63" s="19">
        <v>0</v>
      </c>
      <c r="G63" s="21">
        <v>0</v>
      </c>
      <c r="H63" s="22">
        <v>0</v>
      </c>
      <c r="I63" s="35">
        <v>0</v>
      </c>
      <c r="J63" s="19">
        <v>0</v>
      </c>
      <c r="K63" s="25">
        <v>0</v>
      </c>
      <c r="L63" s="26">
        <v>0</v>
      </c>
      <c r="M63" s="21">
        <v>0</v>
      </c>
      <c r="N63" s="22">
        <v>0</v>
      </c>
      <c r="O63" s="23">
        <v>10000</v>
      </c>
      <c r="P63" s="24">
        <v>0.41</v>
      </c>
      <c r="Q63" s="25">
        <v>0</v>
      </c>
      <c r="R63" s="19">
        <v>0</v>
      </c>
      <c r="S63" s="25">
        <v>10000</v>
      </c>
      <c r="T63" s="22">
        <v>0.24</v>
      </c>
      <c r="U63" s="34">
        <v>2000</v>
      </c>
      <c r="V63" s="29">
        <v>7.0000000000000007E-2</v>
      </c>
      <c r="W63" s="30">
        <v>0</v>
      </c>
      <c r="X63" s="29">
        <v>0</v>
      </c>
      <c r="Y63" s="31">
        <v>2000</v>
      </c>
      <c r="Z63" s="29">
        <v>7.0000000000000007E-2</v>
      </c>
      <c r="AA63" s="32">
        <v>2000</v>
      </c>
      <c r="AB63" s="33"/>
      <c r="AC63" s="32">
        <v>0</v>
      </c>
      <c r="AD63" s="33"/>
      <c r="AE63" s="32">
        <f t="shared" si="0"/>
        <v>2000</v>
      </c>
      <c r="AF63" s="33"/>
      <c r="AG63" s="32">
        <v>2000</v>
      </c>
      <c r="AH63" s="33"/>
      <c r="AI63" s="32">
        <v>0</v>
      </c>
      <c r="AJ63" s="33"/>
      <c r="AK63" s="32">
        <f t="shared" si="1"/>
        <v>2000</v>
      </c>
      <c r="AL63" s="33"/>
      <c r="AM63" s="37">
        <v>2000</v>
      </c>
      <c r="AN63" s="33"/>
      <c r="AO63" s="32">
        <v>0</v>
      </c>
      <c r="AP63" s="33"/>
      <c r="AQ63" s="32">
        <f t="shared" si="2"/>
        <v>2000</v>
      </c>
      <c r="AR63" s="33"/>
    </row>
    <row r="64" spans="1:44" ht="15.75" customHeight="1">
      <c r="A64" s="16">
        <v>20606</v>
      </c>
      <c r="B64" s="17" t="s">
        <v>69</v>
      </c>
      <c r="C64" s="18">
        <v>40000</v>
      </c>
      <c r="D64" s="19">
        <v>0.95</v>
      </c>
      <c r="E64" s="20">
        <v>0</v>
      </c>
      <c r="F64" s="19">
        <v>0</v>
      </c>
      <c r="G64" s="21">
        <v>40000</v>
      </c>
      <c r="H64" s="22">
        <v>0.72</v>
      </c>
      <c r="I64" s="23">
        <v>50000</v>
      </c>
      <c r="J64" s="24">
        <v>0.93</v>
      </c>
      <c r="K64" s="25">
        <v>0</v>
      </c>
      <c r="L64" s="26">
        <v>0</v>
      </c>
      <c r="M64" s="25">
        <v>50000</v>
      </c>
      <c r="N64" s="27">
        <v>0.45</v>
      </c>
      <c r="O64" s="23">
        <v>81326</v>
      </c>
      <c r="P64" s="24">
        <v>1.1200000000000001</v>
      </c>
      <c r="Q64" s="25">
        <v>0</v>
      </c>
      <c r="R64" s="19">
        <v>0</v>
      </c>
      <c r="S64" s="25">
        <v>81326</v>
      </c>
      <c r="T64" s="22">
        <v>0.62</v>
      </c>
      <c r="U64" s="34">
        <v>83682</v>
      </c>
      <c r="V64" s="29">
        <v>1.1000000000000001</v>
      </c>
      <c r="W64" s="30">
        <v>0</v>
      </c>
      <c r="X64" s="29">
        <v>0</v>
      </c>
      <c r="Y64" s="31">
        <v>83682</v>
      </c>
      <c r="Z64" s="29">
        <v>1.1000000000000001</v>
      </c>
      <c r="AA64" s="32">
        <v>309523</v>
      </c>
      <c r="AB64" s="33"/>
      <c r="AC64" s="32">
        <v>0</v>
      </c>
      <c r="AD64" s="33"/>
      <c r="AE64" s="32">
        <f t="shared" si="0"/>
        <v>309523</v>
      </c>
      <c r="AF64" s="33"/>
      <c r="AG64" s="32">
        <v>301424</v>
      </c>
      <c r="AH64" s="33"/>
      <c r="AI64" s="32">
        <v>0</v>
      </c>
      <c r="AJ64" s="33"/>
      <c r="AK64" s="32">
        <f t="shared" si="1"/>
        <v>301424</v>
      </c>
      <c r="AL64" s="33"/>
      <c r="AM64" s="37">
        <v>531826</v>
      </c>
      <c r="AN64" s="33"/>
      <c r="AO64" s="32">
        <v>0</v>
      </c>
      <c r="AP64" s="33"/>
      <c r="AQ64" s="32">
        <f t="shared" si="2"/>
        <v>531826</v>
      </c>
      <c r="AR64" s="33"/>
    </row>
    <row r="65" spans="1:44" ht="15.75" customHeight="1">
      <c r="A65" s="16">
        <v>20607</v>
      </c>
      <c r="B65" s="17" t="s">
        <v>70</v>
      </c>
      <c r="C65" s="18">
        <v>40000</v>
      </c>
      <c r="D65" s="19">
        <v>0.9</v>
      </c>
      <c r="E65" s="20">
        <v>0</v>
      </c>
      <c r="F65" s="19">
        <v>0</v>
      </c>
      <c r="G65" s="21">
        <v>40000</v>
      </c>
      <c r="H65" s="22">
        <v>0.4</v>
      </c>
      <c r="I65" s="23">
        <v>50000</v>
      </c>
      <c r="J65" s="24">
        <v>0.87</v>
      </c>
      <c r="K65" s="25">
        <v>0</v>
      </c>
      <c r="L65" s="26">
        <v>0</v>
      </c>
      <c r="M65" s="25">
        <v>50000</v>
      </c>
      <c r="N65" s="27">
        <v>0.81</v>
      </c>
      <c r="O65" s="23"/>
      <c r="P65" s="24">
        <v>0</v>
      </c>
      <c r="Q65" s="25">
        <v>0</v>
      </c>
      <c r="R65" s="19">
        <v>0</v>
      </c>
      <c r="S65" s="25"/>
      <c r="T65" s="22">
        <v>0</v>
      </c>
      <c r="U65" s="28">
        <v>0</v>
      </c>
      <c r="V65" s="29">
        <v>0</v>
      </c>
      <c r="W65" s="30">
        <v>0</v>
      </c>
      <c r="X65" s="29">
        <v>0</v>
      </c>
      <c r="Y65" s="31">
        <v>0</v>
      </c>
      <c r="Z65" s="29">
        <v>0</v>
      </c>
      <c r="AA65" s="32">
        <v>550000</v>
      </c>
      <c r="AB65" s="33"/>
      <c r="AC65" s="32">
        <v>0</v>
      </c>
      <c r="AD65" s="33"/>
      <c r="AE65" s="32">
        <f t="shared" si="0"/>
        <v>550000</v>
      </c>
      <c r="AF65" s="33"/>
      <c r="AG65" s="32">
        <v>872000</v>
      </c>
      <c r="AH65" s="33"/>
      <c r="AI65" s="32">
        <v>0</v>
      </c>
      <c r="AJ65" s="33"/>
      <c r="AK65" s="32">
        <f t="shared" si="1"/>
        <v>872000</v>
      </c>
      <c r="AL65" s="33"/>
      <c r="AM65" s="32">
        <v>674800</v>
      </c>
      <c r="AN65" s="33"/>
      <c r="AO65" s="32">
        <v>0</v>
      </c>
      <c r="AP65" s="33"/>
      <c r="AQ65" s="32">
        <f t="shared" si="2"/>
        <v>674800</v>
      </c>
      <c r="AR65" s="33"/>
    </row>
    <row r="66" spans="1:44" ht="15.75" customHeight="1">
      <c r="A66" s="16">
        <v>20608</v>
      </c>
      <c r="B66" s="17" t="s">
        <v>71</v>
      </c>
      <c r="C66" s="18">
        <v>25800</v>
      </c>
      <c r="D66" s="19">
        <v>0.45</v>
      </c>
      <c r="E66" s="20">
        <v>0</v>
      </c>
      <c r="F66" s="19">
        <v>0</v>
      </c>
      <c r="G66" s="21">
        <v>25800</v>
      </c>
      <c r="H66" s="22">
        <v>0.31</v>
      </c>
      <c r="I66" s="23">
        <v>40000</v>
      </c>
      <c r="J66" s="24">
        <v>0.79</v>
      </c>
      <c r="K66" s="25">
        <v>0</v>
      </c>
      <c r="L66" s="26">
        <v>0</v>
      </c>
      <c r="M66" s="25">
        <v>40000</v>
      </c>
      <c r="N66" s="27">
        <v>0.67</v>
      </c>
      <c r="O66" s="23">
        <v>40000</v>
      </c>
      <c r="P66" s="24">
        <v>0.56000000000000005</v>
      </c>
      <c r="Q66" s="25">
        <v>0</v>
      </c>
      <c r="R66" s="19">
        <v>0</v>
      </c>
      <c r="S66" s="25">
        <v>40000</v>
      </c>
      <c r="T66" s="22">
        <v>0.27</v>
      </c>
      <c r="U66" s="34">
        <v>45000</v>
      </c>
      <c r="V66" s="29">
        <v>0.76</v>
      </c>
      <c r="W66" s="30">
        <v>0</v>
      </c>
      <c r="X66" s="29">
        <v>0</v>
      </c>
      <c r="Y66" s="31">
        <v>45000</v>
      </c>
      <c r="Z66" s="29">
        <v>0.75</v>
      </c>
      <c r="AA66" s="32">
        <v>50000</v>
      </c>
      <c r="AB66" s="33"/>
      <c r="AC66" s="32">
        <v>0</v>
      </c>
      <c r="AD66" s="33"/>
      <c r="AE66" s="32">
        <f t="shared" si="0"/>
        <v>50000</v>
      </c>
      <c r="AF66" s="33"/>
      <c r="AG66" s="32">
        <v>50000</v>
      </c>
      <c r="AH66" s="33"/>
      <c r="AI66" s="32">
        <v>0</v>
      </c>
      <c r="AJ66" s="33"/>
      <c r="AK66" s="32">
        <f t="shared" si="1"/>
        <v>50000</v>
      </c>
      <c r="AL66" s="33"/>
      <c r="AM66" s="32">
        <v>50000</v>
      </c>
      <c r="AN66" s="33"/>
      <c r="AO66" s="32">
        <v>0</v>
      </c>
      <c r="AP66" s="33"/>
      <c r="AQ66" s="32">
        <f t="shared" si="2"/>
        <v>50000</v>
      </c>
      <c r="AR66" s="33"/>
    </row>
    <row r="67" spans="1:44" ht="15.75" customHeight="1">
      <c r="A67" s="16">
        <v>20701</v>
      </c>
      <c r="B67" s="17" t="s">
        <v>72</v>
      </c>
      <c r="C67" s="18">
        <v>50000</v>
      </c>
      <c r="D67" s="19">
        <v>0.75</v>
      </c>
      <c r="E67" s="20">
        <v>0</v>
      </c>
      <c r="F67" s="19">
        <v>0</v>
      </c>
      <c r="G67" s="21">
        <v>50000</v>
      </c>
      <c r="H67" s="22">
        <v>0.63</v>
      </c>
      <c r="I67" s="23">
        <v>48000</v>
      </c>
      <c r="J67" s="24">
        <v>0.4</v>
      </c>
      <c r="K67" s="25">
        <v>0</v>
      </c>
      <c r="L67" s="26">
        <v>0</v>
      </c>
      <c r="M67" s="25">
        <v>48000</v>
      </c>
      <c r="N67" s="27">
        <v>0.38</v>
      </c>
      <c r="O67" s="23">
        <v>96000</v>
      </c>
      <c r="P67" s="24">
        <v>0.88</v>
      </c>
      <c r="Q67" s="25">
        <v>0</v>
      </c>
      <c r="R67" s="19">
        <v>0</v>
      </c>
      <c r="S67" s="25">
        <v>96000</v>
      </c>
      <c r="T67" s="22">
        <v>0.5</v>
      </c>
      <c r="U67" s="28">
        <v>0</v>
      </c>
      <c r="V67" s="29">
        <v>0</v>
      </c>
      <c r="W67" s="30">
        <v>0</v>
      </c>
      <c r="X67" s="29">
        <v>0</v>
      </c>
      <c r="Y67" s="31">
        <v>0</v>
      </c>
      <c r="Z67" s="29">
        <v>0</v>
      </c>
      <c r="AA67" s="32">
        <v>280000</v>
      </c>
      <c r="AB67" s="33"/>
      <c r="AC67" s="32">
        <v>0</v>
      </c>
      <c r="AD67" s="33"/>
      <c r="AE67" s="32">
        <f t="shared" si="0"/>
        <v>280000</v>
      </c>
      <c r="AF67" s="33"/>
      <c r="AG67" s="32">
        <v>630000</v>
      </c>
      <c r="AH67" s="33"/>
      <c r="AI67" s="32">
        <v>0</v>
      </c>
      <c r="AJ67" s="33"/>
      <c r="AK67" s="32">
        <f t="shared" si="1"/>
        <v>630000</v>
      </c>
      <c r="AL67" s="33"/>
      <c r="AM67" s="32">
        <v>665000</v>
      </c>
      <c r="AN67" s="33"/>
      <c r="AO67" s="32">
        <v>0</v>
      </c>
      <c r="AP67" s="33"/>
      <c r="AQ67" s="32">
        <f t="shared" si="2"/>
        <v>665000</v>
      </c>
      <c r="AR67" s="33"/>
    </row>
    <row r="68" spans="1:44" ht="15.75" customHeight="1">
      <c r="A68" s="16">
        <v>20702</v>
      </c>
      <c r="B68" s="17" t="s">
        <v>73</v>
      </c>
      <c r="C68" s="35">
        <v>0</v>
      </c>
      <c r="D68" s="19">
        <v>0</v>
      </c>
      <c r="E68" s="20">
        <v>0</v>
      </c>
      <c r="F68" s="19">
        <v>0</v>
      </c>
      <c r="G68" s="21">
        <v>0</v>
      </c>
      <c r="H68" s="22">
        <v>0</v>
      </c>
      <c r="I68" s="35">
        <v>0</v>
      </c>
      <c r="J68" s="19">
        <v>0</v>
      </c>
      <c r="K68" s="25">
        <v>0</v>
      </c>
      <c r="L68" s="26">
        <v>0</v>
      </c>
      <c r="M68" s="21">
        <v>0</v>
      </c>
      <c r="N68" s="22">
        <v>0</v>
      </c>
      <c r="O68" s="35">
        <v>0</v>
      </c>
      <c r="P68" s="19">
        <v>0</v>
      </c>
      <c r="Q68" s="25">
        <v>0</v>
      </c>
      <c r="R68" s="19">
        <v>0</v>
      </c>
      <c r="S68" s="21">
        <v>0</v>
      </c>
      <c r="T68" s="22">
        <v>0</v>
      </c>
      <c r="U68" s="28">
        <v>0</v>
      </c>
      <c r="V68" s="29">
        <v>0</v>
      </c>
      <c r="W68" s="30">
        <v>0</v>
      </c>
      <c r="X68" s="29">
        <v>0</v>
      </c>
      <c r="Y68" s="31">
        <v>0</v>
      </c>
      <c r="Z68" s="29">
        <v>0</v>
      </c>
      <c r="AA68" s="32"/>
      <c r="AB68" s="33"/>
      <c r="AC68" s="32">
        <v>0</v>
      </c>
      <c r="AD68" s="33"/>
      <c r="AE68" s="32">
        <f t="shared" si="0"/>
        <v>0</v>
      </c>
      <c r="AF68" s="33"/>
      <c r="AG68" s="32"/>
      <c r="AH68" s="33"/>
      <c r="AI68" s="32">
        <v>0</v>
      </c>
      <c r="AJ68" s="33"/>
      <c r="AK68" s="32">
        <f t="shared" si="1"/>
        <v>0</v>
      </c>
      <c r="AL68" s="33"/>
      <c r="AM68" s="32"/>
      <c r="AN68" s="33"/>
      <c r="AO68" s="32">
        <v>0</v>
      </c>
      <c r="AP68" s="33"/>
      <c r="AQ68" s="32">
        <f t="shared" si="2"/>
        <v>0</v>
      </c>
      <c r="AR68" s="33"/>
    </row>
    <row r="69" spans="1:44" ht="15.75" customHeight="1">
      <c r="A69" s="16">
        <v>20801</v>
      </c>
      <c r="B69" s="17" t="s">
        <v>74</v>
      </c>
      <c r="C69" s="18">
        <v>2188526</v>
      </c>
      <c r="D69" s="19">
        <v>5.61</v>
      </c>
      <c r="E69" s="20">
        <v>0</v>
      </c>
      <c r="F69" s="19">
        <v>0</v>
      </c>
      <c r="G69" s="21">
        <v>2188526</v>
      </c>
      <c r="H69" s="22">
        <v>3.43</v>
      </c>
      <c r="I69" s="23">
        <v>2499000</v>
      </c>
      <c r="J69" s="24">
        <v>5.3</v>
      </c>
      <c r="K69" s="25">
        <v>0</v>
      </c>
      <c r="L69" s="26">
        <v>0</v>
      </c>
      <c r="M69" s="25">
        <v>2499000</v>
      </c>
      <c r="N69" s="27">
        <v>3.33</v>
      </c>
      <c r="O69" s="23">
        <v>2199000</v>
      </c>
      <c r="P69" s="24">
        <v>3.27</v>
      </c>
      <c r="Q69" s="25">
        <v>0</v>
      </c>
      <c r="R69" s="19">
        <v>0</v>
      </c>
      <c r="S69" s="25">
        <v>2199000</v>
      </c>
      <c r="T69" s="22">
        <v>2.69</v>
      </c>
      <c r="U69" s="34">
        <v>2316003</v>
      </c>
      <c r="V69" s="29">
        <v>2.65</v>
      </c>
      <c r="W69" s="30">
        <v>0</v>
      </c>
      <c r="X69" s="29">
        <v>0</v>
      </c>
      <c r="Y69" s="31">
        <v>2316003</v>
      </c>
      <c r="Z69" s="29">
        <v>2.48</v>
      </c>
      <c r="AA69" s="32">
        <v>2560000</v>
      </c>
      <c r="AB69" s="33"/>
      <c r="AC69" s="32">
        <v>0</v>
      </c>
      <c r="AD69" s="33"/>
      <c r="AE69" s="32">
        <f t="shared" si="0"/>
        <v>2560000</v>
      </c>
      <c r="AF69" s="33"/>
      <c r="AG69" s="32">
        <v>3072015</v>
      </c>
      <c r="AH69" s="33"/>
      <c r="AI69" s="32">
        <v>0</v>
      </c>
      <c r="AJ69" s="33"/>
      <c r="AK69" s="32">
        <f t="shared" si="1"/>
        <v>3072015</v>
      </c>
      <c r="AL69" s="33"/>
      <c r="AM69" s="32">
        <v>5030438</v>
      </c>
      <c r="AN69" s="33"/>
      <c r="AO69" s="32">
        <v>0</v>
      </c>
      <c r="AP69" s="33"/>
      <c r="AQ69" s="32">
        <f t="shared" si="2"/>
        <v>5030438</v>
      </c>
      <c r="AR69" s="33"/>
    </row>
    <row r="70" spans="1:44" ht="15.75" customHeight="1">
      <c r="A70" s="16">
        <v>20802</v>
      </c>
      <c r="B70" s="17" t="s">
        <v>75</v>
      </c>
      <c r="C70" s="18">
        <v>40000</v>
      </c>
      <c r="D70" s="19">
        <v>0.77</v>
      </c>
      <c r="E70" s="20">
        <v>0</v>
      </c>
      <c r="F70" s="19">
        <v>0</v>
      </c>
      <c r="G70" s="21">
        <v>40000</v>
      </c>
      <c r="H70" s="22">
        <v>0.63</v>
      </c>
      <c r="I70" s="23">
        <v>50000</v>
      </c>
      <c r="J70" s="24">
        <v>0.92</v>
      </c>
      <c r="K70" s="25">
        <v>0</v>
      </c>
      <c r="L70" s="26">
        <v>0</v>
      </c>
      <c r="M70" s="25">
        <v>50000</v>
      </c>
      <c r="N70" s="27">
        <v>0.88</v>
      </c>
      <c r="O70" s="23">
        <v>80000</v>
      </c>
      <c r="P70" s="24">
        <v>1.62</v>
      </c>
      <c r="Q70" s="25">
        <v>0</v>
      </c>
      <c r="R70" s="19">
        <v>0</v>
      </c>
      <c r="S70" s="25">
        <v>80000</v>
      </c>
      <c r="T70" s="22">
        <v>1.39</v>
      </c>
      <c r="U70" s="34">
        <v>55440</v>
      </c>
      <c r="V70" s="29">
        <v>1.27</v>
      </c>
      <c r="W70" s="30">
        <v>0</v>
      </c>
      <c r="X70" s="29">
        <v>0</v>
      </c>
      <c r="Y70" s="31">
        <v>55440</v>
      </c>
      <c r="Z70" s="29">
        <v>1.27</v>
      </c>
      <c r="AA70" s="32">
        <v>55000</v>
      </c>
      <c r="AB70" s="33"/>
      <c r="AC70" s="32">
        <v>0</v>
      </c>
      <c r="AD70" s="33"/>
      <c r="AE70" s="32">
        <f t="shared" si="0"/>
        <v>55000</v>
      </c>
      <c r="AF70" s="33"/>
      <c r="AG70" s="32">
        <v>55000</v>
      </c>
      <c r="AH70" s="33"/>
      <c r="AI70" s="32">
        <v>0</v>
      </c>
      <c r="AJ70" s="33"/>
      <c r="AK70" s="32">
        <f t="shared" si="1"/>
        <v>55000</v>
      </c>
      <c r="AL70" s="33"/>
      <c r="AM70" s="32">
        <v>56688</v>
      </c>
      <c r="AN70" s="33"/>
      <c r="AO70" s="32">
        <v>0</v>
      </c>
      <c r="AP70" s="33"/>
      <c r="AQ70" s="32">
        <f t="shared" si="2"/>
        <v>56688</v>
      </c>
      <c r="AR70" s="33"/>
    </row>
    <row r="71" spans="1:44" ht="15.75" customHeight="1">
      <c r="A71" s="16">
        <v>20803</v>
      </c>
      <c r="B71" s="17" t="s">
        <v>76</v>
      </c>
      <c r="C71" s="18">
        <v>68000</v>
      </c>
      <c r="D71" s="19">
        <v>1.01</v>
      </c>
      <c r="E71" s="36">
        <v>158280</v>
      </c>
      <c r="F71" s="19">
        <v>5.87</v>
      </c>
      <c r="G71" s="21">
        <v>226280</v>
      </c>
      <c r="H71" s="22">
        <v>2.41</v>
      </c>
      <c r="I71" s="23">
        <v>100000</v>
      </c>
      <c r="J71" s="24">
        <v>1.1399999999999999</v>
      </c>
      <c r="K71" s="25">
        <v>0</v>
      </c>
      <c r="L71" s="26">
        <v>0</v>
      </c>
      <c r="M71" s="25">
        <v>100000</v>
      </c>
      <c r="N71" s="27">
        <v>0.97</v>
      </c>
      <c r="O71" s="23">
        <v>130000</v>
      </c>
      <c r="P71" s="24">
        <v>1.66</v>
      </c>
      <c r="Q71" s="25">
        <v>337336</v>
      </c>
      <c r="R71" s="19">
        <v>4.68</v>
      </c>
      <c r="S71" s="25">
        <v>467336</v>
      </c>
      <c r="T71" s="22">
        <v>3.11</v>
      </c>
      <c r="U71" s="34">
        <v>216720</v>
      </c>
      <c r="V71" s="29">
        <v>2.59</v>
      </c>
      <c r="W71" s="30">
        <v>0</v>
      </c>
      <c r="X71" s="29">
        <v>0</v>
      </c>
      <c r="Y71" s="31">
        <v>216720</v>
      </c>
      <c r="Z71" s="29">
        <v>2.2999999999999998</v>
      </c>
      <c r="AA71" s="32">
        <v>105000</v>
      </c>
      <c r="AB71" s="33"/>
      <c r="AC71" s="32">
        <v>0</v>
      </c>
      <c r="AD71" s="33"/>
      <c r="AE71" s="32">
        <f t="shared" si="0"/>
        <v>105000</v>
      </c>
      <c r="AF71" s="33"/>
      <c r="AG71" s="32">
        <v>175000</v>
      </c>
      <c r="AH71" s="33"/>
      <c r="AI71" s="32">
        <v>0</v>
      </c>
      <c r="AJ71" s="33"/>
      <c r="AK71" s="32">
        <f t="shared" si="1"/>
        <v>175000</v>
      </c>
      <c r="AL71" s="33"/>
      <c r="AM71" s="32">
        <v>210000</v>
      </c>
      <c r="AN71" s="33"/>
      <c r="AO71" s="32">
        <v>0</v>
      </c>
      <c r="AP71" s="33"/>
      <c r="AQ71" s="32">
        <f t="shared" si="2"/>
        <v>210000</v>
      </c>
      <c r="AR71" s="33"/>
    </row>
    <row r="72" spans="1:44" ht="15.75" customHeight="1">
      <c r="A72" s="16">
        <v>20804</v>
      </c>
      <c r="B72" s="17" t="s">
        <v>77</v>
      </c>
      <c r="C72" s="18">
        <v>120000</v>
      </c>
      <c r="D72" s="19">
        <v>3.76</v>
      </c>
      <c r="E72" s="20">
        <v>0</v>
      </c>
      <c r="F72" s="19">
        <v>0</v>
      </c>
      <c r="G72" s="21">
        <v>120000</v>
      </c>
      <c r="H72" s="22">
        <v>2.93</v>
      </c>
      <c r="I72" s="23">
        <v>130000</v>
      </c>
      <c r="J72" s="24">
        <v>4.0599999999999996</v>
      </c>
      <c r="K72" s="25">
        <v>0</v>
      </c>
      <c r="L72" s="26">
        <v>0</v>
      </c>
      <c r="M72" s="25">
        <v>130000</v>
      </c>
      <c r="N72" s="27">
        <v>3.99</v>
      </c>
      <c r="O72" s="23">
        <v>148437</v>
      </c>
      <c r="P72" s="24">
        <v>3.77</v>
      </c>
      <c r="Q72" s="25">
        <v>0</v>
      </c>
      <c r="R72" s="19">
        <v>0</v>
      </c>
      <c r="S72" s="25">
        <v>148437</v>
      </c>
      <c r="T72" s="22">
        <v>2.74</v>
      </c>
      <c r="U72" s="34">
        <v>310000</v>
      </c>
      <c r="V72" s="29">
        <v>6.57</v>
      </c>
      <c r="W72" s="30">
        <v>0</v>
      </c>
      <c r="X72" s="29">
        <v>0</v>
      </c>
      <c r="Y72" s="31">
        <v>310000</v>
      </c>
      <c r="Z72" s="29">
        <v>6.57</v>
      </c>
      <c r="AA72" s="32">
        <v>310000</v>
      </c>
      <c r="AB72" s="33"/>
      <c r="AC72" s="32">
        <v>0</v>
      </c>
      <c r="AD72" s="33"/>
      <c r="AE72" s="32">
        <f t="shared" si="0"/>
        <v>310000</v>
      </c>
      <c r="AF72" s="33"/>
      <c r="AG72" s="32">
        <v>268480</v>
      </c>
      <c r="AH72" s="33"/>
      <c r="AI72" s="32">
        <v>0</v>
      </c>
      <c r="AJ72" s="33"/>
      <c r="AK72" s="32">
        <f t="shared" si="1"/>
        <v>268480</v>
      </c>
      <c r="AL72" s="33"/>
      <c r="AM72" s="32">
        <v>280000</v>
      </c>
      <c r="AN72" s="33"/>
      <c r="AO72" s="32">
        <v>0</v>
      </c>
      <c r="AP72" s="33"/>
      <c r="AQ72" s="32">
        <f t="shared" si="2"/>
        <v>280000</v>
      </c>
      <c r="AR72" s="33"/>
    </row>
    <row r="73" spans="1:44" ht="15.75" customHeight="1">
      <c r="A73" s="16">
        <v>20805</v>
      </c>
      <c r="B73" s="17" t="s">
        <v>78</v>
      </c>
      <c r="C73" s="35">
        <v>0</v>
      </c>
      <c r="D73" s="19">
        <v>0</v>
      </c>
      <c r="E73" s="20">
        <v>0</v>
      </c>
      <c r="F73" s="19">
        <v>0</v>
      </c>
      <c r="G73" s="21">
        <v>0</v>
      </c>
      <c r="H73" s="22">
        <v>0</v>
      </c>
      <c r="I73" s="35">
        <v>0</v>
      </c>
      <c r="J73" s="19">
        <v>0</v>
      </c>
      <c r="K73" s="25">
        <v>0</v>
      </c>
      <c r="L73" s="26">
        <v>0</v>
      </c>
      <c r="M73" s="21">
        <v>0</v>
      </c>
      <c r="N73" s="22">
        <v>0</v>
      </c>
      <c r="O73" s="35">
        <v>0</v>
      </c>
      <c r="P73" s="19">
        <v>0</v>
      </c>
      <c r="Q73" s="25">
        <v>0</v>
      </c>
      <c r="R73" s="19">
        <v>0</v>
      </c>
      <c r="S73" s="21">
        <v>0</v>
      </c>
      <c r="T73" s="22">
        <v>0</v>
      </c>
      <c r="U73" s="34">
        <v>15000</v>
      </c>
      <c r="V73" s="29">
        <v>0.34</v>
      </c>
      <c r="W73" s="30">
        <v>0</v>
      </c>
      <c r="X73" s="29">
        <v>0</v>
      </c>
      <c r="Y73" s="31">
        <v>15000</v>
      </c>
      <c r="Z73" s="29">
        <v>0.34</v>
      </c>
      <c r="AA73" s="32">
        <v>20000</v>
      </c>
      <c r="AB73" s="33"/>
      <c r="AC73" s="32">
        <v>0</v>
      </c>
      <c r="AD73" s="33"/>
      <c r="AE73" s="32">
        <f t="shared" si="0"/>
        <v>20000</v>
      </c>
      <c r="AF73" s="33"/>
      <c r="AG73" s="32">
        <v>10000</v>
      </c>
      <c r="AH73" s="33"/>
      <c r="AI73" s="32">
        <v>0</v>
      </c>
      <c r="AJ73" s="33"/>
      <c r="AK73" s="32">
        <f t="shared" si="1"/>
        <v>10000</v>
      </c>
      <c r="AL73" s="33"/>
      <c r="AM73" s="32">
        <v>10000</v>
      </c>
      <c r="AN73" s="33"/>
      <c r="AO73" s="32">
        <v>0</v>
      </c>
      <c r="AP73" s="33"/>
      <c r="AQ73" s="32">
        <f t="shared" si="2"/>
        <v>10000</v>
      </c>
      <c r="AR73" s="33"/>
    </row>
    <row r="74" spans="1:44" ht="15.75" customHeight="1">
      <c r="A74" s="16">
        <v>20806</v>
      </c>
      <c r="B74" s="17" t="s">
        <v>79</v>
      </c>
      <c r="C74" s="18">
        <v>5000</v>
      </c>
      <c r="D74" s="19">
        <v>7.0000000000000007E-2</v>
      </c>
      <c r="E74" s="20">
        <v>0</v>
      </c>
      <c r="F74" s="19">
        <v>0</v>
      </c>
      <c r="G74" s="21">
        <v>5000</v>
      </c>
      <c r="H74" s="22">
        <v>0.04</v>
      </c>
      <c r="I74" s="23">
        <v>5000</v>
      </c>
      <c r="J74" s="24">
        <v>0.06</v>
      </c>
      <c r="K74" s="25">
        <v>0</v>
      </c>
      <c r="L74" s="26">
        <v>0</v>
      </c>
      <c r="M74" s="25">
        <v>5000</v>
      </c>
      <c r="N74" s="27">
        <v>0.04</v>
      </c>
      <c r="O74" s="23">
        <v>5000</v>
      </c>
      <c r="P74" s="24">
        <v>0.06</v>
      </c>
      <c r="Q74" s="25">
        <v>0</v>
      </c>
      <c r="R74" s="19">
        <v>0</v>
      </c>
      <c r="S74" s="25">
        <v>5000</v>
      </c>
      <c r="T74" s="22">
        <v>0.04</v>
      </c>
      <c r="U74" s="34">
        <v>12200</v>
      </c>
      <c r="V74" s="29">
        <v>0.12</v>
      </c>
      <c r="W74" s="30">
        <v>0</v>
      </c>
      <c r="X74" s="29">
        <v>0</v>
      </c>
      <c r="Y74" s="31">
        <v>12200</v>
      </c>
      <c r="Z74" s="29">
        <v>0.12</v>
      </c>
      <c r="AA74" s="32">
        <v>18000</v>
      </c>
      <c r="AB74" s="33"/>
      <c r="AC74" s="32">
        <v>0</v>
      </c>
      <c r="AD74" s="33"/>
      <c r="AE74" s="32">
        <f t="shared" si="0"/>
        <v>18000</v>
      </c>
      <c r="AF74" s="33"/>
      <c r="AG74" s="32">
        <v>20000</v>
      </c>
      <c r="AH74" s="33"/>
      <c r="AI74" s="32">
        <v>0</v>
      </c>
      <c r="AJ74" s="33"/>
      <c r="AK74" s="32">
        <f t="shared" si="1"/>
        <v>20000</v>
      </c>
      <c r="AL74" s="33"/>
      <c r="AM74" s="32">
        <v>30000</v>
      </c>
      <c r="AN74" s="33"/>
      <c r="AO74" s="32">
        <v>0</v>
      </c>
      <c r="AP74" s="33"/>
      <c r="AQ74" s="32">
        <f t="shared" si="2"/>
        <v>30000</v>
      </c>
      <c r="AR74" s="33"/>
    </row>
    <row r="75" spans="1:44" ht="15.75" customHeight="1">
      <c r="A75" s="16">
        <v>20807</v>
      </c>
      <c r="B75" s="17" t="s">
        <v>80</v>
      </c>
      <c r="C75" s="35">
        <v>0</v>
      </c>
      <c r="D75" s="19">
        <v>0</v>
      </c>
      <c r="E75" s="20">
        <v>0</v>
      </c>
      <c r="F75" s="19">
        <v>0</v>
      </c>
      <c r="G75" s="21">
        <v>0</v>
      </c>
      <c r="H75" s="22">
        <v>0</v>
      </c>
      <c r="I75" s="35">
        <v>0</v>
      </c>
      <c r="J75" s="19">
        <v>0</v>
      </c>
      <c r="K75" s="25">
        <v>0</v>
      </c>
      <c r="L75" s="26">
        <v>0</v>
      </c>
      <c r="M75" s="21">
        <v>0</v>
      </c>
      <c r="N75" s="22">
        <v>0</v>
      </c>
      <c r="O75" s="35">
        <v>0</v>
      </c>
      <c r="P75" s="19">
        <v>0</v>
      </c>
      <c r="Q75" s="25">
        <v>0</v>
      </c>
      <c r="R75" s="19">
        <v>0</v>
      </c>
      <c r="S75" s="21">
        <v>0</v>
      </c>
      <c r="T75" s="22">
        <v>0</v>
      </c>
      <c r="U75" s="28">
        <v>0</v>
      </c>
      <c r="V75" s="29">
        <v>0</v>
      </c>
      <c r="W75" s="30">
        <v>0</v>
      </c>
      <c r="X75" s="29">
        <v>0</v>
      </c>
      <c r="Y75" s="31">
        <v>0</v>
      </c>
      <c r="Z75" s="29">
        <v>0</v>
      </c>
      <c r="AA75" s="32">
        <v>40968</v>
      </c>
      <c r="AB75" s="33"/>
      <c r="AC75" s="32">
        <v>0</v>
      </c>
      <c r="AD75" s="33"/>
      <c r="AE75" s="32">
        <f t="shared" si="0"/>
        <v>40968</v>
      </c>
      <c r="AF75" s="33"/>
      <c r="AG75" s="32">
        <v>60888</v>
      </c>
      <c r="AH75" s="33"/>
      <c r="AI75" s="32">
        <v>0</v>
      </c>
      <c r="AJ75" s="33"/>
      <c r="AK75" s="32">
        <f t="shared" si="1"/>
        <v>60888</v>
      </c>
      <c r="AL75" s="33"/>
      <c r="AM75" s="32">
        <v>76000</v>
      </c>
      <c r="AN75" s="33"/>
      <c r="AO75" s="32">
        <v>0</v>
      </c>
      <c r="AP75" s="33"/>
      <c r="AQ75" s="32">
        <f t="shared" si="2"/>
        <v>76000</v>
      </c>
      <c r="AR75" s="33"/>
    </row>
    <row r="76" spans="1:44" ht="15.75" customHeight="1">
      <c r="A76" s="16">
        <v>20901</v>
      </c>
      <c r="B76" s="17" t="s">
        <v>81</v>
      </c>
      <c r="C76" s="18">
        <v>120000</v>
      </c>
      <c r="D76" s="19">
        <v>1.97</v>
      </c>
      <c r="E76" s="20">
        <v>0</v>
      </c>
      <c r="F76" s="19">
        <v>0</v>
      </c>
      <c r="G76" s="21">
        <v>120000</v>
      </c>
      <c r="H76" s="22">
        <v>1.53</v>
      </c>
      <c r="I76" s="23">
        <v>20000</v>
      </c>
      <c r="J76" s="24">
        <v>0.24</v>
      </c>
      <c r="K76" s="25">
        <v>0</v>
      </c>
      <c r="L76" s="26">
        <v>0</v>
      </c>
      <c r="M76" s="25">
        <v>20000</v>
      </c>
      <c r="N76" s="27">
        <v>0.19</v>
      </c>
      <c r="O76" s="23">
        <v>20000</v>
      </c>
      <c r="P76" s="24">
        <v>0.3</v>
      </c>
      <c r="Q76" s="25">
        <v>480000</v>
      </c>
      <c r="R76" s="19">
        <v>8.16</v>
      </c>
      <c r="S76" s="25">
        <v>500000</v>
      </c>
      <c r="T76" s="22">
        <v>4</v>
      </c>
      <c r="U76" s="34">
        <v>20000</v>
      </c>
      <c r="V76" s="29">
        <v>0.32</v>
      </c>
      <c r="W76" s="30">
        <v>0</v>
      </c>
      <c r="X76" s="29">
        <v>0</v>
      </c>
      <c r="Y76" s="31">
        <v>20000</v>
      </c>
      <c r="Z76" s="29">
        <v>0.23</v>
      </c>
      <c r="AA76" s="32">
        <v>40000</v>
      </c>
      <c r="AB76" s="33"/>
      <c r="AC76" s="32">
        <v>0</v>
      </c>
      <c r="AD76" s="33"/>
      <c r="AE76" s="32">
        <f t="shared" si="0"/>
        <v>40000</v>
      </c>
      <c r="AF76" s="33"/>
      <c r="AG76" s="32">
        <v>20000</v>
      </c>
      <c r="AH76" s="33"/>
      <c r="AI76" s="32">
        <v>0</v>
      </c>
      <c r="AJ76" s="33"/>
      <c r="AK76" s="32">
        <f t="shared" si="1"/>
        <v>20000</v>
      </c>
      <c r="AL76" s="33"/>
      <c r="AM76" s="32">
        <v>20000</v>
      </c>
      <c r="AN76" s="33"/>
      <c r="AO76" s="32">
        <v>0</v>
      </c>
      <c r="AP76" s="33"/>
      <c r="AQ76" s="32">
        <f t="shared" si="2"/>
        <v>20000</v>
      </c>
      <c r="AR76" s="33"/>
    </row>
    <row r="77" spans="1:44" ht="15.75" customHeight="1">
      <c r="A77" s="16">
        <v>20902</v>
      </c>
      <c r="B77" s="17" t="s">
        <v>82</v>
      </c>
      <c r="C77" s="18">
        <v>14067</v>
      </c>
      <c r="D77" s="19">
        <v>0.21</v>
      </c>
      <c r="E77" s="20">
        <v>0</v>
      </c>
      <c r="F77" s="19">
        <v>0</v>
      </c>
      <c r="G77" s="21">
        <v>14067</v>
      </c>
      <c r="H77" s="22">
        <v>0.12</v>
      </c>
      <c r="I77" s="23">
        <v>53067</v>
      </c>
      <c r="J77" s="24">
        <v>0.73</v>
      </c>
      <c r="K77" s="25">
        <v>0</v>
      </c>
      <c r="L77" s="26">
        <v>0</v>
      </c>
      <c r="M77" s="25">
        <v>53067</v>
      </c>
      <c r="N77" s="27">
        <v>0.38</v>
      </c>
      <c r="O77" s="23">
        <v>30000</v>
      </c>
      <c r="P77" s="24">
        <v>0.4</v>
      </c>
      <c r="Q77" s="25">
        <v>0</v>
      </c>
      <c r="R77" s="19">
        <v>0</v>
      </c>
      <c r="S77" s="25">
        <v>30000</v>
      </c>
      <c r="T77" s="22">
        <v>0.17</v>
      </c>
      <c r="U77" s="28">
        <v>0</v>
      </c>
      <c r="V77" s="29">
        <v>0</v>
      </c>
      <c r="W77" s="30">
        <v>0</v>
      </c>
      <c r="X77" s="29">
        <v>0</v>
      </c>
      <c r="Y77" s="31">
        <v>0</v>
      </c>
      <c r="Z77" s="29">
        <v>0</v>
      </c>
      <c r="AA77" s="32">
        <v>0</v>
      </c>
      <c r="AB77" s="33"/>
      <c r="AC77" s="32">
        <v>0</v>
      </c>
      <c r="AD77" s="33"/>
      <c r="AE77" s="32">
        <f t="shared" si="0"/>
        <v>0</v>
      </c>
      <c r="AF77" s="33"/>
      <c r="AG77" s="32">
        <v>10000</v>
      </c>
      <c r="AH77" s="33"/>
      <c r="AI77" s="32">
        <v>0</v>
      </c>
      <c r="AJ77" s="33"/>
      <c r="AK77" s="32">
        <f t="shared" si="1"/>
        <v>10000</v>
      </c>
      <c r="AL77" s="33"/>
      <c r="AM77" s="32">
        <v>30000</v>
      </c>
      <c r="AN77" s="33"/>
      <c r="AO77" s="32">
        <v>0</v>
      </c>
      <c r="AP77" s="33"/>
      <c r="AQ77" s="32">
        <f t="shared" si="2"/>
        <v>30000</v>
      </c>
      <c r="AR77" s="33"/>
    </row>
    <row r="78" spans="1:44" ht="15.75" customHeight="1">
      <c r="A78" s="16">
        <v>20903</v>
      </c>
      <c r="B78" s="17" t="s">
        <v>83</v>
      </c>
      <c r="C78" s="35">
        <v>0</v>
      </c>
      <c r="D78" s="19">
        <v>0</v>
      </c>
      <c r="E78" s="20">
        <v>0</v>
      </c>
      <c r="F78" s="19">
        <v>0</v>
      </c>
      <c r="G78" s="21">
        <v>0</v>
      </c>
      <c r="H78" s="22">
        <v>0</v>
      </c>
      <c r="I78" s="35">
        <v>0</v>
      </c>
      <c r="J78" s="19">
        <v>0</v>
      </c>
      <c r="K78" s="25">
        <v>0</v>
      </c>
      <c r="L78" s="26">
        <v>0</v>
      </c>
      <c r="M78" s="21">
        <v>0</v>
      </c>
      <c r="N78" s="22">
        <v>0</v>
      </c>
      <c r="O78" s="35">
        <v>0</v>
      </c>
      <c r="P78" s="19">
        <v>0</v>
      </c>
      <c r="Q78" s="25">
        <v>0</v>
      </c>
      <c r="R78" s="19">
        <v>0</v>
      </c>
      <c r="S78" s="21">
        <v>0</v>
      </c>
      <c r="T78" s="22">
        <v>0</v>
      </c>
      <c r="U78" s="28">
        <v>0</v>
      </c>
      <c r="V78" s="29">
        <v>0</v>
      </c>
      <c r="W78" s="30">
        <v>0</v>
      </c>
      <c r="X78" s="29">
        <v>0</v>
      </c>
      <c r="Y78" s="31">
        <v>0</v>
      </c>
      <c r="Z78" s="29">
        <v>0</v>
      </c>
      <c r="AA78" s="32"/>
      <c r="AB78" s="33"/>
      <c r="AC78" s="32">
        <v>0</v>
      </c>
      <c r="AD78" s="33"/>
      <c r="AE78" s="32">
        <f t="shared" si="0"/>
        <v>0</v>
      </c>
      <c r="AF78" s="33"/>
      <c r="AG78" s="32">
        <v>30000</v>
      </c>
      <c r="AH78" s="33"/>
      <c r="AI78" s="32">
        <v>0</v>
      </c>
      <c r="AJ78" s="33"/>
      <c r="AK78" s="32">
        <f t="shared" si="1"/>
        <v>30000</v>
      </c>
      <c r="AL78" s="33"/>
      <c r="AM78" s="32">
        <v>30000</v>
      </c>
      <c r="AN78" s="33"/>
      <c r="AO78" s="32">
        <v>0</v>
      </c>
      <c r="AP78" s="33"/>
      <c r="AQ78" s="32">
        <f t="shared" si="2"/>
        <v>30000</v>
      </c>
      <c r="AR78" s="33"/>
    </row>
    <row r="79" spans="1:44" ht="15.75" customHeight="1">
      <c r="A79" s="16">
        <v>20904</v>
      </c>
      <c r="B79" s="17" t="s">
        <v>84</v>
      </c>
      <c r="C79" s="35">
        <v>0</v>
      </c>
      <c r="D79" s="19">
        <v>0</v>
      </c>
      <c r="E79" s="20">
        <v>0</v>
      </c>
      <c r="F79" s="19">
        <v>0</v>
      </c>
      <c r="G79" s="21">
        <v>0</v>
      </c>
      <c r="H79" s="22">
        <v>0</v>
      </c>
      <c r="I79" s="35">
        <v>0</v>
      </c>
      <c r="J79" s="19">
        <v>0</v>
      </c>
      <c r="K79" s="25">
        <v>0</v>
      </c>
      <c r="L79" s="26">
        <v>0</v>
      </c>
      <c r="M79" s="21">
        <v>0</v>
      </c>
      <c r="N79" s="22">
        <v>0</v>
      </c>
      <c r="O79" s="35">
        <v>0</v>
      </c>
      <c r="P79" s="19">
        <v>0</v>
      </c>
      <c r="Q79" s="25">
        <v>0</v>
      </c>
      <c r="R79" s="19">
        <v>0</v>
      </c>
      <c r="S79" s="21">
        <v>0</v>
      </c>
      <c r="T79" s="22">
        <v>0</v>
      </c>
      <c r="U79" s="28">
        <v>0</v>
      </c>
      <c r="V79" s="29">
        <v>0</v>
      </c>
      <c r="W79" s="30">
        <v>0</v>
      </c>
      <c r="X79" s="29">
        <v>0</v>
      </c>
      <c r="Y79" s="31">
        <v>0</v>
      </c>
      <c r="Z79" s="29">
        <v>0</v>
      </c>
      <c r="AA79" s="32"/>
      <c r="AB79" s="33"/>
      <c r="AC79" s="32">
        <v>0</v>
      </c>
      <c r="AD79" s="33"/>
      <c r="AE79" s="32">
        <f t="shared" si="0"/>
        <v>0</v>
      </c>
      <c r="AF79" s="33"/>
      <c r="AG79" s="32"/>
      <c r="AH79" s="33"/>
      <c r="AI79" s="32">
        <v>0</v>
      </c>
      <c r="AJ79" s="33"/>
      <c r="AK79" s="32">
        <f t="shared" si="1"/>
        <v>0</v>
      </c>
      <c r="AL79" s="33"/>
      <c r="AM79" s="32"/>
      <c r="AN79" s="33"/>
      <c r="AO79" s="32">
        <v>0</v>
      </c>
      <c r="AP79" s="33"/>
      <c r="AQ79" s="32">
        <f t="shared" si="2"/>
        <v>0</v>
      </c>
      <c r="AR79" s="33"/>
    </row>
    <row r="80" spans="1:44" ht="15.75" customHeight="1">
      <c r="A80" s="16">
        <v>20905</v>
      </c>
      <c r="B80" s="17" t="s">
        <v>85</v>
      </c>
      <c r="C80" s="18">
        <v>5000</v>
      </c>
      <c r="D80" s="19">
        <v>0.11</v>
      </c>
      <c r="E80" s="20">
        <v>0</v>
      </c>
      <c r="F80" s="19">
        <v>0</v>
      </c>
      <c r="G80" s="21">
        <v>5000</v>
      </c>
      <c r="H80" s="22">
        <v>0.06</v>
      </c>
      <c r="I80" s="23">
        <v>30000</v>
      </c>
      <c r="J80" s="24">
        <v>0.62</v>
      </c>
      <c r="K80" s="25">
        <v>0</v>
      </c>
      <c r="L80" s="26">
        <v>0</v>
      </c>
      <c r="M80" s="25">
        <v>30000</v>
      </c>
      <c r="N80" s="27">
        <v>0.61</v>
      </c>
      <c r="O80" s="23">
        <v>30000</v>
      </c>
      <c r="P80" s="24">
        <v>0.54</v>
      </c>
      <c r="Q80" s="25">
        <v>0</v>
      </c>
      <c r="R80" s="19">
        <v>0</v>
      </c>
      <c r="S80" s="25">
        <v>30000</v>
      </c>
      <c r="T80" s="22">
        <v>0.52</v>
      </c>
      <c r="U80" s="34">
        <v>60000</v>
      </c>
      <c r="V80" s="29">
        <v>0.79</v>
      </c>
      <c r="W80" s="30">
        <v>0</v>
      </c>
      <c r="X80" s="29">
        <v>0</v>
      </c>
      <c r="Y80" s="31">
        <v>60000</v>
      </c>
      <c r="Z80" s="29">
        <v>0.79</v>
      </c>
      <c r="AA80" s="32">
        <v>80000</v>
      </c>
      <c r="AB80" s="33"/>
      <c r="AC80" s="32">
        <v>0</v>
      </c>
      <c r="AD80" s="33"/>
      <c r="AE80" s="32">
        <f t="shared" si="0"/>
        <v>80000</v>
      </c>
      <c r="AF80" s="33"/>
      <c r="AG80" s="32">
        <v>150000</v>
      </c>
      <c r="AH80" s="33"/>
      <c r="AI80" s="32">
        <v>0</v>
      </c>
      <c r="AJ80" s="33"/>
      <c r="AK80" s="32">
        <f t="shared" si="1"/>
        <v>150000</v>
      </c>
      <c r="AL80" s="33"/>
      <c r="AM80" s="32">
        <v>150000</v>
      </c>
      <c r="AN80" s="33"/>
      <c r="AO80" s="32">
        <v>0</v>
      </c>
      <c r="AP80" s="33"/>
      <c r="AQ80" s="32">
        <f t="shared" si="2"/>
        <v>150000</v>
      </c>
      <c r="AR80" s="33"/>
    </row>
    <row r="81" spans="1:44" ht="15.75" customHeight="1">
      <c r="A81" s="16">
        <v>21001</v>
      </c>
      <c r="B81" s="17" t="s">
        <v>86</v>
      </c>
      <c r="C81" s="18">
        <v>30000</v>
      </c>
      <c r="D81" s="19">
        <v>0.36</v>
      </c>
      <c r="E81" s="20">
        <v>0</v>
      </c>
      <c r="F81" s="19">
        <v>0</v>
      </c>
      <c r="G81" s="21">
        <v>30000</v>
      </c>
      <c r="H81" s="22">
        <v>0.23</v>
      </c>
      <c r="I81" s="23">
        <v>40000</v>
      </c>
      <c r="J81" s="24">
        <v>0.42</v>
      </c>
      <c r="K81" s="25">
        <v>0</v>
      </c>
      <c r="L81" s="26">
        <v>0</v>
      </c>
      <c r="M81" s="25">
        <v>40000</v>
      </c>
      <c r="N81" s="27">
        <v>0.41</v>
      </c>
      <c r="O81" s="23">
        <v>40000</v>
      </c>
      <c r="P81" s="24">
        <v>0.45</v>
      </c>
      <c r="Q81" s="25">
        <v>0</v>
      </c>
      <c r="R81" s="19">
        <v>0</v>
      </c>
      <c r="S81" s="25">
        <v>40000</v>
      </c>
      <c r="T81" s="22">
        <v>0.31</v>
      </c>
      <c r="U81" s="34">
        <v>50000</v>
      </c>
      <c r="V81" s="29">
        <v>0.37</v>
      </c>
      <c r="W81" s="30">
        <v>0</v>
      </c>
      <c r="X81" s="29">
        <v>0</v>
      </c>
      <c r="Y81" s="31">
        <v>50000</v>
      </c>
      <c r="Z81" s="29">
        <v>0.37</v>
      </c>
      <c r="AA81" s="32">
        <v>70000</v>
      </c>
      <c r="AB81" s="33"/>
      <c r="AC81" s="32">
        <v>0</v>
      </c>
      <c r="AD81" s="33"/>
      <c r="AE81" s="32">
        <f t="shared" si="0"/>
        <v>70000</v>
      </c>
      <c r="AF81" s="33"/>
      <c r="AG81" s="32">
        <v>70000</v>
      </c>
      <c r="AH81" s="33"/>
      <c r="AI81" s="32">
        <v>0</v>
      </c>
      <c r="AJ81" s="33"/>
      <c r="AK81" s="32">
        <f t="shared" si="1"/>
        <v>70000</v>
      </c>
      <c r="AL81" s="33"/>
      <c r="AM81" s="32">
        <v>70000</v>
      </c>
      <c r="AN81" s="33"/>
      <c r="AO81" s="32">
        <v>0</v>
      </c>
      <c r="AP81" s="33"/>
      <c r="AQ81" s="32">
        <f t="shared" si="2"/>
        <v>70000</v>
      </c>
      <c r="AR81" s="33"/>
    </row>
    <row r="82" spans="1:44" ht="15.75" customHeight="1">
      <c r="A82" s="16">
        <v>21002</v>
      </c>
      <c r="B82" s="17" t="s">
        <v>87</v>
      </c>
      <c r="C82" s="18">
        <v>70000</v>
      </c>
      <c r="D82" s="19">
        <v>1.37</v>
      </c>
      <c r="E82" s="20">
        <v>0</v>
      </c>
      <c r="F82" s="19">
        <v>0</v>
      </c>
      <c r="G82" s="21">
        <v>70000</v>
      </c>
      <c r="H82" s="22">
        <v>0.78</v>
      </c>
      <c r="I82" s="23">
        <v>70000</v>
      </c>
      <c r="J82" s="24">
        <v>1.61</v>
      </c>
      <c r="K82" s="25">
        <v>0</v>
      </c>
      <c r="L82" s="26">
        <v>0</v>
      </c>
      <c r="M82" s="25">
        <v>70000</v>
      </c>
      <c r="N82" s="27">
        <v>0.9</v>
      </c>
      <c r="O82" s="23">
        <v>71804</v>
      </c>
      <c r="P82" s="24">
        <v>1.42</v>
      </c>
      <c r="Q82" s="25">
        <v>0</v>
      </c>
      <c r="R82" s="19">
        <v>0</v>
      </c>
      <c r="S82" s="25">
        <v>71804</v>
      </c>
      <c r="T82" s="22">
        <v>0.81</v>
      </c>
      <c r="U82" s="34">
        <v>120000</v>
      </c>
      <c r="V82" s="29">
        <v>2.16</v>
      </c>
      <c r="W82" s="30">
        <v>0</v>
      </c>
      <c r="X82" s="29">
        <v>0</v>
      </c>
      <c r="Y82" s="31">
        <v>120000</v>
      </c>
      <c r="Z82" s="29">
        <v>2.14</v>
      </c>
      <c r="AA82" s="32">
        <v>120000</v>
      </c>
      <c r="AB82" s="33"/>
      <c r="AC82" s="32">
        <v>0</v>
      </c>
      <c r="AD82" s="33"/>
      <c r="AE82" s="32">
        <f t="shared" si="0"/>
        <v>120000</v>
      </c>
      <c r="AF82" s="33"/>
      <c r="AG82" s="32">
        <v>160000</v>
      </c>
      <c r="AH82" s="33"/>
      <c r="AI82" s="32">
        <v>0</v>
      </c>
      <c r="AJ82" s="33"/>
      <c r="AK82" s="32">
        <f t="shared" si="1"/>
        <v>160000</v>
      </c>
      <c r="AL82" s="33"/>
      <c r="AM82" s="32">
        <v>200000</v>
      </c>
      <c r="AN82" s="33"/>
      <c r="AO82" s="32">
        <v>0</v>
      </c>
      <c r="AP82" s="33"/>
      <c r="AQ82" s="32">
        <f t="shared" si="2"/>
        <v>200000</v>
      </c>
      <c r="AR82" s="33"/>
    </row>
    <row r="83" spans="1:44" ht="15.75" customHeight="1">
      <c r="A83" s="16">
        <v>21003</v>
      </c>
      <c r="B83" s="17" t="s">
        <v>88</v>
      </c>
      <c r="C83" s="18">
        <v>86800</v>
      </c>
      <c r="D83" s="19">
        <v>1.86</v>
      </c>
      <c r="E83" s="20">
        <v>0</v>
      </c>
      <c r="F83" s="19">
        <v>0</v>
      </c>
      <c r="G83" s="21">
        <v>86800</v>
      </c>
      <c r="H83" s="22">
        <v>1.32</v>
      </c>
      <c r="I83" s="23">
        <v>62400</v>
      </c>
      <c r="J83" s="24">
        <v>1.19</v>
      </c>
      <c r="K83" s="25">
        <v>0</v>
      </c>
      <c r="L83" s="26">
        <v>0</v>
      </c>
      <c r="M83" s="25">
        <v>62400</v>
      </c>
      <c r="N83" s="27">
        <v>0.91</v>
      </c>
      <c r="O83" s="23">
        <v>63600</v>
      </c>
      <c r="P83" s="24">
        <v>0.95</v>
      </c>
      <c r="Q83" s="25">
        <v>0</v>
      </c>
      <c r="R83" s="19">
        <v>0</v>
      </c>
      <c r="S83" s="25">
        <v>63600</v>
      </c>
      <c r="T83" s="22">
        <v>0.65</v>
      </c>
      <c r="U83" s="34">
        <v>35000</v>
      </c>
      <c r="V83" s="29">
        <v>0.52</v>
      </c>
      <c r="W83" s="30">
        <v>0</v>
      </c>
      <c r="X83" s="29">
        <v>0</v>
      </c>
      <c r="Y83" s="31">
        <v>35000</v>
      </c>
      <c r="Z83" s="29">
        <v>0.52</v>
      </c>
      <c r="AA83" s="32">
        <v>68463</v>
      </c>
      <c r="AB83" s="33"/>
      <c r="AC83" s="32">
        <v>0</v>
      </c>
      <c r="AD83" s="33"/>
      <c r="AE83" s="32">
        <f t="shared" si="0"/>
        <v>68463</v>
      </c>
      <c r="AF83" s="33"/>
      <c r="AG83" s="32">
        <v>130000</v>
      </c>
      <c r="AH83" s="33"/>
      <c r="AI83" s="32">
        <v>0</v>
      </c>
      <c r="AJ83" s="33"/>
      <c r="AK83" s="32">
        <f t="shared" si="1"/>
        <v>130000</v>
      </c>
      <c r="AL83" s="33"/>
      <c r="AM83" s="32">
        <v>51000</v>
      </c>
      <c r="AN83" s="33"/>
      <c r="AO83" s="32">
        <v>0</v>
      </c>
      <c r="AP83" s="33"/>
      <c r="AQ83" s="32">
        <f t="shared" si="2"/>
        <v>51000</v>
      </c>
      <c r="AR83" s="33"/>
    </row>
    <row r="84" spans="1:44" ht="15.75" customHeight="1">
      <c r="A84" s="16">
        <v>21004</v>
      </c>
      <c r="B84" s="17" t="s">
        <v>89</v>
      </c>
      <c r="C84" s="35">
        <v>0</v>
      </c>
      <c r="D84" s="19">
        <v>0</v>
      </c>
      <c r="E84" s="20">
        <v>0</v>
      </c>
      <c r="F84" s="19">
        <v>0</v>
      </c>
      <c r="G84" s="21">
        <v>0</v>
      </c>
      <c r="H84" s="22">
        <v>0</v>
      </c>
      <c r="I84" s="23">
        <v>1000</v>
      </c>
      <c r="J84" s="24">
        <v>0.01</v>
      </c>
      <c r="K84" s="25">
        <v>0</v>
      </c>
      <c r="L84" s="26">
        <v>0</v>
      </c>
      <c r="M84" s="25">
        <v>1000</v>
      </c>
      <c r="N84" s="27">
        <v>0</v>
      </c>
      <c r="O84" s="23">
        <v>5000</v>
      </c>
      <c r="P84" s="24">
        <v>0.04</v>
      </c>
      <c r="Q84" s="25">
        <v>0</v>
      </c>
      <c r="R84" s="19">
        <v>0</v>
      </c>
      <c r="S84" s="25">
        <v>5000</v>
      </c>
      <c r="T84" s="22">
        <v>0.02</v>
      </c>
      <c r="U84" s="34">
        <v>350000</v>
      </c>
      <c r="V84" s="29">
        <v>2.41</v>
      </c>
      <c r="W84" s="30">
        <v>0</v>
      </c>
      <c r="X84" s="29">
        <v>0</v>
      </c>
      <c r="Y84" s="31">
        <v>350000</v>
      </c>
      <c r="Z84" s="29">
        <v>2.06</v>
      </c>
      <c r="AA84" s="32">
        <v>350000</v>
      </c>
      <c r="AB84" s="33"/>
      <c r="AC84" s="32">
        <v>0</v>
      </c>
      <c r="AD84" s="33"/>
      <c r="AE84" s="32">
        <f t="shared" si="0"/>
        <v>350000</v>
      </c>
      <c r="AF84" s="33"/>
      <c r="AG84" s="32">
        <v>350000</v>
      </c>
      <c r="AH84" s="33"/>
      <c r="AI84" s="32">
        <v>0</v>
      </c>
      <c r="AJ84" s="33"/>
      <c r="AK84" s="32">
        <f t="shared" si="1"/>
        <v>350000</v>
      </c>
      <c r="AL84" s="33"/>
      <c r="AM84" s="32">
        <v>350000</v>
      </c>
      <c r="AN84" s="33"/>
      <c r="AO84" s="32">
        <v>0</v>
      </c>
      <c r="AP84" s="33"/>
      <c r="AQ84" s="32">
        <f t="shared" si="2"/>
        <v>350000</v>
      </c>
      <c r="AR84" s="33"/>
    </row>
    <row r="85" spans="1:44" ht="15.75" customHeight="1">
      <c r="A85" s="16">
        <v>21005</v>
      </c>
      <c r="B85" s="17" t="s">
        <v>90</v>
      </c>
      <c r="C85" s="35">
        <v>0</v>
      </c>
      <c r="D85" s="19">
        <v>0</v>
      </c>
      <c r="E85" s="20">
        <v>0</v>
      </c>
      <c r="F85" s="19">
        <v>0</v>
      </c>
      <c r="G85" s="21">
        <v>0</v>
      </c>
      <c r="H85" s="22">
        <v>0</v>
      </c>
      <c r="I85" s="23">
        <v>17300</v>
      </c>
      <c r="J85" s="24">
        <v>0.37</v>
      </c>
      <c r="K85" s="25">
        <v>0</v>
      </c>
      <c r="L85" s="26">
        <v>0</v>
      </c>
      <c r="M85" s="25">
        <v>17300</v>
      </c>
      <c r="N85" s="27">
        <v>0.23</v>
      </c>
      <c r="O85" s="23">
        <v>20000</v>
      </c>
      <c r="P85" s="24">
        <v>0.42</v>
      </c>
      <c r="Q85" s="25">
        <v>0</v>
      </c>
      <c r="R85" s="19">
        <v>0</v>
      </c>
      <c r="S85" s="25">
        <v>20000</v>
      </c>
      <c r="T85" s="22">
        <v>0.26</v>
      </c>
      <c r="U85" s="34">
        <v>10000</v>
      </c>
      <c r="V85" s="29">
        <v>0.19</v>
      </c>
      <c r="W85" s="30">
        <v>0</v>
      </c>
      <c r="X85" s="29">
        <v>0</v>
      </c>
      <c r="Y85" s="31">
        <v>10000</v>
      </c>
      <c r="Z85" s="29">
        <v>0.17</v>
      </c>
      <c r="AA85" s="32">
        <v>10000</v>
      </c>
      <c r="AB85" s="33"/>
      <c r="AC85" s="32">
        <v>0</v>
      </c>
      <c r="AD85" s="33"/>
      <c r="AE85" s="32">
        <f t="shared" si="0"/>
        <v>10000</v>
      </c>
      <c r="AF85" s="33"/>
      <c r="AG85" s="32">
        <v>10000</v>
      </c>
      <c r="AH85" s="33"/>
      <c r="AI85" s="32">
        <v>0</v>
      </c>
      <c r="AJ85" s="33"/>
      <c r="AK85" s="32">
        <f t="shared" si="1"/>
        <v>10000</v>
      </c>
      <c r="AL85" s="33"/>
      <c r="AM85" s="32">
        <v>10000</v>
      </c>
      <c r="AN85" s="33"/>
      <c r="AO85" s="32">
        <v>0</v>
      </c>
      <c r="AP85" s="33"/>
      <c r="AQ85" s="32">
        <f t="shared" si="2"/>
        <v>10000</v>
      </c>
      <c r="AR85" s="33"/>
    </row>
    <row r="86" spans="1:44" ht="15.75" customHeight="1">
      <c r="A86" s="16">
        <v>21006</v>
      </c>
      <c r="B86" s="17" t="s">
        <v>91</v>
      </c>
      <c r="C86" s="18">
        <v>45000</v>
      </c>
      <c r="D86" s="19">
        <v>2.5299999999999998</v>
      </c>
      <c r="E86" s="20">
        <v>0</v>
      </c>
      <c r="F86" s="19">
        <v>0</v>
      </c>
      <c r="G86" s="21">
        <v>45000</v>
      </c>
      <c r="H86" s="22">
        <v>1.35</v>
      </c>
      <c r="I86" s="23">
        <v>30000</v>
      </c>
      <c r="J86" s="24">
        <v>1.75</v>
      </c>
      <c r="K86" s="25">
        <v>0</v>
      </c>
      <c r="L86" s="26">
        <v>0</v>
      </c>
      <c r="M86" s="25">
        <v>30000</v>
      </c>
      <c r="N86" s="27">
        <v>1.72</v>
      </c>
      <c r="O86" s="23">
        <v>75000</v>
      </c>
      <c r="P86" s="24">
        <v>2.21</v>
      </c>
      <c r="Q86" s="25">
        <v>0</v>
      </c>
      <c r="R86" s="19">
        <v>0</v>
      </c>
      <c r="S86" s="25">
        <v>75000</v>
      </c>
      <c r="T86" s="22">
        <v>1.41</v>
      </c>
      <c r="U86" s="34">
        <v>46694</v>
      </c>
      <c r="V86" s="29">
        <v>1.21</v>
      </c>
      <c r="W86" s="30">
        <v>0</v>
      </c>
      <c r="X86" s="29">
        <v>0</v>
      </c>
      <c r="Y86" s="31">
        <v>46694</v>
      </c>
      <c r="Z86" s="29">
        <v>1.2</v>
      </c>
      <c r="AA86" s="32">
        <v>52800</v>
      </c>
      <c r="AB86" s="33"/>
      <c r="AC86" s="32">
        <v>0</v>
      </c>
      <c r="AD86" s="33"/>
      <c r="AE86" s="32">
        <f t="shared" si="0"/>
        <v>52800</v>
      </c>
      <c r="AF86" s="33"/>
      <c r="AG86" s="32">
        <v>90000</v>
      </c>
      <c r="AH86" s="33"/>
      <c r="AI86" s="32">
        <v>0</v>
      </c>
      <c r="AJ86" s="33"/>
      <c r="AK86" s="32">
        <f t="shared" si="1"/>
        <v>90000</v>
      </c>
      <c r="AL86" s="33"/>
      <c r="AM86" s="32">
        <v>80000</v>
      </c>
      <c r="AN86" s="33"/>
      <c r="AO86" s="32">
        <v>0</v>
      </c>
      <c r="AP86" s="33"/>
      <c r="AQ86" s="32">
        <f t="shared" si="2"/>
        <v>80000</v>
      </c>
      <c r="AR86" s="33"/>
    </row>
    <row r="87" spans="1:44" ht="15.75" customHeight="1">
      <c r="A87" s="16">
        <v>21101</v>
      </c>
      <c r="B87" s="17" t="s">
        <v>92</v>
      </c>
      <c r="C87" s="18">
        <v>100000</v>
      </c>
      <c r="D87" s="19">
        <v>1.58</v>
      </c>
      <c r="E87" s="20">
        <v>0</v>
      </c>
      <c r="F87" s="19">
        <v>0</v>
      </c>
      <c r="G87" s="21">
        <v>100000</v>
      </c>
      <c r="H87" s="22">
        <v>1.25</v>
      </c>
      <c r="I87" s="23">
        <v>50000</v>
      </c>
      <c r="J87" s="24">
        <v>0.72</v>
      </c>
      <c r="K87" s="25">
        <v>0</v>
      </c>
      <c r="L87" s="26">
        <v>0</v>
      </c>
      <c r="M87" s="25">
        <v>50000</v>
      </c>
      <c r="N87" s="27">
        <v>0.51</v>
      </c>
      <c r="O87" s="23">
        <v>467838</v>
      </c>
      <c r="P87" s="24">
        <v>4.3499999999999996</v>
      </c>
      <c r="Q87" s="25">
        <v>0</v>
      </c>
      <c r="R87" s="19">
        <v>0</v>
      </c>
      <c r="S87" s="25">
        <v>467838</v>
      </c>
      <c r="T87" s="22">
        <v>3.06</v>
      </c>
      <c r="U87" s="34">
        <v>517402</v>
      </c>
      <c r="V87" s="29">
        <v>4.29</v>
      </c>
      <c r="W87" s="30">
        <v>0</v>
      </c>
      <c r="X87" s="29">
        <v>0</v>
      </c>
      <c r="Y87" s="31">
        <v>517402</v>
      </c>
      <c r="Z87" s="29">
        <v>4.2699999999999996</v>
      </c>
      <c r="AA87" s="32">
        <v>0</v>
      </c>
      <c r="AB87" s="33"/>
      <c r="AC87" s="32">
        <v>0</v>
      </c>
      <c r="AD87" s="33"/>
      <c r="AE87" s="32">
        <f t="shared" si="0"/>
        <v>0</v>
      </c>
      <c r="AF87" s="33"/>
      <c r="AG87" s="32">
        <v>540000</v>
      </c>
      <c r="AH87" s="33"/>
      <c r="AI87" s="32">
        <v>0</v>
      </c>
      <c r="AJ87" s="33"/>
      <c r="AK87" s="32">
        <f t="shared" si="1"/>
        <v>540000</v>
      </c>
      <c r="AL87" s="33"/>
      <c r="AM87" s="32">
        <v>956299</v>
      </c>
      <c r="AN87" s="33"/>
      <c r="AO87" s="32">
        <v>0</v>
      </c>
      <c r="AP87" s="33"/>
      <c r="AQ87" s="32">
        <f t="shared" si="2"/>
        <v>956299</v>
      </c>
      <c r="AR87" s="33"/>
    </row>
    <row r="88" spans="1:44" ht="15.75" customHeight="1">
      <c r="A88" s="16">
        <v>21102</v>
      </c>
      <c r="B88" s="17" t="s">
        <v>93</v>
      </c>
      <c r="C88" s="18">
        <v>200000</v>
      </c>
      <c r="D88" s="19">
        <v>2.4500000000000002</v>
      </c>
      <c r="E88" s="20">
        <v>0</v>
      </c>
      <c r="F88" s="19">
        <v>0</v>
      </c>
      <c r="G88" s="21">
        <v>200000</v>
      </c>
      <c r="H88" s="22">
        <v>1.59</v>
      </c>
      <c r="I88" s="23">
        <v>220001</v>
      </c>
      <c r="J88" s="24">
        <v>2.5099999999999998</v>
      </c>
      <c r="K88" s="25">
        <v>0</v>
      </c>
      <c r="L88" s="26">
        <v>0</v>
      </c>
      <c r="M88" s="25">
        <v>220001</v>
      </c>
      <c r="N88" s="27">
        <v>1.98</v>
      </c>
      <c r="O88" s="23">
        <v>441528</v>
      </c>
      <c r="P88" s="24">
        <v>4.04</v>
      </c>
      <c r="Q88" s="25">
        <v>0</v>
      </c>
      <c r="R88" s="19">
        <v>0</v>
      </c>
      <c r="S88" s="25">
        <v>441528</v>
      </c>
      <c r="T88" s="22">
        <v>3.75</v>
      </c>
      <c r="U88" s="34">
        <v>449722</v>
      </c>
      <c r="V88" s="29">
        <v>3.22</v>
      </c>
      <c r="W88" s="30">
        <v>0</v>
      </c>
      <c r="X88" s="29">
        <v>0</v>
      </c>
      <c r="Y88" s="31">
        <v>449722</v>
      </c>
      <c r="Z88" s="29">
        <v>3.22</v>
      </c>
      <c r="AA88" s="32">
        <v>553522</v>
      </c>
      <c r="AB88" s="33"/>
      <c r="AC88" s="32">
        <v>0</v>
      </c>
      <c r="AD88" s="33"/>
      <c r="AE88" s="32">
        <f t="shared" si="0"/>
        <v>553522</v>
      </c>
      <c r="AF88" s="33"/>
      <c r="AG88" s="32">
        <v>416715</v>
      </c>
      <c r="AH88" s="33"/>
      <c r="AI88" s="32">
        <v>0</v>
      </c>
      <c r="AJ88" s="33"/>
      <c r="AK88" s="32">
        <f t="shared" si="1"/>
        <v>416715</v>
      </c>
      <c r="AL88" s="33"/>
      <c r="AM88" s="32">
        <v>436622</v>
      </c>
      <c r="AN88" s="33"/>
      <c r="AO88" s="32">
        <v>0</v>
      </c>
      <c r="AP88" s="33"/>
      <c r="AQ88" s="32">
        <f t="shared" si="2"/>
        <v>436622</v>
      </c>
      <c r="AR88" s="33"/>
    </row>
    <row r="89" spans="1:44" ht="15.75" customHeight="1">
      <c r="A89" s="16">
        <v>21103</v>
      </c>
      <c r="B89" s="17" t="s">
        <v>94</v>
      </c>
      <c r="C89" s="18">
        <v>30010</v>
      </c>
      <c r="D89" s="19">
        <v>1.0900000000000001</v>
      </c>
      <c r="E89" s="20">
        <v>0</v>
      </c>
      <c r="F89" s="19">
        <v>0</v>
      </c>
      <c r="G89" s="21">
        <v>30010</v>
      </c>
      <c r="H89" s="22">
        <v>0.68</v>
      </c>
      <c r="I89" s="23">
        <v>34392</v>
      </c>
      <c r="J89" s="24">
        <v>1.21</v>
      </c>
      <c r="K89" s="25">
        <v>0</v>
      </c>
      <c r="L89" s="26">
        <v>0</v>
      </c>
      <c r="M89" s="25">
        <v>34392</v>
      </c>
      <c r="N89" s="27">
        <v>1.1299999999999999</v>
      </c>
      <c r="O89" s="23">
        <v>30000</v>
      </c>
      <c r="P89" s="24">
        <v>0.73</v>
      </c>
      <c r="Q89" s="25">
        <v>0</v>
      </c>
      <c r="R89" s="19">
        <v>0</v>
      </c>
      <c r="S89" s="25">
        <v>30000</v>
      </c>
      <c r="T89" s="22">
        <v>0.41</v>
      </c>
      <c r="U89" s="34">
        <v>65108</v>
      </c>
      <c r="V89" s="29">
        <v>1.78</v>
      </c>
      <c r="W89" s="30">
        <v>0</v>
      </c>
      <c r="X89" s="29">
        <v>0</v>
      </c>
      <c r="Y89" s="31">
        <v>65108</v>
      </c>
      <c r="Z89" s="29">
        <v>1.33</v>
      </c>
      <c r="AA89" s="32"/>
      <c r="AB89" s="33"/>
      <c r="AC89" s="32">
        <v>0</v>
      </c>
      <c r="AD89" s="33"/>
      <c r="AE89" s="32">
        <f t="shared" si="0"/>
        <v>0</v>
      </c>
      <c r="AF89" s="33"/>
      <c r="AG89" s="32"/>
      <c r="AH89" s="33"/>
      <c r="AI89" s="32">
        <v>0</v>
      </c>
      <c r="AJ89" s="33"/>
      <c r="AK89" s="32">
        <f t="shared" si="1"/>
        <v>0</v>
      </c>
      <c r="AL89" s="33"/>
      <c r="AM89" s="32"/>
      <c r="AN89" s="33"/>
      <c r="AO89" s="32">
        <v>0</v>
      </c>
      <c r="AP89" s="33"/>
      <c r="AQ89" s="32">
        <f t="shared" si="2"/>
        <v>0</v>
      </c>
      <c r="AR89" s="33"/>
    </row>
    <row r="90" spans="1:44" ht="15.75" customHeight="1">
      <c r="A90" s="16">
        <v>21104</v>
      </c>
      <c r="B90" s="17" t="s">
        <v>95</v>
      </c>
      <c r="C90" s="18">
        <v>80000</v>
      </c>
      <c r="D90" s="19">
        <v>0.76</v>
      </c>
      <c r="E90" s="20">
        <v>0</v>
      </c>
      <c r="F90" s="19">
        <v>0</v>
      </c>
      <c r="G90" s="21">
        <v>80000</v>
      </c>
      <c r="H90" s="22">
        <v>0.54</v>
      </c>
      <c r="I90" s="23">
        <v>170000</v>
      </c>
      <c r="J90" s="24">
        <v>1.45</v>
      </c>
      <c r="K90" s="25">
        <v>0</v>
      </c>
      <c r="L90" s="26">
        <v>0</v>
      </c>
      <c r="M90" s="25">
        <v>170000</v>
      </c>
      <c r="N90" s="27">
        <v>1.1100000000000001</v>
      </c>
      <c r="O90" s="23">
        <v>30000</v>
      </c>
      <c r="P90" s="24">
        <v>0.15</v>
      </c>
      <c r="Q90" s="25">
        <v>0</v>
      </c>
      <c r="R90" s="19">
        <v>0</v>
      </c>
      <c r="S90" s="25">
        <v>30000</v>
      </c>
      <c r="T90" s="22">
        <v>0.14000000000000001</v>
      </c>
      <c r="U90" s="34">
        <v>750000</v>
      </c>
      <c r="V90" s="29">
        <v>3.81</v>
      </c>
      <c r="W90" s="30">
        <v>0</v>
      </c>
      <c r="X90" s="29">
        <v>0</v>
      </c>
      <c r="Y90" s="31">
        <v>750000</v>
      </c>
      <c r="Z90" s="29">
        <v>3.43</v>
      </c>
      <c r="AA90" s="32">
        <v>891544</v>
      </c>
      <c r="AB90" s="33"/>
      <c r="AC90" s="32">
        <v>0</v>
      </c>
      <c r="AD90" s="33"/>
      <c r="AE90" s="32">
        <f t="shared" si="0"/>
        <v>891544</v>
      </c>
      <c r="AF90" s="33"/>
      <c r="AG90" s="32">
        <v>340000</v>
      </c>
      <c r="AH90" s="33"/>
      <c r="AI90" s="32">
        <v>0</v>
      </c>
      <c r="AJ90" s="33"/>
      <c r="AK90" s="32">
        <f t="shared" si="1"/>
        <v>340000</v>
      </c>
      <c r="AL90" s="33"/>
      <c r="AM90" s="32">
        <v>501544</v>
      </c>
      <c r="AN90" s="33"/>
      <c r="AO90" s="32">
        <v>0</v>
      </c>
      <c r="AP90" s="33"/>
      <c r="AQ90" s="32">
        <f t="shared" si="2"/>
        <v>501544</v>
      </c>
      <c r="AR90" s="33"/>
    </row>
    <row r="91" spans="1:44" ht="15.75" customHeight="1">
      <c r="A91" s="16">
        <v>21105</v>
      </c>
      <c r="B91" s="17" t="s">
        <v>96</v>
      </c>
      <c r="C91" s="18">
        <v>40000</v>
      </c>
      <c r="D91" s="19">
        <v>0.47</v>
      </c>
      <c r="E91" s="20">
        <v>0</v>
      </c>
      <c r="F91" s="19">
        <v>0</v>
      </c>
      <c r="G91" s="21">
        <v>40000</v>
      </c>
      <c r="H91" s="22">
        <v>0.43</v>
      </c>
      <c r="I91" s="23">
        <v>130000</v>
      </c>
      <c r="J91" s="24">
        <v>1.1499999999999999</v>
      </c>
      <c r="K91" s="25">
        <v>0</v>
      </c>
      <c r="L91" s="26">
        <v>0</v>
      </c>
      <c r="M91" s="25">
        <v>130000</v>
      </c>
      <c r="N91" s="27">
        <v>1.0900000000000001</v>
      </c>
      <c r="O91" s="23">
        <v>150000</v>
      </c>
      <c r="P91" s="24">
        <v>0.65</v>
      </c>
      <c r="Q91" s="25">
        <v>0</v>
      </c>
      <c r="R91" s="19">
        <v>0</v>
      </c>
      <c r="S91" s="25">
        <v>150000</v>
      </c>
      <c r="T91" s="22">
        <v>0.61</v>
      </c>
      <c r="U91" s="34">
        <v>347332</v>
      </c>
      <c r="V91" s="29">
        <v>1.23</v>
      </c>
      <c r="W91" s="30">
        <v>0</v>
      </c>
      <c r="X91" s="29">
        <v>0</v>
      </c>
      <c r="Y91" s="31">
        <v>347332</v>
      </c>
      <c r="Z91" s="29">
        <v>1.22</v>
      </c>
      <c r="AA91" s="32">
        <v>463344</v>
      </c>
      <c r="AB91" s="33"/>
      <c r="AC91" s="32">
        <v>0</v>
      </c>
      <c r="AD91" s="33"/>
      <c r="AE91" s="32">
        <f t="shared" si="0"/>
        <v>463344</v>
      </c>
      <c r="AF91" s="33"/>
      <c r="AG91" s="32">
        <v>389503</v>
      </c>
      <c r="AH91" s="33"/>
      <c r="AI91" s="32">
        <v>0</v>
      </c>
      <c r="AJ91" s="33"/>
      <c r="AK91" s="32">
        <f t="shared" si="1"/>
        <v>389503</v>
      </c>
      <c r="AL91" s="33"/>
      <c r="AM91" s="32">
        <v>434939</v>
      </c>
      <c r="AN91" s="33"/>
      <c r="AO91" s="32">
        <v>0</v>
      </c>
      <c r="AP91" s="33"/>
      <c r="AQ91" s="32">
        <f t="shared" si="2"/>
        <v>434939</v>
      </c>
      <c r="AR91" s="33"/>
    </row>
    <row r="92" spans="1:44" ht="15.75" customHeight="1">
      <c r="A92" s="16">
        <v>21201</v>
      </c>
      <c r="B92" s="17" t="s">
        <v>97</v>
      </c>
      <c r="C92" s="18">
        <v>27000</v>
      </c>
      <c r="D92" s="19">
        <v>0.21</v>
      </c>
      <c r="E92" s="20">
        <v>0</v>
      </c>
      <c r="F92" s="19">
        <v>0</v>
      </c>
      <c r="G92" s="21">
        <v>27000</v>
      </c>
      <c r="H92" s="22">
        <v>0.15</v>
      </c>
      <c r="I92" s="23">
        <v>30000</v>
      </c>
      <c r="J92" s="24">
        <v>0.19</v>
      </c>
      <c r="K92" s="25">
        <v>0</v>
      </c>
      <c r="L92" s="26">
        <v>0</v>
      </c>
      <c r="M92" s="25">
        <v>30000</v>
      </c>
      <c r="N92" s="27">
        <v>0.13</v>
      </c>
      <c r="O92" s="23">
        <v>30000</v>
      </c>
      <c r="P92" s="24">
        <v>0.18</v>
      </c>
      <c r="Q92" s="25">
        <v>0</v>
      </c>
      <c r="R92" s="19">
        <v>0</v>
      </c>
      <c r="S92" s="25">
        <v>30000</v>
      </c>
      <c r="T92" s="22">
        <v>0.11</v>
      </c>
      <c r="U92" s="34">
        <v>145320</v>
      </c>
      <c r="V92" s="29">
        <v>0.68</v>
      </c>
      <c r="W92" s="30">
        <v>0</v>
      </c>
      <c r="X92" s="29">
        <v>0</v>
      </c>
      <c r="Y92" s="31">
        <v>145320</v>
      </c>
      <c r="Z92" s="29">
        <v>0.6</v>
      </c>
      <c r="AA92" s="32">
        <v>100000</v>
      </c>
      <c r="AB92" s="33"/>
      <c r="AC92" s="32">
        <v>0</v>
      </c>
      <c r="AD92" s="33"/>
      <c r="AE92" s="32">
        <f t="shared" si="0"/>
        <v>100000</v>
      </c>
      <c r="AF92" s="33"/>
      <c r="AG92" s="32">
        <v>125000</v>
      </c>
      <c r="AH92" s="33"/>
      <c r="AI92" s="32">
        <v>0</v>
      </c>
      <c r="AJ92" s="33"/>
      <c r="AK92" s="32">
        <f t="shared" si="1"/>
        <v>125000</v>
      </c>
      <c r="AL92" s="33"/>
      <c r="AM92" s="32">
        <v>190000</v>
      </c>
      <c r="AN92" s="33"/>
      <c r="AO92" s="32">
        <v>0</v>
      </c>
      <c r="AP92" s="33"/>
      <c r="AQ92" s="32">
        <f t="shared" si="2"/>
        <v>190000</v>
      </c>
      <c r="AR92" s="33"/>
    </row>
    <row r="93" spans="1:44" ht="15.75" customHeight="1">
      <c r="A93" s="16">
        <v>21202</v>
      </c>
      <c r="B93" s="17" t="s">
        <v>98</v>
      </c>
      <c r="C93" s="18">
        <v>16000</v>
      </c>
      <c r="D93" s="19">
        <v>0.17</v>
      </c>
      <c r="E93" s="20">
        <v>0</v>
      </c>
      <c r="F93" s="19">
        <v>0</v>
      </c>
      <c r="G93" s="21">
        <v>16000</v>
      </c>
      <c r="H93" s="22">
        <v>0.08</v>
      </c>
      <c r="I93" s="23">
        <v>15000</v>
      </c>
      <c r="J93" s="24">
        <v>0.18</v>
      </c>
      <c r="K93" s="25">
        <v>0</v>
      </c>
      <c r="L93" s="26">
        <v>0</v>
      </c>
      <c r="M93" s="25">
        <v>15000</v>
      </c>
      <c r="N93" s="27">
        <v>0.11</v>
      </c>
      <c r="O93" s="23">
        <v>30000</v>
      </c>
      <c r="P93" s="24">
        <v>0.25</v>
      </c>
      <c r="Q93" s="25">
        <v>0</v>
      </c>
      <c r="R93" s="19">
        <v>0</v>
      </c>
      <c r="S93" s="25">
        <v>30000</v>
      </c>
      <c r="T93" s="22">
        <v>0.14000000000000001</v>
      </c>
      <c r="U93" s="34">
        <v>220000</v>
      </c>
      <c r="V93" s="29">
        <v>1.25</v>
      </c>
      <c r="W93" s="30">
        <v>0</v>
      </c>
      <c r="X93" s="29">
        <v>0</v>
      </c>
      <c r="Y93" s="31">
        <v>220000</v>
      </c>
      <c r="Z93" s="29">
        <v>1.1299999999999999</v>
      </c>
      <c r="AA93" s="32">
        <v>487600</v>
      </c>
      <c r="AB93" s="33"/>
      <c r="AC93" s="32">
        <v>0</v>
      </c>
      <c r="AD93" s="33"/>
      <c r="AE93" s="32">
        <f t="shared" si="0"/>
        <v>487600</v>
      </c>
      <c r="AF93" s="33"/>
      <c r="AG93" s="32">
        <v>250000</v>
      </c>
      <c r="AH93" s="33"/>
      <c r="AI93" s="32">
        <v>0</v>
      </c>
      <c r="AJ93" s="33"/>
      <c r="AK93" s="32">
        <f t="shared" si="1"/>
        <v>250000</v>
      </c>
      <c r="AL93" s="33"/>
      <c r="AM93" s="32">
        <v>245000</v>
      </c>
      <c r="AN93" s="33"/>
      <c r="AO93" s="32">
        <v>0</v>
      </c>
      <c r="AP93" s="33"/>
      <c r="AQ93" s="32">
        <f t="shared" si="2"/>
        <v>245000</v>
      </c>
      <c r="AR93" s="33"/>
    </row>
    <row r="94" spans="1:44" ht="15.75" customHeight="1">
      <c r="A94" s="16">
        <v>21203</v>
      </c>
      <c r="B94" s="17" t="s">
        <v>99</v>
      </c>
      <c r="C94" s="18">
        <v>50000</v>
      </c>
      <c r="D94" s="19">
        <v>0.45</v>
      </c>
      <c r="E94" s="20">
        <v>0</v>
      </c>
      <c r="F94" s="19">
        <v>0</v>
      </c>
      <c r="G94" s="21">
        <v>50000</v>
      </c>
      <c r="H94" s="22">
        <v>0.41</v>
      </c>
      <c r="I94" s="23">
        <v>120000</v>
      </c>
      <c r="J94" s="24">
        <v>0.74</v>
      </c>
      <c r="K94" s="25">
        <v>0</v>
      </c>
      <c r="L94" s="26">
        <v>0</v>
      </c>
      <c r="M94" s="25">
        <v>120000</v>
      </c>
      <c r="N94" s="27">
        <v>0.72</v>
      </c>
      <c r="O94" s="23">
        <v>120000</v>
      </c>
      <c r="P94" s="24">
        <v>0.93</v>
      </c>
      <c r="Q94" s="25">
        <v>0</v>
      </c>
      <c r="R94" s="19">
        <v>0</v>
      </c>
      <c r="S94" s="25">
        <v>120000</v>
      </c>
      <c r="T94" s="22">
        <v>0.74</v>
      </c>
      <c r="U94" s="34">
        <v>180000</v>
      </c>
      <c r="V94" s="29">
        <v>1.82</v>
      </c>
      <c r="W94" s="30">
        <v>0</v>
      </c>
      <c r="X94" s="29">
        <v>0</v>
      </c>
      <c r="Y94" s="31">
        <v>180000</v>
      </c>
      <c r="Z94" s="29">
        <v>1.38</v>
      </c>
      <c r="AA94" s="32">
        <v>10000</v>
      </c>
      <c r="AB94" s="33"/>
      <c r="AC94" s="32">
        <v>0</v>
      </c>
      <c r="AD94" s="33"/>
      <c r="AE94" s="32">
        <f t="shared" si="0"/>
        <v>10000</v>
      </c>
      <c r="AF94" s="33"/>
      <c r="AG94" s="32">
        <v>250000</v>
      </c>
      <c r="AH94" s="33"/>
      <c r="AI94" s="32">
        <v>0</v>
      </c>
      <c r="AJ94" s="33"/>
      <c r="AK94" s="32">
        <f t="shared" si="1"/>
        <v>250000</v>
      </c>
      <c r="AL94" s="33"/>
      <c r="AM94" s="32">
        <v>236398</v>
      </c>
      <c r="AN94" s="33"/>
      <c r="AO94" s="32">
        <v>0</v>
      </c>
      <c r="AP94" s="33"/>
      <c r="AQ94" s="32">
        <f t="shared" si="2"/>
        <v>236398</v>
      </c>
      <c r="AR94" s="33"/>
    </row>
    <row r="95" spans="1:44" ht="15.75" customHeight="1">
      <c r="A95" s="16">
        <v>21204</v>
      </c>
      <c r="B95" s="17" t="s">
        <v>100</v>
      </c>
      <c r="C95" s="35">
        <v>0</v>
      </c>
      <c r="D95" s="19">
        <v>0</v>
      </c>
      <c r="E95" s="20">
        <v>0</v>
      </c>
      <c r="F95" s="19">
        <v>0</v>
      </c>
      <c r="G95" s="21">
        <v>0</v>
      </c>
      <c r="H95" s="22">
        <v>0</v>
      </c>
      <c r="I95" s="35">
        <v>0</v>
      </c>
      <c r="J95" s="19">
        <v>0</v>
      </c>
      <c r="K95" s="25">
        <v>0</v>
      </c>
      <c r="L95" s="26">
        <v>0</v>
      </c>
      <c r="M95" s="21">
        <v>0</v>
      </c>
      <c r="N95" s="22">
        <v>0</v>
      </c>
      <c r="O95" s="35">
        <v>0</v>
      </c>
      <c r="P95" s="19">
        <v>0</v>
      </c>
      <c r="Q95" s="25">
        <v>0</v>
      </c>
      <c r="R95" s="19">
        <v>0</v>
      </c>
      <c r="S95" s="21">
        <v>0</v>
      </c>
      <c r="T95" s="22">
        <v>0</v>
      </c>
      <c r="U95" s="28">
        <v>0</v>
      </c>
      <c r="V95" s="29">
        <v>0</v>
      </c>
      <c r="W95" s="30">
        <v>0</v>
      </c>
      <c r="X95" s="29">
        <v>0</v>
      </c>
      <c r="Y95" s="31">
        <v>0</v>
      </c>
      <c r="Z95" s="29">
        <v>0</v>
      </c>
      <c r="AA95" s="32"/>
      <c r="AB95" s="33"/>
      <c r="AC95" s="32">
        <v>0</v>
      </c>
      <c r="AD95" s="33"/>
      <c r="AE95" s="32">
        <f t="shared" si="0"/>
        <v>0</v>
      </c>
      <c r="AF95" s="33"/>
      <c r="AG95" s="32">
        <v>10000</v>
      </c>
      <c r="AH95" s="33"/>
      <c r="AI95" s="32">
        <v>0</v>
      </c>
      <c r="AJ95" s="33"/>
      <c r="AK95" s="32">
        <f t="shared" si="1"/>
        <v>10000</v>
      </c>
      <c r="AL95" s="33"/>
      <c r="AM95" s="32">
        <v>10000</v>
      </c>
      <c r="AN95" s="33"/>
      <c r="AO95" s="32">
        <v>0</v>
      </c>
      <c r="AP95" s="33"/>
      <c r="AQ95" s="32">
        <f t="shared" si="2"/>
        <v>10000</v>
      </c>
      <c r="AR95" s="33"/>
    </row>
    <row r="96" spans="1:44" ht="15.75" customHeight="1">
      <c r="A96" s="16">
        <v>21301</v>
      </c>
      <c r="B96" s="17" t="s">
        <v>101</v>
      </c>
      <c r="C96" s="18">
        <v>171600</v>
      </c>
      <c r="D96" s="19">
        <v>1.25</v>
      </c>
      <c r="E96" s="20">
        <v>0</v>
      </c>
      <c r="F96" s="19">
        <v>0</v>
      </c>
      <c r="G96" s="21">
        <v>171600</v>
      </c>
      <c r="H96" s="22">
        <v>0.87</v>
      </c>
      <c r="I96" s="23">
        <v>171600</v>
      </c>
      <c r="J96" s="24">
        <v>1.06</v>
      </c>
      <c r="K96" s="25">
        <v>0</v>
      </c>
      <c r="L96" s="26">
        <v>0</v>
      </c>
      <c r="M96" s="25">
        <v>171600</v>
      </c>
      <c r="N96" s="27">
        <v>0.64</v>
      </c>
      <c r="O96" s="23">
        <v>155350</v>
      </c>
      <c r="P96" s="24">
        <v>1.05</v>
      </c>
      <c r="Q96" s="25">
        <v>0</v>
      </c>
      <c r="R96" s="19">
        <v>0</v>
      </c>
      <c r="S96" s="25">
        <v>155350</v>
      </c>
      <c r="T96" s="22">
        <v>0.68</v>
      </c>
      <c r="U96" s="34">
        <v>96091</v>
      </c>
      <c r="V96" s="29">
        <v>0.69</v>
      </c>
      <c r="W96" s="30">
        <v>0</v>
      </c>
      <c r="X96" s="29">
        <v>0</v>
      </c>
      <c r="Y96" s="31">
        <v>96091</v>
      </c>
      <c r="Z96" s="29">
        <v>0.48</v>
      </c>
      <c r="AA96" s="32">
        <v>200000</v>
      </c>
      <c r="AB96" s="33"/>
      <c r="AC96" s="32">
        <v>0</v>
      </c>
      <c r="AD96" s="33"/>
      <c r="AE96" s="32">
        <f t="shared" si="0"/>
        <v>200000</v>
      </c>
      <c r="AF96" s="33"/>
      <c r="AG96" s="32">
        <v>300000</v>
      </c>
      <c r="AH96" s="33"/>
      <c r="AI96" s="32">
        <v>0</v>
      </c>
      <c r="AJ96" s="33"/>
      <c r="AK96" s="32">
        <f t="shared" si="1"/>
        <v>300000</v>
      </c>
      <c r="AL96" s="33"/>
      <c r="AM96" s="32">
        <v>360000</v>
      </c>
      <c r="AN96" s="33"/>
      <c r="AO96" s="32">
        <v>0</v>
      </c>
      <c r="AP96" s="33"/>
      <c r="AQ96" s="32">
        <f t="shared" si="2"/>
        <v>360000</v>
      </c>
      <c r="AR96" s="33"/>
    </row>
    <row r="97" spans="1:44" ht="15.75" customHeight="1">
      <c r="A97" s="16">
        <v>21302</v>
      </c>
      <c r="B97" s="17" t="s">
        <v>102</v>
      </c>
      <c r="C97" s="35">
        <v>0</v>
      </c>
      <c r="D97" s="19">
        <v>0</v>
      </c>
      <c r="E97" s="20">
        <v>0</v>
      </c>
      <c r="F97" s="19">
        <v>0</v>
      </c>
      <c r="G97" s="21">
        <v>0</v>
      </c>
      <c r="H97" s="22">
        <v>0</v>
      </c>
      <c r="I97" s="35">
        <v>0</v>
      </c>
      <c r="J97" s="19">
        <v>0</v>
      </c>
      <c r="K97" s="25">
        <v>0</v>
      </c>
      <c r="L97" s="26">
        <v>0</v>
      </c>
      <c r="M97" s="21">
        <v>0</v>
      </c>
      <c r="N97" s="22">
        <v>0</v>
      </c>
      <c r="O97" s="35">
        <v>0</v>
      </c>
      <c r="P97" s="19">
        <v>0</v>
      </c>
      <c r="Q97" s="25">
        <v>0</v>
      </c>
      <c r="R97" s="19">
        <v>0</v>
      </c>
      <c r="S97" s="21">
        <v>0</v>
      </c>
      <c r="T97" s="22">
        <v>0</v>
      </c>
      <c r="U97" s="28">
        <v>0</v>
      </c>
      <c r="V97" s="29">
        <v>0</v>
      </c>
      <c r="W97" s="30">
        <v>0</v>
      </c>
      <c r="X97" s="29">
        <v>0</v>
      </c>
      <c r="Y97" s="31">
        <v>0</v>
      </c>
      <c r="Z97" s="29">
        <v>0</v>
      </c>
      <c r="AA97" s="32"/>
      <c r="AB97" s="33"/>
      <c r="AC97" s="32">
        <v>0</v>
      </c>
      <c r="AD97" s="33"/>
      <c r="AE97" s="32">
        <f t="shared" si="0"/>
        <v>0</v>
      </c>
      <c r="AF97" s="33"/>
      <c r="AG97" s="32"/>
      <c r="AH97" s="33"/>
      <c r="AI97" s="32">
        <v>0</v>
      </c>
      <c r="AJ97" s="33"/>
      <c r="AK97" s="32">
        <f t="shared" si="1"/>
        <v>0</v>
      </c>
      <c r="AL97" s="33"/>
      <c r="AM97" s="32"/>
      <c r="AN97" s="33"/>
      <c r="AO97" s="32">
        <v>0</v>
      </c>
      <c r="AP97" s="33"/>
      <c r="AQ97" s="32">
        <f t="shared" si="2"/>
        <v>0</v>
      </c>
      <c r="AR97" s="33"/>
    </row>
    <row r="98" spans="1:44" ht="15.75" customHeight="1">
      <c r="A98" s="16">
        <v>21303</v>
      </c>
      <c r="B98" s="17" t="s">
        <v>103</v>
      </c>
      <c r="C98" s="35">
        <v>0</v>
      </c>
      <c r="D98" s="19">
        <v>0</v>
      </c>
      <c r="E98" s="20">
        <v>0</v>
      </c>
      <c r="F98" s="19">
        <v>0</v>
      </c>
      <c r="G98" s="21">
        <v>0</v>
      </c>
      <c r="H98" s="22">
        <v>0</v>
      </c>
      <c r="I98" s="35">
        <v>0</v>
      </c>
      <c r="J98" s="19">
        <v>0</v>
      </c>
      <c r="K98" s="25">
        <v>0</v>
      </c>
      <c r="L98" s="26">
        <v>0</v>
      </c>
      <c r="M98" s="21">
        <v>0</v>
      </c>
      <c r="N98" s="22">
        <v>0</v>
      </c>
      <c r="O98" s="23">
        <v>60000</v>
      </c>
      <c r="P98" s="24">
        <v>1.28</v>
      </c>
      <c r="Q98" s="25">
        <v>0</v>
      </c>
      <c r="R98" s="19">
        <v>0</v>
      </c>
      <c r="S98" s="25">
        <v>60000</v>
      </c>
      <c r="T98" s="22">
        <v>0.91</v>
      </c>
      <c r="U98" s="34">
        <v>10000</v>
      </c>
      <c r="V98" s="29">
        <v>0.23</v>
      </c>
      <c r="W98" s="30">
        <v>0</v>
      </c>
      <c r="X98" s="29">
        <v>0</v>
      </c>
      <c r="Y98" s="31">
        <v>10000</v>
      </c>
      <c r="Z98" s="29">
        <v>0.23</v>
      </c>
      <c r="AA98" s="32">
        <v>15000</v>
      </c>
      <c r="AB98" s="33"/>
      <c r="AC98" s="32">
        <v>0</v>
      </c>
      <c r="AD98" s="33"/>
      <c r="AE98" s="32">
        <f t="shared" si="0"/>
        <v>15000</v>
      </c>
      <c r="AF98" s="33"/>
      <c r="AG98" s="32">
        <v>15000</v>
      </c>
      <c r="AH98" s="33"/>
      <c r="AI98" s="32">
        <v>0</v>
      </c>
      <c r="AJ98" s="33"/>
      <c r="AK98" s="32">
        <f t="shared" si="1"/>
        <v>15000</v>
      </c>
      <c r="AL98" s="33"/>
      <c r="AM98" s="32">
        <v>15000</v>
      </c>
      <c r="AN98" s="33"/>
      <c r="AO98" s="32">
        <v>0</v>
      </c>
      <c r="AP98" s="33"/>
      <c r="AQ98" s="32">
        <f t="shared" si="2"/>
        <v>15000</v>
      </c>
      <c r="AR98" s="33"/>
    </row>
    <row r="99" spans="1:44" ht="15.75" customHeight="1">
      <c r="A99" s="16">
        <v>21304</v>
      </c>
      <c r="B99" s="17" t="s">
        <v>104</v>
      </c>
      <c r="C99" s="35">
        <v>0</v>
      </c>
      <c r="D99" s="19">
        <v>0</v>
      </c>
      <c r="E99" s="20">
        <v>0</v>
      </c>
      <c r="F99" s="19">
        <v>0</v>
      </c>
      <c r="G99" s="21">
        <v>0</v>
      </c>
      <c r="H99" s="22">
        <v>0</v>
      </c>
      <c r="I99" s="35">
        <v>0</v>
      </c>
      <c r="J99" s="19">
        <v>0</v>
      </c>
      <c r="K99" s="25">
        <v>0</v>
      </c>
      <c r="L99" s="26">
        <v>0</v>
      </c>
      <c r="M99" s="21">
        <v>0</v>
      </c>
      <c r="N99" s="22">
        <v>0</v>
      </c>
      <c r="O99" s="35">
        <v>0</v>
      </c>
      <c r="P99" s="19">
        <v>0</v>
      </c>
      <c r="Q99" s="25">
        <v>0</v>
      </c>
      <c r="R99" s="19">
        <v>0</v>
      </c>
      <c r="S99" s="21">
        <v>0</v>
      </c>
      <c r="T99" s="22">
        <v>0</v>
      </c>
      <c r="U99" s="34">
        <v>20000</v>
      </c>
      <c r="V99" s="29">
        <v>0.24</v>
      </c>
      <c r="W99" s="30">
        <v>0</v>
      </c>
      <c r="X99" s="29">
        <v>0</v>
      </c>
      <c r="Y99" s="31">
        <v>20000</v>
      </c>
      <c r="Z99" s="29">
        <v>0.24</v>
      </c>
      <c r="AA99" s="32">
        <v>20000</v>
      </c>
      <c r="AB99" s="33"/>
      <c r="AC99" s="32">
        <v>0</v>
      </c>
      <c r="AD99" s="33"/>
      <c r="AE99" s="32">
        <f t="shared" si="0"/>
        <v>20000</v>
      </c>
      <c r="AF99" s="33"/>
      <c r="AG99" s="32">
        <v>20000</v>
      </c>
      <c r="AH99" s="33"/>
      <c r="AI99" s="32">
        <v>0</v>
      </c>
      <c r="AJ99" s="33"/>
      <c r="AK99" s="32">
        <f t="shared" si="1"/>
        <v>20000</v>
      </c>
      <c r="AL99" s="33"/>
      <c r="AM99" s="32">
        <v>5000</v>
      </c>
      <c r="AN99" s="33"/>
      <c r="AO99" s="32">
        <v>0</v>
      </c>
      <c r="AP99" s="33"/>
      <c r="AQ99" s="32">
        <f t="shared" si="2"/>
        <v>5000</v>
      </c>
      <c r="AR99" s="33"/>
    </row>
    <row r="100" spans="1:44" ht="15.75" customHeight="1">
      <c r="A100" s="16">
        <v>21305</v>
      </c>
      <c r="B100" s="17" t="s">
        <v>105</v>
      </c>
      <c r="C100" s="35">
        <v>0</v>
      </c>
      <c r="D100" s="19">
        <v>0</v>
      </c>
      <c r="E100" s="20">
        <v>0</v>
      </c>
      <c r="F100" s="19">
        <v>0</v>
      </c>
      <c r="G100" s="21">
        <v>0</v>
      </c>
      <c r="H100" s="22">
        <v>0</v>
      </c>
      <c r="I100" s="23">
        <v>414434</v>
      </c>
      <c r="J100" s="24">
        <v>3.29</v>
      </c>
      <c r="K100" s="25">
        <v>0</v>
      </c>
      <c r="L100" s="26">
        <v>0</v>
      </c>
      <c r="M100" s="25">
        <v>414434</v>
      </c>
      <c r="N100" s="27">
        <v>2.14</v>
      </c>
      <c r="O100" s="23">
        <v>364434</v>
      </c>
      <c r="P100" s="24">
        <v>2.36</v>
      </c>
      <c r="Q100" s="25">
        <v>0</v>
      </c>
      <c r="R100" s="19">
        <v>0</v>
      </c>
      <c r="S100" s="25">
        <v>364434</v>
      </c>
      <c r="T100" s="22">
        <v>1.79</v>
      </c>
      <c r="U100" s="34">
        <v>50000</v>
      </c>
      <c r="V100" s="29">
        <v>0.34</v>
      </c>
      <c r="W100" s="30">
        <v>0</v>
      </c>
      <c r="X100" s="29">
        <v>0</v>
      </c>
      <c r="Y100" s="31">
        <v>50000</v>
      </c>
      <c r="Z100" s="29">
        <v>0.34</v>
      </c>
      <c r="AA100" s="32">
        <v>700000</v>
      </c>
      <c r="AB100" s="33"/>
      <c r="AC100" s="32">
        <v>0</v>
      </c>
      <c r="AD100" s="33"/>
      <c r="AE100" s="32">
        <f t="shared" si="0"/>
        <v>700000</v>
      </c>
      <c r="AF100" s="33"/>
      <c r="AG100" s="32">
        <v>903935</v>
      </c>
      <c r="AH100" s="33"/>
      <c r="AI100" s="32">
        <v>0</v>
      </c>
      <c r="AJ100" s="33"/>
      <c r="AK100" s="32">
        <f t="shared" si="1"/>
        <v>903935</v>
      </c>
      <c r="AL100" s="33"/>
      <c r="AM100" s="32">
        <v>903935</v>
      </c>
      <c r="AN100" s="33"/>
      <c r="AO100" s="32">
        <v>0</v>
      </c>
      <c r="AP100" s="33"/>
      <c r="AQ100" s="32">
        <f t="shared" si="2"/>
        <v>903935</v>
      </c>
      <c r="AR100" s="33"/>
    </row>
    <row r="101" spans="1:44" ht="15.75" customHeight="1">
      <c r="A101" s="16">
        <v>21306</v>
      </c>
      <c r="B101" s="17" t="s">
        <v>106</v>
      </c>
      <c r="C101" s="18">
        <v>25000</v>
      </c>
      <c r="D101" s="19">
        <v>0.47</v>
      </c>
      <c r="E101" s="20">
        <v>0</v>
      </c>
      <c r="F101" s="19">
        <v>0</v>
      </c>
      <c r="G101" s="21">
        <v>25000</v>
      </c>
      <c r="H101" s="22">
        <v>0.33</v>
      </c>
      <c r="I101" s="23">
        <v>50000</v>
      </c>
      <c r="J101" s="24">
        <v>0.91</v>
      </c>
      <c r="K101" s="25">
        <v>0</v>
      </c>
      <c r="L101" s="26">
        <v>0</v>
      </c>
      <c r="M101" s="25">
        <v>50000</v>
      </c>
      <c r="N101" s="27">
        <v>0.91</v>
      </c>
      <c r="O101" s="23">
        <v>50000</v>
      </c>
      <c r="P101" s="24">
        <v>0.7</v>
      </c>
      <c r="Q101" s="25">
        <v>0</v>
      </c>
      <c r="R101" s="19">
        <v>0</v>
      </c>
      <c r="S101" s="25">
        <v>50000</v>
      </c>
      <c r="T101" s="22">
        <v>0.61</v>
      </c>
      <c r="U101" s="34">
        <v>20000</v>
      </c>
      <c r="V101" s="29">
        <v>0.32</v>
      </c>
      <c r="W101" s="30">
        <v>0</v>
      </c>
      <c r="X101" s="29">
        <v>0</v>
      </c>
      <c r="Y101" s="31">
        <v>20000</v>
      </c>
      <c r="Z101" s="29">
        <v>0.3</v>
      </c>
      <c r="AA101" s="32">
        <v>20000</v>
      </c>
      <c r="AB101" s="33"/>
      <c r="AC101" s="32">
        <v>0</v>
      </c>
      <c r="AD101" s="33"/>
      <c r="AE101" s="32">
        <f t="shared" si="0"/>
        <v>20000</v>
      </c>
      <c r="AF101" s="33"/>
      <c r="AG101" s="32">
        <v>20000</v>
      </c>
      <c r="AH101" s="33"/>
      <c r="AI101" s="32">
        <v>0</v>
      </c>
      <c r="AJ101" s="33"/>
      <c r="AK101" s="32">
        <f t="shared" si="1"/>
        <v>20000</v>
      </c>
      <c r="AL101" s="33"/>
      <c r="AM101" s="32">
        <v>25000</v>
      </c>
      <c r="AN101" s="33"/>
      <c r="AO101" s="32">
        <v>0</v>
      </c>
      <c r="AP101" s="33"/>
      <c r="AQ101" s="32">
        <f t="shared" si="2"/>
        <v>25000</v>
      </c>
      <c r="AR101" s="33"/>
    </row>
    <row r="102" spans="1:44" ht="15.75" customHeight="1">
      <c r="A102" s="16">
        <v>21307</v>
      </c>
      <c r="B102" s="17" t="s">
        <v>107</v>
      </c>
      <c r="C102" s="18">
        <v>1700</v>
      </c>
      <c r="D102" s="19">
        <v>7.0000000000000007E-2</v>
      </c>
      <c r="E102" s="20">
        <v>0</v>
      </c>
      <c r="F102" s="19">
        <v>0</v>
      </c>
      <c r="G102" s="21">
        <v>1700</v>
      </c>
      <c r="H102" s="22">
        <v>0.05</v>
      </c>
      <c r="I102" s="23">
        <v>15000</v>
      </c>
      <c r="J102" s="24">
        <v>0.73</v>
      </c>
      <c r="K102" s="25">
        <v>0</v>
      </c>
      <c r="L102" s="26">
        <v>0</v>
      </c>
      <c r="M102" s="25">
        <v>15000</v>
      </c>
      <c r="N102" s="27">
        <v>0.68</v>
      </c>
      <c r="O102" s="23">
        <v>5000</v>
      </c>
      <c r="P102" s="24">
        <v>0.17</v>
      </c>
      <c r="Q102" s="25">
        <v>0</v>
      </c>
      <c r="R102" s="19">
        <v>0</v>
      </c>
      <c r="S102" s="25">
        <v>5000</v>
      </c>
      <c r="T102" s="22">
        <v>0.11</v>
      </c>
      <c r="U102" s="34">
        <v>26000</v>
      </c>
      <c r="V102" s="29">
        <v>1.0900000000000001</v>
      </c>
      <c r="W102" s="30">
        <v>0</v>
      </c>
      <c r="X102" s="29">
        <v>0</v>
      </c>
      <c r="Y102" s="31">
        <v>26000</v>
      </c>
      <c r="Z102" s="29">
        <v>1.0900000000000001</v>
      </c>
      <c r="AA102" s="32">
        <v>77492</v>
      </c>
      <c r="AB102" s="33"/>
      <c r="AC102" s="32">
        <v>0</v>
      </c>
      <c r="AD102" s="33"/>
      <c r="AE102" s="32">
        <f t="shared" si="0"/>
        <v>77492</v>
      </c>
      <c r="AF102" s="33"/>
      <c r="AG102" s="32">
        <v>85000</v>
      </c>
      <c r="AH102" s="33"/>
      <c r="AI102" s="32">
        <v>0</v>
      </c>
      <c r="AJ102" s="33"/>
      <c r="AK102" s="32">
        <f t="shared" si="1"/>
        <v>85000</v>
      </c>
      <c r="AL102" s="33"/>
      <c r="AM102" s="32">
        <v>60688</v>
      </c>
      <c r="AN102" s="33"/>
      <c r="AO102" s="32">
        <v>0</v>
      </c>
      <c r="AP102" s="33"/>
      <c r="AQ102" s="32">
        <f t="shared" si="2"/>
        <v>60688</v>
      </c>
      <c r="AR102" s="33"/>
    </row>
    <row r="103" spans="1:44" ht="15.75" customHeight="1">
      <c r="A103" s="16">
        <v>21401</v>
      </c>
      <c r="B103" s="17" t="s">
        <v>108</v>
      </c>
      <c r="C103" s="18">
        <v>150000</v>
      </c>
      <c r="D103" s="19">
        <v>1.81</v>
      </c>
      <c r="E103" s="20">
        <v>0</v>
      </c>
      <c r="F103" s="19">
        <v>0</v>
      </c>
      <c r="G103" s="21">
        <v>150000</v>
      </c>
      <c r="H103" s="22">
        <v>1.63</v>
      </c>
      <c r="I103" s="23">
        <v>270000</v>
      </c>
      <c r="J103" s="24">
        <v>2.98</v>
      </c>
      <c r="K103" s="25">
        <v>0</v>
      </c>
      <c r="L103" s="26">
        <v>0</v>
      </c>
      <c r="M103" s="25">
        <v>270000</v>
      </c>
      <c r="N103" s="27">
        <v>2.89</v>
      </c>
      <c r="O103" s="23">
        <v>300000</v>
      </c>
      <c r="P103" s="24">
        <v>2.66</v>
      </c>
      <c r="Q103" s="25">
        <v>0</v>
      </c>
      <c r="R103" s="19">
        <v>0</v>
      </c>
      <c r="S103" s="25">
        <v>300000</v>
      </c>
      <c r="T103" s="22">
        <v>2.2200000000000002</v>
      </c>
      <c r="U103" s="34">
        <v>530000</v>
      </c>
      <c r="V103" s="29">
        <v>4.3099999999999996</v>
      </c>
      <c r="W103" s="30">
        <v>0</v>
      </c>
      <c r="X103" s="29">
        <v>0</v>
      </c>
      <c r="Y103" s="31">
        <v>530000</v>
      </c>
      <c r="Z103" s="29">
        <v>4.3099999999999996</v>
      </c>
      <c r="AA103" s="32">
        <v>550000</v>
      </c>
      <c r="AB103" s="33"/>
      <c r="AC103" s="32">
        <v>0</v>
      </c>
      <c r="AD103" s="33"/>
      <c r="AE103" s="32">
        <f t="shared" si="0"/>
        <v>550000</v>
      </c>
      <c r="AF103" s="33"/>
      <c r="AG103" s="32">
        <v>676137</v>
      </c>
      <c r="AH103" s="33"/>
      <c r="AI103" s="32">
        <v>0</v>
      </c>
      <c r="AJ103" s="33"/>
      <c r="AK103" s="32">
        <f t="shared" si="1"/>
        <v>676137</v>
      </c>
      <c r="AL103" s="33"/>
      <c r="AM103" s="32"/>
      <c r="AN103" s="33"/>
      <c r="AO103" s="32">
        <v>0</v>
      </c>
      <c r="AP103" s="33"/>
      <c r="AQ103" s="32">
        <f t="shared" si="2"/>
        <v>0</v>
      </c>
      <c r="AR103" s="33"/>
    </row>
    <row r="104" spans="1:44" ht="15.75" customHeight="1">
      <c r="A104" s="16">
        <v>21402</v>
      </c>
      <c r="B104" s="17" t="s">
        <v>109</v>
      </c>
      <c r="C104" s="18">
        <v>80000</v>
      </c>
      <c r="D104" s="19">
        <v>1.1399999999999999</v>
      </c>
      <c r="E104" s="20">
        <v>0</v>
      </c>
      <c r="F104" s="19">
        <v>0</v>
      </c>
      <c r="G104" s="21">
        <v>80000</v>
      </c>
      <c r="H104" s="22">
        <v>1.01</v>
      </c>
      <c r="I104" s="23">
        <v>100000</v>
      </c>
      <c r="J104" s="24">
        <v>1.35</v>
      </c>
      <c r="K104" s="25">
        <v>0</v>
      </c>
      <c r="L104" s="26">
        <v>0</v>
      </c>
      <c r="M104" s="25">
        <v>100000</v>
      </c>
      <c r="N104" s="27">
        <v>1.03</v>
      </c>
      <c r="O104" s="23">
        <v>135030</v>
      </c>
      <c r="P104" s="24">
        <v>1.21</v>
      </c>
      <c r="Q104" s="25">
        <v>0</v>
      </c>
      <c r="R104" s="19">
        <v>0</v>
      </c>
      <c r="S104" s="25">
        <v>135030</v>
      </c>
      <c r="T104" s="22">
        <v>0.96</v>
      </c>
      <c r="U104" s="34">
        <v>170000</v>
      </c>
      <c r="V104" s="29">
        <v>1.67</v>
      </c>
      <c r="W104" s="30">
        <v>0</v>
      </c>
      <c r="X104" s="29">
        <v>0</v>
      </c>
      <c r="Y104" s="31">
        <v>170000</v>
      </c>
      <c r="Z104" s="29">
        <v>1.47</v>
      </c>
      <c r="AA104" s="32">
        <v>210000</v>
      </c>
      <c r="AB104" s="33"/>
      <c r="AC104" s="32">
        <v>0</v>
      </c>
      <c r="AD104" s="33"/>
      <c r="AE104" s="32">
        <f t="shared" si="0"/>
        <v>210000</v>
      </c>
      <c r="AF104" s="33"/>
      <c r="AG104" s="32">
        <v>220000</v>
      </c>
      <c r="AH104" s="33"/>
      <c r="AI104" s="32">
        <v>0</v>
      </c>
      <c r="AJ104" s="33"/>
      <c r="AK104" s="32">
        <f t="shared" si="1"/>
        <v>220000</v>
      </c>
      <c r="AL104" s="33"/>
      <c r="AM104" s="32">
        <v>230000</v>
      </c>
      <c r="AN104" s="33"/>
      <c r="AO104" s="32">
        <v>0</v>
      </c>
      <c r="AP104" s="33"/>
      <c r="AQ104" s="32">
        <f t="shared" si="2"/>
        <v>230000</v>
      </c>
      <c r="AR104" s="33"/>
    </row>
    <row r="105" spans="1:44" ht="15.75" customHeight="1">
      <c r="A105" s="16">
        <v>21501</v>
      </c>
      <c r="B105" s="17" t="s">
        <v>110</v>
      </c>
      <c r="C105" s="35">
        <v>0</v>
      </c>
      <c r="D105" s="19">
        <v>0</v>
      </c>
      <c r="E105" s="20">
        <v>0</v>
      </c>
      <c r="F105" s="19">
        <v>0</v>
      </c>
      <c r="G105" s="21">
        <v>0</v>
      </c>
      <c r="H105" s="22">
        <v>0</v>
      </c>
      <c r="I105" s="23">
        <v>75000</v>
      </c>
      <c r="J105" s="24">
        <v>1.57</v>
      </c>
      <c r="K105" s="25">
        <v>0</v>
      </c>
      <c r="L105" s="26">
        <v>0</v>
      </c>
      <c r="M105" s="25">
        <v>75000</v>
      </c>
      <c r="N105" s="27">
        <v>1.54</v>
      </c>
      <c r="O105" s="23">
        <v>90000</v>
      </c>
      <c r="P105" s="24">
        <v>1.48</v>
      </c>
      <c r="Q105" s="25">
        <v>0</v>
      </c>
      <c r="R105" s="19">
        <v>0</v>
      </c>
      <c r="S105" s="25">
        <v>90000</v>
      </c>
      <c r="T105" s="22">
        <v>0.85</v>
      </c>
      <c r="U105" s="34">
        <v>60000</v>
      </c>
      <c r="V105" s="29">
        <v>0.93</v>
      </c>
      <c r="W105" s="30">
        <v>0</v>
      </c>
      <c r="X105" s="29">
        <v>0</v>
      </c>
      <c r="Y105" s="31">
        <v>60000</v>
      </c>
      <c r="Z105" s="29">
        <v>0.93</v>
      </c>
      <c r="AA105" s="32">
        <v>197176</v>
      </c>
      <c r="AB105" s="33"/>
      <c r="AC105" s="32">
        <v>0</v>
      </c>
      <c r="AD105" s="33"/>
      <c r="AE105" s="32">
        <f t="shared" si="0"/>
        <v>197176</v>
      </c>
      <c r="AF105" s="33"/>
      <c r="AG105" s="32">
        <v>222000</v>
      </c>
      <c r="AH105" s="33"/>
      <c r="AI105" s="32">
        <v>0</v>
      </c>
      <c r="AJ105" s="33"/>
      <c r="AK105" s="32">
        <f t="shared" si="1"/>
        <v>222000</v>
      </c>
      <c r="AL105" s="33"/>
      <c r="AM105" s="32">
        <v>332000</v>
      </c>
      <c r="AN105" s="33"/>
      <c r="AO105" s="32">
        <v>0</v>
      </c>
      <c r="AP105" s="33"/>
      <c r="AQ105" s="32">
        <f t="shared" si="2"/>
        <v>332000</v>
      </c>
      <c r="AR105" s="33"/>
    </row>
    <row r="106" spans="1:44" ht="15.75" customHeight="1">
      <c r="A106" s="16">
        <v>21502</v>
      </c>
      <c r="B106" s="17" t="s">
        <v>111</v>
      </c>
      <c r="C106" s="18">
        <v>154000</v>
      </c>
      <c r="D106" s="19">
        <v>3.58</v>
      </c>
      <c r="E106" s="20">
        <v>0</v>
      </c>
      <c r="F106" s="19">
        <v>0</v>
      </c>
      <c r="G106" s="21">
        <v>154000</v>
      </c>
      <c r="H106" s="22">
        <v>2.8</v>
      </c>
      <c r="I106" s="23">
        <v>0</v>
      </c>
      <c r="J106" s="24">
        <v>0</v>
      </c>
      <c r="K106" s="25">
        <v>0</v>
      </c>
      <c r="L106" s="26">
        <v>0</v>
      </c>
      <c r="M106" s="25">
        <v>0</v>
      </c>
      <c r="N106" s="27">
        <v>0</v>
      </c>
      <c r="O106" s="23">
        <v>154000</v>
      </c>
      <c r="P106" s="24">
        <v>1.78</v>
      </c>
      <c r="Q106" s="25">
        <v>0</v>
      </c>
      <c r="R106" s="19">
        <v>0</v>
      </c>
      <c r="S106" s="25">
        <v>154000</v>
      </c>
      <c r="T106" s="22">
        <v>0.86</v>
      </c>
      <c r="U106" s="34">
        <v>175000</v>
      </c>
      <c r="V106" s="29">
        <v>2.86</v>
      </c>
      <c r="W106" s="30">
        <v>0</v>
      </c>
      <c r="X106" s="29">
        <v>0</v>
      </c>
      <c r="Y106" s="31">
        <v>175000</v>
      </c>
      <c r="Z106" s="29">
        <v>2.11</v>
      </c>
      <c r="AA106" s="32">
        <v>216000</v>
      </c>
      <c r="AB106" s="33"/>
      <c r="AC106" s="32">
        <v>0</v>
      </c>
      <c r="AD106" s="33"/>
      <c r="AE106" s="32">
        <f t="shared" si="0"/>
        <v>216000</v>
      </c>
      <c r="AF106" s="33"/>
      <c r="AG106" s="32">
        <v>196000</v>
      </c>
      <c r="AH106" s="33"/>
      <c r="AI106" s="32">
        <v>0</v>
      </c>
      <c r="AJ106" s="33"/>
      <c r="AK106" s="32">
        <f t="shared" si="1"/>
        <v>196000</v>
      </c>
      <c r="AL106" s="33"/>
      <c r="AM106" s="32">
        <v>160500</v>
      </c>
      <c r="AN106" s="33"/>
      <c r="AO106" s="32">
        <v>0</v>
      </c>
      <c r="AP106" s="33"/>
      <c r="AQ106" s="32">
        <f t="shared" si="2"/>
        <v>160500</v>
      </c>
      <c r="AR106" s="33"/>
    </row>
    <row r="107" spans="1:44" ht="15.75" customHeight="1">
      <c r="A107" s="16">
        <v>21601</v>
      </c>
      <c r="B107" s="17" t="s">
        <v>112</v>
      </c>
      <c r="C107" s="18">
        <v>38000</v>
      </c>
      <c r="D107" s="19">
        <v>0.71</v>
      </c>
      <c r="E107" s="36">
        <v>15000</v>
      </c>
      <c r="F107" s="19">
        <v>0.55000000000000004</v>
      </c>
      <c r="G107" s="21">
        <v>53000</v>
      </c>
      <c r="H107" s="22">
        <v>0.65</v>
      </c>
      <c r="I107" s="23">
        <v>0</v>
      </c>
      <c r="J107" s="24">
        <v>0</v>
      </c>
      <c r="K107" s="25">
        <v>0</v>
      </c>
      <c r="L107" s="26">
        <v>0</v>
      </c>
      <c r="M107" s="25">
        <v>0</v>
      </c>
      <c r="N107" s="27">
        <v>0</v>
      </c>
      <c r="O107" s="23">
        <v>35000</v>
      </c>
      <c r="P107" s="24">
        <v>0.41</v>
      </c>
      <c r="Q107" s="25">
        <v>0</v>
      </c>
      <c r="R107" s="19">
        <v>0</v>
      </c>
      <c r="S107" s="25">
        <v>35000</v>
      </c>
      <c r="T107" s="22">
        <v>0.38</v>
      </c>
      <c r="U107" s="34">
        <v>70000</v>
      </c>
      <c r="V107" s="29">
        <v>0.78</v>
      </c>
      <c r="W107" s="30">
        <v>0</v>
      </c>
      <c r="X107" s="29">
        <v>0</v>
      </c>
      <c r="Y107" s="31">
        <v>70000</v>
      </c>
      <c r="Z107" s="29">
        <v>0.74</v>
      </c>
      <c r="AA107" s="32">
        <v>60968</v>
      </c>
      <c r="AB107" s="33"/>
      <c r="AC107" s="32">
        <v>0</v>
      </c>
      <c r="AD107" s="33"/>
      <c r="AE107" s="32">
        <f t="shared" si="0"/>
        <v>60968</v>
      </c>
      <c r="AF107" s="33"/>
      <c r="AG107" s="32">
        <v>54000</v>
      </c>
      <c r="AH107" s="33"/>
      <c r="AI107" s="32">
        <v>0</v>
      </c>
      <c r="AJ107" s="33"/>
      <c r="AK107" s="32">
        <f t="shared" si="1"/>
        <v>54000</v>
      </c>
      <c r="AL107" s="33"/>
      <c r="AM107" s="32">
        <v>56688</v>
      </c>
      <c r="AN107" s="33"/>
      <c r="AO107" s="32">
        <v>0</v>
      </c>
      <c r="AP107" s="33"/>
      <c r="AQ107" s="32">
        <f t="shared" si="2"/>
        <v>56688</v>
      </c>
      <c r="AR107" s="33"/>
    </row>
    <row r="108" spans="1:44" ht="15.75" customHeight="1">
      <c r="A108" s="16">
        <v>21602</v>
      </c>
      <c r="B108" s="17" t="s">
        <v>113</v>
      </c>
      <c r="C108" s="35">
        <v>0</v>
      </c>
      <c r="D108" s="19">
        <v>0</v>
      </c>
      <c r="E108" s="20">
        <v>0</v>
      </c>
      <c r="F108" s="19">
        <v>0</v>
      </c>
      <c r="G108" s="21">
        <v>0</v>
      </c>
      <c r="H108" s="22">
        <v>0</v>
      </c>
      <c r="I108" s="35">
        <v>0</v>
      </c>
      <c r="J108" s="19">
        <v>0</v>
      </c>
      <c r="K108" s="25">
        <v>0</v>
      </c>
      <c r="L108" s="26">
        <v>0</v>
      </c>
      <c r="M108" s="21">
        <v>0</v>
      </c>
      <c r="N108" s="22">
        <v>0</v>
      </c>
      <c r="O108" s="35">
        <v>0</v>
      </c>
      <c r="P108" s="19">
        <v>0</v>
      </c>
      <c r="Q108" s="25">
        <v>0</v>
      </c>
      <c r="R108" s="19">
        <v>0</v>
      </c>
      <c r="S108" s="21">
        <v>0</v>
      </c>
      <c r="T108" s="22">
        <v>0</v>
      </c>
      <c r="U108" s="28">
        <v>0</v>
      </c>
      <c r="V108" s="29">
        <v>0</v>
      </c>
      <c r="W108" s="30">
        <v>0</v>
      </c>
      <c r="X108" s="29">
        <v>0</v>
      </c>
      <c r="Y108" s="31">
        <v>0</v>
      </c>
      <c r="Z108" s="29">
        <v>0</v>
      </c>
      <c r="AA108" s="32">
        <v>5000</v>
      </c>
      <c r="AB108" s="33"/>
      <c r="AC108" s="32">
        <v>0</v>
      </c>
      <c r="AD108" s="33"/>
      <c r="AE108" s="32">
        <f t="shared" si="0"/>
        <v>5000</v>
      </c>
      <c r="AF108" s="33"/>
      <c r="AG108" s="32">
        <v>5000</v>
      </c>
      <c r="AH108" s="33"/>
      <c r="AI108" s="32">
        <v>0</v>
      </c>
      <c r="AJ108" s="33"/>
      <c r="AK108" s="32">
        <f t="shared" si="1"/>
        <v>5000</v>
      </c>
      <c r="AL108" s="33"/>
      <c r="AM108" s="32">
        <v>10000</v>
      </c>
      <c r="AN108" s="33"/>
      <c r="AO108" s="32">
        <v>0</v>
      </c>
      <c r="AP108" s="33"/>
      <c r="AQ108" s="32">
        <f t="shared" si="2"/>
        <v>10000</v>
      </c>
      <c r="AR108" s="33"/>
    </row>
    <row r="109" spans="1:44" ht="15.75" customHeight="1">
      <c r="A109" s="16">
        <v>21701</v>
      </c>
      <c r="B109" s="17" t="s">
        <v>114</v>
      </c>
      <c r="C109" s="18">
        <v>150000</v>
      </c>
      <c r="D109" s="19">
        <v>1.92</v>
      </c>
      <c r="E109" s="36">
        <v>160102</v>
      </c>
      <c r="F109" s="19">
        <v>3.28</v>
      </c>
      <c r="G109" s="21">
        <v>310102</v>
      </c>
      <c r="H109" s="22">
        <v>2.4500000000000002</v>
      </c>
      <c r="I109" s="23">
        <v>160000</v>
      </c>
      <c r="J109" s="24">
        <v>1.63</v>
      </c>
      <c r="K109" s="25">
        <v>0</v>
      </c>
      <c r="L109" s="26">
        <v>0</v>
      </c>
      <c r="M109" s="25">
        <v>160000</v>
      </c>
      <c r="N109" s="27">
        <v>1.17</v>
      </c>
      <c r="O109" s="23">
        <v>242261</v>
      </c>
      <c r="P109" s="24">
        <v>2.31</v>
      </c>
      <c r="Q109" s="25">
        <v>160103</v>
      </c>
      <c r="R109" s="19">
        <v>4.2300000000000004</v>
      </c>
      <c r="S109" s="25">
        <v>402364</v>
      </c>
      <c r="T109" s="22">
        <v>2.82</v>
      </c>
      <c r="U109" s="34">
        <v>250000</v>
      </c>
      <c r="V109" s="29">
        <v>2.65</v>
      </c>
      <c r="W109" s="30">
        <v>0</v>
      </c>
      <c r="X109" s="29">
        <v>0</v>
      </c>
      <c r="Y109" s="31">
        <v>250000</v>
      </c>
      <c r="Z109" s="29">
        <v>2.2200000000000002</v>
      </c>
      <c r="AA109" s="32">
        <v>250000</v>
      </c>
      <c r="AB109" s="33"/>
      <c r="AC109" s="32">
        <v>0</v>
      </c>
      <c r="AD109" s="33"/>
      <c r="AE109" s="32">
        <f t="shared" si="0"/>
        <v>250000</v>
      </c>
      <c r="AF109" s="33"/>
      <c r="AG109" s="32">
        <v>300000</v>
      </c>
      <c r="AH109" s="33"/>
      <c r="AI109" s="32">
        <v>0</v>
      </c>
      <c r="AJ109" s="33"/>
      <c r="AK109" s="32">
        <f t="shared" si="1"/>
        <v>300000</v>
      </c>
      <c r="AL109" s="33"/>
      <c r="AM109" s="32">
        <v>410000</v>
      </c>
      <c r="AN109" s="33"/>
      <c r="AO109" s="32">
        <v>0</v>
      </c>
      <c r="AP109" s="33"/>
      <c r="AQ109" s="32">
        <f t="shared" si="2"/>
        <v>410000</v>
      </c>
      <c r="AR109" s="33"/>
    </row>
    <row r="110" spans="1:44" ht="15.75" customHeight="1">
      <c r="A110" s="16">
        <v>21702</v>
      </c>
      <c r="B110" s="17" t="s">
        <v>115</v>
      </c>
      <c r="C110" s="18">
        <v>4000</v>
      </c>
      <c r="D110" s="19">
        <v>0.14000000000000001</v>
      </c>
      <c r="E110" s="36">
        <v>1240497</v>
      </c>
      <c r="F110" s="19">
        <v>42.58</v>
      </c>
      <c r="G110" s="21">
        <v>1244497</v>
      </c>
      <c r="H110" s="22">
        <v>21.67</v>
      </c>
      <c r="I110" s="23">
        <v>20000</v>
      </c>
      <c r="J110" s="24">
        <v>0.54</v>
      </c>
      <c r="K110" s="25">
        <v>0</v>
      </c>
      <c r="L110" s="26">
        <v>0</v>
      </c>
      <c r="M110" s="25">
        <v>20000</v>
      </c>
      <c r="N110" s="27">
        <v>0.36</v>
      </c>
      <c r="O110" s="23">
        <v>20000</v>
      </c>
      <c r="P110" s="24">
        <v>0.6</v>
      </c>
      <c r="Q110" s="25">
        <v>1243749</v>
      </c>
      <c r="R110" s="19">
        <v>51.88</v>
      </c>
      <c r="S110" s="25">
        <v>1263749</v>
      </c>
      <c r="T110" s="22">
        <v>22.08</v>
      </c>
      <c r="U110" s="34">
        <v>104180</v>
      </c>
      <c r="V110" s="29">
        <v>2.84</v>
      </c>
      <c r="W110" s="30">
        <v>0</v>
      </c>
      <c r="X110" s="29">
        <v>0</v>
      </c>
      <c r="Y110" s="31">
        <v>104180</v>
      </c>
      <c r="Z110" s="29">
        <v>2.81</v>
      </c>
      <c r="AA110" s="32">
        <v>68200</v>
      </c>
      <c r="AB110" s="33"/>
      <c r="AC110" s="32">
        <v>0</v>
      </c>
      <c r="AD110" s="33"/>
      <c r="AE110" s="32">
        <f t="shared" si="0"/>
        <v>68200</v>
      </c>
      <c r="AF110" s="33"/>
      <c r="AG110" s="32">
        <v>70000</v>
      </c>
      <c r="AH110" s="33"/>
      <c r="AI110" s="32">
        <v>0</v>
      </c>
      <c r="AJ110" s="33"/>
      <c r="AK110" s="32">
        <f t="shared" si="1"/>
        <v>70000</v>
      </c>
      <c r="AL110" s="33"/>
      <c r="AM110" s="32">
        <v>70000</v>
      </c>
      <c r="AN110" s="33"/>
      <c r="AO110" s="32">
        <v>0</v>
      </c>
      <c r="AP110" s="33"/>
      <c r="AQ110" s="32">
        <f t="shared" si="2"/>
        <v>70000</v>
      </c>
      <c r="AR110" s="33"/>
    </row>
    <row r="111" spans="1:44" ht="15.75" customHeight="1">
      <c r="A111" s="16">
        <v>21703</v>
      </c>
      <c r="B111" s="17" t="s">
        <v>116</v>
      </c>
      <c r="C111" s="18">
        <v>15000</v>
      </c>
      <c r="D111" s="19">
        <v>1.1599999999999999</v>
      </c>
      <c r="E111" s="20">
        <v>0</v>
      </c>
      <c r="F111" s="19">
        <v>0</v>
      </c>
      <c r="G111" s="21">
        <v>15000</v>
      </c>
      <c r="H111" s="22">
        <v>0.56999999999999995</v>
      </c>
      <c r="I111" s="23">
        <v>10000</v>
      </c>
      <c r="J111" s="24">
        <v>0.67</v>
      </c>
      <c r="K111" s="25">
        <v>0</v>
      </c>
      <c r="L111" s="26">
        <v>0</v>
      </c>
      <c r="M111" s="25">
        <v>10000</v>
      </c>
      <c r="N111" s="27">
        <v>0.49</v>
      </c>
      <c r="O111" s="23">
        <v>10000</v>
      </c>
      <c r="P111" s="24">
        <v>0.32</v>
      </c>
      <c r="Q111" s="25">
        <v>0</v>
      </c>
      <c r="R111" s="19">
        <v>0</v>
      </c>
      <c r="S111" s="25">
        <v>10000</v>
      </c>
      <c r="T111" s="22">
        <v>0.18</v>
      </c>
      <c r="U111" s="34">
        <v>15000</v>
      </c>
      <c r="V111" s="29">
        <v>0.36</v>
      </c>
      <c r="W111" s="30">
        <v>0</v>
      </c>
      <c r="X111" s="29">
        <v>0</v>
      </c>
      <c r="Y111" s="31">
        <v>15000</v>
      </c>
      <c r="Z111" s="29">
        <v>0.36</v>
      </c>
      <c r="AA111" s="32">
        <v>57916</v>
      </c>
      <c r="AB111" s="33"/>
      <c r="AC111" s="32">
        <v>0</v>
      </c>
      <c r="AD111" s="33"/>
      <c r="AE111" s="32">
        <f t="shared" si="0"/>
        <v>57916</v>
      </c>
      <c r="AF111" s="33"/>
      <c r="AG111" s="32">
        <v>57916</v>
      </c>
      <c r="AH111" s="33"/>
      <c r="AI111" s="32">
        <v>0</v>
      </c>
      <c r="AJ111" s="33"/>
      <c r="AK111" s="32">
        <f t="shared" si="1"/>
        <v>57916</v>
      </c>
      <c r="AL111" s="33"/>
      <c r="AM111" s="32">
        <v>57916</v>
      </c>
      <c r="AN111" s="33"/>
      <c r="AO111" s="32">
        <v>0</v>
      </c>
      <c r="AP111" s="33"/>
      <c r="AQ111" s="32">
        <f t="shared" si="2"/>
        <v>57916</v>
      </c>
      <c r="AR111" s="33"/>
    </row>
    <row r="112" spans="1:44" ht="15.75" customHeight="1">
      <c r="A112" s="16">
        <v>21801</v>
      </c>
      <c r="B112" s="17" t="s">
        <v>117</v>
      </c>
      <c r="C112" s="18">
        <v>18991</v>
      </c>
      <c r="D112" s="19">
        <v>0.36</v>
      </c>
      <c r="E112" s="20">
        <v>0</v>
      </c>
      <c r="F112" s="19">
        <v>0</v>
      </c>
      <c r="G112" s="21">
        <v>18991</v>
      </c>
      <c r="H112" s="22">
        <v>0.3</v>
      </c>
      <c r="I112" s="35">
        <v>0</v>
      </c>
      <c r="J112" s="19">
        <v>0</v>
      </c>
      <c r="K112" s="25">
        <v>0</v>
      </c>
      <c r="L112" s="26">
        <v>0</v>
      </c>
      <c r="M112" s="21">
        <v>0</v>
      </c>
      <c r="N112" s="22">
        <v>0</v>
      </c>
      <c r="O112" s="35">
        <v>0</v>
      </c>
      <c r="P112" s="19">
        <v>0</v>
      </c>
      <c r="Q112" s="25">
        <v>0</v>
      </c>
      <c r="R112" s="19">
        <v>0</v>
      </c>
      <c r="S112" s="21">
        <v>0</v>
      </c>
      <c r="T112" s="22">
        <v>0</v>
      </c>
      <c r="U112" s="34">
        <v>20000</v>
      </c>
      <c r="V112" s="29">
        <v>0.4</v>
      </c>
      <c r="W112" s="30">
        <v>0</v>
      </c>
      <c r="X112" s="29">
        <v>0</v>
      </c>
      <c r="Y112" s="31">
        <v>20000</v>
      </c>
      <c r="Z112" s="29">
        <v>0.4</v>
      </c>
      <c r="AA112" s="32">
        <v>0</v>
      </c>
      <c r="AB112" s="33"/>
      <c r="AC112" s="32">
        <v>0</v>
      </c>
      <c r="AD112" s="33"/>
      <c r="AE112" s="32">
        <f t="shared" si="0"/>
        <v>0</v>
      </c>
      <c r="AF112" s="33"/>
      <c r="AG112" s="32">
        <v>20000</v>
      </c>
      <c r="AH112" s="33"/>
      <c r="AI112" s="32">
        <v>0</v>
      </c>
      <c r="AJ112" s="33"/>
      <c r="AK112" s="32">
        <f t="shared" si="1"/>
        <v>20000</v>
      </c>
      <c r="AL112" s="33"/>
      <c r="AM112" s="32"/>
      <c r="AN112" s="33"/>
      <c r="AO112" s="32">
        <v>0</v>
      </c>
      <c r="AP112" s="33"/>
      <c r="AQ112" s="32">
        <f t="shared" si="2"/>
        <v>0</v>
      </c>
      <c r="AR112" s="33"/>
    </row>
    <row r="113" spans="1:44" ht="15.75" customHeight="1">
      <c r="A113" s="16">
        <v>21802</v>
      </c>
      <c r="B113" s="17" t="s">
        <v>118</v>
      </c>
      <c r="C113" s="35">
        <v>0</v>
      </c>
      <c r="D113" s="19">
        <v>0</v>
      </c>
      <c r="E113" s="20">
        <v>0</v>
      </c>
      <c r="F113" s="19">
        <v>0</v>
      </c>
      <c r="G113" s="21">
        <v>0</v>
      </c>
      <c r="H113" s="22">
        <v>0</v>
      </c>
      <c r="I113" s="35">
        <v>0</v>
      </c>
      <c r="J113" s="19">
        <v>0</v>
      </c>
      <c r="K113" s="25">
        <v>0</v>
      </c>
      <c r="L113" s="26">
        <v>0</v>
      </c>
      <c r="M113" s="21">
        <v>0</v>
      </c>
      <c r="N113" s="22">
        <v>0</v>
      </c>
      <c r="O113" s="35">
        <v>0</v>
      </c>
      <c r="P113" s="19">
        <v>0</v>
      </c>
      <c r="Q113" s="25">
        <v>0</v>
      </c>
      <c r="R113" s="19">
        <v>0</v>
      </c>
      <c r="S113" s="21">
        <v>0</v>
      </c>
      <c r="T113" s="22">
        <v>0</v>
      </c>
      <c r="U113" s="34">
        <v>101856</v>
      </c>
      <c r="V113" s="29">
        <v>1.96</v>
      </c>
      <c r="W113" s="30">
        <v>0</v>
      </c>
      <c r="X113" s="29">
        <v>0</v>
      </c>
      <c r="Y113" s="31">
        <v>101856</v>
      </c>
      <c r="Z113" s="29">
        <v>1.96</v>
      </c>
      <c r="AA113" s="32">
        <v>102000</v>
      </c>
      <c r="AB113" s="33"/>
      <c r="AC113" s="32">
        <v>0</v>
      </c>
      <c r="AD113" s="33"/>
      <c r="AE113" s="32">
        <f t="shared" si="0"/>
        <v>102000</v>
      </c>
      <c r="AF113" s="33"/>
      <c r="AG113" s="32">
        <v>108480</v>
      </c>
      <c r="AH113" s="33"/>
      <c r="AI113" s="32">
        <v>0</v>
      </c>
      <c r="AJ113" s="33"/>
      <c r="AK113" s="32">
        <f t="shared" si="1"/>
        <v>108480</v>
      </c>
      <c r="AL113" s="33"/>
      <c r="AM113" s="32">
        <v>108480</v>
      </c>
      <c r="AN113" s="33"/>
      <c r="AO113" s="32">
        <v>0</v>
      </c>
      <c r="AP113" s="33"/>
      <c r="AQ113" s="32">
        <f t="shared" si="2"/>
        <v>108480</v>
      </c>
      <c r="AR113" s="33"/>
    </row>
    <row r="114" spans="1:44" ht="15.75" customHeight="1">
      <c r="A114" s="16">
        <v>21803</v>
      </c>
      <c r="B114" s="17" t="s">
        <v>119</v>
      </c>
      <c r="C114" s="35">
        <v>0</v>
      </c>
      <c r="D114" s="19">
        <v>0</v>
      </c>
      <c r="E114" s="20">
        <v>0</v>
      </c>
      <c r="F114" s="19">
        <v>0</v>
      </c>
      <c r="G114" s="21">
        <v>0</v>
      </c>
      <c r="H114" s="22">
        <v>0</v>
      </c>
      <c r="I114" s="35">
        <v>0</v>
      </c>
      <c r="J114" s="19">
        <v>0</v>
      </c>
      <c r="K114" s="25">
        <v>0</v>
      </c>
      <c r="L114" s="26">
        <v>0</v>
      </c>
      <c r="M114" s="21">
        <v>0</v>
      </c>
      <c r="N114" s="22">
        <v>0</v>
      </c>
      <c r="O114" s="35">
        <v>0</v>
      </c>
      <c r="P114" s="19">
        <v>0</v>
      </c>
      <c r="Q114" s="25">
        <v>0</v>
      </c>
      <c r="R114" s="19">
        <v>0</v>
      </c>
      <c r="S114" s="21">
        <v>0</v>
      </c>
      <c r="T114" s="22">
        <v>0</v>
      </c>
      <c r="U114" s="34">
        <v>800</v>
      </c>
      <c r="V114" s="29">
        <v>7.0000000000000007E-2</v>
      </c>
      <c r="W114" s="30">
        <v>0</v>
      </c>
      <c r="X114" s="29">
        <v>0</v>
      </c>
      <c r="Y114" s="31">
        <v>800</v>
      </c>
      <c r="Z114" s="29">
        <v>7.0000000000000007E-2</v>
      </c>
      <c r="AA114" s="32">
        <v>11600</v>
      </c>
      <c r="AB114" s="33"/>
      <c r="AC114" s="32">
        <v>0</v>
      </c>
      <c r="AD114" s="33"/>
      <c r="AE114" s="32">
        <f t="shared" si="0"/>
        <v>11600</v>
      </c>
      <c r="AF114" s="33"/>
      <c r="AG114" s="32">
        <v>14500</v>
      </c>
      <c r="AH114" s="33"/>
      <c r="AI114" s="32">
        <v>0</v>
      </c>
      <c r="AJ114" s="33"/>
      <c r="AK114" s="32">
        <f t="shared" si="1"/>
        <v>14500</v>
      </c>
      <c r="AL114" s="33"/>
      <c r="AM114" s="32">
        <v>15300</v>
      </c>
      <c r="AN114" s="33"/>
      <c r="AO114" s="32">
        <v>0</v>
      </c>
      <c r="AP114" s="33"/>
      <c r="AQ114" s="32">
        <f t="shared" si="2"/>
        <v>15300</v>
      </c>
      <c r="AR114" s="33"/>
    </row>
    <row r="115" spans="1:44" ht="15.75" customHeight="1">
      <c r="A115" s="16">
        <v>21901</v>
      </c>
      <c r="B115" s="17" t="s">
        <v>120</v>
      </c>
      <c r="C115" s="35">
        <v>0</v>
      </c>
      <c r="D115" s="19">
        <v>0</v>
      </c>
      <c r="E115" s="20">
        <v>0</v>
      </c>
      <c r="F115" s="19">
        <v>0</v>
      </c>
      <c r="G115" s="21">
        <v>0</v>
      </c>
      <c r="H115" s="22">
        <v>0</v>
      </c>
      <c r="I115" s="35">
        <v>0</v>
      </c>
      <c r="J115" s="19">
        <v>0</v>
      </c>
      <c r="K115" s="25">
        <v>0</v>
      </c>
      <c r="L115" s="26">
        <v>0</v>
      </c>
      <c r="M115" s="21">
        <v>0</v>
      </c>
      <c r="N115" s="22">
        <v>0</v>
      </c>
      <c r="O115" s="23">
        <v>5000</v>
      </c>
      <c r="P115" s="24">
        <v>0.18</v>
      </c>
      <c r="Q115" s="25">
        <v>0</v>
      </c>
      <c r="R115" s="19">
        <v>0</v>
      </c>
      <c r="S115" s="25">
        <v>5000</v>
      </c>
      <c r="T115" s="22">
        <v>0.13</v>
      </c>
      <c r="U115" s="34">
        <v>25464</v>
      </c>
      <c r="V115" s="29">
        <v>0.8</v>
      </c>
      <c r="W115" s="30">
        <v>0</v>
      </c>
      <c r="X115" s="29">
        <v>0</v>
      </c>
      <c r="Y115" s="31">
        <v>25464</v>
      </c>
      <c r="Z115" s="29">
        <v>0.8</v>
      </c>
      <c r="AA115" s="32">
        <v>30000</v>
      </c>
      <c r="AB115" s="33"/>
      <c r="AC115" s="32">
        <v>0</v>
      </c>
      <c r="AD115" s="33"/>
      <c r="AE115" s="32">
        <f t="shared" si="0"/>
        <v>30000</v>
      </c>
      <c r="AF115" s="33"/>
      <c r="AG115" s="32">
        <v>30000</v>
      </c>
      <c r="AH115" s="33"/>
      <c r="AI115" s="32">
        <v>0</v>
      </c>
      <c r="AJ115" s="33"/>
      <c r="AK115" s="32">
        <f t="shared" si="1"/>
        <v>30000</v>
      </c>
      <c r="AL115" s="33"/>
      <c r="AM115" s="32">
        <v>40000</v>
      </c>
      <c r="AN115" s="33"/>
      <c r="AO115" s="32">
        <v>0</v>
      </c>
      <c r="AP115" s="33"/>
      <c r="AQ115" s="32">
        <f t="shared" si="2"/>
        <v>40000</v>
      </c>
      <c r="AR115" s="33"/>
    </row>
    <row r="116" spans="1:44" ht="15.75" customHeight="1">
      <c r="A116" s="16">
        <v>21902</v>
      </c>
      <c r="B116" s="17" t="s">
        <v>121</v>
      </c>
      <c r="C116" s="35">
        <v>0</v>
      </c>
      <c r="D116" s="19">
        <v>0</v>
      </c>
      <c r="E116" s="20">
        <v>0</v>
      </c>
      <c r="F116" s="19">
        <v>0</v>
      </c>
      <c r="G116" s="21">
        <v>0</v>
      </c>
      <c r="H116" s="22">
        <v>0</v>
      </c>
      <c r="I116" s="35">
        <v>0</v>
      </c>
      <c r="J116" s="19">
        <v>0</v>
      </c>
      <c r="K116" s="25">
        <v>0</v>
      </c>
      <c r="L116" s="26">
        <v>0</v>
      </c>
      <c r="M116" s="21">
        <v>0</v>
      </c>
      <c r="N116" s="22">
        <v>0</v>
      </c>
      <c r="O116" s="35">
        <v>0</v>
      </c>
      <c r="P116" s="19">
        <v>0</v>
      </c>
      <c r="Q116" s="25">
        <v>0</v>
      </c>
      <c r="R116" s="19">
        <v>0</v>
      </c>
      <c r="S116" s="21">
        <v>0</v>
      </c>
      <c r="T116" s="22">
        <v>0</v>
      </c>
      <c r="U116" s="28">
        <v>0</v>
      </c>
      <c r="V116" s="29">
        <v>0</v>
      </c>
      <c r="W116" s="30">
        <v>0</v>
      </c>
      <c r="X116" s="29">
        <v>0</v>
      </c>
      <c r="Y116" s="31">
        <v>0</v>
      </c>
      <c r="Z116" s="29">
        <v>0</v>
      </c>
      <c r="AA116" s="32"/>
      <c r="AB116" s="33"/>
      <c r="AC116" s="32">
        <v>0</v>
      </c>
      <c r="AD116" s="33"/>
      <c r="AE116" s="32">
        <f t="shared" si="0"/>
        <v>0</v>
      </c>
      <c r="AF116" s="33"/>
      <c r="AG116" s="32"/>
      <c r="AH116" s="33"/>
      <c r="AI116" s="32">
        <v>0</v>
      </c>
      <c r="AJ116" s="33"/>
      <c r="AK116" s="32">
        <f t="shared" si="1"/>
        <v>0</v>
      </c>
      <c r="AL116" s="33"/>
      <c r="AM116" s="32"/>
      <c r="AN116" s="33"/>
      <c r="AO116" s="32">
        <v>0</v>
      </c>
      <c r="AP116" s="33"/>
      <c r="AQ116" s="32">
        <f t="shared" si="2"/>
        <v>0</v>
      </c>
      <c r="AR116" s="33"/>
    </row>
    <row r="117" spans="1:44" ht="15.75" customHeight="1">
      <c r="A117" s="16">
        <v>22001</v>
      </c>
      <c r="B117" s="17" t="s">
        <v>122</v>
      </c>
      <c r="C117" s="18">
        <v>670391</v>
      </c>
      <c r="D117" s="19">
        <v>2.67</v>
      </c>
      <c r="E117" s="20">
        <v>0</v>
      </c>
      <c r="F117" s="19">
        <v>0</v>
      </c>
      <c r="G117" s="21">
        <v>670391</v>
      </c>
      <c r="H117" s="22">
        <v>1.67</v>
      </c>
      <c r="I117" s="23">
        <v>690000</v>
      </c>
      <c r="J117" s="24">
        <v>2.59</v>
      </c>
      <c r="K117" s="25">
        <v>0</v>
      </c>
      <c r="L117" s="26">
        <v>0</v>
      </c>
      <c r="M117" s="25">
        <v>690000</v>
      </c>
      <c r="N117" s="27">
        <v>1.62</v>
      </c>
      <c r="O117" s="23">
        <v>680000</v>
      </c>
      <c r="P117" s="24">
        <v>2.69</v>
      </c>
      <c r="Q117" s="25">
        <v>0</v>
      </c>
      <c r="R117" s="19">
        <v>0</v>
      </c>
      <c r="S117" s="25">
        <v>680000</v>
      </c>
      <c r="T117" s="22">
        <v>2.48</v>
      </c>
      <c r="U117" s="34">
        <v>1014356</v>
      </c>
      <c r="V117" s="29">
        <v>3.04</v>
      </c>
      <c r="W117" s="30">
        <v>0</v>
      </c>
      <c r="X117" s="29">
        <v>0</v>
      </c>
      <c r="Y117" s="31">
        <v>1014356</v>
      </c>
      <c r="Z117" s="29">
        <v>2.93</v>
      </c>
      <c r="AA117" s="32">
        <v>1690043</v>
      </c>
      <c r="AB117" s="33"/>
      <c r="AC117" s="32">
        <v>0</v>
      </c>
      <c r="AD117" s="33"/>
      <c r="AE117" s="32">
        <f t="shared" si="0"/>
        <v>1690043</v>
      </c>
      <c r="AF117" s="33"/>
      <c r="AG117" s="32">
        <v>1690043</v>
      </c>
      <c r="AH117" s="33"/>
      <c r="AI117" s="32">
        <v>0</v>
      </c>
      <c r="AJ117" s="33"/>
      <c r="AK117" s="32">
        <f t="shared" si="1"/>
        <v>1690043</v>
      </c>
      <c r="AL117" s="33"/>
      <c r="AM117" s="32">
        <v>3231434</v>
      </c>
      <c r="AN117" s="33"/>
      <c r="AO117" s="32">
        <v>0</v>
      </c>
      <c r="AP117" s="33"/>
      <c r="AQ117" s="32">
        <f t="shared" si="2"/>
        <v>3231434</v>
      </c>
      <c r="AR117" s="33"/>
    </row>
    <row r="118" spans="1:44" ht="15.75" customHeight="1">
      <c r="A118" s="16">
        <v>22002</v>
      </c>
      <c r="B118" s="17" t="s">
        <v>123</v>
      </c>
      <c r="C118" s="18">
        <v>50000</v>
      </c>
      <c r="D118" s="19">
        <v>0.98</v>
      </c>
      <c r="E118" s="20">
        <v>0</v>
      </c>
      <c r="F118" s="19">
        <v>0</v>
      </c>
      <c r="G118" s="21">
        <v>50000</v>
      </c>
      <c r="H118" s="22">
        <v>0.54</v>
      </c>
      <c r="I118" s="35">
        <v>0</v>
      </c>
      <c r="J118" s="19">
        <v>0</v>
      </c>
      <c r="K118" s="25">
        <v>0</v>
      </c>
      <c r="L118" s="26">
        <v>0</v>
      </c>
      <c r="M118" s="21">
        <v>0</v>
      </c>
      <c r="N118" s="22">
        <v>0</v>
      </c>
      <c r="O118" s="35">
        <v>0</v>
      </c>
      <c r="P118" s="19">
        <v>0</v>
      </c>
      <c r="Q118" s="25">
        <v>0</v>
      </c>
      <c r="R118" s="19">
        <v>0</v>
      </c>
      <c r="S118" s="21">
        <v>0</v>
      </c>
      <c r="T118" s="22">
        <v>0</v>
      </c>
      <c r="U118" s="28">
        <v>0</v>
      </c>
      <c r="V118" s="29">
        <v>0</v>
      </c>
      <c r="W118" s="30">
        <v>0</v>
      </c>
      <c r="X118" s="29">
        <v>0</v>
      </c>
      <c r="Y118" s="31">
        <v>0</v>
      </c>
      <c r="Z118" s="29">
        <v>0</v>
      </c>
      <c r="AA118" s="32">
        <v>79599</v>
      </c>
      <c r="AB118" s="33"/>
      <c r="AC118" s="32">
        <v>0</v>
      </c>
      <c r="AD118" s="33"/>
      <c r="AE118" s="32">
        <f t="shared" si="0"/>
        <v>79599</v>
      </c>
      <c r="AF118" s="33"/>
      <c r="AG118" s="32">
        <v>98569</v>
      </c>
      <c r="AH118" s="33"/>
      <c r="AI118" s="32">
        <v>0</v>
      </c>
      <c r="AJ118" s="33"/>
      <c r="AK118" s="32">
        <f t="shared" si="1"/>
        <v>98569</v>
      </c>
      <c r="AL118" s="33"/>
      <c r="AM118" s="32">
        <v>39408</v>
      </c>
      <c r="AN118" s="33"/>
      <c r="AO118" s="32">
        <v>0</v>
      </c>
      <c r="AP118" s="33"/>
      <c r="AQ118" s="32">
        <f t="shared" si="2"/>
        <v>39408</v>
      </c>
      <c r="AR118" s="33"/>
    </row>
    <row r="119" spans="1:44" ht="15.75" customHeight="1">
      <c r="A119" s="16">
        <v>30101</v>
      </c>
      <c r="B119" s="17" t="s">
        <v>124</v>
      </c>
      <c r="C119" s="18">
        <v>17921200</v>
      </c>
      <c r="D119" s="19">
        <v>4.51</v>
      </c>
      <c r="E119" s="36">
        <v>17220200</v>
      </c>
      <c r="F119" s="19">
        <v>4.6399999999999997</v>
      </c>
      <c r="G119" s="21">
        <v>35141400</v>
      </c>
      <c r="H119" s="22">
        <v>4.58</v>
      </c>
      <c r="I119" s="23">
        <v>45200000</v>
      </c>
      <c r="J119" s="24">
        <v>7.73</v>
      </c>
      <c r="K119" s="25">
        <v>1282000</v>
      </c>
      <c r="L119" s="26">
        <v>0.22</v>
      </c>
      <c r="M119" s="25">
        <v>46482000</v>
      </c>
      <c r="N119" s="27">
        <v>3.98</v>
      </c>
      <c r="O119" s="23">
        <v>48800000</v>
      </c>
      <c r="P119" s="24">
        <v>7.17</v>
      </c>
      <c r="Q119" s="25">
        <v>460900</v>
      </c>
      <c r="R119" s="19">
        <v>0.11</v>
      </c>
      <c r="S119" s="25">
        <v>49260900</v>
      </c>
      <c r="T119" s="22">
        <v>4.51</v>
      </c>
      <c r="U119" s="34">
        <v>91751430</v>
      </c>
      <c r="V119" s="29">
        <v>10.210000000000001</v>
      </c>
      <c r="W119" s="30">
        <v>0</v>
      </c>
      <c r="X119" s="29">
        <v>0</v>
      </c>
      <c r="Y119" s="31">
        <v>91751430</v>
      </c>
      <c r="Z119" s="29">
        <v>8.6300000000000008</v>
      </c>
      <c r="AA119" s="32">
        <v>151010000</v>
      </c>
      <c r="AB119" s="33"/>
      <c r="AC119" s="32">
        <v>0</v>
      </c>
      <c r="AD119" s="33"/>
      <c r="AE119" s="32">
        <f t="shared" si="0"/>
        <v>151010000</v>
      </c>
      <c r="AF119" s="33"/>
      <c r="AG119" s="32">
        <v>163698660</v>
      </c>
      <c r="AH119" s="33"/>
      <c r="AI119" s="32">
        <v>0</v>
      </c>
      <c r="AJ119" s="33"/>
      <c r="AK119" s="32">
        <f t="shared" si="1"/>
        <v>163698660</v>
      </c>
      <c r="AL119" s="33"/>
      <c r="AM119" s="32">
        <v>157330975</v>
      </c>
      <c r="AN119" s="33"/>
      <c r="AO119" s="32">
        <v>0</v>
      </c>
      <c r="AP119" s="33"/>
      <c r="AQ119" s="32">
        <f t="shared" si="2"/>
        <v>157330975</v>
      </c>
      <c r="AR119" s="33"/>
    </row>
    <row r="120" spans="1:44" ht="15.75" customHeight="1">
      <c r="A120" s="16">
        <v>30201</v>
      </c>
      <c r="B120" s="17" t="s">
        <v>125</v>
      </c>
      <c r="C120" s="18">
        <v>150000</v>
      </c>
      <c r="D120" s="19">
        <v>0.74</v>
      </c>
      <c r="E120" s="20">
        <v>0</v>
      </c>
      <c r="F120" s="19">
        <v>0</v>
      </c>
      <c r="G120" s="21">
        <v>150000</v>
      </c>
      <c r="H120" s="22">
        <v>0.45</v>
      </c>
      <c r="I120" s="23">
        <v>150000</v>
      </c>
      <c r="J120" s="24">
        <v>0.72</v>
      </c>
      <c r="K120" s="25">
        <v>0</v>
      </c>
      <c r="L120" s="26">
        <v>0</v>
      </c>
      <c r="M120" s="25">
        <v>150000</v>
      </c>
      <c r="N120" s="27">
        <v>0.4</v>
      </c>
      <c r="O120" s="23">
        <v>200000</v>
      </c>
      <c r="P120" s="24">
        <v>0.89</v>
      </c>
      <c r="Q120" s="25">
        <v>0</v>
      </c>
      <c r="R120" s="19">
        <v>0</v>
      </c>
      <c r="S120" s="25">
        <v>200000</v>
      </c>
      <c r="T120" s="22">
        <v>0.41</v>
      </c>
      <c r="U120" s="34">
        <v>200000</v>
      </c>
      <c r="V120" s="29">
        <v>0.84</v>
      </c>
      <c r="W120" s="30">
        <v>0</v>
      </c>
      <c r="X120" s="29">
        <v>0</v>
      </c>
      <c r="Y120" s="31">
        <v>200000</v>
      </c>
      <c r="Z120" s="29">
        <v>0.76</v>
      </c>
      <c r="AA120" s="32">
        <v>150000</v>
      </c>
      <c r="AB120" s="33"/>
      <c r="AC120" s="32">
        <v>0</v>
      </c>
      <c r="AD120" s="33"/>
      <c r="AE120" s="32">
        <f t="shared" si="0"/>
        <v>150000</v>
      </c>
      <c r="AF120" s="33"/>
      <c r="AG120" s="32">
        <v>180000</v>
      </c>
      <c r="AH120" s="33"/>
      <c r="AI120" s="32">
        <v>0</v>
      </c>
      <c r="AJ120" s="33"/>
      <c r="AK120" s="32">
        <f t="shared" si="1"/>
        <v>180000</v>
      </c>
      <c r="AL120" s="33"/>
      <c r="AM120" s="32">
        <v>200000</v>
      </c>
      <c r="AN120" s="33"/>
      <c r="AO120" s="32">
        <v>0</v>
      </c>
      <c r="AP120" s="33"/>
      <c r="AQ120" s="32">
        <f t="shared" si="2"/>
        <v>200000</v>
      </c>
      <c r="AR120" s="33"/>
    </row>
    <row r="121" spans="1:44" ht="15.75" customHeight="1">
      <c r="A121" s="16">
        <v>30202</v>
      </c>
      <c r="B121" s="17" t="s">
        <v>126</v>
      </c>
      <c r="C121" s="18">
        <v>25000</v>
      </c>
      <c r="D121" s="19">
        <v>0.76</v>
      </c>
      <c r="E121" s="20">
        <v>0</v>
      </c>
      <c r="F121" s="19">
        <v>0</v>
      </c>
      <c r="G121" s="21">
        <v>25000</v>
      </c>
      <c r="H121" s="22">
        <v>0.53</v>
      </c>
      <c r="I121" s="23">
        <v>30000</v>
      </c>
      <c r="J121" s="24">
        <v>0.73</v>
      </c>
      <c r="K121" s="25">
        <v>0</v>
      </c>
      <c r="L121" s="26">
        <v>0</v>
      </c>
      <c r="M121" s="25">
        <v>30000</v>
      </c>
      <c r="N121" s="27">
        <v>0.61</v>
      </c>
      <c r="O121" s="23">
        <v>25000</v>
      </c>
      <c r="P121" s="24">
        <v>0.42</v>
      </c>
      <c r="Q121" s="25">
        <v>0</v>
      </c>
      <c r="R121" s="19">
        <v>0</v>
      </c>
      <c r="S121" s="25">
        <v>25000</v>
      </c>
      <c r="T121" s="22">
        <v>0.2</v>
      </c>
      <c r="U121" s="34">
        <v>80000</v>
      </c>
      <c r="V121" s="29">
        <v>1.1599999999999999</v>
      </c>
      <c r="W121" s="30">
        <v>0</v>
      </c>
      <c r="X121" s="29">
        <v>0</v>
      </c>
      <c r="Y121" s="31">
        <v>80000</v>
      </c>
      <c r="Z121" s="29">
        <v>1.04</v>
      </c>
      <c r="AA121" s="32">
        <v>60000</v>
      </c>
      <c r="AB121" s="33"/>
      <c r="AC121" s="32">
        <v>0</v>
      </c>
      <c r="AD121" s="33"/>
      <c r="AE121" s="32">
        <f t="shared" si="0"/>
        <v>60000</v>
      </c>
      <c r="AF121" s="33"/>
      <c r="AG121" s="32">
        <v>40000</v>
      </c>
      <c r="AH121" s="33"/>
      <c r="AI121" s="32">
        <v>0</v>
      </c>
      <c r="AJ121" s="33"/>
      <c r="AK121" s="32">
        <f t="shared" si="1"/>
        <v>40000</v>
      </c>
      <c r="AL121" s="33"/>
      <c r="AM121" s="32">
        <v>40000</v>
      </c>
      <c r="AN121" s="33"/>
      <c r="AO121" s="32">
        <v>0</v>
      </c>
      <c r="AP121" s="33"/>
      <c r="AQ121" s="32">
        <f t="shared" si="2"/>
        <v>40000</v>
      </c>
      <c r="AR121" s="33"/>
    </row>
    <row r="122" spans="1:44" ht="15.75" customHeight="1">
      <c r="A122" s="16">
        <v>30203</v>
      </c>
      <c r="B122" s="17" t="s">
        <v>127</v>
      </c>
      <c r="C122" s="18">
        <v>25000</v>
      </c>
      <c r="D122" s="19">
        <v>0.56000000000000005</v>
      </c>
      <c r="E122" s="20">
        <v>0</v>
      </c>
      <c r="F122" s="19">
        <v>0</v>
      </c>
      <c r="G122" s="21">
        <v>25000</v>
      </c>
      <c r="H122" s="22">
        <v>0.43</v>
      </c>
      <c r="I122" s="23">
        <v>53000</v>
      </c>
      <c r="J122" s="24">
        <v>1.05</v>
      </c>
      <c r="K122" s="25">
        <v>0</v>
      </c>
      <c r="L122" s="26">
        <v>0</v>
      </c>
      <c r="M122" s="25">
        <v>53000</v>
      </c>
      <c r="N122" s="27">
        <v>0.85</v>
      </c>
      <c r="O122" s="23">
        <v>40000</v>
      </c>
      <c r="P122" s="24">
        <v>0.77</v>
      </c>
      <c r="Q122" s="25">
        <v>0</v>
      </c>
      <c r="R122" s="19">
        <v>0</v>
      </c>
      <c r="S122" s="25">
        <v>40000</v>
      </c>
      <c r="T122" s="22">
        <v>0.63</v>
      </c>
      <c r="U122" s="34">
        <v>65020</v>
      </c>
      <c r="V122" s="29">
        <v>1.31</v>
      </c>
      <c r="W122" s="30">
        <v>0</v>
      </c>
      <c r="X122" s="29">
        <v>0</v>
      </c>
      <c r="Y122" s="31">
        <v>65020</v>
      </c>
      <c r="Z122" s="29">
        <v>1.3</v>
      </c>
      <c r="AA122" s="32">
        <v>64920</v>
      </c>
      <c r="AB122" s="33"/>
      <c r="AC122" s="32">
        <v>0</v>
      </c>
      <c r="AD122" s="33"/>
      <c r="AE122" s="32">
        <f t="shared" si="0"/>
        <v>64920</v>
      </c>
      <c r="AF122" s="33"/>
      <c r="AG122" s="32">
        <v>64920</v>
      </c>
      <c r="AH122" s="33"/>
      <c r="AI122" s="32">
        <v>0</v>
      </c>
      <c r="AJ122" s="33"/>
      <c r="AK122" s="32">
        <f t="shared" si="1"/>
        <v>64920</v>
      </c>
      <c r="AL122" s="33"/>
      <c r="AM122" s="32">
        <v>69720</v>
      </c>
      <c r="AN122" s="33"/>
      <c r="AO122" s="32">
        <v>0</v>
      </c>
      <c r="AP122" s="33"/>
      <c r="AQ122" s="32">
        <f t="shared" si="2"/>
        <v>69720</v>
      </c>
      <c r="AR122" s="33"/>
    </row>
    <row r="123" spans="1:44" ht="15.75" customHeight="1">
      <c r="A123" s="16">
        <v>30301</v>
      </c>
      <c r="B123" s="17" t="s">
        <v>128</v>
      </c>
      <c r="C123" s="18">
        <v>90000</v>
      </c>
      <c r="D123" s="19">
        <v>0.45</v>
      </c>
      <c r="E123" s="20">
        <v>0</v>
      </c>
      <c r="F123" s="19">
        <v>0</v>
      </c>
      <c r="G123" s="21">
        <v>90000</v>
      </c>
      <c r="H123" s="22">
        <v>0.36</v>
      </c>
      <c r="I123" s="23">
        <v>90000</v>
      </c>
      <c r="J123" s="24">
        <v>0.43</v>
      </c>
      <c r="K123" s="25">
        <v>0</v>
      </c>
      <c r="L123" s="26">
        <v>0</v>
      </c>
      <c r="M123" s="25">
        <v>90000</v>
      </c>
      <c r="N123" s="27">
        <v>0.39</v>
      </c>
      <c r="O123" s="23">
        <v>80000</v>
      </c>
      <c r="P123" s="24">
        <v>0.39</v>
      </c>
      <c r="Q123" s="25">
        <v>0</v>
      </c>
      <c r="R123" s="19">
        <v>0</v>
      </c>
      <c r="S123" s="25">
        <v>80000</v>
      </c>
      <c r="T123" s="22">
        <v>0.28999999999999998</v>
      </c>
      <c r="U123" s="34">
        <v>90000</v>
      </c>
      <c r="V123" s="29">
        <v>0.46</v>
      </c>
      <c r="W123" s="30">
        <v>0</v>
      </c>
      <c r="X123" s="29">
        <v>0</v>
      </c>
      <c r="Y123" s="31">
        <v>90000</v>
      </c>
      <c r="Z123" s="29">
        <v>0.44</v>
      </c>
      <c r="AA123" s="32">
        <v>150000</v>
      </c>
      <c r="AB123" s="33"/>
      <c r="AC123" s="32">
        <v>0</v>
      </c>
      <c r="AD123" s="33"/>
      <c r="AE123" s="32">
        <f t="shared" si="0"/>
        <v>150000</v>
      </c>
      <c r="AF123" s="33"/>
      <c r="AG123" s="32">
        <v>149908</v>
      </c>
      <c r="AH123" s="33"/>
      <c r="AI123" s="32">
        <v>0</v>
      </c>
      <c r="AJ123" s="33"/>
      <c r="AK123" s="32">
        <f t="shared" si="1"/>
        <v>149908</v>
      </c>
      <c r="AL123" s="33"/>
      <c r="AM123" s="32">
        <v>151252</v>
      </c>
      <c r="AN123" s="33"/>
      <c r="AO123" s="32">
        <v>0</v>
      </c>
      <c r="AP123" s="33"/>
      <c r="AQ123" s="32">
        <f t="shared" si="2"/>
        <v>151252</v>
      </c>
      <c r="AR123" s="33"/>
    </row>
    <row r="124" spans="1:44" ht="15.75" customHeight="1">
      <c r="A124" s="16">
        <v>30302</v>
      </c>
      <c r="B124" s="17" t="s">
        <v>129</v>
      </c>
      <c r="C124" s="18">
        <v>45000</v>
      </c>
      <c r="D124" s="19">
        <v>0.38</v>
      </c>
      <c r="E124" s="20">
        <v>0</v>
      </c>
      <c r="F124" s="19">
        <v>0</v>
      </c>
      <c r="G124" s="21">
        <v>45000</v>
      </c>
      <c r="H124" s="22">
        <v>0.19</v>
      </c>
      <c r="I124" s="23">
        <v>45000</v>
      </c>
      <c r="J124" s="24">
        <v>0.33</v>
      </c>
      <c r="K124" s="25">
        <v>0</v>
      </c>
      <c r="L124" s="26">
        <v>0</v>
      </c>
      <c r="M124" s="25">
        <v>45000</v>
      </c>
      <c r="N124" s="27">
        <v>0.17</v>
      </c>
      <c r="O124" s="23">
        <v>45000</v>
      </c>
      <c r="P124" s="24">
        <v>0.35</v>
      </c>
      <c r="Q124" s="25">
        <v>0</v>
      </c>
      <c r="R124" s="19">
        <v>0</v>
      </c>
      <c r="S124" s="25">
        <v>45000</v>
      </c>
      <c r="T124" s="22">
        <v>0.23</v>
      </c>
      <c r="U124" s="34">
        <v>38000</v>
      </c>
      <c r="V124" s="29">
        <v>0.38</v>
      </c>
      <c r="W124" s="30">
        <v>0</v>
      </c>
      <c r="X124" s="29">
        <v>0</v>
      </c>
      <c r="Y124" s="31">
        <v>38000</v>
      </c>
      <c r="Z124" s="29">
        <v>0.37</v>
      </c>
      <c r="AA124" s="32">
        <v>69500</v>
      </c>
      <c r="AB124" s="33"/>
      <c r="AC124" s="32">
        <v>0</v>
      </c>
      <c r="AD124" s="33"/>
      <c r="AE124" s="32">
        <f t="shared" si="0"/>
        <v>69500</v>
      </c>
      <c r="AF124" s="33"/>
      <c r="AG124" s="32">
        <v>45000</v>
      </c>
      <c r="AH124" s="33"/>
      <c r="AI124" s="32">
        <v>0</v>
      </c>
      <c r="AJ124" s="33"/>
      <c r="AK124" s="32">
        <f t="shared" si="1"/>
        <v>45000</v>
      </c>
      <c r="AL124" s="33"/>
      <c r="AM124" s="32">
        <v>45000</v>
      </c>
      <c r="AN124" s="33"/>
      <c r="AO124" s="32">
        <v>0</v>
      </c>
      <c r="AP124" s="33"/>
      <c r="AQ124" s="32">
        <f t="shared" si="2"/>
        <v>45000</v>
      </c>
      <c r="AR124" s="33"/>
    </row>
    <row r="125" spans="1:44" ht="15.75" customHeight="1">
      <c r="A125" s="16">
        <v>30303</v>
      </c>
      <c r="B125" s="17" t="s">
        <v>130</v>
      </c>
      <c r="C125" s="18">
        <v>35000</v>
      </c>
      <c r="D125" s="19">
        <v>0.33</v>
      </c>
      <c r="E125" s="20">
        <v>0</v>
      </c>
      <c r="F125" s="19">
        <v>0</v>
      </c>
      <c r="G125" s="21">
        <v>35000</v>
      </c>
      <c r="H125" s="22">
        <v>0.22</v>
      </c>
      <c r="I125" s="23">
        <v>30000</v>
      </c>
      <c r="J125" s="24">
        <v>0.27</v>
      </c>
      <c r="K125" s="25">
        <v>0</v>
      </c>
      <c r="L125" s="26">
        <v>0</v>
      </c>
      <c r="M125" s="25">
        <v>30000</v>
      </c>
      <c r="N125" s="27">
        <v>0.16</v>
      </c>
      <c r="O125" s="23">
        <v>30000</v>
      </c>
      <c r="P125" s="24">
        <v>0.24</v>
      </c>
      <c r="Q125" s="25">
        <v>0</v>
      </c>
      <c r="R125" s="19">
        <v>0</v>
      </c>
      <c r="S125" s="25">
        <v>30000</v>
      </c>
      <c r="T125" s="22">
        <v>0.17</v>
      </c>
      <c r="U125" s="34">
        <v>40000</v>
      </c>
      <c r="V125" s="29">
        <v>0.3</v>
      </c>
      <c r="W125" s="30">
        <v>0</v>
      </c>
      <c r="X125" s="29">
        <v>0</v>
      </c>
      <c r="Y125" s="31">
        <v>40000</v>
      </c>
      <c r="Z125" s="29">
        <v>0.25</v>
      </c>
      <c r="AA125" s="32"/>
      <c r="AB125" s="33"/>
      <c r="AC125" s="32">
        <v>0</v>
      </c>
      <c r="AD125" s="33"/>
      <c r="AE125" s="32">
        <f t="shared" si="0"/>
        <v>0</v>
      </c>
      <c r="AF125" s="33"/>
      <c r="AG125" s="32"/>
      <c r="AH125" s="33"/>
      <c r="AI125" s="32">
        <v>0</v>
      </c>
      <c r="AJ125" s="33"/>
      <c r="AK125" s="32">
        <f t="shared" si="1"/>
        <v>0</v>
      </c>
      <c r="AL125" s="33"/>
      <c r="AM125" s="32"/>
      <c r="AN125" s="33"/>
      <c r="AO125" s="32">
        <v>0</v>
      </c>
      <c r="AP125" s="33"/>
      <c r="AQ125" s="32">
        <f t="shared" si="2"/>
        <v>0</v>
      </c>
      <c r="AR125" s="33"/>
    </row>
    <row r="126" spans="1:44" ht="15.75" customHeight="1">
      <c r="A126" s="16">
        <v>30401</v>
      </c>
      <c r="B126" s="17" t="s">
        <v>131</v>
      </c>
      <c r="C126" s="18">
        <v>50000</v>
      </c>
      <c r="D126" s="19">
        <v>0.89</v>
      </c>
      <c r="E126" s="20">
        <v>0</v>
      </c>
      <c r="F126" s="19">
        <v>0</v>
      </c>
      <c r="G126" s="21">
        <v>50000</v>
      </c>
      <c r="H126" s="22">
        <v>0.46</v>
      </c>
      <c r="I126" s="23">
        <v>50000</v>
      </c>
      <c r="J126" s="24">
        <v>0.79</v>
      </c>
      <c r="K126" s="25">
        <v>0</v>
      </c>
      <c r="L126" s="26">
        <v>0</v>
      </c>
      <c r="M126" s="25">
        <v>50000</v>
      </c>
      <c r="N126" s="27">
        <v>0.48</v>
      </c>
      <c r="O126" s="23">
        <v>50000</v>
      </c>
      <c r="P126" s="24">
        <v>0.81</v>
      </c>
      <c r="Q126" s="25">
        <v>0</v>
      </c>
      <c r="R126" s="19">
        <v>0</v>
      </c>
      <c r="S126" s="25">
        <v>50000</v>
      </c>
      <c r="T126" s="22">
        <v>0.35</v>
      </c>
      <c r="U126" s="34">
        <v>140000</v>
      </c>
      <c r="V126" s="29">
        <v>1.78</v>
      </c>
      <c r="W126" s="30">
        <v>0</v>
      </c>
      <c r="X126" s="29">
        <v>0</v>
      </c>
      <c r="Y126" s="31">
        <v>140000</v>
      </c>
      <c r="Z126" s="29">
        <v>1.44</v>
      </c>
      <c r="AA126" s="32">
        <v>140000</v>
      </c>
      <c r="AB126" s="33"/>
      <c r="AC126" s="32">
        <v>0</v>
      </c>
      <c r="AD126" s="33"/>
      <c r="AE126" s="32">
        <f t="shared" si="0"/>
        <v>140000</v>
      </c>
      <c r="AF126" s="33"/>
      <c r="AG126" s="32">
        <v>140000</v>
      </c>
      <c r="AH126" s="33"/>
      <c r="AI126" s="32">
        <v>0</v>
      </c>
      <c r="AJ126" s="33"/>
      <c r="AK126" s="32">
        <f t="shared" si="1"/>
        <v>140000</v>
      </c>
      <c r="AL126" s="33"/>
      <c r="AM126" s="32">
        <v>141488</v>
      </c>
      <c r="AN126" s="33"/>
      <c r="AO126" s="32">
        <v>0</v>
      </c>
      <c r="AP126" s="33"/>
      <c r="AQ126" s="32">
        <f t="shared" si="2"/>
        <v>141488</v>
      </c>
      <c r="AR126" s="33"/>
    </row>
    <row r="127" spans="1:44" ht="15.75" customHeight="1">
      <c r="A127" s="16">
        <v>30402</v>
      </c>
      <c r="B127" s="17" t="s">
        <v>132</v>
      </c>
      <c r="C127" s="18">
        <v>40000</v>
      </c>
      <c r="D127" s="19">
        <v>0.53</v>
      </c>
      <c r="E127" s="20">
        <v>0</v>
      </c>
      <c r="F127" s="19">
        <v>0</v>
      </c>
      <c r="G127" s="21">
        <v>40000</v>
      </c>
      <c r="H127" s="22">
        <v>0.41</v>
      </c>
      <c r="I127" s="23">
        <v>44000</v>
      </c>
      <c r="J127" s="24">
        <v>0.64</v>
      </c>
      <c r="K127" s="25">
        <v>0</v>
      </c>
      <c r="L127" s="26">
        <v>0</v>
      </c>
      <c r="M127" s="25">
        <v>44000</v>
      </c>
      <c r="N127" s="27">
        <v>0.49</v>
      </c>
      <c r="O127" s="23">
        <v>30000</v>
      </c>
      <c r="P127" s="24">
        <v>0.49</v>
      </c>
      <c r="Q127" s="25">
        <v>0</v>
      </c>
      <c r="R127" s="19">
        <v>0</v>
      </c>
      <c r="S127" s="25">
        <v>30000</v>
      </c>
      <c r="T127" s="22">
        <v>0.34</v>
      </c>
      <c r="U127" s="34">
        <v>10000</v>
      </c>
      <c r="V127" s="29">
        <v>0.17</v>
      </c>
      <c r="W127" s="30">
        <v>0</v>
      </c>
      <c r="X127" s="29">
        <v>0</v>
      </c>
      <c r="Y127" s="31">
        <v>10000</v>
      </c>
      <c r="Z127" s="29">
        <v>0.16</v>
      </c>
      <c r="AA127" s="32">
        <v>20000</v>
      </c>
      <c r="AB127" s="33"/>
      <c r="AC127" s="32">
        <v>0</v>
      </c>
      <c r="AD127" s="33"/>
      <c r="AE127" s="32">
        <f t="shared" si="0"/>
        <v>20000</v>
      </c>
      <c r="AF127" s="33"/>
      <c r="AG127" s="32">
        <v>20000</v>
      </c>
      <c r="AH127" s="33"/>
      <c r="AI127" s="32">
        <v>0</v>
      </c>
      <c r="AJ127" s="33"/>
      <c r="AK127" s="32">
        <f t="shared" si="1"/>
        <v>20000</v>
      </c>
      <c r="AL127" s="33"/>
      <c r="AM127" s="32">
        <v>25000</v>
      </c>
      <c r="AN127" s="33"/>
      <c r="AO127" s="32">
        <v>0</v>
      </c>
      <c r="AP127" s="33"/>
      <c r="AQ127" s="32">
        <f t="shared" si="2"/>
        <v>25000</v>
      </c>
      <c r="AR127" s="33"/>
    </row>
    <row r="128" spans="1:44" ht="15.75" customHeight="1">
      <c r="A128" s="16">
        <v>30403</v>
      </c>
      <c r="B128" s="17" t="s">
        <v>133</v>
      </c>
      <c r="C128" s="35">
        <v>0</v>
      </c>
      <c r="D128" s="19">
        <v>0</v>
      </c>
      <c r="E128" s="20">
        <v>0</v>
      </c>
      <c r="F128" s="19">
        <v>0</v>
      </c>
      <c r="G128" s="21">
        <v>0</v>
      </c>
      <c r="H128" s="22">
        <v>0</v>
      </c>
      <c r="I128" s="23">
        <v>30000</v>
      </c>
      <c r="J128" s="24">
        <v>0.34</v>
      </c>
      <c r="K128" s="25">
        <v>0</v>
      </c>
      <c r="L128" s="26">
        <v>0</v>
      </c>
      <c r="M128" s="25">
        <v>30000</v>
      </c>
      <c r="N128" s="27">
        <v>0.28000000000000003</v>
      </c>
      <c r="O128" s="23">
        <v>35000</v>
      </c>
      <c r="P128" s="24">
        <v>0.3</v>
      </c>
      <c r="Q128" s="25">
        <v>0</v>
      </c>
      <c r="R128" s="19">
        <v>0</v>
      </c>
      <c r="S128" s="25">
        <v>35000</v>
      </c>
      <c r="T128" s="22">
        <v>0.22</v>
      </c>
      <c r="U128" s="34">
        <v>210000</v>
      </c>
      <c r="V128" s="29">
        <v>1.49</v>
      </c>
      <c r="W128" s="30">
        <v>0</v>
      </c>
      <c r="X128" s="29">
        <v>0</v>
      </c>
      <c r="Y128" s="31">
        <v>210000</v>
      </c>
      <c r="Z128" s="29">
        <v>1.45</v>
      </c>
      <c r="AA128" s="32">
        <v>240000</v>
      </c>
      <c r="AB128" s="33"/>
      <c r="AC128" s="32">
        <v>0</v>
      </c>
      <c r="AD128" s="33"/>
      <c r="AE128" s="32">
        <f t="shared" si="0"/>
        <v>240000</v>
      </c>
      <c r="AF128" s="33"/>
      <c r="AG128" s="32">
        <v>185000</v>
      </c>
      <c r="AH128" s="33"/>
      <c r="AI128" s="32">
        <v>0</v>
      </c>
      <c r="AJ128" s="33"/>
      <c r="AK128" s="32">
        <f t="shared" si="1"/>
        <v>185000</v>
      </c>
      <c r="AL128" s="33"/>
      <c r="AM128" s="32">
        <v>185000</v>
      </c>
      <c r="AN128" s="33"/>
      <c r="AO128" s="32">
        <v>0</v>
      </c>
      <c r="AP128" s="33"/>
      <c r="AQ128" s="32">
        <f t="shared" si="2"/>
        <v>185000</v>
      </c>
      <c r="AR128" s="33"/>
    </row>
    <row r="129" spans="1:44" ht="15.75" customHeight="1">
      <c r="A129" s="16">
        <v>30404</v>
      </c>
      <c r="B129" s="17" t="s">
        <v>134</v>
      </c>
      <c r="C129" s="35">
        <v>0</v>
      </c>
      <c r="D129" s="19">
        <v>0</v>
      </c>
      <c r="E129" s="20">
        <v>0</v>
      </c>
      <c r="F129" s="19">
        <v>0</v>
      </c>
      <c r="G129" s="21">
        <v>0</v>
      </c>
      <c r="H129" s="22">
        <v>0</v>
      </c>
      <c r="I129" s="35">
        <v>0</v>
      </c>
      <c r="J129" s="19">
        <v>0</v>
      </c>
      <c r="K129" s="25">
        <v>0</v>
      </c>
      <c r="L129" s="26">
        <v>0</v>
      </c>
      <c r="M129" s="21">
        <v>0</v>
      </c>
      <c r="N129" s="22">
        <v>0</v>
      </c>
      <c r="O129" s="35">
        <v>0</v>
      </c>
      <c r="P129" s="19">
        <v>0</v>
      </c>
      <c r="Q129" s="25">
        <v>0</v>
      </c>
      <c r="R129" s="19">
        <v>0</v>
      </c>
      <c r="S129" s="21">
        <v>0</v>
      </c>
      <c r="T129" s="22">
        <v>0</v>
      </c>
      <c r="U129" s="34">
        <v>20000</v>
      </c>
      <c r="V129" s="29">
        <v>0.57999999999999996</v>
      </c>
      <c r="W129" s="30">
        <v>0</v>
      </c>
      <c r="X129" s="29">
        <v>0</v>
      </c>
      <c r="Y129" s="31">
        <v>20000</v>
      </c>
      <c r="Z129" s="29">
        <v>0.57999999999999996</v>
      </c>
      <c r="AA129" s="32">
        <v>20000</v>
      </c>
      <c r="AB129" s="33"/>
      <c r="AC129" s="32">
        <v>0</v>
      </c>
      <c r="AD129" s="33"/>
      <c r="AE129" s="32">
        <f t="shared" si="0"/>
        <v>20000</v>
      </c>
      <c r="AF129" s="33"/>
      <c r="AG129" s="32">
        <v>15200</v>
      </c>
      <c r="AH129" s="33"/>
      <c r="AI129" s="32">
        <v>0</v>
      </c>
      <c r="AJ129" s="33"/>
      <c r="AK129" s="32">
        <f t="shared" si="1"/>
        <v>15200</v>
      </c>
      <c r="AL129" s="33"/>
      <c r="AM129" s="32">
        <v>10000</v>
      </c>
      <c r="AN129" s="33"/>
      <c r="AO129" s="32">
        <v>0</v>
      </c>
      <c r="AP129" s="33"/>
      <c r="AQ129" s="32">
        <f t="shared" si="2"/>
        <v>10000</v>
      </c>
      <c r="AR129" s="33"/>
    </row>
    <row r="130" spans="1:44" ht="15.75" customHeight="1">
      <c r="A130" s="16">
        <v>30501</v>
      </c>
      <c r="B130" s="17" t="s">
        <v>135</v>
      </c>
      <c r="C130" s="18">
        <v>35000</v>
      </c>
      <c r="D130" s="19">
        <v>0.55000000000000004</v>
      </c>
      <c r="E130" s="20">
        <v>0</v>
      </c>
      <c r="F130" s="19">
        <v>0</v>
      </c>
      <c r="G130" s="21">
        <v>35000</v>
      </c>
      <c r="H130" s="22">
        <v>0.36</v>
      </c>
      <c r="I130" s="23">
        <v>35000</v>
      </c>
      <c r="J130" s="24">
        <v>0.44</v>
      </c>
      <c r="K130" s="25">
        <v>0</v>
      </c>
      <c r="L130" s="26">
        <v>0</v>
      </c>
      <c r="M130" s="25">
        <v>35000</v>
      </c>
      <c r="N130" s="27">
        <v>0.37</v>
      </c>
      <c r="O130" s="23">
        <v>50000</v>
      </c>
      <c r="P130" s="24">
        <v>0.69</v>
      </c>
      <c r="Q130" s="25">
        <v>0</v>
      </c>
      <c r="R130" s="19">
        <v>0</v>
      </c>
      <c r="S130" s="25">
        <v>50000</v>
      </c>
      <c r="T130" s="22">
        <v>0.28999999999999998</v>
      </c>
      <c r="U130" s="34">
        <v>50000</v>
      </c>
      <c r="V130" s="29">
        <v>0.55000000000000004</v>
      </c>
      <c r="W130" s="30">
        <v>0</v>
      </c>
      <c r="X130" s="29">
        <v>0</v>
      </c>
      <c r="Y130" s="31">
        <v>50000</v>
      </c>
      <c r="Z130" s="29">
        <v>0.4</v>
      </c>
      <c r="AA130" s="32">
        <v>35000</v>
      </c>
      <c r="AB130" s="33"/>
      <c r="AC130" s="32">
        <v>0</v>
      </c>
      <c r="AD130" s="33"/>
      <c r="AE130" s="32">
        <f t="shared" si="0"/>
        <v>35000</v>
      </c>
      <c r="AF130" s="33"/>
      <c r="AG130" s="32">
        <v>40000</v>
      </c>
      <c r="AH130" s="33"/>
      <c r="AI130" s="32">
        <v>0</v>
      </c>
      <c r="AJ130" s="33"/>
      <c r="AK130" s="32">
        <f t="shared" si="1"/>
        <v>40000</v>
      </c>
      <c r="AL130" s="33"/>
      <c r="AM130" s="32">
        <v>55000</v>
      </c>
      <c r="AN130" s="33"/>
      <c r="AO130" s="32">
        <v>0</v>
      </c>
      <c r="AP130" s="33"/>
      <c r="AQ130" s="32">
        <f t="shared" si="2"/>
        <v>55000</v>
      </c>
      <c r="AR130" s="33"/>
    </row>
    <row r="131" spans="1:44" ht="15.75" customHeight="1">
      <c r="A131" s="16">
        <v>30502</v>
      </c>
      <c r="B131" s="17" t="s">
        <v>136</v>
      </c>
      <c r="C131" s="18">
        <v>10000</v>
      </c>
      <c r="D131" s="19">
        <v>0.11</v>
      </c>
      <c r="E131" s="36">
        <v>125000</v>
      </c>
      <c r="F131" s="19">
        <v>1.94</v>
      </c>
      <c r="G131" s="21">
        <v>135000</v>
      </c>
      <c r="H131" s="22">
        <v>0.88</v>
      </c>
      <c r="I131" s="23">
        <v>11000</v>
      </c>
      <c r="J131" s="24">
        <v>0.1</v>
      </c>
      <c r="K131" s="25">
        <v>0</v>
      </c>
      <c r="L131" s="26">
        <v>0</v>
      </c>
      <c r="M131" s="25">
        <v>11000</v>
      </c>
      <c r="N131" s="27">
        <v>7.0000000000000007E-2</v>
      </c>
      <c r="O131" s="23">
        <v>10000</v>
      </c>
      <c r="P131" s="24">
        <v>0.15</v>
      </c>
      <c r="Q131" s="25">
        <v>0</v>
      </c>
      <c r="R131" s="19">
        <v>0</v>
      </c>
      <c r="S131" s="25">
        <v>10000</v>
      </c>
      <c r="T131" s="22">
        <v>0.11</v>
      </c>
      <c r="U131" s="34">
        <v>6000</v>
      </c>
      <c r="V131" s="29">
        <v>0.09</v>
      </c>
      <c r="W131" s="30">
        <v>0</v>
      </c>
      <c r="X131" s="29">
        <v>0</v>
      </c>
      <c r="Y131" s="31">
        <v>6000</v>
      </c>
      <c r="Z131" s="29">
        <v>0.09</v>
      </c>
      <c r="AA131" s="32">
        <v>4000</v>
      </c>
      <c r="AB131" s="33"/>
      <c r="AC131" s="32">
        <v>0</v>
      </c>
      <c r="AD131" s="33"/>
      <c r="AE131" s="32">
        <f t="shared" si="0"/>
        <v>4000</v>
      </c>
      <c r="AF131" s="33"/>
      <c r="AG131" s="32">
        <v>4000</v>
      </c>
      <c r="AH131" s="33"/>
      <c r="AI131" s="32">
        <v>0</v>
      </c>
      <c r="AJ131" s="33"/>
      <c r="AK131" s="32">
        <f t="shared" si="1"/>
        <v>4000</v>
      </c>
      <c r="AL131" s="33"/>
      <c r="AM131" s="32">
        <v>4000</v>
      </c>
      <c r="AN131" s="33"/>
      <c r="AO131" s="32">
        <v>0</v>
      </c>
      <c r="AP131" s="33"/>
      <c r="AQ131" s="32">
        <f t="shared" si="2"/>
        <v>4000</v>
      </c>
      <c r="AR131" s="33"/>
    </row>
    <row r="132" spans="1:44" ht="15.75" customHeight="1">
      <c r="A132" s="16">
        <v>30601</v>
      </c>
      <c r="B132" s="17" t="s">
        <v>137</v>
      </c>
      <c r="C132" s="18">
        <v>40000</v>
      </c>
      <c r="D132" s="19">
        <v>0.42</v>
      </c>
      <c r="E132" s="20">
        <v>0</v>
      </c>
      <c r="F132" s="19">
        <v>0</v>
      </c>
      <c r="G132" s="21">
        <v>40000</v>
      </c>
      <c r="H132" s="22">
        <v>0.3</v>
      </c>
      <c r="I132" s="23">
        <v>50000</v>
      </c>
      <c r="J132" s="24">
        <v>0.52</v>
      </c>
      <c r="K132" s="25">
        <v>0</v>
      </c>
      <c r="L132" s="26">
        <v>0</v>
      </c>
      <c r="M132" s="25">
        <v>50000</v>
      </c>
      <c r="N132" s="27">
        <v>0.38</v>
      </c>
      <c r="O132" s="23">
        <v>40000</v>
      </c>
      <c r="P132" s="24">
        <v>0.44</v>
      </c>
      <c r="Q132" s="25">
        <v>0</v>
      </c>
      <c r="R132" s="19">
        <v>0</v>
      </c>
      <c r="S132" s="25">
        <v>40000</v>
      </c>
      <c r="T132" s="22">
        <v>0.34</v>
      </c>
      <c r="U132" s="34">
        <v>40000</v>
      </c>
      <c r="V132" s="29">
        <v>0.55000000000000004</v>
      </c>
      <c r="W132" s="30">
        <v>0</v>
      </c>
      <c r="X132" s="29">
        <v>0</v>
      </c>
      <c r="Y132" s="31">
        <v>40000</v>
      </c>
      <c r="Z132" s="29">
        <v>0.54</v>
      </c>
      <c r="AA132" s="32">
        <v>25000</v>
      </c>
      <c r="AB132" s="33"/>
      <c r="AC132" s="32">
        <v>0</v>
      </c>
      <c r="AD132" s="33"/>
      <c r="AE132" s="32">
        <f t="shared" si="0"/>
        <v>25000</v>
      </c>
      <c r="AF132" s="33"/>
      <c r="AG132" s="32">
        <v>30000</v>
      </c>
      <c r="AH132" s="33"/>
      <c r="AI132" s="32">
        <v>0</v>
      </c>
      <c r="AJ132" s="33"/>
      <c r="AK132" s="32">
        <f t="shared" si="1"/>
        <v>30000</v>
      </c>
      <c r="AL132" s="33"/>
      <c r="AM132" s="32">
        <v>40000</v>
      </c>
      <c r="AN132" s="33"/>
      <c r="AO132" s="32">
        <v>0</v>
      </c>
      <c r="AP132" s="33"/>
      <c r="AQ132" s="32">
        <f t="shared" si="2"/>
        <v>40000</v>
      </c>
      <c r="AR132" s="33"/>
    </row>
    <row r="133" spans="1:44" ht="15.75" customHeight="1">
      <c r="A133" s="16">
        <v>30602</v>
      </c>
      <c r="B133" s="17" t="s">
        <v>138</v>
      </c>
      <c r="C133" s="35">
        <v>0</v>
      </c>
      <c r="D133" s="19">
        <v>0</v>
      </c>
      <c r="E133" s="20">
        <v>0</v>
      </c>
      <c r="F133" s="19">
        <v>0</v>
      </c>
      <c r="G133" s="21">
        <v>0</v>
      </c>
      <c r="H133" s="22">
        <v>0</v>
      </c>
      <c r="I133" s="35">
        <v>0</v>
      </c>
      <c r="J133" s="19">
        <v>0</v>
      </c>
      <c r="K133" s="25">
        <v>0</v>
      </c>
      <c r="L133" s="26">
        <v>0</v>
      </c>
      <c r="M133" s="21">
        <v>0</v>
      </c>
      <c r="N133" s="22">
        <v>0</v>
      </c>
      <c r="O133" s="35">
        <v>0</v>
      </c>
      <c r="P133" s="19">
        <v>0</v>
      </c>
      <c r="Q133" s="25">
        <v>0</v>
      </c>
      <c r="R133" s="19">
        <v>0</v>
      </c>
      <c r="S133" s="21">
        <v>0</v>
      </c>
      <c r="T133" s="22">
        <v>0</v>
      </c>
      <c r="U133" s="34">
        <v>10000</v>
      </c>
      <c r="V133" s="29">
        <v>0.09</v>
      </c>
      <c r="W133" s="30">
        <v>0</v>
      </c>
      <c r="X133" s="29">
        <v>0</v>
      </c>
      <c r="Y133" s="31">
        <v>10000</v>
      </c>
      <c r="Z133" s="29">
        <v>0.09</v>
      </c>
      <c r="AA133" s="32">
        <v>6000</v>
      </c>
      <c r="AB133" s="33"/>
      <c r="AC133" s="32">
        <v>0</v>
      </c>
      <c r="AD133" s="33"/>
      <c r="AE133" s="32">
        <f t="shared" si="0"/>
        <v>6000</v>
      </c>
      <c r="AF133" s="33"/>
      <c r="AG133" s="32">
        <v>5000</v>
      </c>
      <c r="AH133" s="33"/>
      <c r="AI133" s="32">
        <v>0</v>
      </c>
      <c r="AJ133" s="33"/>
      <c r="AK133" s="32">
        <f t="shared" si="1"/>
        <v>5000</v>
      </c>
      <c r="AL133" s="33"/>
      <c r="AM133" s="32">
        <v>3000</v>
      </c>
      <c r="AN133" s="33"/>
      <c r="AO133" s="32">
        <v>0</v>
      </c>
      <c r="AP133" s="33"/>
      <c r="AQ133" s="32">
        <f t="shared" si="2"/>
        <v>3000</v>
      </c>
      <c r="AR133" s="33"/>
    </row>
    <row r="134" spans="1:44" ht="15.75" customHeight="1">
      <c r="A134" s="16">
        <v>30701</v>
      </c>
      <c r="B134" s="17" t="s">
        <v>139</v>
      </c>
      <c r="C134" s="35">
        <v>0</v>
      </c>
      <c r="D134" s="19">
        <v>0</v>
      </c>
      <c r="E134" s="20">
        <v>0</v>
      </c>
      <c r="F134" s="19">
        <v>0</v>
      </c>
      <c r="G134" s="21">
        <v>0</v>
      </c>
      <c r="H134" s="22">
        <v>0</v>
      </c>
      <c r="I134" s="23">
        <v>50000</v>
      </c>
      <c r="J134" s="24">
        <v>0.4</v>
      </c>
      <c r="K134" s="25">
        <v>0</v>
      </c>
      <c r="L134" s="26">
        <v>0</v>
      </c>
      <c r="M134" s="25">
        <v>50000</v>
      </c>
      <c r="N134" s="27">
        <v>0.21</v>
      </c>
      <c r="O134" s="23">
        <v>50000</v>
      </c>
      <c r="P134" s="24">
        <v>0.31</v>
      </c>
      <c r="Q134" s="25">
        <v>0</v>
      </c>
      <c r="R134" s="19">
        <v>0</v>
      </c>
      <c r="S134" s="25">
        <v>50000</v>
      </c>
      <c r="T134" s="22">
        <v>0.15</v>
      </c>
      <c r="U134" s="34">
        <v>260000</v>
      </c>
      <c r="V134" s="29">
        <v>1.29</v>
      </c>
      <c r="W134" s="30">
        <v>0</v>
      </c>
      <c r="X134" s="29">
        <v>0</v>
      </c>
      <c r="Y134" s="31">
        <v>260000</v>
      </c>
      <c r="Z134" s="29">
        <v>1.1000000000000001</v>
      </c>
      <c r="AA134" s="32">
        <v>245000</v>
      </c>
      <c r="AB134" s="33"/>
      <c r="AC134" s="32">
        <v>0</v>
      </c>
      <c r="AD134" s="33"/>
      <c r="AE134" s="32">
        <f t="shared" si="0"/>
        <v>245000</v>
      </c>
      <c r="AF134" s="33"/>
      <c r="AG134" s="32">
        <v>200000</v>
      </c>
      <c r="AH134" s="33"/>
      <c r="AI134" s="32">
        <v>0</v>
      </c>
      <c r="AJ134" s="33"/>
      <c r="AK134" s="32">
        <f t="shared" si="1"/>
        <v>200000</v>
      </c>
      <c r="AL134" s="33"/>
      <c r="AM134" s="32">
        <v>200000</v>
      </c>
      <c r="AN134" s="33"/>
      <c r="AO134" s="32">
        <v>0</v>
      </c>
      <c r="AP134" s="33"/>
      <c r="AQ134" s="32">
        <f t="shared" si="2"/>
        <v>200000</v>
      </c>
      <c r="AR134" s="33"/>
    </row>
    <row r="135" spans="1:44" ht="15.75" customHeight="1">
      <c r="A135" s="16">
        <v>30702</v>
      </c>
      <c r="B135" s="17" t="s">
        <v>140</v>
      </c>
      <c r="C135" s="18">
        <v>30000</v>
      </c>
      <c r="D135" s="19">
        <v>0.54</v>
      </c>
      <c r="E135" s="20">
        <v>0</v>
      </c>
      <c r="F135" s="19">
        <v>0</v>
      </c>
      <c r="G135" s="21">
        <v>30000</v>
      </c>
      <c r="H135" s="22">
        <v>0.45</v>
      </c>
      <c r="I135" s="23">
        <v>30000</v>
      </c>
      <c r="J135" s="24">
        <v>0.52</v>
      </c>
      <c r="K135" s="25">
        <v>0</v>
      </c>
      <c r="L135" s="26">
        <v>0</v>
      </c>
      <c r="M135" s="25">
        <v>30000</v>
      </c>
      <c r="N135" s="27">
        <v>0.45</v>
      </c>
      <c r="O135" s="23">
        <v>30000</v>
      </c>
      <c r="P135" s="24">
        <v>0.54</v>
      </c>
      <c r="Q135" s="25">
        <v>0</v>
      </c>
      <c r="R135" s="19">
        <v>0</v>
      </c>
      <c r="S135" s="25">
        <v>30000</v>
      </c>
      <c r="T135" s="22">
        <v>0.48</v>
      </c>
      <c r="U135" s="34">
        <v>30000</v>
      </c>
      <c r="V135" s="29">
        <v>0.42</v>
      </c>
      <c r="W135" s="30">
        <v>0</v>
      </c>
      <c r="X135" s="29">
        <v>0</v>
      </c>
      <c r="Y135" s="31">
        <v>30000</v>
      </c>
      <c r="Z135" s="29">
        <v>0.32</v>
      </c>
      <c r="AA135" s="32">
        <v>35000</v>
      </c>
      <c r="AB135" s="33"/>
      <c r="AC135" s="32">
        <v>0</v>
      </c>
      <c r="AD135" s="33"/>
      <c r="AE135" s="32">
        <f t="shared" si="0"/>
        <v>35000</v>
      </c>
      <c r="AF135" s="33"/>
      <c r="AG135" s="32">
        <v>18000</v>
      </c>
      <c r="AH135" s="33"/>
      <c r="AI135" s="32">
        <v>0</v>
      </c>
      <c r="AJ135" s="33"/>
      <c r="AK135" s="32">
        <f t="shared" si="1"/>
        <v>18000</v>
      </c>
      <c r="AL135" s="33"/>
      <c r="AM135" s="32">
        <v>18000</v>
      </c>
      <c r="AN135" s="33"/>
      <c r="AO135" s="32">
        <v>0</v>
      </c>
      <c r="AP135" s="33"/>
      <c r="AQ135" s="32">
        <f t="shared" si="2"/>
        <v>18000</v>
      </c>
      <c r="AR135" s="33"/>
    </row>
    <row r="136" spans="1:44" ht="15.75" customHeight="1">
      <c r="A136" s="16">
        <v>30703</v>
      </c>
      <c r="B136" s="17" t="s">
        <v>141</v>
      </c>
      <c r="C136" s="35">
        <v>0</v>
      </c>
      <c r="D136" s="19">
        <v>0</v>
      </c>
      <c r="E136" s="20">
        <v>0</v>
      </c>
      <c r="F136" s="19">
        <v>0</v>
      </c>
      <c r="G136" s="21">
        <v>0</v>
      </c>
      <c r="H136" s="22">
        <v>0</v>
      </c>
      <c r="I136" s="35">
        <v>0</v>
      </c>
      <c r="J136" s="19">
        <v>0</v>
      </c>
      <c r="K136" s="25">
        <v>0</v>
      </c>
      <c r="L136" s="26">
        <v>0</v>
      </c>
      <c r="M136" s="21">
        <v>0</v>
      </c>
      <c r="N136" s="22">
        <v>0</v>
      </c>
      <c r="O136" s="35">
        <v>0</v>
      </c>
      <c r="P136" s="19">
        <v>0</v>
      </c>
      <c r="Q136" s="25">
        <v>0</v>
      </c>
      <c r="R136" s="19">
        <v>0</v>
      </c>
      <c r="S136" s="21">
        <v>0</v>
      </c>
      <c r="T136" s="22">
        <v>0</v>
      </c>
      <c r="U136" s="34">
        <v>1680</v>
      </c>
      <c r="V136" s="29">
        <v>0.05</v>
      </c>
      <c r="W136" s="30">
        <v>0</v>
      </c>
      <c r="X136" s="29">
        <v>0</v>
      </c>
      <c r="Y136" s="31">
        <v>1680</v>
      </c>
      <c r="Z136" s="29">
        <v>0.05</v>
      </c>
      <c r="AA136" s="32">
        <v>2000</v>
      </c>
      <c r="AB136" s="33"/>
      <c r="AC136" s="32">
        <v>0</v>
      </c>
      <c r="AD136" s="33"/>
      <c r="AE136" s="32">
        <f t="shared" si="0"/>
        <v>2000</v>
      </c>
      <c r="AF136" s="33"/>
      <c r="AG136" s="32">
        <v>2000</v>
      </c>
      <c r="AH136" s="33"/>
      <c r="AI136" s="32">
        <v>0</v>
      </c>
      <c r="AJ136" s="33"/>
      <c r="AK136" s="32">
        <f t="shared" si="1"/>
        <v>2000</v>
      </c>
      <c r="AL136" s="33"/>
      <c r="AM136" s="32">
        <v>2000</v>
      </c>
      <c r="AN136" s="33"/>
      <c r="AO136" s="32">
        <v>0</v>
      </c>
      <c r="AP136" s="33"/>
      <c r="AQ136" s="32">
        <f t="shared" si="2"/>
        <v>2000</v>
      </c>
      <c r="AR136" s="33"/>
    </row>
    <row r="137" spans="1:44" ht="15.75" customHeight="1">
      <c r="A137" s="16">
        <v>30801</v>
      </c>
      <c r="B137" s="17" t="s">
        <v>142</v>
      </c>
      <c r="C137" s="18">
        <v>175000</v>
      </c>
      <c r="D137" s="19">
        <v>1.28</v>
      </c>
      <c r="E137" s="20">
        <v>0</v>
      </c>
      <c r="F137" s="19">
        <v>0</v>
      </c>
      <c r="G137" s="21">
        <v>175000</v>
      </c>
      <c r="H137" s="22">
        <v>0.82</v>
      </c>
      <c r="I137" s="23">
        <v>187000</v>
      </c>
      <c r="J137" s="24">
        <v>1.26</v>
      </c>
      <c r="K137" s="25">
        <v>0</v>
      </c>
      <c r="L137" s="26">
        <v>0</v>
      </c>
      <c r="M137" s="25">
        <v>187000</v>
      </c>
      <c r="N137" s="27">
        <v>0.75</v>
      </c>
      <c r="O137" s="23">
        <v>251000</v>
      </c>
      <c r="P137" s="24">
        <v>1.45</v>
      </c>
      <c r="Q137" s="25">
        <v>0</v>
      </c>
      <c r="R137" s="19">
        <v>0</v>
      </c>
      <c r="S137" s="25">
        <v>251000</v>
      </c>
      <c r="T137" s="22">
        <v>0.66</v>
      </c>
      <c r="U137" s="34">
        <v>417428</v>
      </c>
      <c r="V137" s="29">
        <v>1.9</v>
      </c>
      <c r="W137" s="30">
        <v>0</v>
      </c>
      <c r="X137" s="29">
        <v>0</v>
      </c>
      <c r="Y137" s="31">
        <v>417428</v>
      </c>
      <c r="Z137" s="29">
        <v>1.86</v>
      </c>
      <c r="AA137" s="32">
        <v>417500</v>
      </c>
      <c r="AB137" s="33"/>
      <c r="AC137" s="32">
        <v>0</v>
      </c>
      <c r="AD137" s="33"/>
      <c r="AE137" s="32">
        <f t="shared" si="0"/>
        <v>417500</v>
      </c>
      <c r="AF137" s="33"/>
      <c r="AG137" s="32">
        <v>543700</v>
      </c>
      <c r="AH137" s="33"/>
      <c r="AI137" s="32">
        <v>0</v>
      </c>
      <c r="AJ137" s="33"/>
      <c r="AK137" s="32">
        <f t="shared" si="1"/>
        <v>543700</v>
      </c>
      <c r="AL137" s="33"/>
      <c r="AM137" s="32">
        <v>581500</v>
      </c>
      <c r="AN137" s="33"/>
      <c r="AO137" s="32">
        <v>0</v>
      </c>
      <c r="AP137" s="33"/>
      <c r="AQ137" s="32">
        <f t="shared" si="2"/>
        <v>581500</v>
      </c>
      <c r="AR137" s="33"/>
    </row>
    <row r="138" spans="1:44" ht="15.75" customHeight="1">
      <c r="A138" s="16">
        <v>30802</v>
      </c>
      <c r="B138" s="17" t="s">
        <v>143</v>
      </c>
      <c r="C138" s="18">
        <v>10000</v>
      </c>
      <c r="D138" s="19">
        <v>0.28000000000000003</v>
      </c>
      <c r="E138" s="20">
        <v>0</v>
      </c>
      <c r="F138" s="19">
        <v>0</v>
      </c>
      <c r="G138" s="21">
        <v>10000</v>
      </c>
      <c r="H138" s="22">
        <v>0.11</v>
      </c>
      <c r="I138" s="23">
        <v>10000</v>
      </c>
      <c r="J138" s="24">
        <v>0.24</v>
      </c>
      <c r="K138" s="25">
        <v>0</v>
      </c>
      <c r="L138" s="26">
        <v>0</v>
      </c>
      <c r="M138" s="25">
        <v>10000</v>
      </c>
      <c r="N138" s="27">
        <v>0.16</v>
      </c>
      <c r="O138" s="23">
        <v>10000</v>
      </c>
      <c r="P138" s="24">
        <v>0.22</v>
      </c>
      <c r="Q138" s="25">
        <v>0</v>
      </c>
      <c r="R138" s="19">
        <v>0</v>
      </c>
      <c r="S138" s="25">
        <v>10000</v>
      </c>
      <c r="T138" s="22">
        <v>0.12</v>
      </c>
      <c r="U138" s="34">
        <v>5000</v>
      </c>
      <c r="V138" s="29">
        <v>0.09</v>
      </c>
      <c r="W138" s="30">
        <v>0</v>
      </c>
      <c r="X138" s="29">
        <v>0</v>
      </c>
      <c r="Y138" s="31">
        <v>5000</v>
      </c>
      <c r="Z138" s="29">
        <v>0.08</v>
      </c>
      <c r="AA138" s="32">
        <v>10000</v>
      </c>
      <c r="AB138" s="33"/>
      <c r="AC138" s="32">
        <v>0</v>
      </c>
      <c r="AD138" s="33"/>
      <c r="AE138" s="32">
        <f t="shared" si="0"/>
        <v>10000</v>
      </c>
      <c r="AF138" s="33"/>
      <c r="AG138" s="32">
        <v>15000</v>
      </c>
      <c r="AH138" s="33"/>
      <c r="AI138" s="32">
        <v>0</v>
      </c>
      <c r="AJ138" s="33"/>
      <c r="AK138" s="32">
        <f t="shared" si="1"/>
        <v>15000</v>
      </c>
      <c r="AL138" s="33"/>
      <c r="AM138" s="32">
        <v>15000</v>
      </c>
      <c r="AN138" s="33"/>
      <c r="AO138" s="32">
        <v>0</v>
      </c>
      <c r="AP138" s="33"/>
      <c r="AQ138" s="32">
        <f t="shared" si="2"/>
        <v>15000</v>
      </c>
      <c r="AR138" s="33"/>
    </row>
    <row r="139" spans="1:44" ht="15.75" customHeight="1">
      <c r="A139" s="16">
        <v>30803</v>
      </c>
      <c r="B139" s="17" t="s">
        <v>144</v>
      </c>
      <c r="C139" s="18">
        <v>20000</v>
      </c>
      <c r="D139" s="19">
        <v>0.53</v>
      </c>
      <c r="E139" s="20">
        <v>0</v>
      </c>
      <c r="F139" s="19">
        <v>0</v>
      </c>
      <c r="G139" s="21">
        <v>20000</v>
      </c>
      <c r="H139" s="22">
        <v>0.36</v>
      </c>
      <c r="I139" s="23">
        <v>20000</v>
      </c>
      <c r="J139" s="24">
        <v>0.51</v>
      </c>
      <c r="K139" s="25">
        <v>0</v>
      </c>
      <c r="L139" s="26">
        <v>0</v>
      </c>
      <c r="M139" s="25">
        <v>20000</v>
      </c>
      <c r="N139" s="27">
        <v>0.34</v>
      </c>
      <c r="O139" s="23">
        <v>30000</v>
      </c>
      <c r="P139" s="24">
        <v>0.67</v>
      </c>
      <c r="Q139" s="25">
        <v>0</v>
      </c>
      <c r="R139" s="19">
        <v>0</v>
      </c>
      <c r="S139" s="25">
        <v>30000</v>
      </c>
      <c r="T139" s="22">
        <v>0.47</v>
      </c>
      <c r="U139" s="34">
        <v>30000</v>
      </c>
      <c r="V139" s="29">
        <v>0.62</v>
      </c>
      <c r="W139" s="30">
        <v>0</v>
      </c>
      <c r="X139" s="29">
        <v>0</v>
      </c>
      <c r="Y139" s="31">
        <v>30000</v>
      </c>
      <c r="Z139" s="29">
        <v>0.62</v>
      </c>
      <c r="AA139" s="32">
        <v>20000</v>
      </c>
      <c r="AB139" s="33"/>
      <c r="AC139" s="32">
        <v>0</v>
      </c>
      <c r="AD139" s="33"/>
      <c r="AE139" s="32">
        <f t="shared" si="0"/>
        <v>20000</v>
      </c>
      <c r="AF139" s="33"/>
      <c r="AG139" s="32">
        <v>20000</v>
      </c>
      <c r="AH139" s="33"/>
      <c r="AI139" s="32">
        <v>0</v>
      </c>
      <c r="AJ139" s="33"/>
      <c r="AK139" s="32">
        <f t="shared" si="1"/>
        <v>20000</v>
      </c>
      <c r="AL139" s="33"/>
      <c r="AM139" s="32"/>
      <c r="AN139" s="33"/>
      <c r="AO139" s="32">
        <v>0</v>
      </c>
      <c r="AP139" s="33"/>
      <c r="AQ139" s="32">
        <f t="shared" si="2"/>
        <v>0</v>
      </c>
      <c r="AR139" s="33"/>
    </row>
    <row r="140" spans="1:44" ht="15.75" customHeight="1">
      <c r="A140" s="16">
        <v>30901</v>
      </c>
      <c r="B140" s="17" t="s">
        <v>145</v>
      </c>
      <c r="C140" s="35">
        <v>0</v>
      </c>
      <c r="D140" s="19">
        <v>0</v>
      </c>
      <c r="E140" s="20">
        <v>0</v>
      </c>
      <c r="F140" s="19">
        <v>0</v>
      </c>
      <c r="G140" s="21">
        <v>0</v>
      </c>
      <c r="H140" s="22">
        <v>0</v>
      </c>
      <c r="I140" s="35">
        <v>0</v>
      </c>
      <c r="J140" s="19">
        <v>0</v>
      </c>
      <c r="K140" s="25">
        <v>0</v>
      </c>
      <c r="L140" s="26">
        <v>0</v>
      </c>
      <c r="M140" s="21">
        <v>0</v>
      </c>
      <c r="N140" s="22">
        <v>0</v>
      </c>
      <c r="O140" s="23">
        <v>4835490</v>
      </c>
      <c r="P140" s="24">
        <v>3.68</v>
      </c>
      <c r="Q140" s="25">
        <v>0</v>
      </c>
      <c r="R140" s="19">
        <v>0</v>
      </c>
      <c r="S140" s="25">
        <v>4835490</v>
      </c>
      <c r="T140" s="22">
        <v>2.31</v>
      </c>
      <c r="U140" s="34">
        <v>14119451</v>
      </c>
      <c r="V140" s="29">
        <v>6.86</v>
      </c>
      <c r="W140" s="30">
        <v>0</v>
      </c>
      <c r="X140" s="29">
        <v>0</v>
      </c>
      <c r="Y140" s="31">
        <v>14119451</v>
      </c>
      <c r="Z140" s="29">
        <v>6.8</v>
      </c>
      <c r="AA140" s="32">
        <v>18485814</v>
      </c>
      <c r="AB140" s="33"/>
      <c r="AC140" s="32">
        <v>0</v>
      </c>
      <c r="AD140" s="33"/>
      <c r="AE140" s="32">
        <f t="shared" si="0"/>
        <v>18485814</v>
      </c>
      <c r="AF140" s="33"/>
      <c r="AG140" s="32">
        <v>20539026</v>
      </c>
      <c r="AH140" s="33"/>
      <c r="AI140" s="32">
        <v>0</v>
      </c>
      <c r="AJ140" s="33"/>
      <c r="AK140" s="32">
        <f t="shared" si="1"/>
        <v>20539026</v>
      </c>
      <c r="AL140" s="33"/>
      <c r="AM140" s="32">
        <v>10835109</v>
      </c>
      <c r="AN140" s="33"/>
      <c r="AO140" s="32">
        <v>0</v>
      </c>
      <c r="AP140" s="33"/>
      <c r="AQ140" s="32">
        <f t="shared" si="2"/>
        <v>10835109</v>
      </c>
      <c r="AR140" s="33"/>
    </row>
    <row r="141" spans="1:44" ht="15.75" customHeight="1">
      <c r="A141" s="16">
        <v>30902</v>
      </c>
      <c r="B141" s="17" t="s">
        <v>146</v>
      </c>
      <c r="C141" s="18">
        <v>100000</v>
      </c>
      <c r="D141" s="19">
        <v>0.5</v>
      </c>
      <c r="E141" s="20">
        <v>0</v>
      </c>
      <c r="F141" s="19">
        <v>0</v>
      </c>
      <c r="G141" s="21">
        <v>100000</v>
      </c>
      <c r="H141" s="22">
        <v>0.36</v>
      </c>
      <c r="I141" s="23">
        <v>250000</v>
      </c>
      <c r="J141" s="24">
        <v>1.1100000000000001</v>
      </c>
      <c r="K141" s="25">
        <v>0</v>
      </c>
      <c r="L141" s="26">
        <v>0</v>
      </c>
      <c r="M141" s="25">
        <v>250000</v>
      </c>
      <c r="N141" s="27">
        <v>0.81</v>
      </c>
      <c r="O141" s="23">
        <v>300000</v>
      </c>
      <c r="P141" s="24">
        <v>1.08</v>
      </c>
      <c r="Q141" s="25">
        <v>0</v>
      </c>
      <c r="R141" s="19">
        <v>0</v>
      </c>
      <c r="S141" s="25">
        <v>300000</v>
      </c>
      <c r="T141" s="22">
        <v>0.8</v>
      </c>
      <c r="U141" s="34">
        <v>350000</v>
      </c>
      <c r="V141" s="29">
        <v>1.05</v>
      </c>
      <c r="W141" s="30">
        <v>0</v>
      </c>
      <c r="X141" s="29">
        <v>0</v>
      </c>
      <c r="Y141" s="31">
        <v>350000</v>
      </c>
      <c r="Z141" s="29">
        <v>0.94</v>
      </c>
      <c r="AA141" s="32">
        <v>350000</v>
      </c>
      <c r="AB141" s="33"/>
      <c r="AC141" s="32">
        <v>0</v>
      </c>
      <c r="AD141" s="33"/>
      <c r="AE141" s="32">
        <f t="shared" si="0"/>
        <v>350000</v>
      </c>
      <c r="AF141" s="33"/>
      <c r="AG141" s="32">
        <v>510150</v>
      </c>
      <c r="AH141" s="33"/>
      <c r="AI141" s="32">
        <v>0</v>
      </c>
      <c r="AJ141" s="33"/>
      <c r="AK141" s="32">
        <f t="shared" si="1"/>
        <v>510150</v>
      </c>
      <c r="AL141" s="33"/>
      <c r="AM141" s="32">
        <v>535150</v>
      </c>
      <c r="AN141" s="33"/>
      <c r="AO141" s="32">
        <v>0</v>
      </c>
      <c r="AP141" s="33"/>
      <c r="AQ141" s="32">
        <f t="shared" si="2"/>
        <v>535150</v>
      </c>
      <c r="AR141" s="33"/>
    </row>
    <row r="142" spans="1:44" ht="15.75" customHeight="1">
      <c r="A142" s="16">
        <v>30903</v>
      </c>
      <c r="B142" s="17" t="s">
        <v>147</v>
      </c>
      <c r="C142" s="18">
        <v>855000</v>
      </c>
      <c r="D142" s="19">
        <v>2.83</v>
      </c>
      <c r="E142" s="36">
        <v>116166</v>
      </c>
      <c r="F142" s="19">
        <v>0.99</v>
      </c>
      <c r="G142" s="21">
        <v>971166</v>
      </c>
      <c r="H142" s="22">
        <v>2.31</v>
      </c>
      <c r="I142" s="23">
        <v>1100000</v>
      </c>
      <c r="J142" s="24">
        <v>2.93</v>
      </c>
      <c r="K142" s="25">
        <v>116343</v>
      </c>
      <c r="L142" s="26">
        <v>1.28</v>
      </c>
      <c r="M142" s="25">
        <v>1216343</v>
      </c>
      <c r="N142" s="27">
        <v>2.61</v>
      </c>
      <c r="O142" s="23">
        <v>1100000</v>
      </c>
      <c r="P142" s="24">
        <v>2.2599999999999998</v>
      </c>
      <c r="Q142" s="25">
        <v>0</v>
      </c>
      <c r="R142" s="19">
        <v>0</v>
      </c>
      <c r="S142" s="25">
        <v>1100000</v>
      </c>
      <c r="T142" s="22">
        <v>1.75</v>
      </c>
      <c r="U142" s="34">
        <v>1351142</v>
      </c>
      <c r="V142" s="29">
        <v>2.72</v>
      </c>
      <c r="W142" s="30">
        <v>0</v>
      </c>
      <c r="X142" s="29">
        <v>0</v>
      </c>
      <c r="Y142" s="31">
        <v>1351142</v>
      </c>
      <c r="Z142" s="29">
        <v>2.25</v>
      </c>
      <c r="AA142" s="32">
        <v>1477183</v>
      </c>
      <c r="AB142" s="33"/>
      <c r="AC142" s="32">
        <v>0</v>
      </c>
      <c r="AD142" s="33"/>
      <c r="AE142" s="32">
        <f t="shared" si="0"/>
        <v>1477183</v>
      </c>
      <c r="AF142" s="33"/>
      <c r="AG142" s="32">
        <v>1611951</v>
      </c>
      <c r="AH142" s="33"/>
      <c r="AI142" s="32">
        <v>0</v>
      </c>
      <c r="AJ142" s="33"/>
      <c r="AK142" s="32">
        <f t="shared" si="1"/>
        <v>1611951</v>
      </c>
      <c r="AL142" s="33"/>
      <c r="AM142" s="32">
        <v>1611951</v>
      </c>
      <c r="AN142" s="33"/>
      <c r="AO142" s="32">
        <v>0</v>
      </c>
      <c r="AP142" s="33"/>
      <c r="AQ142" s="32">
        <f t="shared" si="2"/>
        <v>1611951</v>
      </c>
      <c r="AR142" s="33"/>
    </row>
    <row r="143" spans="1:44" ht="15.75" customHeight="1">
      <c r="A143" s="16">
        <v>30904</v>
      </c>
      <c r="B143" s="17" t="s">
        <v>148</v>
      </c>
      <c r="C143" s="18">
        <v>225000</v>
      </c>
      <c r="D143" s="19">
        <v>1.1599999999999999</v>
      </c>
      <c r="E143" s="36">
        <v>124706</v>
      </c>
      <c r="F143" s="19">
        <v>1.76</v>
      </c>
      <c r="G143" s="21">
        <v>349706</v>
      </c>
      <c r="H143" s="22">
        <v>1.32</v>
      </c>
      <c r="I143" s="23">
        <v>303500</v>
      </c>
      <c r="J143" s="24">
        <v>1.29</v>
      </c>
      <c r="K143" s="25">
        <v>0</v>
      </c>
      <c r="L143" s="26">
        <v>0</v>
      </c>
      <c r="M143" s="25">
        <v>303500</v>
      </c>
      <c r="N143" s="27">
        <v>0.86</v>
      </c>
      <c r="O143" s="23">
        <v>350000</v>
      </c>
      <c r="P143" s="24">
        <v>0.87</v>
      </c>
      <c r="Q143" s="25">
        <v>0</v>
      </c>
      <c r="R143" s="19">
        <v>0</v>
      </c>
      <c r="S143" s="25">
        <v>350000</v>
      </c>
      <c r="T143" s="22">
        <v>0.63</v>
      </c>
      <c r="U143" s="34">
        <v>297000</v>
      </c>
      <c r="V143" s="29">
        <v>0.63</v>
      </c>
      <c r="W143" s="30">
        <v>0</v>
      </c>
      <c r="X143" s="29">
        <v>0</v>
      </c>
      <c r="Y143" s="31">
        <v>297000</v>
      </c>
      <c r="Z143" s="29">
        <v>0.53</v>
      </c>
      <c r="AA143" s="32">
        <v>730000</v>
      </c>
      <c r="AB143" s="33"/>
      <c r="AC143" s="32">
        <v>0</v>
      </c>
      <c r="AD143" s="33"/>
      <c r="AE143" s="32">
        <f t="shared" si="0"/>
        <v>730000</v>
      </c>
      <c r="AF143" s="33"/>
      <c r="AG143" s="32">
        <v>750000</v>
      </c>
      <c r="AH143" s="33"/>
      <c r="AI143" s="32">
        <v>0</v>
      </c>
      <c r="AJ143" s="33"/>
      <c r="AK143" s="32">
        <f t="shared" si="1"/>
        <v>750000</v>
      </c>
      <c r="AL143" s="33"/>
      <c r="AM143" s="32">
        <v>750000</v>
      </c>
      <c r="AN143" s="33"/>
      <c r="AO143" s="32">
        <v>0</v>
      </c>
      <c r="AP143" s="33"/>
      <c r="AQ143" s="32">
        <f t="shared" si="2"/>
        <v>750000</v>
      </c>
      <c r="AR143" s="33"/>
    </row>
    <row r="144" spans="1:44" ht="15.75" customHeight="1">
      <c r="A144" s="16">
        <v>30905</v>
      </c>
      <c r="B144" s="17" t="s">
        <v>149</v>
      </c>
      <c r="C144" s="18">
        <v>300000</v>
      </c>
      <c r="D144" s="19">
        <v>1.21</v>
      </c>
      <c r="E144" s="20">
        <v>0</v>
      </c>
      <c r="F144" s="19">
        <v>0</v>
      </c>
      <c r="G144" s="21">
        <v>300000</v>
      </c>
      <c r="H144" s="22">
        <v>0.73</v>
      </c>
      <c r="I144" s="23">
        <v>970000</v>
      </c>
      <c r="J144" s="24">
        <v>3.32</v>
      </c>
      <c r="K144" s="25">
        <v>0</v>
      </c>
      <c r="L144" s="26">
        <v>0</v>
      </c>
      <c r="M144" s="25">
        <v>970000</v>
      </c>
      <c r="N144" s="27">
        <v>1.66</v>
      </c>
      <c r="O144" s="23">
        <v>550000</v>
      </c>
      <c r="P144" s="24">
        <v>1.6</v>
      </c>
      <c r="Q144" s="25">
        <v>0</v>
      </c>
      <c r="R144" s="19">
        <v>0</v>
      </c>
      <c r="S144" s="25">
        <v>550000</v>
      </c>
      <c r="T144" s="22">
        <v>0.85</v>
      </c>
      <c r="U144" s="34">
        <v>3400000</v>
      </c>
      <c r="V144" s="29">
        <v>5.47</v>
      </c>
      <c r="W144" s="30">
        <v>0</v>
      </c>
      <c r="X144" s="29">
        <v>0</v>
      </c>
      <c r="Y144" s="31">
        <v>3400000</v>
      </c>
      <c r="Z144" s="29">
        <v>4.8899999999999997</v>
      </c>
      <c r="AA144" s="32">
        <v>3700000</v>
      </c>
      <c r="AB144" s="33"/>
      <c r="AC144" s="32">
        <v>0</v>
      </c>
      <c r="AD144" s="33"/>
      <c r="AE144" s="32">
        <f t="shared" si="0"/>
        <v>3700000</v>
      </c>
      <c r="AF144" s="33"/>
      <c r="AG144" s="32">
        <v>3100000</v>
      </c>
      <c r="AH144" s="33"/>
      <c r="AI144" s="32">
        <v>0</v>
      </c>
      <c r="AJ144" s="33"/>
      <c r="AK144" s="32">
        <f t="shared" si="1"/>
        <v>3100000</v>
      </c>
      <c r="AL144" s="33"/>
      <c r="AM144" s="32">
        <v>3580000</v>
      </c>
      <c r="AN144" s="33"/>
      <c r="AO144" s="32">
        <v>0</v>
      </c>
      <c r="AP144" s="33"/>
      <c r="AQ144" s="32">
        <f t="shared" si="2"/>
        <v>3580000</v>
      </c>
      <c r="AR144" s="33"/>
    </row>
    <row r="145" spans="1:44" ht="15.75" customHeight="1">
      <c r="A145" s="16">
        <v>31001</v>
      </c>
      <c r="B145" s="17" t="s">
        <v>150</v>
      </c>
      <c r="C145" s="18">
        <v>1000000</v>
      </c>
      <c r="D145" s="19">
        <v>1.23</v>
      </c>
      <c r="E145" s="20">
        <v>0</v>
      </c>
      <c r="F145" s="19">
        <v>0</v>
      </c>
      <c r="G145" s="21">
        <v>1000000</v>
      </c>
      <c r="H145" s="22">
        <v>0.56999999999999995</v>
      </c>
      <c r="I145" s="23">
        <v>1050000</v>
      </c>
      <c r="J145" s="24">
        <v>1.2</v>
      </c>
      <c r="K145" s="25">
        <v>0</v>
      </c>
      <c r="L145" s="26">
        <v>0</v>
      </c>
      <c r="M145" s="25">
        <v>1050000</v>
      </c>
      <c r="N145" s="27">
        <v>0.63</v>
      </c>
      <c r="O145" s="23">
        <v>1000000</v>
      </c>
      <c r="P145" s="24">
        <v>0.95</v>
      </c>
      <c r="Q145" s="25">
        <v>0</v>
      </c>
      <c r="R145" s="19">
        <v>0</v>
      </c>
      <c r="S145" s="25">
        <v>1000000</v>
      </c>
      <c r="T145" s="22">
        <v>0.55000000000000004</v>
      </c>
      <c r="U145" s="34">
        <v>2400000</v>
      </c>
      <c r="V145" s="29">
        <v>1.38</v>
      </c>
      <c r="W145" s="30">
        <v>0</v>
      </c>
      <c r="X145" s="29">
        <v>0</v>
      </c>
      <c r="Y145" s="31">
        <v>2400000</v>
      </c>
      <c r="Z145" s="29">
        <v>1.04</v>
      </c>
      <c r="AA145" s="32">
        <v>3000000</v>
      </c>
      <c r="AB145" s="33"/>
      <c r="AC145" s="32">
        <v>0</v>
      </c>
      <c r="AD145" s="33"/>
      <c r="AE145" s="32">
        <f t="shared" si="0"/>
        <v>3000000</v>
      </c>
      <c r="AF145" s="33"/>
      <c r="AG145" s="32">
        <v>3000000</v>
      </c>
      <c r="AH145" s="33"/>
      <c r="AI145" s="32">
        <v>0</v>
      </c>
      <c r="AJ145" s="33"/>
      <c r="AK145" s="32">
        <f t="shared" si="1"/>
        <v>3000000</v>
      </c>
      <c r="AL145" s="33"/>
      <c r="AM145" s="32">
        <v>3300000</v>
      </c>
      <c r="AN145" s="33"/>
      <c r="AO145" s="32">
        <v>0</v>
      </c>
      <c r="AP145" s="33"/>
      <c r="AQ145" s="32">
        <f t="shared" si="2"/>
        <v>3300000</v>
      </c>
      <c r="AR145" s="33"/>
    </row>
    <row r="146" spans="1:44" ht="15.75" customHeight="1">
      <c r="A146" s="16">
        <v>31002</v>
      </c>
      <c r="B146" s="17" t="s">
        <v>151</v>
      </c>
      <c r="C146" s="18">
        <v>150000</v>
      </c>
      <c r="D146" s="19">
        <v>1.24</v>
      </c>
      <c r="E146" s="20">
        <v>0</v>
      </c>
      <c r="F146" s="19">
        <v>0</v>
      </c>
      <c r="G146" s="21">
        <v>150000</v>
      </c>
      <c r="H146" s="22">
        <v>0.93</v>
      </c>
      <c r="I146" s="23">
        <v>150000</v>
      </c>
      <c r="J146" s="24">
        <v>1.1000000000000001</v>
      </c>
      <c r="K146" s="25">
        <v>0</v>
      </c>
      <c r="L146" s="26">
        <v>0</v>
      </c>
      <c r="M146" s="25">
        <v>150000</v>
      </c>
      <c r="N146" s="27">
        <v>0.57999999999999996</v>
      </c>
      <c r="O146" s="23">
        <v>147644</v>
      </c>
      <c r="P146" s="24">
        <v>0.87</v>
      </c>
      <c r="Q146" s="25">
        <v>0</v>
      </c>
      <c r="R146" s="19">
        <v>0</v>
      </c>
      <c r="S146" s="25">
        <v>147644</v>
      </c>
      <c r="T146" s="22">
        <v>0.49</v>
      </c>
      <c r="U146" s="34">
        <v>130000</v>
      </c>
      <c r="V146" s="29">
        <v>0.84</v>
      </c>
      <c r="W146" s="30">
        <v>0</v>
      </c>
      <c r="X146" s="29">
        <v>0</v>
      </c>
      <c r="Y146" s="31">
        <v>130000</v>
      </c>
      <c r="Z146" s="29">
        <v>0.83</v>
      </c>
      <c r="AA146" s="32">
        <v>128000</v>
      </c>
      <c r="AB146" s="33"/>
      <c r="AC146" s="32">
        <v>0</v>
      </c>
      <c r="AD146" s="33"/>
      <c r="AE146" s="32">
        <f t="shared" si="0"/>
        <v>128000</v>
      </c>
      <c r="AF146" s="33"/>
      <c r="AG146" s="32">
        <v>128000</v>
      </c>
      <c r="AH146" s="33"/>
      <c r="AI146" s="32">
        <v>0</v>
      </c>
      <c r="AJ146" s="33"/>
      <c r="AK146" s="32">
        <f t="shared" si="1"/>
        <v>128000</v>
      </c>
      <c r="AL146" s="33"/>
      <c r="AM146" s="32">
        <v>121500</v>
      </c>
      <c r="AN146" s="33"/>
      <c r="AO146" s="32">
        <v>0</v>
      </c>
      <c r="AP146" s="33"/>
      <c r="AQ146" s="32">
        <f t="shared" si="2"/>
        <v>121500</v>
      </c>
      <c r="AR146" s="33"/>
    </row>
    <row r="147" spans="1:44" ht="15.75" customHeight="1">
      <c r="A147" s="16">
        <v>31003</v>
      </c>
      <c r="B147" s="17" t="s">
        <v>152</v>
      </c>
      <c r="C147" s="18">
        <v>250000</v>
      </c>
      <c r="D147" s="19">
        <v>0.75</v>
      </c>
      <c r="E147" s="20">
        <v>0</v>
      </c>
      <c r="F147" s="19">
        <v>0</v>
      </c>
      <c r="G147" s="21">
        <v>250000</v>
      </c>
      <c r="H147" s="22">
        <v>0.5</v>
      </c>
      <c r="I147" s="23">
        <v>250000</v>
      </c>
      <c r="J147" s="24">
        <v>0.61</v>
      </c>
      <c r="K147" s="25">
        <v>0</v>
      </c>
      <c r="L147" s="26">
        <v>0</v>
      </c>
      <c r="M147" s="25">
        <v>250000</v>
      </c>
      <c r="N147" s="27">
        <v>0.4</v>
      </c>
      <c r="O147" s="23">
        <v>250000</v>
      </c>
      <c r="P147" s="24">
        <v>0.52</v>
      </c>
      <c r="Q147" s="25">
        <v>0</v>
      </c>
      <c r="R147" s="19">
        <v>0</v>
      </c>
      <c r="S147" s="25">
        <v>250000</v>
      </c>
      <c r="T147" s="22">
        <v>0.34</v>
      </c>
      <c r="U147" s="34">
        <v>1400000</v>
      </c>
      <c r="V147" s="29">
        <v>2.29</v>
      </c>
      <c r="W147" s="30">
        <v>0</v>
      </c>
      <c r="X147" s="29">
        <v>0</v>
      </c>
      <c r="Y147" s="31">
        <v>1400000</v>
      </c>
      <c r="Z147" s="29">
        <v>1.82</v>
      </c>
      <c r="AA147" s="32">
        <v>1500000</v>
      </c>
      <c r="AB147" s="33"/>
      <c r="AC147" s="32">
        <v>0</v>
      </c>
      <c r="AD147" s="33"/>
      <c r="AE147" s="32">
        <f t="shared" si="0"/>
        <v>1500000</v>
      </c>
      <c r="AF147" s="33"/>
      <c r="AG147" s="32">
        <v>1700000</v>
      </c>
      <c r="AH147" s="33"/>
      <c r="AI147" s="32">
        <v>0</v>
      </c>
      <c r="AJ147" s="33"/>
      <c r="AK147" s="32">
        <f t="shared" si="1"/>
        <v>1700000</v>
      </c>
      <c r="AL147" s="33"/>
      <c r="AM147" s="32">
        <v>1670000</v>
      </c>
      <c r="AN147" s="33"/>
      <c r="AO147" s="32">
        <v>0</v>
      </c>
      <c r="AP147" s="33"/>
      <c r="AQ147" s="32">
        <f t="shared" si="2"/>
        <v>1670000</v>
      </c>
      <c r="AR147" s="33"/>
    </row>
    <row r="148" spans="1:44" ht="15.75" customHeight="1">
      <c r="A148" s="16">
        <v>31101</v>
      </c>
      <c r="B148" s="17" t="s">
        <v>153</v>
      </c>
      <c r="C148" s="35">
        <v>0</v>
      </c>
      <c r="D148" s="19">
        <v>0</v>
      </c>
      <c r="E148" s="20">
        <v>0</v>
      </c>
      <c r="F148" s="19">
        <v>0</v>
      </c>
      <c r="G148" s="21">
        <v>0</v>
      </c>
      <c r="H148" s="22">
        <v>0</v>
      </c>
      <c r="I148" s="35">
        <v>0</v>
      </c>
      <c r="J148" s="19">
        <v>0</v>
      </c>
      <c r="K148" s="25">
        <v>0</v>
      </c>
      <c r="L148" s="26">
        <v>0</v>
      </c>
      <c r="M148" s="21">
        <v>0</v>
      </c>
      <c r="N148" s="22">
        <v>0</v>
      </c>
      <c r="O148" s="35">
        <v>0</v>
      </c>
      <c r="P148" s="19">
        <v>0</v>
      </c>
      <c r="Q148" s="25">
        <v>0</v>
      </c>
      <c r="R148" s="19">
        <v>0</v>
      </c>
      <c r="S148" s="21">
        <v>0</v>
      </c>
      <c r="T148" s="22">
        <v>0</v>
      </c>
      <c r="U148" s="28">
        <v>0</v>
      </c>
      <c r="V148" s="29">
        <v>0</v>
      </c>
      <c r="W148" s="30">
        <v>0</v>
      </c>
      <c r="X148" s="29">
        <v>0</v>
      </c>
      <c r="Y148" s="31">
        <v>0</v>
      </c>
      <c r="Z148" s="29">
        <v>0</v>
      </c>
      <c r="AA148" s="32"/>
      <c r="AB148" s="33"/>
      <c r="AC148" s="32">
        <v>0</v>
      </c>
      <c r="AD148" s="33"/>
      <c r="AE148" s="32">
        <f t="shared" si="0"/>
        <v>0</v>
      </c>
      <c r="AF148" s="33"/>
      <c r="AG148" s="32">
        <v>10000</v>
      </c>
      <c r="AH148" s="33"/>
      <c r="AI148" s="32">
        <v>0</v>
      </c>
      <c r="AJ148" s="33"/>
      <c r="AK148" s="32">
        <f t="shared" si="1"/>
        <v>10000</v>
      </c>
      <c r="AL148" s="33"/>
      <c r="AM148" s="32">
        <v>10000</v>
      </c>
      <c r="AN148" s="33"/>
      <c r="AO148" s="32">
        <v>0</v>
      </c>
      <c r="AP148" s="33"/>
      <c r="AQ148" s="32">
        <f t="shared" si="2"/>
        <v>10000</v>
      </c>
      <c r="AR148" s="33"/>
    </row>
    <row r="149" spans="1:44" ht="15.75" customHeight="1">
      <c r="A149" s="16">
        <v>31201</v>
      </c>
      <c r="B149" s="17" t="s">
        <v>154</v>
      </c>
      <c r="C149" s="18">
        <v>110000</v>
      </c>
      <c r="D149" s="19">
        <v>1.3</v>
      </c>
      <c r="E149" s="20">
        <v>0</v>
      </c>
      <c r="F149" s="19">
        <v>0</v>
      </c>
      <c r="G149" s="21">
        <v>110000</v>
      </c>
      <c r="H149" s="22">
        <v>0.83</v>
      </c>
      <c r="I149" s="23">
        <v>145000</v>
      </c>
      <c r="J149" s="24">
        <v>1.58</v>
      </c>
      <c r="K149" s="25">
        <v>0</v>
      </c>
      <c r="L149" s="26">
        <v>0</v>
      </c>
      <c r="M149" s="25">
        <v>145000</v>
      </c>
      <c r="N149" s="27">
        <v>1.07</v>
      </c>
      <c r="O149" s="23">
        <v>130000</v>
      </c>
      <c r="P149" s="24">
        <v>1.33</v>
      </c>
      <c r="Q149" s="25">
        <v>0</v>
      </c>
      <c r="R149" s="19">
        <v>0</v>
      </c>
      <c r="S149" s="25">
        <v>130000</v>
      </c>
      <c r="T149" s="22">
        <v>0.86</v>
      </c>
      <c r="U149" s="34">
        <v>147600</v>
      </c>
      <c r="V149" s="29">
        <v>1.25</v>
      </c>
      <c r="W149" s="30">
        <v>0</v>
      </c>
      <c r="X149" s="29">
        <v>0</v>
      </c>
      <c r="Y149" s="31">
        <v>147600</v>
      </c>
      <c r="Z149" s="29">
        <v>1.25</v>
      </c>
      <c r="AA149" s="32">
        <v>295200</v>
      </c>
      <c r="AB149" s="33"/>
      <c r="AC149" s="32">
        <v>0</v>
      </c>
      <c r="AD149" s="33"/>
      <c r="AE149" s="32">
        <f t="shared" si="0"/>
        <v>295200</v>
      </c>
      <c r="AF149" s="33"/>
      <c r="AG149" s="32">
        <v>157600</v>
      </c>
      <c r="AH149" s="33"/>
      <c r="AI149" s="32">
        <v>0</v>
      </c>
      <c r="AJ149" s="33"/>
      <c r="AK149" s="32">
        <f t="shared" si="1"/>
        <v>157600</v>
      </c>
      <c r="AL149" s="33"/>
      <c r="AM149" s="32">
        <v>157600</v>
      </c>
      <c r="AN149" s="33"/>
      <c r="AO149" s="32">
        <v>0</v>
      </c>
      <c r="AP149" s="33"/>
      <c r="AQ149" s="32">
        <f t="shared" si="2"/>
        <v>157600</v>
      </c>
      <c r="AR149" s="33"/>
    </row>
    <row r="150" spans="1:44" ht="15.75" customHeight="1">
      <c r="A150" s="16">
        <v>31202</v>
      </c>
      <c r="B150" s="17" t="s">
        <v>155</v>
      </c>
      <c r="C150" s="18">
        <v>15000</v>
      </c>
      <c r="D150" s="19">
        <v>0.23</v>
      </c>
      <c r="E150" s="20">
        <v>0</v>
      </c>
      <c r="F150" s="19">
        <v>0</v>
      </c>
      <c r="G150" s="21">
        <v>15000</v>
      </c>
      <c r="H150" s="22">
        <v>0.14000000000000001</v>
      </c>
      <c r="I150" s="23">
        <v>15000</v>
      </c>
      <c r="J150" s="24">
        <v>0.21</v>
      </c>
      <c r="K150" s="25">
        <v>0</v>
      </c>
      <c r="L150" s="26">
        <v>0</v>
      </c>
      <c r="M150" s="25">
        <v>15000</v>
      </c>
      <c r="N150" s="27">
        <v>0.14000000000000001</v>
      </c>
      <c r="O150" s="23">
        <v>15000</v>
      </c>
      <c r="P150" s="24">
        <v>0.21</v>
      </c>
      <c r="Q150" s="25">
        <v>0</v>
      </c>
      <c r="R150" s="19">
        <v>0</v>
      </c>
      <c r="S150" s="25">
        <v>15000</v>
      </c>
      <c r="T150" s="22">
        <v>7.0000000000000007E-2</v>
      </c>
      <c r="U150" s="34">
        <v>10000</v>
      </c>
      <c r="V150" s="29">
        <v>0.12</v>
      </c>
      <c r="W150" s="30">
        <v>0</v>
      </c>
      <c r="X150" s="29">
        <v>0</v>
      </c>
      <c r="Y150" s="31">
        <v>10000</v>
      </c>
      <c r="Z150" s="29">
        <v>0.12</v>
      </c>
      <c r="AA150" s="32">
        <v>10000</v>
      </c>
      <c r="AB150" s="33"/>
      <c r="AC150" s="32">
        <v>0</v>
      </c>
      <c r="AD150" s="33"/>
      <c r="AE150" s="32">
        <f t="shared" si="0"/>
        <v>10000</v>
      </c>
      <c r="AF150" s="33"/>
      <c r="AG150" s="32">
        <v>14000</v>
      </c>
      <c r="AH150" s="33"/>
      <c r="AI150" s="32">
        <v>0</v>
      </c>
      <c r="AJ150" s="33"/>
      <c r="AK150" s="32">
        <f t="shared" si="1"/>
        <v>14000</v>
      </c>
      <c r="AL150" s="33"/>
      <c r="AM150" s="32">
        <v>53600</v>
      </c>
      <c r="AN150" s="33"/>
      <c r="AO150" s="32">
        <v>0</v>
      </c>
      <c r="AP150" s="33"/>
      <c r="AQ150" s="32">
        <f t="shared" si="2"/>
        <v>53600</v>
      </c>
      <c r="AR150" s="33"/>
    </row>
    <row r="151" spans="1:44" ht="15.75" customHeight="1">
      <c r="A151" s="16">
        <v>31203</v>
      </c>
      <c r="B151" s="17" t="s">
        <v>156</v>
      </c>
      <c r="C151" s="35">
        <v>0</v>
      </c>
      <c r="D151" s="19">
        <v>0</v>
      </c>
      <c r="E151" s="20">
        <v>0</v>
      </c>
      <c r="F151" s="19">
        <v>0</v>
      </c>
      <c r="G151" s="21">
        <v>0</v>
      </c>
      <c r="H151" s="22">
        <v>0</v>
      </c>
      <c r="I151" s="35">
        <v>0</v>
      </c>
      <c r="J151" s="19">
        <v>0</v>
      </c>
      <c r="K151" s="25">
        <v>0</v>
      </c>
      <c r="L151" s="26">
        <v>0</v>
      </c>
      <c r="M151" s="21">
        <v>0</v>
      </c>
      <c r="N151" s="22">
        <v>0</v>
      </c>
      <c r="O151" s="35">
        <v>0</v>
      </c>
      <c r="P151" s="19">
        <v>0</v>
      </c>
      <c r="Q151" s="25">
        <v>0</v>
      </c>
      <c r="R151" s="19">
        <v>0</v>
      </c>
      <c r="S151" s="21">
        <v>0</v>
      </c>
      <c r="T151" s="22">
        <v>0</v>
      </c>
      <c r="U151" s="28">
        <v>0</v>
      </c>
      <c r="V151" s="29">
        <v>0</v>
      </c>
      <c r="W151" s="30">
        <v>0</v>
      </c>
      <c r="X151" s="29">
        <v>0</v>
      </c>
      <c r="Y151" s="31">
        <v>0</v>
      </c>
      <c r="Z151" s="29">
        <v>0</v>
      </c>
      <c r="AA151" s="32">
        <v>35000</v>
      </c>
      <c r="AB151" s="33"/>
      <c r="AC151" s="32">
        <v>0</v>
      </c>
      <c r="AD151" s="33"/>
      <c r="AE151" s="32">
        <f t="shared" si="0"/>
        <v>35000</v>
      </c>
      <c r="AF151" s="33"/>
      <c r="AG151" s="37"/>
      <c r="AH151" s="33"/>
      <c r="AI151" s="32">
        <v>0</v>
      </c>
      <c r="AJ151" s="33"/>
      <c r="AK151" s="32">
        <f t="shared" si="1"/>
        <v>0</v>
      </c>
      <c r="AL151" s="33"/>
      <c r="AM151" s="32"/>
      <c r="AN151" s="33"/>
      <c r="AO151" s="32">
        <v>0</v>
      </c>
      <c r="AP151" s="33"/>
      <c r="AQ151" s="32">
        <f t="shared" si="2"/>
        <v>0</v>
      </c>
      <c r="AR151" s="33"/>
    </row>
    <row r="152" spans="1:44" ht="15.75" customHeight="1">
      <c r="A152" s="16">
        <v>31204</v>
      </c>
      <c r="B152" s="17" t="s">
        <v>157</v>
      </c>
      <c r="C152" s="18">
        <v>160000</v>
      </c>
      <c r="D152" s="19">
        <v>1.39</v>
      </c>
      <c r="E152" s="20">
        <v>0</v>
      </c>
      <c r="F152" s="19">
        <v>0</v>
      </c>
      <c r="G152" s="21">
        <v>160000</v>
      </c>
      <c r="H152" s="22">
        <v>1.1000000000000001</v>
      </c>
      <c r="I152" s="23">
        <v>250000</v>
      </c>
      <c r="J152" s="24">
        <v>1.57</v>
      </c>
      <c r="K152" s="25">
        <v>0</v>
      </c>
      <c r="L152" s="26">
        <v>0</v>
      </c>
      <c r="M152" s="25">
        <v>250000</v>
      </c>
      <c r="N152" s="27">
        <v>1.27</v>
      </c>
      <c r="O152" s="23">
        <v>295104</v>
      </c>
      <c r="P152" s="24">
        <v>1.5</v>
      </c>
      <c r="Q152" s="25">
        <v>0</v>
      </c>
      <c r="R152" s="19">
        <v>0</v>
      </c>
      <c r="S152" s="25">
        <v>295104</v>
      </c>
      <c r="T152" s="22">
        <v>1.1299999999999999</v>
      </c>
      <c r="U152" s="34">
        <v>430000</v>
      </c>
      <c r="V152" s="29">
        <v>2.2200000000000002</v>
      </c>
      <c r="W152" s="30">
        <v>0</v>
      </c>
      <c r="X152" s="29">
        <v>0</v>
      </c>
      <c r="Y152" s="31">
        <v>430000</v>
      </c>
      <c r="Z152" s="29">
        <v>2.2200000000000002</v>
      </c>
      <c r="AA152" s="32">
        <v>430000</v>
      </c>
      <c r="AB152" s="33"/>
      <c r="AC152" s="32">
        <v>0</v>
      </c>
      <c r="AD152" s="33"/>
      <c r="AE152" s="32">
        <f t="shared" si="0"/>
        <v>430000</v>
      </c>
      <c r="AF152" s="33"/>
      <c r="AG152" s="32">
        <v>320000</v>
      </c>
      <c r="AH152" s="33"/>
      <c r="AI152" s="32">
        <v>0</v>
      </c>
      <c r="AJ152" s="33"/>
      <c r="AK152" s="32">
        <f t="shared" si="1"/>
        <v>320000</v>
      </c>
      <c r="AL152" s="33"/>
      <c r="AM152" s="32">
        <v>330000</v>
      </c>
      <c r="AN152" s="33"/>
      <c r="AO152" s="32">
        <v>0</v>
      </c>
      <c r="AP152" s="33"/>
      <c r="AQ152" s="32">
        <f t="shared" si="2"/>
        <v>330000</v>
      </c>
      <c r="AR152" s="33"/>
    </row>
    <row r="153" spans="1:44" ht="15.75" customHeight="1">
      <c r="A153" s="16">
        <v>31205</v>
      </c>
      <c r="B153" s="17" t="s">
        <v>158</v>
      </c>
      <c r="C153" s="18">
        <v>157941</v>
      </c>
      <c r="D153" s="19">
        <v>0.63</v>
      </c>
      <c r="E153" s="20">
        <v>0</v>
      </c>
      <c r="F153" s="19">
        <v>0</v>
      </c>
      <c r="G153" s="21">
        <v>157941</v>
      </c>
      <c r="H153" s="22">
        <v>0.46</v>
      </c>
      <c r="I153" s="23">
        <v>133000</v>
      </c>
      <c r="J153" s="24">
        <v>0.41</v>
      </c>
      <c r="K153" s="25">
        <v>0</v>
      </c>
      <c r="L153" s="26">
        <v>0</v>
      </c>
      <c r="M153" s="25">
        <v>133000</v>
      </c>
      <c r="N153" s="27">
        <v>0.3</v>
      </c>
      <c r="O153" s="23">
        <v>135000</v>
      </c>
      <c r="P153" s="24">
        <v>0.34</v>
      </c>
      <c r="Q153" s="25">
        <v>0</v>
      </c>
      <c r="R153" s="19">
        <v>0</v>
      </c>
      <c r="S153" s="25">
        <v>135000</v>
      </c>
      <c r="T153" s="22">
        <v>0.28000000000000003</v>
      </c>
      <c r="U153" s="34">
        <v>1299500</v>
      </c>
      <c r="V153" s="29">
        <v>2.73</v>
      </c>
      <c r="W153" s="30">
        <v>0</v>
      </c>
      <c r="X153" s="29">
        <v>0</v>
      </c>
      <c r="Y153" s="31">
        <v>1299500</v>
      </c>
      <c r="Z153" s="29">
        <v>2.66</v>
      </c>
      <c r="AA153" s="32">
        <v>1494500</v>
      </c>
      <c r="AB153" s="33"/>
      <c r="AC153" s="32">
        <v>0</v>
      </c>
      <c r="AD153" s="33"/>
      <c r="AE153" s="32">
        <f t="shared" si="0"/>
        <v>1494500</v>
      </c>
      <c r="AF153" s="33"/>
      <c r="AG153" s="32">
        <v>1494500</v>
      </c>
      <c r="AH153" s="33"/>
      <c r="AI153" s="32">
        <v>0</v>
      </c>
      <c r="AJ153" s="33"/>
      <c r="AK153" s="32">
        <f t="shared" si="1"/>
        <v>1494500</v>
      </c>
      <c r="AL153" s="33"/>
      <c r="AM153" s="32">
        <v>1744500</v>
      </c>
      <c r="AN153" s="33"/>
      <c r="AO153" s="32">
        <v>0</v>
      </c>
      <c r="AP153" s="33"/>
      <c r="AQ153" s="32">
        <f t="shared" si="2"/>
        <v>1744500</v>
      </c>
      <c r="AR153" s="33"/>
    </row>
    <row r="154" spans="1:44" ht="15.75" customHeight="1">
      <c r="A154" s="16">
        <v>31206</v>
      </c>
      <c r="B154" s="17" t="s">
        <v>159</v>
      </c>
      <c r="C154" s="18">
        <v>240000</v>
      </c>
      <c r="D154" s="19">
        <v>1.78</v>
      </c>
      <c r="E154" s="20">
        <v>0</v>
      </c>
      <c r="F154" s="19">
        <v>0</v>
      </c>
      <c r="G154" s="21">
        <v>240000</v>
      </c>
      <c r="H154" s="22">
        <v>1.1100000000000001</v>
      </c>
      <c r="I154" s="23">
        <v>300000</v>
      </c>
      <c r="J154" s="24">
        <v>1.83</v>
      </c>
      <c r="K154" s="25">
        <v>0</v>
      </c>
      <c r="L154" s="26">
        <v>0</v>
      </c>
      <c r="M154" s="25">
        <v>300000</v>
      </c>
      <c r="N154" s="27">
        <v>1.22</v>
      </c>
      <c r="O154" s="23">
        <v>400000</v>
      </c>
      <c r="P154" s="24">
        <v>1.63</v>
      </c>
      <c r="Q154" s="25">
        <v>0</v>
      </c>
      <c r="R154" s="19">
        <v>0</v>
      </c>
      <c r="S154" s="25">
        <v>400000</v>
      </c>
      <c r="T154" s="22">
        <v>1.2</v>
      </c>
      <c r="U154" s="34">
        <v>502550</v>
      </c>
      <c r="V154" s="29">
        <v>1.73</v>
      </c>
      <c r="W154" s="31">
        <v>250000</v>
      </c>
      <c r="X154" s="29">
        <v>14.44</v>
      </c>
      <c r="Y154" s="31">
        <v>752550</v>
      </c>
      <c r="Z154" s="29">
        <v>2.4500000000000002</v>
      </c>
      <c r="AA154" s="32">
        <v>580000</v>
      </c>
      <c r="AB154" s="33"/>
      <c r="AC154" s="32">
        <v>0</v>
      </c>
      <c r="AD154" s="33"/>
      <c r="AE154" s="32">
        <f t="shared" si="0"/>
        <v>580000</v>
      </c>
      <c r="AF154" s="33"/>
      <c r="AG154" s="32">
        <v>750000</v>
      </c>
      <c r="AH154" s="33"/>
      <c r="AI154" s="32">
        <v>0</v>
      </c>
      <c r="AJ154" s="33"/>
      <c r="AK154" s="32">
        <f t="shared" si="1"/>
        <v>750000</v>
      </c>
      <c r="AL154" s="33"/>
      <c r="AM154" s="32">
        <v>750000</v>
      </c>
      <c r="AN154" s="33"/>
      <c r="AO154" s="32">
        <v>0</v>
      </c>
      <c r="AP154" s="33"/>
      <c r="AQ154" s="32">
        <f t="shared" si="2"/>
        <v>750000</v>
      </c>
      <c r="AR154" s="33"/>
    </row>
    <row r="155" spans="1:44" ht="15.75" customHeight="1">
      <c r="A155" s="16">
        <v>31301</v>
      </c>
      <c r="B155" s="17" t="s">
        <v>160</v>
      </c>
      <c r="C155" s="18">
        <v>100000</v>
      </c>
      <c r="D155" s="19">
        <v>0.51</v>
      </c>
      <c r="E155" s="20">
        <v>0</v>
      </c>
      <c r="F155" s="19">
        <v>0</v>
      </c>
      <c r="G155" s="21">
        <v>100000</v>
      </c>
      <c r="H155" s="22">
        <v>0.36</v>
      </c>
      <c r="I155" s="23">
        <v>190000</v>
      </c>
      <c r="J155" s="24">
        <v>0.96</v>
      </c>
      <c r="K155" s="25">
        <v>0</v>
      </c>
      <c r="L155" s="26">
        <v>0</v>
      </c>
      <c r="M155" s="25">
        <v>190000</v>
      </c>
      <c r="N155" s="27">
        <v>0.68</v>
      </c>
      <c r="O155" s="23">
        <v>125000</v>
      </c>
      <c r="P155" s="24">
        <v>0.57999999999999996</v>
      </c>
      <c r="Q155" s="25">
        <v>0</v>
      </c>
      <c r="R155" s="19">
        <v>0</v>
      </c>
      <c r="S155" s="25">
        <v>125000</v>
      </c>
      <c r="T155" s="22">
        <v>0.44</v>
      </c>
      <c r="U155" s="34">
        <v>110000</v>
      </c>
      <c r="V155" s="29">
        <v>0.63</v>
      </c>
      <c r="W155" s="30">
        <v>0</v>
      </c>
      <c r="X155" s="29">
        <v>0</v>
      </c>
      <c r="Y155" s="31">
        <v>110000</v>
      </c>
      <c r="Z155" s="29">
        <v>0.56999999999999995</v>
      </c>
      <c r="AA155" s="32">
        <v>60660</v>
      </c>
      <c r="AB155" s="33"/>
      <c r="AC155" s="32">
        <v>0</v>
      </c>
      <c r="AD155" s="33"/>
      <c r="AE155" s="32">
        <f t="shared" si="0"/>
        <v>60660</v>
      </c>
      <c r="AF155" s="33"/>
      <c r="AG155" s="32">
        <v>160000</v>
      </c>
      <c r="AH155" s="33"/>
      <c r="AI155" s="32">
        <v>0</v>
      </c>
      <c r="AJ155" s="33"/>
      <c r="AK155" s="32">
        <f t="shared" si="1"/>
        <v>160000</v>
      </c>
      <c r="AL155" s="33"/>
      <c r="AM155" s="32">
        <v>120000</v>
      </c>
      <c r="AN155" s="33"/>
      <c r="AO155" s="32">
        <v>0</v>
      </c>
      <c r="AP155" s="33"/>
      <c r="AQ155" s="32">
        <f t="shared" si="2"/>
        <v>120000</v>
      </c>
      <c r="AR155" s="33"/>
    </row>
    <row r="156" spans="1:44" ht="15.75" customHeight="1">
      <c r="A156" s="16">
        <v>31302</v>
      </c>
      <c r="B156" s="17" t="s">
        <v>161</v>
      </c>
      <c r="C156" s="18">
        <v>15000</v>
      </c>
      <c r="D156" s="19">
        <v>0.49</v>
      </c>
      <c r="E156" s="20">
        <v>0</v>
      </c>
      <c r="F156" s="19">
        <v>0</v>
      </c>
      <c r="G156" s="21">
        <v>15000</v>
      </c>
      <c r="H156" s="22">
        <v>0.31</v>
      </c>
      <c r="I156" s="23">
        <v>20000</v>
      </c>
      <c r="J156" s="24">
        <v>0.53</v>
      </c>
      <c r="K156" s="25">
        <v>0</v>
      </c>
      <c r="L156" s="26">
        <v>0</v>
      </c>
      <c r="M156" s="25">
        <v>20000</v>
      </c>
      <c r="N156" s="27">
        <v>0.44</v>
      </c>
      <c r="O156" s="23">
        <v>20000</v>
      </c>
      <c r="P156" s="24">
        <v>0.45</v>
      </c>
      <c r="Q156" s="25">
        <v>0</v>
      </c>
      <c r="R156" s="19">
        <v>0</v>
      </c>
      <c r="S156" s="25">
        <v>20000</v>
      </c>
      <c r="T156" s="22">
        <v>0.38</v>
      </c>
      <c r="U156" s="34">
        <v>6000</v>
      </c>
      <c r="V156" s="29">
        <v>0.15</v>
      </c>
      <c r="W156" s="30">
        <v>0</v>
      </c>
      <c r="X156" s="29">
        <v>0</v>
      </c>
      <c r="Y156" s="31">
        <v>6000</v>
      </c>
      <c r="Z156" s="29">
        <v>0.13</v>
      </c>
      <c r="AA156" s="32">
        <v>10000</v>
      </c>
      <c r="AB156" s="33"/>
      <c r="AC156" s="32">
        <v>0</v>
      </c>
      <c r="AD156" s="33"/>
      <c r="AE156" s="32">
        <f t="shared" si="0"/>
        <v>10000</v>
      </c>
      <c r="AF156" s="33"/>
      <c r="AG156" s="32"/>
      <c r="AH156" s="33"/>
      <c r="AI156" s="32">
        <v>0</v>
      </c>
      <c r="AJ156" s="33"/>
      <c r="AK156" s="32">
        <f t="shared" si="1"/>
        <v>0</v>
      </c>
      <c r="AL156" s="33"/>
      <c r="AM156" s="32">
        <v>10000</v>
      </c>
      <c r="AN156" s="33"/>
      <c r="AO156" s="32">
        <v>0</v>
      </c>
      <c r="AP156" s="33"/>
      <c r="AQ156" s="32">
        <f t="shared" si="2"/>
        <v>10000</v>
      </c>
      <c r="AR156" s="33"/>
    </row>
    <row r="157" spans="1:44" ht="15.75" customHeight="1">
      <c r="A157" s="16">
        <v>31303</v>
      </c>
      <c r="B157" s="17" t="s">
        <v>162</v>
      </c>
      <c r="C157" s="35">
        <v>0</v>
      </c>
      <c r="D157" s="19">
        <v>0</v>
      </c>
      <c r="E157" s="20">
        <v>0</v>
      </c>
      <c r="F157" s="19">
        <v>0</v>
      </c>
      <c r="G157" s="21">
        <v>0</v>
      </c>
      <c r="H157" s="22">
        <v>0</v>
      </c>
      <c r="I157" s="35">
        <v>0</v>
      </c>
      <c r="J157" s="19">
        <v>0</v>
      </c>
      <c r="K157" s="25">
        <v>0</v>
      </c>
      <c r="L157" s="26">
        <v>0</v>
      </c>
      <c r="M157" s="21">
        <v>0</v>
      </c>
      <c r="N157" s="22">
        <v>0</v>
      </c>
      <c r="O157" s="35">
        <v>0</v>
      </c>
      <c r="P157" s="19">
        <v>0</v>
      </c>
      <c r="Q157" s="25">
        <v>0</v>
      </c>
      <c r="R157" s="19">
        <v>0</v>
      </c>
      <c r="S157" s="21">
        <v>0</v>
      </c>
      <c r="T157" s="22">
        <v>0</v>
      </c>
      <c r="U157" s="28">
        <v>0</v>
      </c>
      <c r="V157" s="29">
        <v>0</v>
      </c>
      <c r="W157" s="30">
        <v>0</v>
      </c>
      <c r="X157" s="29">
        <v>0</v>
      </c>
      <c r="Y157" s="31">
        <v>0</v>
      </c>
      <c r="Z157" s="29">
        <v>0</v>
      </c>
      <c r="AA157" s="32"/>
      <c r="AB157" s="33"/>
      <c r="AC157" s="32">
        <v>0</v>
      </c>
      <c r="AD157" s="33"/>
      <c r="AE157" s="32">
        <f t="shared" si="0"/>
        <v>0</v>
      </c>
      <c r="AF157" s="33"/>
      <c r="AG157" s="32"/>
      <c r="AH157" s="33"/>
      <c r="AI157" s="32">
        <v>0</v>
      </c>
      <c r="AJ157" s="33"/>
      <c r="AK157" s="32">
        <f t="shared" si="1"/>
        <v>0</v>
      </c>
      <c r="AL157" s="33"/>
      <c r="AM157" s="32"/>
      <c r="AN157" s="33"/>
      <c r="AO157" s="32">
        <v>0</v>
      </c>
      <c r="AP157" s="33"/>
      <c r="AQ157" s="32">
        <f t="shared" si="2"/>
        <v>0</v>
      </c>
      <c r="AR157" s="33"/>
    </row>
    <row r="158" spans="1:44" ht="15.75" customHeight="1">
      <c r="A158" s="16">
        <v>31304</v>
      </c>
      <c r="B158" s="17" t="s">
        <v>163</v>
      </c>
      <c r="C158" s="35">
        <v>0</v>
      </c>
      <c r="D158" s="19">
        <v>0</v>
      </c>
      <c r="E158" s="20">
        <v>0</v>
      </c>
      <c r="F158" s="19">
        <v>0</v>
      </c>
      <c r="G158" s="21">
        <v>0</v>
      </c>
      <c r="H158" s="22">
        <v>0</v>
      </c>
      <c r="I158" s="35">
        <v>0</v>
      </c>
      <c r="J158" s="19">
        <v>0</v>
      </c>
      <c r="K158" s="25">
        <v>0</v>
      </c>
      <c r="L158" s="26">
        <v>0</v>
      </c>
      <c r="M158" s="21">
        <v>0</v>
      </c>
      <c r="N158" s="22">
        <v>0</v>
      </c>
      <c r="O158" s="35">
        <v>0</v>
      </c>
      <c r="P158" s="19">
        <v>0</v>
      </c>
      <c r="Q158" s="25">
        <v>0</v>
      </c>
      <c r="R158" s="19">
        <v>0</v>
      </c>
      <c r="S158" s="21">
        <v>0</v>
      </c>
      <c r="T158" s="22">
        <v>0</v>
      </c>
      <c r="U158" s="28">
        <v>0</v>
      </c>
      <c r="V158" s="29">
        <v>0</v>
      </c>
      <c r="W158" s="30">
        <v>0</v>
      </c>
      <c r="X158" s="29">
        <v>0</v>
      </c>
      <c r="Y158" s="31">
        <v>0</v>
      </c>
      <c r="Z158" s="29">
        <v>0</v>
      </c>
      <c r="AA158" s="32"/>
      <c r="AB158" s="33"/>
      <c r="AC158" s="32">
        <v>0</v>
      </c>
      <c r="AD158" s="33"/>
      <c r="AE158" s="32">
        <f t="shared" si="0"/>
        <v>0</v>
      </c>
      <c r="AF158" s="33"/>
      <c r="AG158" s="32"/>
      <c r="AH158" s="33"/>
      <c r="AI158" s="32">
        <v>0</v>
      </c>
      <c r="AJ158" s="33"/>
      <c r="AK158" s="32">
        <f t="shared" si="1"/>
        <v>0</v>
      </c>
      <c r="AL158" s="33"/>
      <c r="AM158" s="32"/>
      <c r="AN158" s="33"/>
      <c r="AO158" s="32">
        <v>0</v>
      </c>
      <c r="AP158" s="33"/>
      <c r="AQ158" s="32">
        <f t="shared" si="2"/>
        <v>0</v>
      </c>
      <c r="AR158" s="33"/>
    </row>
    <row r="159" spans="1:44" ht="15.75" customHeight="1">
      <c r="A159" s="16">
        <v>31401</v>
      </c>
      <c r="B159" s="17" t="s">
        <v>164</v>
      </c>
      <c r="C159" s="18">
        <v>350000</v>
      </c>
      <c r="D159" s="19">
        <v>1.86</v>
      </c>
      <c r="E159" s="20">
        <v>0</v>
      </c>
      <c r="F159" s="19">
        <v>0</v>
      </c>
      <c r="G159" s="21">
        <v>350000</v>
      </c>
      <c r="H159" s="22">
        <v>1.27</v>
      </c>
      <c r="I159" s="23">
        <v>550000</v>
      </c>
      <c r="J159" s="24">
        <v>2.16</v>
      </c>
      <c r="K159" s="25">
        <v>0</v>
      </c>
      <c r="L159" s="26">
        <v>0</v>
      </c>
      <c r="M159" s="25">
        <v>550000</v>
      </c>
      <c r="N159" s="27">
        <v>1.65</v>
      </c>
      <c r="O159" s="23">
        <v>410000</v>
      </c>
      <c r="P159" s="24">
        <v>1.56</v>
      </c>
      <c r="Q159" s="25">
        <v>0</v>
      </c>
      <c r="R159" s="19">
        <v>0</v>
      </c>
      <c r="S159" s="25">
        <v>410000</v>
      </c>
      <c r="T159" s="22">
        <v>0.71</v>
      </c>
      <c r="U159" s="34">
        <v>360000</v>
      </c>
      <c r="V159" s="29">
        <v>1.03</v>
      </c>
      <c r="W159" s="30">
        <v>0</v>
      </c>
      <c r="X159" s="29">
        <v>0</v>
      </c>
      <c r="Y159" s="31">
        <v>360000</v>
      </c>
      <c r="Z159" s="29">
        <v>0.83</v>
      </c>
      <c r="AA159" s="32">
        <v>360000</v>
      </c>
      <c r="AB159" s="33"/>
      <c r="AC159" s="32">
        <v>0</v>
      </c>
      <c r="AD159" s="33"/>
      <c r="AE159" s="32">
        <f t="shared" si="0"/>
        <v>360000</v>
      </c>
      <c r="AF159" s="33"/>
      <c r="AG159" s="32">
        <v>500000</v>
      </c>
      <c r="AH159" s="33"/>
      <c r="AI159" s="32">
        <v>0</v>
      </c>
      <c r="AJ159" s="33"/>
      <c r="AK159" s="32">
        <f t="shared" si="1"/>
        <v>500000</v>
      </c>
      <c r="AL159" s="33"/>
      <c r="AM159" s="32">
        <v>500000</v>
      </c>
      <c r="AN159" s="33"/>
      <c r="AO159" s="32">
        <v>0</v>
      </c>
      <c r="AP159" s="33"/>
      <c r="AQ159" s="32">
        <f t="shared" si="2"/>
        <v>500000</v>
      </c>
      <c r="AR159" s="33"/>
    </row>
    <row r="160" spans="1:44" ht="15.75" customHeight="1">
      <c r="A160" s="16">
        <v>31402</v>
      </c>
      <c r="B160" s="17" t="s">
        <v>165</v>
      </c>
      <c r="C160" s="18">
        <v>20000</v>
      </c>
      <c r="D160" s="19">
        <v>0.47</v>
      </c>
      <c r="E160" s="20">
        <v>0</v>
      </c>
      <c r="F160" s="19">
        <v>0</v>
      </c>
      <c r="G160" s="21">
        <v>20000</v>
      </c>
      <c r="H160" s="22">
        <v>0.39</v>
      </c>
      <c r="I160" s="23">
        <v>30000</v>
      </c>
      <c r="J160" s="24">
        <v>0.6</v>
      </c>
      <c r="K160" s="25">
        <v>0</v>
      </c>
      <c r="L160" s="26">
        <v>0</v>
      </c>
      <c r="M160" s="25">
        <v>30000</v>
      </c>
      <c r="N160" s="27">
        <v>0.52</v>
      </c>
      <c r="O160" s="23">
        <v>35000</v>
      </c>
      <c r="P160" s="24">
        <v>0.61</v>
      </c>
      <c r="Q160" s="25">
        <v>0</v>
      </c>
      <c r="R160" s="19">
        <v>0</v>
      </c>
      <c r="S160" s="25">
        <v>35000</v>
      </c>
      <c r="T160" s="22">
        <v>0.42</v>
      </c>
      <c r="U160" s="34">
        <v>45000</v>
      </c>
      <c r="V160" s="29">
        <v>0.72</v>
      </c>
      <c r="W160" s="30">
        <v>0</v>
      </c>
      <c r="X160" s="29">
        <v>0</v>
      </c>
      <c r="Y160" s="31">
        <v>45000</v>
      </c>
      <c r="Z160" s="29">
        <v>0.56999999999999995</v>
      </c>
      <c r="AA160" s="32">
        <v>80000</v>
      </c>
      <c r="AB160" s="33"/>
      <c r="AC160" s="32">
        <v>0</v>
      </c>
      <c r="AD160" s="33"/>
      <c r="AE160" s="32">
        <f t="shared" si="0"/>
        <v>80000</v>
      </c>
      <c r="AF160" s="33"/>
      <c r="AG160" s="32">
        <v>80000</v>
      </c>
      <c r="AH160" s="33"/>
      <c r="AI160" s="32">
        <v>0</v>
      </c>
      <c r="AJ160" s="33"/>
      <c r="AK160" s="32">
        <f t="shared" si="1"/>
        <v>80000</v>
      </c>
      <c r="AL160" s="33"/>
      <c r="AM160" s="32">
        <v>70000</v>
      </c>
      <c r="AN160" s="33"/>
      <c r="AO160" s="32">
        <v>0</v>
      </c>
      <c r="AP160" s="33"/>
      <c r="AQ160" s="32">
        <f t="shared" si="2"/>
        <v>70000</v>
      </c>
      <c r="AR160" s="33"/>
    </row>
    <row r="161" spans="1:44" ht="15.75" customHeight="1">
      <c r="A161" s="16">
        <v>31403</v>
      </c>
      <c r="B161" s="17" t="s">
        <v>166</v>
      </c>
      <c r="C161" s="18">
        <v>50000</v>
      </c>
      <c r="D161" s="19">
        <v>0.62</v>
      </c>
      <c r="E161" s="20">
        <v>0</v>
      </c>
      <c r="F161" s="19">
        <v>0</v>
      </c>
      <c r="G161" s="21">
        <v>50000</v>
      </c>
      <c r="H161" s="22">
        <v>0.48</v>
      </c>
      <c r="I161" s="23">
        <v>70000</v>
      </c>
      <c r="J161" s="24">
        <v>0.77</v>
      </c>
      <c r="K161" s="25">
        <v>0</v>
      </c>
      <c r="L161" s="26">
        <v>0</v>
      </c>
      <c r="M161" s="25">
        <v>70000</v>
      </c>
      <c r="N161" s="27">
        <v>0.52</v>
      </c>
      <c r="O161" s="23">
        <v>80000</v>
      </c>
      <c r="P161" s="24">
        <v>0.84</v>
      </c>
      <c r="Q161" s="25">
        <v>0</v>
      </c>
      <c r="R161" s="19">
        <v>0</v>
      </c>
      <c r="S161" s="25">
        <v>80000</v>
      </c>
      <c r="T161" s="22">
        <v>0.55000000000000004</v>
      </c>
      <c r="U161" s="34">
        <v>108800</v>
      </c>
      <c r="V161" s="29">
        <v>1.01</v>
      </c>
      <c r="W161" s="30">
        <v>0</v>
      </c>
      <c r="X161" s="29">
        <v>0</v>
      </c>
      <c r="Y161" s="31">
        <v>108800</v>
      </c>
      <c r="Z161" s="29">
        <v>0.78</v>
      </c>
      <c r="AA161" s="32">
        <v>108800</v>
      </c>
      <c r="AB161" s="33"/>
      <c r="AC161" s="32">
        <v>0</v>
      </c>
      <c r="AD161" s="33"/>
      <c r="AE161" s="32">
        <f t="shared" si="0"/>
        <v>108800</v>
      </c>
      <c r="AF161" s="33"/>
      <c r="AG161" s="32">
        <v>108800</v>
      </c>
      <c r="AH161" s="33"/>
      <c r="AI161" s="32">
        <v>0</v>
      </c>
      <c r="AJ161" s="33"/>
      <c r="AK161" s="32">
        <f t="shared" si="1"/>
        <v>108800</v>
      </c>
      <c r="AL161" s="33"/>
      <c r="AM161" s="32">
        <v>121200</v>
      </c>
      <c r="AN161" s="33"/>
      <c r="AO161" s="32">
        <v>0</v>
      </c>
      <c r="AP161" s="33"/>
      <c r="AQ161" s="32">
        <f t="shared" si="2"/>
        <v>121200</v>
      </c>
      <c r="AR161" s="33"/>
    </row>
    <row r="162" spans="1:44" ht="15.75" customHeight="1">
      <c r="A162" s="16">
        <v>31404</v>
      </c>
      <c r="B162" s="17" t="s">
        <v>167</v>
      </c>
      <c r="C162" s="35">
        <v>0</v>
      </c>
      <c r="D162" s="19">
        <v>0</v>
      </c>
      <c r="E162" s="20">
        <v>0</v>
      </c>
      <c r="F162" s="19">
        <v>0</v>
      </c>
      <c r="G162" s="21">
        <v>0</v>
      </c>
      <c r="H162" s="22">
        <v>0</v>
      </c>
      <c r="I162" s="35">
        <v>0</v>
      </c>
      <c r="J162" s="19">
        <v>0</v>
      </c>
      <c r="K162" s="25">
        <v>0</v>
      </c>
      <c r="L162" s="26">
        <v>0</v>
      </c>
      <c r="M162" s="21">
        <v>0</v>
      </c>
      <c r="N162" s="22">
        <v>0</v>
      </c>
      <c r="O162" s="35">
        <v>0</v>
      </c>
      <c r="P162" s="19">
        <v>0</v>
      </c>
      <c r="Q162" s="25">
        <v>0</v>
      </c>
      <c r="R162" s="19">
        <v>0</v>
      </c>
      <c r="S162" s="21">
        <v>0</v>
      </c>
      <c r="T162" s="22">
        <v>0</v>
      </c>
      <c r="U162" s="28">
        <v>0</v>
      </c>
      <c r="V162" s="29">
        <v>0</v>
      </c>
      <c r="W162" s="30">
        <v>0</v>
      </c>
      <c r="X162" s="29">
        <v>0</v>
      </c>
      <c r="Y162" s="31">
        <v>0</v>
      </c>
      <c r="Z162" s="29">
        <v>0</v>
      </c>
      <c r="AA162" s="32"/>
      <c r="AB162" s="33"/>
      <c r="AC162" s="32">
        <v>0</v>
      </c>
      <c r="AD162" s="33"/>
      <c r="AE162" s="32">
        <f t="shared" si="0"/>
        <v>0</v>
      </c>
      <c r="AF162" s="33"/>
      <c r="AG162" s="32"/>
      <c r="AH162" s="33"/>
      <c r="AI162" s="32">
        <v>0</v>
      </c>
      <c r="AJ162" s="33"/>
      <c r="AK162" s="32">
        <f t="shared" si="1"/>
        <v>0</v>
      </c>
      <c r="AL162" s="33"/>
      <c r="AM162" s="32"/>
      <c r="AN162" s="33"/>
      <c r="AO162" s="32">
        <v>0</v>
      </c>
      <c r="AP162" s="33"/>
      <c r="AQ162" s="32">
        <f t="shared" si="2"/>
        <v>0</v>
      </c>
      <c r="AR162" s="33"/>
    </row>
    <row r="163" spans="1:44" ht="15.75" customHeight="1">
      <c r="A163" s="16">
        <v>31405</v>
      </c>
      <c r="B163" s="17" t="s">
        <v>168</v>
      </c>
      <c r="C163" s="35">
        <v>0</v>
      </c>
      <c r="D163" s="19">
        <v>0</v>
      </c>
      <c r="E163" s="20">
        <v>0</v>
      </c>
      <c r="F163" s="19">
        <v>0</v>
      </c>
      <c r="G163" s="21">
        <v>0</v>
      </c>
      <c r="H163" s="22">
        <v>0</v>
      </c>
      <c r="I163" s="35">
        <v>0</v>
      </c>
      <c r="J163" s="19">
        <v>0</v>
      </c>
      <c r="K163" s="25">
        <v>0</v>
      </c>
      <c r="L163" s="26">
        <v>0</v>
      </c>
      <c r="M163" s="21">
        <v>0</v>
      </c>
      <c r="N163" s="22">
        <v>0</v>
      </c>
      <c r="O163" s="23">
        <v>5000</v>
      </c>
      <c r="P163" s="24">
        <v>0.26</v>
      </c>
      <c r="Q163" s="25">
        <v>0</v>
      </c>
      <c r="R163" s="19">
        <v>0</v>
      </c>
      <c r="S163" s="25">
        <v>5000</v>
      </c>
      <c r="T163" s="22">
        <v>0.2</v>
      </c>
      <c r="U163" s="34">
        <v>7000</v>
      </c>
      <c r="V163" s="29">
        <v>0.32</v>
      </c>
      <c r="W163" s="30">
        <v>0</v>
      </c>
      <c r="X163" s="29">
        <v>0</v>
      </c>
      <c r="Y163" s="31">
        <v>7000</v>
      </c>
      <c r="Z163" s="29">
        <v>0.32</v>
      </c>
      <c r="AA163" s="32">
        <v>5000</v>
      </c>
      <c r="AB163" s="33"/>
      <c r="AC163" s="32">
        <v>0</v>
      </c>
      <c r="AD163" s="33"/>
      <c r="AE163" s="32">
        <f t="shared" si="0"/>
        <v>5000</v>
      </c>
      <c r="AF163" s="33"/>
      <c r="AG163" s="32">
        <v>3500</v>
      </c>
      <c r="AH163" s="33"/>
      <c r="AI163" s="32">
        <v>0</v>
      </c>
      <c r="AJ163" s="33"/>
      <c r="AK163" s="32">
        <f t="shared" si="1"/>
        <v>3500</v>
      </c>
      <c r="AL163" s="33"/>
      <c r="AM163" s="32">
        <v>5000</v>
      </c>
      <c r="AN163" s="33"/>
      <c r="AO163" s="32">
        <v>0</v>
      </c>
      <c r="AP163" s="33"/>
      <c r="AQ163" s="32">
        <f t="shared" si="2"/>
        <v>5000</v>
      </c>
      <c r="AR163" s="33"/>
    </row>
    <row r="164" spans="1:44" ht="15.75" customHeight="1">
      <c r="A164" s="16">
        <v>31501</v>
      </c>
      <c r="B164" s="17" t="s">
        <v>169</v>
      </c>
      <c r="C164" s="18">
        <v>35000</v>
      </c>
      <c r="D164" s="19">
        <v>0.59</v>
      </c>
      <c r="E164" s="20">
        <v>0</v>
      </c>
      <c r="F164" s="19">
        <v>0</v>
      </c>
      <c r="G164" s="21">
        <v>35000</v>
      </c>
      <c r="H164" s="22">
        <v>0.36</v>
      </c>
      <c r="I164" s="23">
        <v>50000</v>
      </c>
      <c r="J164" s="24">
        <v>0.76</v>
      </c>
      <c r="K164" s="25">
        <v>0</v>
      </c>
      <c r="L164" s="26">
        <v>0</v>
      </c>
      <c r="M164" s="25">
        <v>50000</v>
      </c>
      <c r="N164" s="27">
        <v>0.54</v>
      </c>
      <c r="O164" s="23">
        <v>40000</v>
      </c>
      <c r="P164" s="24">
        <v>0.66</v>
      </c>
      <c r="Q164" s="25">
        <v>0</v>
      </c>
      <c r="R164" s="19">
        <v>0</v>
      </c>
      <c r="S164" s="25">
        <v>40000</v>
      </c>
      <c r="T164" s="22">
        <v>0.46</v>
      </c>
      <c r="U164" s="34">
        <v>32000</v>
      </c>
      <c r="V164" s="29">
        <v>0.55000000000000004</v>
      </c>
      <c r="W164" s="30">
        <v>0</v>
      </c>
      <c r="X164" s="29">
        <v>0</v>
      </c>
      <c r="Y164" s="31">
        <v>32000</v>
      </c>
      <c r="Z164" s="29">
        <v>0.5</v>
      </c>
      <c r="AA164" s="32">
        <v>42000</v>
      </c>
      <c r="AB164" s="33"/>
      <c r="AC164" s="32">
        <v>0</v>
      </c>
      <c r="AD164" s="33"/>
      <c r="AE164" s="32">
        <f t="shared" si="0"/>
        <v>42000</v>
      </c>
      <c r="AF164" s="33"/>
      <c r="AG164" s="32">
        <v>39000</v>
      </c>
      <c r="AH164" s="33"/>
      <c r="AI164" s="32">
        <v>0</v>
      </c>
      <c r="AJ164" s="33"/>
      <c r="AK164" s="32">
        <f t="shared" si="1"/>
        <v>39000</v>
      </c>
      <c r="AL164" s="33"/>
      <c r="AM164" s="32">
        <v>41000</v>
      </c>
      <c r="AN164" s="33"/>
      <c r="AO164" s="32">
        <v>0</v>
      </c>
      <c r="AP164" s="33"/>
      <c r="AQ164" s="32">
        <f t="shared" si="2"/>
        <v>41000</v>
      </c>
      <c r="AR164" s="33"/>
    </row>
    <row r="165" spans="1:44" ht="15.75" customHeight="1">
      <c r="A165" s="16">
        <v>31601</v>
      </c>
      <c r="B165" s="17" t="s">
        <v>170</v>
      </c>
      <c r="C165" s="18">
        <v>10000</v>
      </c>
      <c r="D165" s="19">
        <v>0.09</v>
      </c>
      <c r="E165" s="36">
        <v>54000</v>
      </c>
      <c r="F165" s="19">
        <v>0.67</v>
      </c>
      <c r="G165" s="21">
        <v>64000</v>
      </c>
      <c r="H165" s="22">
        <v>0.34</v>
      </c>
      <c r="I165" s="23">
        <v>10000</v>
      </c>
      <c r="J165" s="24">
        <v>7.0000000000000007E-2</v>
      </c>
      <c r="K165" s="25">
        <v>0</v>
      </c>
      <c r="L165" s="26">
        <v>0</v>
      </c>
      <c r="M165" s="25">
        <v>10000</v>
      </c>
      <c r="N165" s="27">
        <v>0.04</v>
      </c>
      <c r="O165" s="23">
        <v>210000</v>
      </c>
      <c r="P165" s="24">
        <v>1.22</v>
      </c>
      <c r="Q165" s="25">
        <v>0</v>
      </c>
      <c r="R165" s="19">
        <v>0</v>
      </c>
      <c r="S165" s="25">
        <v>210000</v>
      </c>
      <c r="T165" s="22">
        <v>0.78</v>
      </c>
      <c r="U165" s="34">
        <v>293426</v>
      </c>
      <c r="V165" s="29">
        <v>1.82</v>
      </c>
      <c r="W165" s="30">
        <v>0</v>
      </c>
      <c r="X165" s="29">
        <v>0</v>
      </c>
      <c r="Y165" s="31">
        <v>293426</v>
      </c>
      <c r="Z165" s="29">
        <v>1.21</v>
      </c>
      <c r="AA165" s="32">
        <v>232110</v>
      </c>
      <c r="AB165" s="33"/>
      <c r="AC165" s="32">
        <v>0</v>
      </c>
      <c r="AD165" s="33"/>
      <c r="AE165" s="32">
        <f t="shared" si="0"/>
        <v>232110</v>
      </c>
      <c r="AF165" s="33"/>
      <c r="AG165" s="32">
        <v>182200</v>
      </c>
      <c r="AH165" s="33"/>
      <c r="AI165" s="32">
        <v>0</v>
      </c>
      <c r="AJ165" s="33"/>
      <c r="AK165" s="32">
        <f t="shared" si="1"/>
        <v>182200</v>
      </c>
      <c r="AL165" s="33"/>
      <c r="AM165" s="32">
        <v>182200</v>
      </c>
      <c r="AN165" s="33"/>
      <c r="AO165" s="32">
        <v>0</v>
      </c>
      <c r="AP165" s="33"/>
      <c r="AQ165" s="32">
        <f t="shared" si="2"/>
        <v>182200</v>
      </c>
      <c r="AR165" s="33"/>
    </row>
    <row r="166" spans="1:44" ht="15.75" customHeight="1">
      <c r="A166" s="16">
        <v>31602</v>
      </c>
      <c r="B166" s="17" t="s">
        <v>171</v>
      </c>
      <c r="C166" s="18">
        <v>150000</v>
      </c>
      <c r="D166" s="19">
        <v>1.69</v>
      </c>
      <c r="E166" s="20">
        <v>0</v>
      </c>
      <c r="F166" s="19">
        <v>0</v>
      </c>
      <c r="G166" s="21">
        <v>150000</v>
      </c>
      <c r="H166" s="22">
        <v>0.84</v>
      </c>
      <c r="I166" s="23">
        <v>151039</v>
      </c>
      <c r="J166" s="24">
        <v>1.8</v>
      </c>
      <c r="K166" s="25">
        <v>0</v>
      </c>
      <c r="L166" s="26">
        <v>0</v>
      </c>
      <c r="M166" s="25">
        <v>151039</v>
      </c>
      <c r="N166" s="27">
        <v>1.35</v>
      </c>
      <c r="O166" s="23">
        <v>181333</v>
      </c>
      <c r="P166" s="24">
        <v>1.85</v>
      </c>
      <c r="Q166" s="25">
        <v>0</v>
      </c>
      <c r="R166" s="19">
        <v>0</v>
      </c>
      <c r="S166" s="25">
        <v>181333</v>
      </c>
      <c r="T166" s="22">
        <v>0.82</v>
      </c>
      <c r="U166" s="34">
        <v>346504</v>
      </c>
      <c r="V166" s="29">
        <v>1.79</v>
      </c>
      <c r="W166" s="30">
        <v>0</v>
      </c>
      <c r="X166" s="29">
        <v>0</v>
      </c>
      <c r="Y166" s="31">
        <v>346504</v>
      </c>
      <c r="Z166" s="29">
        <v>1.58</v>
      </c>
      <c r="AA166" s="32">
        <v>414600</v>
      </c>
      <c r="AB166" s="33"/>
      <c r="AC166" s="32">
        <v>0</v>
      </c>
      <c r="AD166" s="33"/>
      <c r="AE166" s="32">
        <f t="shared" si="0"/>
        <v>414600</v>
      </c>
      <c r="AF166" s="33"/>
      <c r="AG166" s="32">
        <v>417686</v>
      </c>
      <c r="AH166" s="33"/>
      <c r="AI166" s="32">
        <v>0</v>
      </c>
      <c r="AJ166" s="33"/>
      <c r="AK166" s="32">
        <f t="shared" si="1"/>
        <v>417686</v>
      </c>
      <c r="AL166" s="33"/>
      <c r="AM166" s="32">
        <v>447686</v>
      </c>
      <c r="AN166" s="33"/>
      <c r="AO166" s="32">
        <v>0</v>
      </c>
      <c r="AP166" s="33"/>
      <c r="AQ166" s="32">
        <f t="shared" si="2"/>
        <v>447686</v>
      </c>
      <c r="AR166" s="33"/>
    </row>
    <row r="167" spans="1:44" ht="15.75" customHeight="1">
      <c r="A167" s="16">
        <v>40101</v>
      </c>
      <c r="B167" s="17" t="s">
        <v>172</v>
      </c>
      <c r="C167" s="35">
        <v>0</v>
      </c>
      <c r="D167" s="19">
        <v>0</v>
      </c>
      <c r="E167" s="20">
        <v>0</v>
      </c>
      <c r="F167" s="19">
        <v>0</v>
      </c>
      <c r="G167" s="21">
        <v>0</v>
      </c>
      <c r="H167" s="22">
        <v>0</v>
      </c>
      <c r="I167" s="35">
        <v>0</v>
      </c>
      <c r="J167" s="19">
        <v>0</v>
      </c>
      <c r="K167" s="25">
        <v>0</v>
      </c>
      <c r="L167" s="26">
        <v>0</v>
      </c>
      <c r="M167" s="21">
        <v>0</v>
      </c>
      <c r="N167" s="22">
        <v>0</v>
      </c>
      <c r="O167" s="23">
        <v>999808</v>
      </c>
      <c r="P167" s="24">
        <v>0.42</v>
      </c>
      <c r="Q167" s="25">
        <v>0</v>
      </c>
      <c r="R167" s="19">
        <v>0</v>
      </c>
      <c r="S167" s="25">
        <v>999808</v>
      </c>
      <c r="T167" s="22">
        <v>0.16</v>
      </c>
      <c r="U167" s="34">
        <v>1400000</v>
      </c>
      <c r="V167" s="29">
        <v>0.35</v>
      </c>
      <c r="W167" s="30">
        <v>0</v>
      </c>
      <c r="X167" s="29">
        <v>0</v>
      </c>
      <c r="Y167" s="31">
        <v>1400000</v>
      </c>
      <c r="Z167" s="29">
        <v>0.32</v>
      </c>
      <c r="AA167" s="32">
        <v>1400000</v>
      </c>
      <c r="AB167" s="33"/>
      <c r="AC167" s="32">
        <v>0</v>
      </c>
      <c r="AD167" s="33"/>
      <c r="AE167" s="32">
        <f t="shared" si="0"/>
        <v>1400000</v>
      </c>
      <c r="AF167" s="33"/>
      <c r="AG167" s="32">
        <v>1264853</v>
      </c>
      <c r="AH167" s="33"/>
      <c r="AI167" s="32">
        <v>0</v>
      </c>
      <c r="AJ167" s="33"/>
      <c r="AK167" s="32">
        <f t="shared" si="1"/>
        <v>1264853</v>
      </c>
      <c r="AL167" s="33"/>
      <c r="AM167" s="32">
        <v>1956991</v>
      </c>
      <c r="AN167" s="33"/>
      <c r="AO167" s="32">
        <v>0</v>
      </c>
      <c r="AP167" s="33"/>
      <c r="AQ167" s="32">
        <f t="shared" si="2"/>
        <v>1956991</v>
      </c>
      <c r="AR167" s="33"/>
    </row>
    <row r="168" spans="1:44" ht="15.75" customHeight="1">
      <c r="A168" s="16">
        <v>40102</v>
      </c>
      <c r="B168" s="17" t="s">
        <v>173</v>
      </c>
      <c r="C168" s="18">
        <v>57893</v>
      </c>
      <c r="D168" s="19">
        <v>0.42</v>
      </c>
      <c r="E168" s="20">
        <v>0</v>
      </c>
      <c r="F168" s="19">
        <v>0</v>
      </c>
      <c r="G168" s="21">
        <v>57893</v>
      </c>
      <c r="H168" s="22">
        <v>0.21</v>
      </c>
      <c r="I168" s="23">
        <v>300000</v>
      </c>
      <c r="J168" s="24">
        <v>1.9</v>
      </c>
      <c r="K168" s="25">
        <v>0</v>
      </c>
      <c r="L168" s="26">
        <v>0</v>
      </c>
      <c r="M168" s="25">
        <v>300000</v>
      </c>
      <c r="N168" s="27">
        <v>0.94</v>
      </c>
      <c r="O168" s="23">
        <v>120000</v>
      </c>
      <c r="P168" s="24">
        <v>0.67</v>
      </c>
      <c r="Q168" s="25">
        <v>0</v>
      </c>
      <c r="R168" s="19">
        <v>0</v>
      </c>
      <c r="S168" s="25">
        <v>120000</v>
      </c>
      <c r="T168" s="22">
        <v>0.39</v>
      </c>
      <c r="U168" s="34">
        <v>480000</v>
      </c>
      <c r="V168" s="29">
        <v>1.99</v>
      </c>
      <c r="W168" s="30">
        <v>0</v>
      </c>
      <c r="X168" s="29">
        <v>0</v>
      </c>
      <c r="Y168" s="31">
        <v>480000</v>
      </c>
      <c r="Z168" s="29">
        <v>1.56</v>
      </c>
      <c r="AA168" s="32">
        <v>550000</v>
      </c>
      <c r="AB168" s="33"/>
      <c r="AC168" s="32">
        <v>0</v>
      </c>
      <c r="AD168" s="33"/>
      <c r="AE168" s="32">
        <f t="shared" si="0"/>
        <v>550000</v>
      </c>
      <c r="AF168" s="33"/>
      <c r="AG168" s="32">
        <v>500000</v>
      </c>
      <c r="AH168" s="33"/>
      <c r="AI168" s="32">
        <v>0</v>
      </c>
      <c r="AJ168" s="33"/>
      <c r="AK168" s="32">
        <f t="shared" si="1"/>
        <v>500000</v>
      </c>
      <c r="AL168" s="33"/>
      <c r="AM168" s="32">
        <v>500000</v>
      </c>
      <c r="AN168" s="33"/>
      <c r="AO168" s="32">
        <v>0</v>
      </c>
      <c r="AP168" s="33"/>
      <c r="AQ168" s="32">
        <f t="shared" si="2"/>
        <v>500000</v>
      </c>
      <c r="AR168" s="33"/>
    </row>
    <row r="169" spans="1:44" ht="15.75" customHeight="1">
      <c r="A169" s="16">
        <v>40103</v>
      </c>
      <c r="B169" s="17" t="s">
        <v>174</v>
      </c>
      <c r="C169" s="35">
        <v>0</v>
      </c>
      <c r="D169" s="19">
        <v>0</v>
      </c>
      <c r="E169" s="20">
        <v>0</v>
      </c>
      <c r="F169" s="19">
        <v>0</v>
      </c>
      <c r="G169" s="21">
        <v>0</v>
      </c>
      <c r="H169" s="22">
        <v>0</v>
      </c>
      <c r="I169" s="35">
        <v>0</v>
      </c>
      <c r="J169" s="19">
        <v>0</v>
      </c>
      <c r="K169" s="25">
        <v>0</v>
      </c>
      <c r="L169" s="26">
        <v>0</v>
      </c>
      <c r="M169" s="21">
        <v>0</v>
      </c>
      <c r="N169" s="22">
        <v>0</v>
      </c>
      <c r="O169" s="35">
        <v>0</v>
      </c>
      <c r="P169" s="19">
        <v>0</v>
      </c>
      <c r="Q169" s="25">
        <v>0</v>
      </c>
      <c r="R169" s="19">
        <v>0</v>
      </c>
      <c r="S169" s="21">
        <v>0</v>
      </c>
      <c r="T169" s="22">
        <v>0</v>
      </c>
      <c r="U169" s="28">
        <v>0</v>
      </c>
      <c r="V169" s="29">
        <v>0</v>
      </c>
      <c r="W169" s="30">
        <v>0</v>
      </c>
      <c r="X169" s="29">
        <v>0</v>
      </c>
      <c r="Y169" s="31">
        <v>0</v>
      </c>
      <c r="Z169" s="29">
        <v>0</v>
      </c>
      <c r="AA169" s="32">
        <v>0</v>
      </c>
      <c r="AB169" s="33"/>
      <c r="AC169" s="32">
        <v>0</v>
      </c>
      <c r="AD169" s="33"/>
      <c r="AE169" s="32">
        <f t="shared" si="0"/>
        <v>0</v>
      </c>
      <c r="AF169" s="33"/>
      <c r="AG169" s="32"/>
      <c r="AH169" s="33"/>
      <c r="AI169" s="32">
        <v>0</v>
      </c>
      <c r="AJ169" s="33"/>
      <c r="AK169" s="32">
        <f t="shared" si="1"/>
        <v>0</v>
      </c>
      <c r="AL169" s="33"/>
      <c r="AM169" s="32">
        <v>60000</v>
      </c>
      <c r="AN169" s="33"/>
      <c r="AO169" s="32">
        <v>0</v>
      </c>
      <c r="AP169" s="33"/>
      <c r="AQ169" s="32">
        <f t="shared" si="2"/>
        <v>60000</v>
      </c>
      <c r="AR169" s="33"/>
    </row>
    <row r="170" spans="1:44" ht="15.75" customHeight="1">
      <c r="A170" s="16">
        <v>40104</v>
      </c>
      <c r="B170" s="17" t="s">
        <v>175</v>
      </c>
      <c r="C170" s="35">
        <v>0</v>
      </c>
      <c r="D170" s="19">
        <v>0</v>
      </c>
      <c r="E170" s="20">
        <v>0</v>
      </c>
      <c r="F170" s="19">
        <v>0</v>
      </c>
      <c r="G170" s="21">
        <v>0</v>
      </c>
      <c r="H170" s="22">
        <v>0</v>
      </c>
      <c r="I170" s="35">
        <v>0</v>
      </c>
      <c r="J170" s="19">
        <v>0</v>
      </c>
      <c r="K170" s="25">
        <v>0</v>
      </c>
      <c r="L170" s="26">
        <v>0</v>
      </c>
      <c r="M170" s="21">
        <v>0</v>
      </c>
      <c r="N170" s="22">
        <v>0</v>
      </c>
      <c r="O170" s="35">
        <v>0</v>
      </c>
      <c r="P170" s="19">
        <v>0</v>
      </c>
      <c r="Q170" s="25">
        <v>0</v>
      </c>
      <c r="R170" s="19">
        <v>0</v>
      </c>
      <c r="S170" s="21">
        <v>0</v>
      </c>
      <c r="T170" s="22">
        <v>0</v>
      </c>
      <c r="U170" s="28">
        <v>0</v>
      </c>
      <c r="V170" s="29">
        <v>0</v>
      </c>
      <c r="W170" s="30">
        <v>0</v>
      </c>
      <c r="X170" s="29">
        <v>0</v>
      </c>
      <c r="Y170" s="31">
        <v>0</v>
      </c>
      <c r="Z170" s="29">
        <v>0</v>
      </c>
      <c r="AA170" s="32"/>
      <c r="AB170" s="33"/>
      <c r="AC170" s="32">
        <v>0</v>
      </c>
      <c r="AD170" s="33"/>
      <c r="AE170" s="32">
        <f t="shared" si="0"/>
        <v>0</v>
      </c>
      <c r="AF170" s="33"/>
      <c r="AG170" s="32"/>
      <c r="AH170" s="33"/>
      <c r="AI170" s="32">
        <v>0</v>
      </c>
      <c r="AJ170" s="33"/>
      <c r="AK170" s="32">
        <f t="shared" si="1"/>
        <v>0</v>
      </c>
      <c r="AL170" s="33"/>
      <c r="AM170" s="32"/>
      <c r="AN170" s="33"/>
      <c r="AO170" s="32">
        <v>0</v>
      </c>
      <c r="AP170" s="33"/>
      <c r="AQ170" s="32">
        <f t="shared" si="2"/>
        <v>0</v>
      </c>
      <c r="AR170" s="33"/>
    </row>
    <row r="171" spans="1:44" ht="15.75" customHeight="1">
      <c r="A171" s="16">
        <v>40201</v>
      </c>
      <c r="B171" s="17" t="s">
        <v>176</v>
      </c>
      <c r="C171" s="18">
        <v>210462</v>
      </c>
      <c r="D171" s="19">
        <v>1.2</v>
      </c>
      <c r="E171" s="20">
        <v>0</v>
      </c>
      <c r="F171" s="19">
        <v>0</v>
      </c>
      <c r="G171" s="21">
        <v>210462</v>
      </c>
      <c r="H171" s="22">
        <v>0.56000000000000005</v>
      </c>
      <c r="I171" s="23">
        <v>450000</v>
      </c>
      <c r="J171" s="24">
        <v>2.11</v>
      </c>
      <c r="K171" s="25">
        <v>0</v>
      </c>
      <c r="L171" s="26">
        <v>0</v>
      </c>
      <c r="M171" s="25">
        <v>450000</v>
      </c>
      <c r="N171" s="27">
        <v>1.75</v>
      </c>
      <c r="O171" s="23">
        <v>250000</v>
      </c>
      <c r="P171" s="24">
        <v>0.9</v>
      </c>
      <c r="Q171" s="25">
        <v>0</v>
      </c>
      <c r="R171" s="19">
        <v>0</v>
      </c>
      <c r="S171" s="25">
        <v>250000</v>
      </c>
      <c r="T171" s="22">
        <v>0.5</v>
      </c>
      <c r="U171" s="34">
        <v>750000</v>
      </c>
      <c r="V171" s="29">
        <v>2.13</v>
      </c>
      <c r="W171" s="30">
        <v>0</v>
      </c>
      <c r="X171" s="29">
        <v>0</v>
      </c>
      <c r="Y171" s="31">
        <v>750000</v>
      </c>
      <c r="Z171" s="29">
        <v>2.0299999999999998</v>
      </c>
      <c r="AA171" s="32">
        <v>895535</v>
      </c>
      <c r="AB171" s="33"/>
      <c r="AC171" s="32">
        <v>0</v>
      </c>
      <c r="AD171" s="33"/>
      <c r="AE171" s="32">
        <f t="shared" si="0"/>
        <v>895535</v>
      </c>
      <c r="AF171" s="33"/>
      <c r="AG171" s="32">
        <v>895535</v>
      </c>
      <c r="AH171" s="33"/>
      <c r="AI171" s="32">
        <v>0</v>
      </c>
      <c r="AJ171" s="33"/>
      <c r="AK171" s="32">
        <f t="shared" si="1"/>
        <v>895535</v>
      </c>
      <c r="AL171" s="33"/>
      <c r="AM171" s="32">
        <v>895535</v>
      </c>
      <c r="AN171" s="33"/>
      <c r="AO171" s="32">
        <v>0</v>
      </c>
      <c r="AP171" s="33"/>
      <c r="AQ171" s="32">
        <f t="shared" si="2"/>
        <v>895535</v>
      </c>
      <c r="AR171" s="33"/>
    </row>
    <row r="172" spans="1:44" ht="15.75" customHeight="1">
      <c r="A172" s="16">
        <v>40202</v>
      </c>
      <c r="B172" s="17" t="s">
        <v>177</v>
      </c>
      <c r="C172" s="35">
        <v>0</v>
      </c>
      <c r="D172" s="19">
        <v>0</v>
      </c>
      <c r="E172" s="20">
        <v>0</v>
      </c>
      <c r="F172" s="19">
        <v>0</v>
      </c>
      <c r="G172" s="21">
        <v>0</v>
      </c>
      <c r="H172" s="22">
        <v>0</v>
      </c>
      <c r="I172" s="35">
        <v>0</v>
      </c>
      <c r="J172" s="19">
        <v>0</v>
      </c>
      <c r="K172" s="25">
        <v>0</v>
      </c>
      <c r="L172" s="26">
        <v>0</v>
      </c>
      <c r="M172" s="21">
        <v>0</v>
      </c>
      <c r="N172" s="22">
        <v>0</v>
      </c>
      <c r="O172" s="35">
        <v>0</v>
      </c>
      <c r="P172" s="19">
        <v>0</v>
      </c>
      <c r="Q172" s="25">
        <v>0</v>
      </c>
      <c r="R172" s="19">
        <v>0</v>
      </c>
      <c r="S172" s="21">
        <v>0</v>
      </c>
      <c r="T172" s="22">
        <v>0</v>
      </c>
      <c r="U172" s="28">
        <v>0</v>
      </c>
      <c r="V172" s="29">
        <v>0</v>
      </c>
      <c r="W172" s="30">
        <v>0</v>
      </c>
      <c r="X172" s="29">
        <v>0</v>
      </c>
      <c r="Y172" s="31">
        <v>0</v>
      </c>
      <c r="Z172" s="29">
        <v>0</v>
      </c>
      <c r="AA172" s="32"/>
      <c r="AB172" s="33"/>
      <c r="AC172" s="32">
        <v>0</v>
      </c>
      <c r="AD172" s="33"/>
      <c r="AE172" s="32">
        <f t="shared" si="0"/>
        <v>0</v>
      </c>
      <c r="AF172" s="33"/>
      <c r="AG172" s="32"/>
      <c r="AH172" s="33"/>
      <c r="AI172" s="32">
        <v>0</v>
      </c>
      <c r="AJ172" s="33"/>
      <c r="AK172" s="32">
        <f t="shared" si="1"/>
        <v>0</v>
      </c>
      <c r="AL172" s="33"/>
      <c r="AM172" s="32"/>
      <c r="AN172" s="33"/>
      <c r="AO172" s="32">
        <v>0</v>
      </c>
      <c r="AP172" s="33"/>
      <c r="AQ172" s="32">
        <f t="shared" si="2"/>
        <v>0</v>
      </c>
      <c r="AR172" s="33"/>
    </row>
    <row r="173" spans="1:44" ht="15.75" customHeight="1">
      <c r="A173" s="16">
        <v>40301</v>
      </c>
      <c r="B173" s="17" t="s">
        <v>178</v>
      </c>
      <c r="C173" s="18">
        <v>12000</v>
      </c>
      <c r="D173" s="19">
        <v>0.23</v>
      </c>
      <c r="E173" s="20">
        <v>0</v>
      </c>
      <c r="F173" s="19">
        <v>0</v>
      </c>
      <c r="G173" s="21">
        <v>12000</v>
      </c>
      <c r="H173" s="22">
        <v>0.09</v>
      </c>
      <c r="I173" s="23">
        <v>12000</v>
      </c>
      <c r="J173" s="24">
        <v>0.22</v>
      </c>
      <c r="K173" s="25">
        <v>0</v>
      </c>
      <c r="L173" s="26">
        <v>0</v>
      </c>
      <c r="M173" s="25">
        <v>12000</v>
      </c>
      <c r="N173" s="27">
        <v>0.08</v>
      </c>
      <c r="O173" s="23">
        <v>12000</v>
      </c>
      <c r="P173" s="24">
        <v>0.16</v>
      </c>
      <c r="Q173" s="25">
        <v>0</v>
      </c>
      <c r="R173" s="19">
        <v>0</v>
      </c>
      <c r="S173" s="25">
        <v>12000</v>
      </c>
      <c r="T173" s="22">
        <v>0.08</v>
      </c>
      <c r="U173" s="34">
        <v>39000</v>
      </c>
      <c r="V173" s="29">
        <v>0.49</v>
      </c>
      <c r="W173" s="30">
        <v>0</v>
      </c>
      <c r="X173" s="29">
        <v>0</v>
      </c>
      <c r="Y173" s="31">
        <v>39000</v>
      </c>
      <c r="Z173" s="29">
        <v>0.45</v>
      </c>
      <c r="AA173" s="32">
        <v>30000</v>
      </c>
      <c r="AB173" s="33"/>
      <c r="AC173" s="32">
        <v>0</v>
      </c>
      <c r="AD173" s="33"/>
      <c r="AE173" s="32">
        <f t="shared" si="0"/>
        <v>30000</v>
      </c>
      <c r="AF173" s="33"/>
      <c r="AG173" s="32">
        <v>30000</v>
      </c>
      <c r="AH173" s="33"/>
      <c r="AI173" s="32">
        <v>0</v>
      </c>
      <c r="AJ173" s="33"/>
      <c r="AK173" s="32">
        <f t="shared" si="1"/>
        <v>30000</v>
      </c>
      <c r="AL173" s="33"/>
      <c r="AM173" s="32">
        <v>30000</v>
      </c>
      <c r="AN173" s="33"/>
      <c r="AO173" s="32">
        <v>0</v>
      </c>
      <c r="AP173" s="33"/>
      <c r="AQ173" s="32">
        <f t="shared" si="2"/>
        <v>30000</v>
      </c>
      <c r="AR173" s="33"/>
    </row>
    <row r="174" spans="1:44" ht="15.75" customHeight="1">
      <c r="A174" s="16">
        <v>40302</v>
      </c>
      <c r="B174" s="17" t="s">
        <v>179</v>
      </c>
      <c r="C174" s="35">
        <v>0</v>
      </c>
      <c r="D174" s="19">
        <v>0</v>
      </c>
      <c r="E174" s="20">
        <v>0</v>
      </c>
      <c r="F174" s="19">
        <v>0</v>
      </c>
      <c r="G174" s="21">
        <v>0</v>
      </c>
      <c r="H174" s="22">
        <v>0</v>
      </c>
      <c r="I174" s="23">
        <v>20000</v>
      </c>
      <c r="J174" s="24">
        <v>1.65</v>
      </c>
      <c r="K174" s="25">
        <v>0</v>
      </c>
      <c r="L174" s="26">
        <v>0</v>
      </c>
      <c r="M174" s="25">
        <v>20000</v>
      </c>
      <c r="N174" s="27">
        <v>0.89</v>
      </c>
      <c r="O174" s="23">
        <v>12000</v>
      </c>
      <c r="P174" s="24">
        <v>1.04</v>
      </c>
      <c r="Q174" s="25">
        <v>0</v>
      </c>
      <c r="R174" s="19">
        <v>0</v>
      </c>
      <c r="S174" s="25">
        <v>12000</v>
      </c>
      <c r="T174" s="22">
        <v>0.56000000000000005</v>
      </c>
      <c r="U174" s="34">
        <v>40000</v>
      </c>
      <c r="V174" s="29">
        <v>2.27</v>
      </c>
      <c r="W174" s="30">
        <v>0</v>
      </c>
      <c r="X174" s="29">
        <v>0</v>
      </c>
      <c r="Y174" s="31">
        <v>40000</v>
      </c>
      <c r="Z174" s="29">
        <v>2.0499999999999998</v>
      </c>
      <c r="AA174" s="32">
        <v>50000</v>
      </c>
      <c r="AB174" s="33"/>
      <c r="AC174" s="32">
        <v>0</v>
      </c>
      <c r="AD174" s="33"/>
      <c r="AE174" s="32">
        <f t="shared" si="0"/>
        <v>50000</v>
      </c>
      <c r="AF174" s="33"/>
      <c r="AG174" s="32">
        <v>20000</v>
      </c>
      <c r="AH174" s="33"/>
      <c r="AI174" s="32">
        <v>0</v>
      </c>
      <c r="AJ174" s="33"/>
      <c r="AK174" s="32">
        <f t="shared" si="1"/>
        <v>20000</v>
      </c>
      <c r="AL174" s="33"/>
      <c r="AM174" s="32">
        <v>22900</v>
      </c>
      <c r="AN174" s="33"/>
      <c r="AO174" s="32">
        <v>0</v>
      </c>
      <c r="AP174" s="33"/>
      <c r="AQ174" s="32">
        <f t="shared" si="2"/>
        <v>22900</v>
      </c>
      <c r="AR174" s="33"/>
    </row>
    <row r="175" spans="1:44" ht="15.75" customHeight="1">
      <c r="A175" s="16">
        <v>40401</v>
      </c>
      <c r="B175" s="17" t="s">
        <v>180</v>
      </c>
      <c r="C175" s="18">
        <v>50000</v>
      </c>
      <c r="D175" s="19">
        <v>1.4</v>
      </c>
      <c r="E175" s="20">
        <v>0</v>
      </c>
      <c r="F175" s="19">
        <v>0</v>
      </c>
      <c r="G175" s="21">
        <v>50000</v>
      </c>
      <c r="H175" s="22">
        <v>0.66</v>
      </c>
      <c r="I175" s="23">
        <v>60000</v>
      </c>
      <c r="J175" s="24">
        <v>1.58</v>
      </c>
      <c r="K175" s="25">
        <v>0</v>
      </c>
      <c r="L175" s="26">
        <v>0</v>
      </c>
      <c r="M175" s="25">
        <v>60000</v>
      </c>
      <c r="N175" s="27">
        <v>0.75</v>
      </c>
      <c r="O175" s="23">
        <v>65000</v>
      </c>
      <c r="P175" s="24">
        <v>1.51</v>
      </c>
      <c r="Q175" s="25">
        <v>0</v>
      </c>
      <c r="R175" s="19">
        <v>0</v>
      </c>
      <c r="S175" s="25">
        <v>65000</v>
      </c>
      <c r="T175" s="22">
        <v>1.33</v>
      </c>
      <c r="U175" s="34">
        <v>50000</v>
      </c>
      <c r="V175" s="29">
        <v>1.1599999999999999</v>
      </c>
      <c r="W175" s="31">
        <v>20000</v>
      </c>
      <c r="X175" s="29">
        <v>1.22</v>
      </c>
      <c r="Y175" s="31">
        <v>70000</v>
      </c>
      <c r="Z175" s="29">
        <v>1.18</v>
      </c>
      <c r="AA175" s="32">
        <v>70000</v>
      </c>
      <c r="AB175" s="33"/>
      <c r="AC175" s="32">
        <v>0</v>
      </c>
      <c r="AD175" s="33"/>
      <c r="AE175" s="32">
        <f t="shared" si="0"/>
        <v>70000</v>
      </c>
      <c r="AF175" s="33"/>
      <c r="AG175" s="32">
        <v>70000</v>
      </c>
      <c r="AH175" s="33"/>
      <c r="AI175" s="32">
        <v>0</v>
      </c>
      <c r="AJ175" s="33"/>
      <c r="AK175" s="32">
        <f t="shared" si="1"/>
        <v>70000</v>
      </c>
      <c r="AL175" s="33"/>
      <c r="AM175" s="32">
        <v>70000</v>
      </c>
      <c r="AN175" s="33"/>
      <c r="AO175" s="32">
        <v>0</v>
      </c>
      <c r="AP175" s="33"/>
      <c r="AQ175" s="32">
        <f t="shared" si="2"/>
        <v>70000</v>
      </c>
      <c r="AR175" s="33"/>
    </row>
    <row r="176" spans="1:44" ht="15.75" customHeight="1">
      <c r="A176" s="16">
        <v>40402</v>
      </c>
      <c r="B176" s="17" t="s">
        <v>181</v>
      </c>
      <c r="C176" s="18">
        <v>30000</v>
      </c>
      <c r="D176" s="19">
        <v>1.08</v>
      </c>
      <c r="E176" s="20">
        <v>0</v>
      </c>
      <c r="F176" s="19">
        <v>0</v>
      </c>
      <c r="G176" s="21">
        <v>30000</v>
      </c>
      <c r="H176" s="22">
        <v>0.22</v>
      </c>
      <c r="I176" s="23">
        <v>50000</v>
      </c>
      <c r="J176" s="24">
        <v>1.66</v>
      </c>
      <c r="K176" s="25">
        <v>0</v>
      </c>
      <c r="L176" s="26">
        <v>0</v>
      </c>
      <c r="M176" s="25">
        <v>50000</v>
      </c>
      <c r="N176" s="27">
        <v>0.56999999999999995</v>
      </c>
      <c r="O176" s="23">
        <v>30000</v>
      </c>
      <c r="P176" s="24">
        <v>0.87</v>
      </c>
      <c r="Q176" s="25">
        <v>0</v>
      </c>
      <c r="R176" s="19">
        <v>0</v>
      </c>
      <c r="S176" s="25">
        <v>30000</v>
      </c>
      <c r="T176" s="22">
        <v>0.2</v>
      </c>
      <c r="U176" s="34">
        <v>55000</v>
      </c>
      <c r="V176" s="29">
        <v>1.01</v>
      </c>
      <c r="W176" s="30">
        <v>0</v>
      </c>
      <c r="X176" s="29">
        <v>0</v>
      </c>
      <c r="Y176" s="31">
        <v>55000</v>
      </c>
      <c r="Z176" s="29">
        <v>0.92</v>
      </c>
      <c r="AA176" s="32">
        <v>55000</v>
      </c>
      <c r="AB176" s="33"/>
      <c r="AC176" s="32">
        <v>0</v>
      </c>
      <c r="AD176" s="33"/>
      <c r="AE176" s="32">
        <f t="shared" si="0"/>
        <v>55000</v>
      </c>
      <c r="AF176" s="33"/>
      <c r="AG176" s="32">
        <v>70000</v>
      </c>
      <c r="AH176" s="33"/>
      <c r="AI176" s="32">
        <v>0</v>
      </c>
      <c r="AJ176" s="33"/>
      <c r="AK176" s="32">
        <f t="shared" si="1"/>
        <v>70000</v>
      </c>
      <c r="AL176" s="33"/>
      <c r="AM176" s="32">
        <v>70000</v>
      </c>
      <c r="AN176" s="33"/>
      <c r="AO176" s="32">
        <v>0</v>
      </c>
      <c r="AP176" s="33"/>
      <c r="AQ176" s="32">
        <f t="shared" si="2"/>
        <v>70000</v>
      </c>
      <c r="AR176" s="33"/>
    </row>
    <row r="177" spans="1:44" ht="15.75" customHeight="1">
      <c r="A177" s="16">
        <v>40501</v>
      </c>
      <c r="B177" s="17" t="s">
        <v>182</v>
      </c>
      <c r="C177" s="35">
        <v>0</v>
      </c>
      <c r="D177" s="19">
        <v>0</v>
      </c>
      <c r="E177" s="20">
        <v>0</v>
      </c>
      <c r="F177" s="19">
        <v>0</v>
      </c>
      <c r="G177" s="21">
        <v>0</v>
      </c>
      <c r="H177" s="22">
        <v>0</v>
      </c>
      <c r="I177" s="35">
        <v>0</v>
      </c>
      <c r="J177" s="19">
        <v>0</v>
      </c>
      <c r="K177" s="25">
        <v>0</v>
      </c>
      <c r="L177" s="26">
        <v>0</v>
      </c>
      <c r="M177" s="21">
        <v>0</v>
      </c>
      <c r="N177" s="22">
        <v>0</v>
      </c>
      <c r="O177" s="35">
        <v>0</v>
      </c>
      <c r="P177" s="19">
        <v>0</v>
      </c>
      <c r="Q177" s="25">
        <v>0</v>
      </c>
      <c r="R177" s="19">
        <v>0</v>
      </c>
      <c r="S177" s="21">
        <v>0</v>
      </c>
      <c r="T177" s="22">
        <v>0</v>
      </c>
      <c r="U177" s="28">
        <v>0</v>
      </c>
      <c r="V177" s="29">
        <v>0</v>
      </c>
      <c r="W177" s="30">
        <v>0</v>
      </c>
      <c r="X177" s="29">
        <v>0</v>
      </c>
      <c r="Y177" s="31">
        <v>0</v>
      </c>
      <c r="Z177" s="29">
        <v>0</v>
      </c>
      <c r="AA177" s="32"/>
      <c r="AB177" s="33"/>
      <c r="AC177" s="32">
        <v>0</v>
      </c>
      <c r="AD177" s="33"/>
      <c r="AE177" s="32">
        <f t="shared" si="0"/>
        <v>0</v>
      </c>
      <c r="AF177" s="33"/>
      <c r="AG177" s="32"/>
      <c r="AH177" s="33"/>
      <c r="AI177" s="32">
        <v>0</v>
      </c>
      <c r="AJ177" s="33"/>
      <c r="AK177" s="32">
        <f t="shared" si="1"/>
        <v>0</v>
      </c>
      <c r="AL177" s="33"/>
      <c r="AM177" s="32"/>
      <c r="AN177" s="33"/>
      <c r="AO177" s="32">
        <v>0</v>
      </c>
      <c r="AP177" s="33"/>
      <c r="AQ177" s="32">
        <f t="shared" si="2"/>
        <v>0</v>
      </c>
      <c r="AR177" s="33"/>
    </row>
    <row r="178" spans="1:44" ht="15.75" customHeight="1">
      <c r="A178" s="16">
        <v>40502</v>
      </c>
      <c r="B178" s="17" t="s">
        <v>183</v>
      </c>
      <c r="C178" s="35">
        <v>0</v>
      </c>
      <c r="D178" s="19">
        <v>0</v>
      </c>
      <c r="E178" s="20">
        <v>0</v>
      </c>
      <c r="F178" s="19">
        <v>0</v>
      </c>
      <c r="G178" s="21">
        <v>0</v>
      </c>
      <c r="H178" s="22">
        <v>0</v>
      </c>
      <c r="I178" s="35">
        <v>0</v>
      </c>
      <c r="J178" s="19">
        <v>0</v>
      </c>
      <c r="K178" s="25">
        <v>0</v>
      </c>
      <c r="L178" s="26">
        <v>0</v>
      </c>
      <c r="M178" s="21">
        <v>0</v>
      </c>
      <c r="N178" s="22">
        <v>0</v>
      </c>
      <c r="O178" s="35">
        <v>0</v>
      </c>
      <c r="P178" s="19">
        <v>0</v>
      </c>
      <c r="Q178" s="25">
        <v>0</v>
      </c>
      <c r="R178" s="19">
        <v>0</v>
      </c>
      <c r="S178" s="21">
        <v>0</v>
      </c>
      <c r="T178" s="22">
        <v>0</v>
      </c>
      <c r="U178" s="28">
        <v>0</v>
      </c>
      <c r="V178" s="29">
        <v>0</v>
      </c>
      <c r="W178" s="30">
        <v>0</v>
      </c>
      <c r="X178" s="29">
        <v>0</v>
      </c>
      <c r="Y178" s="31">
        <v>0</v>
      </c>
      <c r="Z178" s="29">
        <v>0</v>
      </c>
      <c r="AA178" s="32"/>
      <c r="AB178" s="33"/>
      <c r="AC178" s="32">
        <v>0</v>
      </c>
      <c r="AD178" s="33"/>
      <c r="AE178" s="32">
        <f t="shared" si="0"/>
        <v>0</v>
      </c>
      <c r="AF178" s="33"/>
      <c r="AG178" s="32"/>
      <c r="AH178" s="33"/>
      <c r="AI178" s="32">
        <v>0</v>
      </c>
      <c r="AJ178" s="33"/>
      <c r="AK178" s="32">
        <f t="shared" si="1"/>
        <v>0</v>
      </c>
      <c r="AL178" s="33"/>
      <c r="AM178" s="32"/>
      <c r="AN178" s="33"/>
      <c r="AO178" s="32">
        <v>0</v>
      </c>
      <c r="AP178" s="33"/>
      <c r="AQ178" s="32">
        <f t="shared" si="2"/>
        <v>0</v>
      </c>
      <c r="AR178" s="33"/>
    </row>
    <row r="179" spans="1:44" ht="15.75" customHeight="1">
      <c r="A179" s="16">
        <v>40503</v>
      </c>
      <c r="B179" s="17" t="s">
        <v>184</v>
      </c>
      <c r="C179" s="35">
        <v>0</v>
      </c>
      <c r="D179" s="19">
        <v>0</v>
      </c>
      <c r="E179" s="20">
        <v>0</v>
      </c>
      <c r="F179" s="19">
        <v>0</v>
      </c>
      <c r="G179" s="21">
        <v>0</v>
      </c>
      <c r="H179" s="22">
        <v>0</v>
      </c>
      <c r="I179" s="35">
        <v>0</v>
      </c>
      <c r="J179" s="19">
        <v>0</v>
      </c>
      <c r="K179" s="25">
        <v>0</v>
      </c>
      <c r="L179" s="26">
        <v>0</v>
      </c>
      <c r="M179" s="21">
        <v>0</v>
      </c>
      <c r="N179" s="22">
        <v>0</v>
      </c>
      <c r="O179" s="35">
        <v>0</v>
      </c>
      <c r="P179" s="19">
        <v>0</v>
      </c>
      <c r="Q179" s="25">
        <v>0</v>
      </c>
      <c r="R179" s="19">
        <v>0</v>
      </c>
      <c r="S179" s="21">
        <v>0</v>
      </c>
      <c r="T179" s="22">
        <v>0</v>
      </c>
      <c r="U179" s="28">
        <v>0</v>
      </c>
      <c r="V179" s="29">
        <v>0</v>
      </c>
      <c r="W179" s="30">
        <v>0</v>
      </c>
      <c r="X179" s="29">
        <v>0</v>
      </c>
      <c r="Y179" s="31">
        <v>0</v>
      </c>
      <c r="Z179" s="29">
        <v>0</v>
      </c>
      <c r="AA179" s="32"/>
      <c r="AB179" s="33"/>
      <c r="AC179" s="32">
        <v>0</v>
      </c>
      <c r="AD179" s="33"/>
      <c r="AE179" s="32">
        <f t="shared" si="0"/>
        <v>0</v>
      </c>
      <c r="AF179" s="33"/>
      <c r="AG179" s="32"/>
      <c r="AH179" s="33"/>
      <c r="AI179" s="32">
        <v>0</v>
      </c>
      <c r="AJ179" s="33"/>
      <c r="AK179" s="32">
        <f t="shared" si="1"/>
        <v>0</v>
      </c>
      <c r="AL179" s="33"/>
      <c r="AM179" s="32"/>
      <c r="AN179" s="33"/>
      <c r="AO179" s="32">
        <v>0</v>
      </c>
      <c r="AP179" s="33"/>
      <c r="AQ179" s="32">
        <f t="shared" si="2"/>
        <v>0</v>
      </c>
      <c r="AR179" s="33"/>
    </row>
    <row r="180" spans="1:44" ht="15.75" customHeight="1">
      <c r="A180" s="16">
        <v>40504</v>
      </c>
      <c r="B180" s="17" t="s">
        <v>185</v>
      </c>
      <c r="C180" s="35">
        <v>0</v>
      </c>
      <c r="D180" s="19">
        <v>0</v>
      </c>
      <c r="E180" s="20">
        <v>0</v>
      </c>
      <c r="F180" s="19">
        <v>0</v>
      </c>
      <c r="G180" s="21">
        <v>0</v>
      </c>
      <c r="H180" s="22">
        <v>0</v>
      </c>
      <c r="I180" s="35">
        <v>0</v>
      </c>
      <c r="J180" s="19">
        <v>0</v>
      </c>
      <c r="K180" s="25">
        <v>0</v>
      </c>
      <c r="L180" s="26">
        <v>0</v>
      </c>
      <c r="M180" s="21">
        <v>0</v>
      </c>
      <c r="N180" s="22">
        <v>0</v>
      </c>
      <c r="O180" s="35">
        <v>0</v>
      </c>
      <c r="P180" s="19">
        <v>0</v>
      </c>
      <c r="Q180" s="25">
        <v>0</v>
      </c>
      <c r="R180" s="19">
        <v>0</v>
      </c>
      <c r="S180" s="21">
        <v>0</v>
      </c>
      <c r="T180" s="22">
        <v>0</v>
      </c>
      <c r="U180" s="28">
        <v>0</v>
      </c>
      <c r="V180" s="29">
        <v>0</v>
      </c>
      <c r="W180" s="30">
        <v>0</v>
      </c>
      <c r="X180" s="29">
        <v>0</v>
      </c>
      <c r="Y180" s="31">
        <v>0</v>
      </c>
      <c r="Z180" s="29">
        <v>0</v>
      </c>
      <c r="AA180" s="32"/>
      <c r="AB180" s="33"/>
      <c r="AC180" s="32">
        <v>0</v>
      </c>
      <c r="AD180" s="33"/>
      <c r="AE180" s="32">
        <f t="shared" si="0"/>
        <v>0</v>
      </c>
      <c r="AF180" s="33"/>
      <c r="AG180" s="32"/>
      <c r="AH180" s="33"/>
      <c r="AI180" s="32">
        <v>0</v>
      </c>
      <c r="AJ180" s="33"/>
      <c r="AK180" s="32">
        <f t="shared" si="1"/>
        <v>0</v>
      </c>
      <c r="AL180" s="33"/>
      <c r="AM180" s="32"/>
      <c r="AN180" s="33"/>
      <c r="AO180" s="32">
        <v>0</v>
      </c>
      <c r="AP180" s="33"/>
      <c r="AQ180" s="32">
        <f t="shared" si="2"/>
        <v>0</v>
      </c>
      <c r="AR180" s="33"/>
    </row>
    <row r="181" spans="1:44" ht="15.75" customHeight="1">
      <c r="A181" s="16">
        <v>40505</v>
      </c>
      <c r="B181" s="17" t="s">
        <v>186</v>
      </c>
      <c r="C181" s="35">
        <v>0</v>
      </c>
      <c r="D181" s="19">
        <v>0</v>
      </c>
      <c r="E181" s="20">
        <v>0</v>
      </c>
      <c r="F181" s="19">
        <v>0</v>
      </c>
      <c r="G181" s="21">
        <v>0</v>
      </c>
      <c r="H181" s="22">
        <v>0</v>
      </c>
      <c r="I181" s="35">
        <v>0</v>
      </c>
      <c r="J181" s="19">
        <v>0</v>
      </c>
      <c r="K181" s="25">
        <v>0</v>
      </c>
      <c r="L181" s="26">
        <v>0</v>
      </c>
      <c r="M181" s="21">
        <v>0</v>
      </c>
      <c r="N181" s="22">
        <v>0</v>
      </c>
      <c r="O181" s="35">
        <v>0</v>
      </c>
      <c r="P181" s="19">
        <v>0</v>
      </c>
      <c r="Q181" s="25">
        <v>0</v>
      </c>
      <c r="R181" s="19">
        <v>0</v>
      </c>
      <c r="S181" s="21">
        <v>0</v>
      </c>
      <c r="T181" s="22">
        <v>0</v>
      </c>
      <c r="U181" s="28">
        <v>0</v>
      </c>
      <c r="V181" s="29">
        <v>0</v>
      </c>
      <c r="W181" s="30">
        <v>0</v>
      </c>
      <c r="X181" s="29">
        <v>0</v>
      </c>
      <c r="Y181" s="31">
        <v>0</v>
      </c>
      <c r="Z181" s="29">
        <v>0</v>
      </c>
      <c r="AA181" s="32"/>
      <c r="AB181" s="33"/>
      <c r="AC181" s="32">
        <v>0</v>
      </c>
      <c r="AD181" s="33"/>
      <c r="AE181" s="32">
        <f t="shared" si="0"/>
        <v>0</v>
      </c>
      <c r="AF181" s="33"/>
      <c r="AG181" s="32"/>
      <c r="AH181" s="33"/>
      <c r="AI181" s="32">
        <v>0</v>
      </c>
      <c r="AJ181" s="33"/>
      <c r="AK181" s="32">
        <f t="shared" si="1"/>
        <v>0</v>
      </c>
      <c r="AL181" s="33"/>
      <c r="AM181" s="32"/>
      <c r="AN181" s="33"/>
      <c r="AO181" s="32">
        <v>0</v>
      </c>
      <c r="AP181" s="33"/>
      <c r="AQ181" s="32">
        <f t="shared" si="2"/>
        <v>0</v>
      </c>
      <c r="AR181" s="33"/>
    </row>
    <row r="182" spans="1:44" ht="15.75" customHeight="1">
      <c r="A182" s="16">
        <v>40601</v>
      </c>
      <c r="B182" s="17" t="s">
        <v>187</v>
      </c>
      <c r="C182" s="18">
        <v>20000</v>
      </c>
      <c r="D182" s="19">
        <v>0.59</v>
      </c>
      <c r="E182" s="20">
        <v>0</v>
      </c>
      <c r="F182" s="19">
        <v>0</v>
      </c>
      <c r="G182" s="21">
        <v>20000</v>
      </c>
      <c r="H182" s="22">
        <v>0.19</v>
      </c>
      <c r="I182" s="23">
        <v>30000</v>
      </c>
      <c r="J182" s="24">
        <v>0.59</v>
      </c>
      <c r="K182" s="25">
        <v>0</v>
      </c>
      <c r="L182" s="26">
        <v>0</v>
      </c>
      <c r="M182" s="25">
        <v>30000</v>
      </c>
      <c r="N182" s="27">
        <v>0.35</v>
      </c>
      <c r="O182" s="23">
        <v>30000</v>
      </c>
      <c r="P182" s="24">
        <v>0.47</v>
      </c>
      <c r="Q182" s="25">
        <v>0</v>
      </c>
      <c r="R182" s="19">
        <v>0</v>
      </c>
      <c r="S182" s="25">
        <v>30000</v>
      </c>
      <c r="T182" s="22">
        <v>0.28999999999999998</v>
      </c>
      <c r="U182" s="34">
        <v>60000</v>
      </c>
      <c r="V182" s="29">
        <v>0.65</v>
      </c>
      <c r="W182" s="30">
        <v>0</v>
      </c>
      <c r="X182" s="29">
        <v>0</v>
      </c>
      <c r="Y182" s="31">
        <v>60000</v>
      </c>
      <c r="Z182" s="29">
        <v>0.56000000000000005</v>
      </c>
      <c r="AA182" s="32">
        <v>90000</v>
      </c>
      <c r="AB182" s="33"/>
      <c r="AC182" s="32">
        <v>0</v>
      </c>
      <c r="AD182" s="33"/>
      <c r="AE182" s="32">
        <f t="shared" si="0"/>
        <v>90000</v>
      </c>
      <c r="AF182" s="33"/>
      <c r="AG182" s="32">
        <v>120000</v>
      </c>
      <c r="AH182" s="33"/>
      <c r="AI182" s="32">
        <v>0</v>
      </c>
      <c r="AJ182" s="33"/>
      <c r="AK182" s="32">
        <f t="shared" si="1"/>
        <v>120000</v>
      </c>
      <c r="AL182" s="33"/>
      <c r="AM182" s="32">
        <v>170000</v>
      </c>
      <c r="AN182" s="33"/>
      <c r="AO182" s="32">
        <v>0</v>
      </c>
      <c r="AP182" s="33"/>
      <c r="AQ182" s="32">
        <f t="shared" si="2"/>
        <v>170000</v>
      </c>
      <c r="AR182" s="33"/>
    </row>
    <row r="183" spans="1:44" ht="15.75" customHeight="1">
      <c r="A183" s="16">
        <v>40602</v>
      </c>
      <c r="B183" s="17" t="s">
        <v>188</v>
      </c>
      <c r="C183" s="18">
        <v>5000</v>
      </c>
      <c r="D183" s="19">
        <v>0.12</v>
      </c>
      <c r="E183" s="20">
        <v>0</v>
      </c>
      <c r="F183" s="19">
        <v>0</v>
      </c>
      <c r="G183" s="21">
        <v>5000</v>
      </c>
      <c r="H183" s="22">
        <v>0.06</v>
      </c>
      <c r="I183" s="23">
        <v>5000</v>
      </c>
      <c r="J183" s="24">
        <v>0.12</v>
      </c>
      <c r="K183" s="25">
        <v>0</v>
      </c>
      <c r="L183" s="26">
        <v>0</v>
      </c>
      <c r="M183" s="25">
        <v>5000</v>
      </c>
      <c r="N183" s="27">
        <v>0.05</v>
      </c>
      <c r="O183" s="23">
        <v>35000</v>
      </c>
      <c r="P183" s="24">
        <v>0.79</v>
      </c>
      <c r="Q183" s="25">
        <v>0</v>
      </c>
      <c r="R183" s="19">
        <v>0</v>
      </c>
      <c r="S183" s="25">
        <v>35000</v>
      </c>
      <c r="T183" s="22">
        <v>0.4</v>
      </c>
      <c r="U183" s="34">
        <v>35000</v>
      </c>
      <c r="V183" s="29">
        <v>0.53</v>
      </c>
      <c r="W183" s="30">
        <v>0</v>
      </c>
      <c r="X183" s="29">
        <v>0</v>
      </c>
      <c r="Y183" s="31">
        <v>35000</v>
      </c>
      <c r="Z183" s="29">
        <v>0.47</v>
      </c>
      <c r="AA183" s="32">
        <v>26000</v>
      </c>
      <c r="AB183" s="33"/>
      <c r="AC183" s="32">
        <v>0</v>
      </c>
      <c r="AD183" s="33"/>
      <c r="AE183" s="32">
        <f t="shared" si="0"/>
        <v>26000</v>
      </c>
      <c r="AF183" s="33"/>
      <c r="AG183" s="32">
        <v>35000</v>
      </c>
      <c r="AH183" s="33"/>
      <c r="AI183" s="32">
        <v>0</v>
      </c>
      <c r="AJ183" s="33"/>
      <c r="AK183" s="32">
        <f t="shared" si="1"/>
        <v>35000</v>
      </c>
      <c r="AL183" s="33"/>
      <c r="AM183" s="32">
        <v>35000</v>
      </c>
      <c r="AN183" s="33"/>
      <c r="AO183" s="32">
        <v>0</v>
      </c>
      <c r="AP183" s="33"/>
      <c r="AQ183" s="32">
        <f t="shared" si="2"/>
        <v>35000</v>
      </c>
      <c r="AR183" s="33"/>
    </row>
    <row r="184" spans="1:44" ht="15.75" customHeight="1">
      <c r="A184" s="16">
        <v>40603</v>
      </c>
      <c r="B184" s="17" t="s">
        <v>189</v>
      </c>
      <c r="C184" s="18">
        <v>5000</v>
      </c>
      <c r="D184" s="19">
        <v>0.17</v>
      </c>
      <c r="E184" s="20">
        <v>0</v>
      </c>
      <c r="F184" s="19">
        <v>0</v>
      </c>
      <c r="G184" s="21">
        <v>5000</v>
      </c>
      <c r="H184" s="22">
        <v>0.09</v>
      </c>
      <c r="I184" s="23">
        <v>25000</v>
      </c>
      <c r="J184" s="24">
        <v>0.79</v>
      </c>
      <c r="K184" s="25">
        <v>0</v>
      </c>
      <c r="L184" s="26">
        <v>0</v>
      </c>
      <c r="M184" s="25">
        <v>25000</v>
      </c>
      <c r="N184" s="27">
        <v>0.42</v>
      </c>
      <c r="O184" s="23">
        <v>25000</v>
      </c>
      <c r="P184" s="24">
        <v>0.67</v>
      </c>
      <c r="Q184" s="25">
        <v>0</v>
      </c>
      <c r="R184" s="19">
        <v>0</v>
      </c>
      <c r="S184" s="25">
        <v>25000</v>
      </c>
      <c r="T184" s="22">
        <v>0.51</v>
      </c>
      <c r="U184" s="34">
        <v>60000</v>
      </c>
      <c r="V184" s="29">
        <v>0.94</v>
      </c>
      <c r="W184" s="30">
        <v>0</v>
      </c>
      <c r="X184" s="29">
        <v>0</v>
      </c>
      <c r="Y184" s="31">
        <v>60000</v>
      </c>
      <c r="Z184" s="29">
        <v>0.86</v>
      </c>
      <c r="AA184" s="32">
        <v>60000</v>
      </c>
      <c r="AB184" s="33"/>
      <c r="AC184" s="32">
        <v>0</v>
      </c>
      <c r="AD184" s="33"/>
      <c r="AE184" s="32">
        <f t="shared" si="0"/>
        <v>60000</v>
      </c>
      <c r="AF184" s="33"/>
      <c r="AG184" s="32">
        <v>60000</v>
      </c>
      <c r="AH184" s="33"/>
      <c r="AI184" s="32">
        <v>0</v>
      </c>
      <c r="AJ184" s="33"/>
      <c r="AK184" s="32">
        <f t="shared" si="1"/>
        <v>60000</v>
      </c>
      <c r="AL184" s="33"/>
      <c r="AM184" s="32">
        <v>100000</v>
      </c>
      <c r="AN184" s="33"/>
      <c r="AO184" s="32">
        <v>0</v>
      </c>
      <c r="AP184" s="33"/>
      <c r="AQ184" s="32">
        <f t="shared" si="2"/>
        <v>100000</v>
      </c>
      <c r="AR184" s="33"/>
    </row>
    <row r="185" spans="1:44" ht="15.75" customHeight="1">
      <c r="A185" s="16">
        <v>40701</v>
      </c>
      <c r="B185" s="17" t="s">
        <v>190</v>
      </c>
      <c r="C185" s="18">
        <v>200000</v>
      </c>
      <c r="D185" s="19">
        <v>1.17</v>
      </c>
      <c r="E185" s="20">
        <v>0</v>
      </c>
      <c r="F185" s="19">
        <v>0</v>
      </c>
      <c r="G185" s="21">
        <v>200000</v>
      </c>
      <c r="H185" s="22">
        <v>0.69</v>
      </c>
      <c r="I185" s="23">
        <v>200000</v>
      </c>
      <c r="J185" s="24">
        <v>1.03</v>
      </c>
      <c r="K185" s="25">
        <v>0</v>
      </c>
      <c r="L185" s="26">
        <v>0</v>
      </c>
      <c r="M185" s="25">
        <v>200000</v>
      </c>
      <c r="N185" s="27">
        <v>0.59</v>
      </c>
      <c r="O185" s="23">
        <v>200000</v>
      </c>
      <c r="P185" s="24">
        <v>0.97</v>
      </c>
      <c r="Q185" s="25">
        <v>0</v>
      </c>
      <c r="R185" s="19">
        <v>0</v>
      </c>
      <c r="S185" s="25">
        <v>200000</v>
      </c>
      <c r="T185" s="22">
        <v>0.53</v>
      </c>
      <c r="U185" s="34">
        <v>1266653</v>
      </c>
      <c r="V185" s="29">
        <v>4.5199999999999996</v>
      </c>
      <c r="W185" s="30">
        <v>0</v>
      </c>
      <c r="X185" s="29">
        <v>0</v>
      </c>
      <c r="Y185" s="31">
        <v>1266653</v>
      </c>
      <c r="Z185" s="29">
        <v>3.17</v>
      </c>
      <c r="AA185" s="32">
        <v>1282653</v>
      </c>
      <c r="AB185" s="33"/>
      <c r="AC185" s="32">
        <v>0</v>
      </c>
      <c r="AD185" s="33"/>
      <c r="AE185" s="32">
        <f t="shared" si="0"/>
        <v>1282653</v>
      </c>
      <c r="AF185" s="33"/>
      <c r="AG185" s="32">
        <v>1336653</v>
      </c>
      <c r="AH185" s="33"/>
      <c r="AI185" s="32">
        <v>0</v>
      </c>
      <c r="AJ185" s="33"/>
      <c r="AK185" s="32">
        <f t="shared" si="1"/>
        <v>1336653</v>
      </c>
      <c r="AL185" s="33"/>
      <c r="AM185" s="32">
        <v>1351363</v>
      </c>
      <c r="AN185" s="33"/>
      <c r="AO185" s="32">
        <v>0</v>
      </c>
      <c r="AP185" s="33"/>
      <c r="AQ185" s="32">
        <f t="shared" si="2"/>
        <v>1351363</v>
      </c>
      <c r="AR185" s="33"/>
    </row>
    <row r="186" spans="1:44" ht="15.75" customHeight="1">
      <c r="A186" s="16">
        <v>40702</v>
      </c>
      <c r="B186" s="17" t="s">
        <v>191</v>
      </c>
      <c r="C186" s="35">
        <v>0</v>
      </c>
      <c r="D186" s="19">
        <v>0</v>
      </c>
      <c r="E186" s="20">
        <v>0</v>
      </c>
      <c r="F186" s="19">
        <v>0</v>
      </c>
      <c r="G186" s="21">
        <v>0</v>
      </c>
      <c r="H186" s="22">
        <v>0</v>
      </c>
      <c r="I186" s="35">
        <v>0</v>
      </c>
      <c r="J186" s="19">
        <v>0</v>
      </c>
      <c r="K186" s="25">
        <v>0</v>
      </c>
      <c r="L186" s="26">
        <v>0</v>
      </c>
      <c r="M186" s="21">
        <v>0</v>
      </c>
      <c r="N186" s="22">
        <v>0</v>
      </c>
      <c r="O186" s="23">
        <v>58000</v>
      </c>
      <c r="P186" s="24">
        <v>1.54</v>
      </c>
      <c r="Q186" s="25">
        <v>0</v>
      </c>
      <c r="R186" s="19">
        <v>0</v>
      </c>
      <c r="S186" s="25">
        <v>58000</v>
      </c>
      <c r="T186" s="22">
        <v>1.05</v>
      </c>
      <c r="U186" s="34">
        <v>65000</v>
      </c>
      <c r="V186" s="29">
        <v>1.1299999999999999</v>
      </c>
      <c r="W186" s="30">
        <v>0</v>
      </c>
      <c r="X186" s="29">
        <v>0</v>
      </c>
      <c r="Y186" s="31">
        <v>65000</v>
      </c>
      <c r="Z186" s="29">
        <v>0.79</v>
      </c>
      <c r="AA186" s="32">
        <v>77000</v>
      </c>
      <c r="AB186" s="33"/>
      <c r="AC186" s="32">
        <v>0</v>
      </c>
      <c r="AD186" s="33"/>
      <c r="AE186" s="32">
        <f t="shared" si="0"/>
        <v>77000</v>
      </c>
      <c r="AF186" s="33"/>
      <c r="AG186" s="32">
        <v>85000</v>
      </c>
      <c r="AH186" s="33"/>
      <c r="AI186" s="32">
        <v>0</v>
      </c>
      <c r="AJ186" s="33"/>
      <c r="AK186" s="32">
        <f t="shared" si="1"/>
        <v>85000</v>
      </c>
      <c r="AL186" s="33"/>
      <c r="AM186" s="32">
        <v>124853</v>
      </c>
      <c r="AN186" s="33"/>
      <c r="AO186" s="32">
        <v>0</v>
      </c>
      <c r="AP186" s="33"/>
      <c r="AQ186" s="32">
        <f t="shared" si="2"/>
        <v>124853</v>
      </c>
      <c r="AR186" s="33"/>
    </row>
    <row r="187" spans="1:44" ht="15.75" customHeight="1">
      <c r="A187" s="16">
        <v>40801</v>
      </c>
      <c r="B187" s="17" t="s">
        <v>192</v>
      </c>
      <c r="C187" s="35">
        <v>0</v>
      </c>
      <c r="D187" s="19">
        <v>0</v>
      </c>
      <c r="E187" s="20">
        <v>0</v>
      </c>
      <c r="F187" s="19">
        <v>0</v>
      </c>
      <c r="G187" s="21">
        <v>0</v>
      </c>
      <c r="H187" s="22">
        <v>0</v>
      </c>
      <c r="I187" s="35">
        <v>0</v>
      </c>
      <c r="J187" s="19">
        <v>0</v>
      </c>
      <c r="K187" s="25">
        <v>0</v>
      </c>
      <c r="L187" s="26">
        <v>0</v>
      </c>
      <c r="M187" s="21">
        <v>0</v>
      </c>
      <c r="N187" s="22">
        <v>0</v>
      </c>
      <c r="O187" s="35">
        <v>0</v>
      </c>
      <c r="P187" s="19">
        <v>0</v>
      </c>
      <c r="Q187" s="25">
        <v>0</v>
      </c>
      <c r="R187" s="19">
        <v>0</v>
      </c>
      <c r="S187" s="21">
        <v>0</v>
      </c>
      <c r="T187" s="22">
        <v>0</v>
      </c>
      <c r="U187" s="28">
        <v>0</v>
      </c>
      <c r="V187" s="29">
        <v>0</v>
      </c>
      <c r="W187" s="30">
        <v>0</v>
      </c>
      <c r="X187" s="29">
        <v>0</v>
      </c>
      <c r="Y187" s="31">
        <v>0</v>
      </c>
      <c r="Z187" s="29">
        <v>0</v>
      </c>
      <c r="AA187" s="32"/>
      <c r="AB187" s="33"/>
      <c r="AC187" s="32">
        <v>0</v>
      </c>
      <c r="AD187" s="33"/>
      <c r="AE187" s="32">
        <f t="shared" si="0"/>
        <v>0</v>
      </c>
      <c r="AF187" s="33"/>
      <c r="AG187" s="32">
        <v>10000</v>
      </c>
      <c r="AH187" s="33"/>
      <c r="AI187" s="32">
        <v>0</v>
      </c>
      <c r="AJ187" s="33"/>
      <c r="AK187" s="32">
        <f t="shared" si="1"/>
        <v>10000</v>
      </c>
      <c r="AL187" s="33"/>
      <c r="AM187" s="32">
        <v>45000</v>
      </c>
      <c r="AN187" s="33"/>
      <c r="AO187" s="32">
        <v>0</v>
      </c>
      <c r="AP187" s="33"/>
      <c r="AQ187" s="32">
        <f t="shared" si="2"/>
        <v>45000</v>
      </c>
      <c r="AR187" s="33"/>
    </row>
    <row r="188" spans="1:44" ht="15.75" customHeight="1">
      <c r="A188" s="16">
        <v>40802</v>
      </c>
      <c r="B188" s="17" t="s">
        <v>193</v>
      </c>
      <c r="C188" s="18">
        <v>25000</v>
      </c>
      <c r="D188" s="19">
        <v>1.1100000000000001</v>
      </c>
      <c r="E188" s="20">
        <v>0</v>
      </c>
      <c r="F188" s="19">
        <v>0</v>
      </c>
      <c r="G188" s="21">
        <v>25000</v>
      </c>
      <c r="H188" s="22">
        <v>0.63</v>
      </c>
      <c r="I188" s="23">
        <v>30000</v>
      </c>
      <c r="J188" s="24">
        <v>0.99</v>
      </c>
      <c r="K188" s="25">
        <v>0</v>
      </c>
      <c r="L188" s="26">
        <v>0</v>
      </c>
      <c r="M188" s="25">
        <v>30000</v>
      </c>
      <c r="N188" s="27">
        <v>0.72</v>
      </c>
      <c r="O188" s="23">
        <v>30000</v>
      </c>
      <c r="P188" s="24">
        <v>1.01</v>
      </c>
      <c r="Q188" s="25">
        <v>0</v>
      </c>
      <c r="R188" s="19">
        <v>0</v>
      </c>
      <c r="S188" s="25">
        <v>30000</v>
      </c>
      <c r="T188" s="22">
        <v>0.94</v>
      </c>
      <c r="U188" s="34">
        <v>23700</v>
      </c>
      <c r="V188" s="29">
        <v>0.8</v>
      </c>
      <c r="W188" s="30">
        <v>0</v>
      </c>
      <c r="X188" s="29">
        <v>0</v>
      </c>
      <c r="Y188" s="31">
        <v>23700</v>
      </c>
      <c r="Z188" s="29">
        <v>0.68</v>
      </c>
      <c r="AA188" s="32">
        <v>40000</v>
      </c>
      <c r="AB188" s="33"/>
      <c r="AC188" s="32">
        <v>0</v>
      </c>
      <c r="AD188" s="33"/>
      <c r="AE188" s="32">
        <f t="shared" si="0"/>
        <v>40000</v>
      </c>
      <c r="AF188" s="33"/>
      <c r="AG188" s="32">
        <v>60940</v>
      </c>
      <c r="AH188" s="33"/>
      <c r="AI188" s="32">
        <v>0</v>
      </c>
      <c r="AJ188" s="33"/>
      <c r="AK188" s="32">
        <f t="shared" si="1"/>
        <v>60940</v>
      </c>
      <c r="AL188" s="33"/>
      <c r="AM188" s="32">
        <v>60400</v>
      </c>
      <c r="AN188" s="33"/>
      <c r="AO188" s="32">
        <v>0</v>
      </c>
      <c r="AP188" s="33"/>
      <c r="AQ188" s="32">
        <f t="shared" si="2"/>
        <v>60400</v>
      </c>
      <c r="AR188" s="33"/>
    </row>
    <row r="189" spans="1:44" ht="15.75" customHeight="1">
      <c r="A189" s="16">
        <v>40901</v>
      </c>
      <c r="B189" s="17" t="s">
        <v>194</v>
      </c>
      <c r="C189" s="35">
        <v>0</v>
      </c>
      <c r="D189" s="19">
        <v>0</v>
      </c>
      <c r="E189" s="20">
        <v>0</v>
      </c>
      <c r="F189" s="19">
        <v>0</v>
      </c>
      <c r="G189" s="21">
        <v>0</v>
      </c>
      <c r="H189" s="22">
        <v>0</v>
      </c>
      <c r="I189" s="23">
        <v>30000</v>
      </c>
      <c r="J189" s="24">
        <v>0.98</v>
      </c>
      <c r="K189" s="25">
        <v>0</v>
      </c>
      <c r="L189" s="26">
        <v>0</v>
      </c>
      <c r="M189" s="25">
        <v>30000</v>
      </c>
      <c r="N189" s="27">
        <v>0.3</v>
      </c>
      <c r="O189" s="23">
        <v>50000</v>
      </c>
      <c r="P189" s="24">
        <v>0.9</v>
      </c>
      <c r="Q189" s="25">
        <v>0</v>
      </c>
      <c r="R189" s="19">
        <v>0</v>
      </c>
      <c r="S189" s="25">
        <v>50000</v>
      </c>
      <c r="T189" s="22">
        <v>0.51</v>
      </c>
      <c r="U189" s="34">
        <v>100000</v>
      </c>
      <c r="V189" s="29">
        <v>1.38</v>
      </c>
      <c r="W189" s="30">
        <v>0</v>
      </c>
      <c r="X189" s="29">
        <v>0</v>
      </c>
      <c r="Y189" s="31">
        <v>100000</v>
      </c>
      <c r="Z189" s="29">
        <v>0.87</v>
      </c>
      <c r="AA189" s="32">
        <v>80000</v>
      </c>
      <c r="AB189" s="33"/>
      <c r="AC189" s="32">
        <v>0</v>
      </c>
      <c r="AD189" s="33"/>
      <c r="AE189" s="32">
        <f t="shared" si="0"/>
        <v>80000</v>
      </c>
      <c r="AF189" s="33"/>
      <c r="AG189" s="32">
        <v>80000</v>
      </c>
      <c r="AH189" s="33"/>
      <c r="AI189" s="32">
        <v>0</v>
      </c>
      <c r="AJ189" s="33"/>
      <c r="AK189" s="32">
        <f t="shared" si="1"/>
        <v>80000</v>
      </c>
      <c r="AL189" s="33"/>
      <c r="AM189" s="32">
        <v>100000</v>
      </c>
      <c r="AN189" s="33"/>
      <c r="AO189" s="32">
        <v>0</v>
      </c>
      <c r="AP189" s="33"/>
      <c r="AQ189" s="32">
        <f t="shared" si="2"/>
        <v>100000</v>
      </c>
      <c r="AR189" s="33"/>
    </row>
    <row r="190" spans="1:44" ht="15.75" customHeight="1">
      <c r="A190" s="16">
        <v>40902</v>
      </c>
      <c r="B190" s="17" t="s">
        <v>195</v>
      </c>
      <c r="C190" s="35">
        <v>0</v>
      </c>
      <c r="D190" s="19">
        <v>0</v>
      </c>
      <c r="E190" s="20">
        <v>0</v>
      </c>
      <c r="F190" s="19">
        <v>0</v>
      </c>
      <c r="G190" s="21">
        <v>0</v>
      </c>
      <c r="H190" s="22">
        <v>0</v>
      </c>
      <c r="I190" s="35">
        <v>0</v>
      </c>
      <c r="J190" s="19">
        <v>0</v>
      </c>
      <c r="K190" s="25">
        <v>0</v>
      </c>
      <c r="L190" s="26">
        <v>0</v>
      </c>
      <c r="M190" s="21">
        <v>0</v>
      </c>
      <c r="N190" s="22">
        <v>0</v>
      </c>
      <c r="O190" s="35">
        <v>0</v>
      </c>
      <c r="P190" s="19">
        <v>0</v>
      </c>
      <c r="Q190" s="25">
        <v>0</v>
      </c>
      <c r="R190" s="19">
        <v>0</v>
      </c>
      <c r="S190" s="21">
        <v>0</v>
      </c>
      <c r="T190" s="22">
        <v>0</v>
      </c>
      <c r="U190" s="34">
        <v>6000</v>
      </c>
      <c r="V190" s="29">
        <v>0.46</v>
      </c>
      <c r="W190" s="30">
        <v>0</v>
      </c>
      <c r="X190" s="29">
        <v>0</v>
      </c>
      <c r="Y190" s="31">
        <v>6000</v>
      </c>
      <c r="Z190" s="29">
        <v>0.1</v>
      </c>
      <c r="AA190" s="32">
        <v>6000</v>
      </c>
      <c r="AB190" s="33"/>
      <c r="AC190" s="32">
        <v>0</v>
      </c>
      <c r="AD190" s="33"/>
      <c r="AE190" s="32">
        <f t="shared" si="0"/>
        <v>6000</v>
      </c>
      <c r="AF190" s="33"/>
      <c r="AG190" s="32">
        <v>3000</v>
      </c>
      <c r="AH190" s="33"/>
      <c r="AI190" s="32">
        <v>0</v>
      </c>
      <c r="AJ190" s="33"/>
      <c r="AK190" s="32">
        <f t="shared" si="1"/>
        <v>3000</v>
      </c>
      <c r="AL190" s="33"/>
      <c r="AM190" s="32">
        <v>20000</v>
      </c>
      <c r="AN190" s="33"/>
      <c r="AO190" s="32">
        <v>0</v>
      </c>
      <c r="AP190" s="33"/>
      <c r="AQ190" s="32">
        <f t="shared" si="2"/>
        <v>20000</v>
      </c>
      <c r="AR190" s="33"/>
    </row>
    <row r="191" spans="1:44" ht="15.75" customHeight="1">
      <c r="A191" s="16">
        <v>40903</v>
      </c>
      <c r="B191" s="17" t="s">
        <v>196</v>
      </c>
      <c r="C191" s="35">
        <v>0</v>
      </c>
      <c r="D191" s="19">
        <v>0</v>
      </c>
      <c r="E191" s="20">
        <v>0</v>
      </c>
      <c r="F191" s="19">
        <v>0</v>
      </c>
      <c r="G191" s="21">
        <v>0</v>
      </c>
      <c r="H191" s="22">
        <v>0</v>
      </c>
      <c r="I191" s="35">
        <v>0</v>
      </c>
      <c r="J191" s="19">
        <v>0</v>
      </c>
      <c r="K191" s="25">
        <v>0</v>
      </c>
      <c r="L191" s="26">
        <v>0</v>
      </c>
      <c r="M191" s="21">
        <v>0</v>
      </c>
      <c r="N191" s="22">
        <v>0</v>
      </c>
      <c r="O191" s="35">
        <v>0</v>
      </c>
      <c r="P191" s="19">
        <v>0</v>
      </c>
      <c r="Q191" s="25">
        <v>0</v>
      </c>
      <c r="R191" s="19">
        <v>0</v>
      </c>
      <c r="S191" s="21">
        <v>0</v>
      </c>
      <c r="T191" s="22">
        <v>0</v>
      </c>
      <c r="U191" s="28">
        <v>0</v>
      </c>
      <c r="V191" s="29">
        <v>0</v>
      </c>
      <c r="W191" s="30">
        <v>0</v>
      </c>
      <c r="X191" s="29">
        <v>0</v>
      </c>
      <c r="Y191" s="31">
        <v>0</v>
      </c>
      <c r="Z191" s="29">
        <v>0</v>
      </c>
      <c r="AA191" s="32"/>
      <c r="AB191" s="33"/>
      <c r="AC191" s="32">
        <v>0</v>
      </c>
      <c r="AD191" s="33"/>
      <c r="AE191" s="32">
        <f t="shared" si="0"/>
        <v>0</v>
      </c>
      <c r="AF191" s="33"/>
      <c r="AG191" s="32">
        <v>6000</v>
      </c>
      <c r="AH191" s="33"/>
      <c r="AI191" s="32">
        <v>0</v>
      </c>
      <c r="AJ191" s="33"/>
      <c r="AK191" s="32">
        <f t="shared" si="1"/>
        <v>6000</v>
      </c>
      <c r="AL191" s="33"/>
      <c r="AM191" s="32">
        <v>6000</v>
      </c>
      <c r="AN191" s="33"/>
      <c r="AO191" s="32">
        <v>0</v>
      </c>
      <c r="AP191" s="33"/>
      <c r="AQ191" s="32">
        <f t="shared" si="2"/>
        <v>6000</v>
      </c>
      <c r="AR191" s="33"/>
    </row>
    <row r="192" spans="1:44" ht="15.75" customHeight="1">
      <c r="A192" s="16">
        <v>41001</v>
      </c>
      <c r="B192" s="17" t="s">
        <v>197</v>
      </c>
      <c r="C192" s="18">
        <v>15000</v>
      </c>
      <c r="D192" s="19">
        <v>0.31</v>
      </c>
      <c r="E192" s="20">
        <v>0</v>
      </c>
      <c r="F192" s="19">
        <v>0</v>
      </c>
      <c r="G192" s="21">
        <v>15000</v>
      </c>
      <c r="H192" s="22">
        <v>0.14000000000000001</v>
      </c>
      <c r="I192" s="23">
        <v>15000</v>
      </c>
      <c r="J192" s="24">
        <v>0.28000000000000003</v>
      </c>
      <c r="K192" s="25">
        <v>0</v>
      </c>
      <c r="L192" s="26">
        <v>0</v>
      </c>
      <c r="M192" s="25">
        <v>15000</v>
      </c>
      <c r="N192" s="27">
        <v>0.19</v>
      </c>
      <c r="O192" s="23">
        <v>15000</v>
      </c>
      <c r="P192" s="24">
        <v>0.21</v>
      </c>
      <c r="Q192" s="25">
        <v>0</v>
      </c>
      <c r="R192" s="19">
        <v>0</v>
      </c>
      <c r="S192" s="25">
        <v>15000</v>
      </c>
      <c r="T192" s="22">
        <v>0.14000000000000001</v>
      </c>
      <c r="U192" s="34">
        <v>50000</v>
      </c>
      <c r="V192" s="29">
        <v>0.57999999999999996</v>
      </c>
      <c r="W192" s="30">
        <v>0</v>
      </c>
      <c r="X192" s="29">
        <v>0</v>
      </c>
      <c r="Y192" s="31">
        <v>50000</v>
      </c>
      <c r="Z192" s="29">
        <v>0.42</v>
      </c>
      <c r="AA192" s="32">
        <v>50000</v>
      </c>
      <c r="AB192" s="33"/>
      <c r="AC192" s="32">
        <v>0</v>
      </c>
      <c r="AD192" s="33"/>
      <c r="AE192" s="32">
        <f t="shared" si="0"/>
        <v>50000</v>
      </c>
      <c r="AF192" s="33"/>
      <c r="AG192" s="32">
        <v>50000</v>
      </c>
      <c r="AH192" s="33"/>
      <c r="AI192" s="32">
        <v>0</v>
      </c>
      <c r="AJ192" s="33"/>
      <c r="AK192" s="32">
        <f t="shared" si="1"/>
        <v>50000</v>
      </c>
      <c r="AL192" s="33"/>
      <c r="AM192" s="32">
        <v>50000</v>
      </c>
      <c r="AN192" s="33"/>
      <c r="AO192" s="32">
        <v>0</v>
      </c>
      <c r="AP192" s="33"/>
      <c r="AQ192" s="32">
        <f t="shared" si="2"/>
        <v>50000</v>
      </c>
      <c r="AR192" s="33"/>
    </row>
    <row r="193" spans="1:44" ht="15.75" customHeight="1">
      <c r="A193" s="16">
        <v>41101</v>
      </c>
      <c r="B193" s="17" t="s">
        <v>198</v>
      </c>
      <c r="C193" s="35">
        <v>0</v>
      </c>
      <c r="D193" s="19">
        <v>0</v>
      </c>
      <c r="E193" s="20">
        <v>0</v>
      </c>
      <c r="F193" s="19">
        <v>0</v>
      </c>
      <c r="G193" s="21">
        <v>0</v>
      </c>
      <c r="H193" s="22">
        <v>0</v>
      </c>
      <c r="I193" s="23">
        <v>30000</v>
      </c>
      <c r="J193" s="24">
        <v>0.8</v>
      </c>
      <c r="K193" s="25">
        <v>0</v>
      </c>
      <c r="L193" s="26">
        <v>0</v>
      </c>
      <c r="M193" s="25">
        <v>30000</v>
      </c>
      <c r="N193" s="27">
        <v>0.57999999999999996</v>
      </c>
      <c r="O193" s="23">
        <v>35000</v>
      </c>
      <c r="P193" s="24">
        <v>1.01</v>
      </c>
      <c r="Q193" s="25">
        <v>0</v>
      </c>
      <c r="R193" s="19">
        <v>0</v>
      </c>
      <c r="S193" s="25">
        <v>35000</v>
      </c>
      <c r="T193" s="22">
        <v>0.73</v>
      </c>
      <c r="U193" s="34">
        <v>88000</v>
      </c>
      <c r="V193" s="29">
        <v>1.59</v>
      </c>
      <c r="W193" s="30">
        <v>0</v>
      </c>
      <c r="X193" s="29">
        <v>0</v>
      </c>
      <c r="Y193" s="31">
        <v>88000</v>
      </c>
      <c r="Z193" s="29">
        <v>1.59</v>
      </c>
      <c r="AA193" s="32">
        <v>94500</v>
      </c>
      <c r="AB193" s="33"/>
      <c r="AC193" s="32">
        <v>0</v>
      </c>
      <c r="AD193" s="33"/>
      <c r="AE193" s="32">
        <f t="shared" si="0"/>
        <v>94500</v>
      </c>
      <c r="AF193" s="33"/>
      <c r="AG193" s="32">
        <v>105000</v>
      </c>
      <c r="AH193" s="33"/>
      <c r="AI193" s="32">
        <v>0</v>
      </c>
      <c r="AJ193" s="33"/>
      <c r="AK193" s="32">
        <f t="shared" si="1"/>
        <v>105000</v>
      </c>
      <c r="AL193" s="33"/>
      <c r="AM193" s="32">
        <v>120000</v>
      </c>
      <c r="AN193" s="33"/>
      <c r="AO193" s="32">
        <v>0</v>
      </c>
      <c r="AP193" s="33"/>
      <c r="AQ193" s="32">
        <f t="shared" si="2"/>
        <v>120000</v>
      </c>
      <c r="AR193" s="33"/>
    </row>
    <row r="194" spans="1:44" ht="15.75" customHeight="1">
      <c r="A194" s="16">
        <v>41201</v>
      </c>
      <c r="B194" s="17" t="s">
        <v>199</v>
      </c>
      <c r="C194" s="35">
        <v>0</v>
      </c>
      <c r="D194" s="19">
        <v>0</v>
      </c>
      <c r="E194" s="20">
        <v>0</v>
      </c>
      <c r="F194" s="19">
        <v>0</v>
      </c>
      <c r="G194" s="21">
        <v>0</v>
      </c>
      <c r="H194" s="22">
        <v>0</v>
      </c>
      <c r="I194" s="35">
        <v>0</v>
      </c>
      <c r="J194" s="19">
        <v>0</v>
      </c>
      <c r="K194" s="25">
        <v>0</v>
      </c>
      <c r="L194" s="26">
        <v>0</v>
      </c>
      <c r="M194" s="21">
        <v>0</v>
      </c>
      <c r="N194" s="22">
        <v>0</v>
      </c>
      <c r="O194" s="35">
        <v>0</v>
      </c>
      <c r="P194" s="19">
        <v>0</v>
      </c>
      <c r="Q194" s="25">
        <v>0</v>
      </c>
      <c r="R194" s="19">
        <v>0</v>
      </c>
      <c r="S194" s="21">
        <v>0</v>
      </c>
      <c r="T194" s="22">
        <v>0</v>
      </c>
      <c r="U194" s="34">
        <v>90000</v>
      </c>
      <c r="V194" s="29">
        <v>1.75</v>
      </c>
      <c r="W194" s="30">
        <v>0</v>
      </c>
      <c r="X194" s="29">
        <v>0</v>
      </c>
      <c r="Y194" s="31">
        <v>90000</v>
      </c>
      <c r="Z194" s="29">
        <v>0.95</v>
      </c>
      <c r="AA194" s="32">
        <v>100000</v>
      </c>
      <c r="AB194" s="33"/>
      <c r="AC194" s="32">
        <v>0</v>
      </c>
      <c r="AD194" s="33"/>
      <c r="AE194" s="32">
        <f t="shared" si="0"/>
        <v>100000</v>
      </c>
      <c r="AF194" s="33"/>
      <c r="AG194" s="32">
        <v>100000</v>
      </c>
      <c r="AH194" s="33"/>
      <c r="AI194" s="32">
        <v>0</v>
      </c>
      <c r="AJ194" s="33"/>
      <c r="AK194" s="32">
        <f t="shared" si="1"/>
        <v>100000</v>
      </c>
      <c r="AL194" s="33"/>
      <c r="AM194" s="32">
        <v>98000</v>
      </c>
      <c r="AN194" s="33"/>
      <c r="AO194" s="32">
        <v>0</v>
      </c>
      <c r="AP194" s="33"/>
      <c r="AQ194" s="32">
        <f t="shared" si="2"/>
        <v>98000</v>
      </c>
      <c r="AR194" s="33"/>
    </row>
    <row r="195" spans="1:44" ht="15.75" customHeight="1">
      <c r="A195" s="16">
        <v>41202</v>
      </c>
      <c r="B195" s="17" t="s">
        <v>200</v>
      </c>
      <c r="C195" s="18">
        <v>20000</v>
      </c>
      <c r="D195" s="19">
        <v>1.6</v>
      </c>
      <c r="E195" s="20">
        <v>0</v>
      </c>
      <c r="F195" s="19">
        <v>0</v>
      </c>
      <c r="G195" s="21">
        <v>20000</v>
      </c>
      <c r="H195" s="22">
        <v>0.66</v>
      </c>
      <c r="I195" s="35">
        <v>0</v>
      </c>
      <c r="J195" s="19">
        <v>0</v>
      </c>
      <c r="K195" s="25">
        <v>0</v>
      </c>
      <c r="L195" s="26">
        <v>0</v>
      </c>
      <c r="M195" s="21">
        <v>0</v>
      </c>
      <c r="N195" s="22">
        <v>0</v>
      </c>
      <c r="O195" s="35">
        <v>0</v>
      </c>
      <c r="P195" s="19">
        <v>0</v>
      </c>
      <c r="Q195" s="25">
        <v>0</v>
      </c>
      <c r="R195" s="19">
        <v>0</v>
      </c>
      <c r="S195" s="21">
        <v>0</v>
      </c>
      <c r="T195" s="22">
        <v>0</v>
      </c>
      <c r="U195" s="28">
        <v>0</v>
      </c>
      <c r="V195" s="29">
        <v>0</v>
      </c>
      <c r="W195" s="30">
        <v>0</v>
      </c>
      <c r="X195" s="29">
        <v>0</v>
      </c>
      <c r="Y195" s="31">
        <v>0</v>
      </c>
      <c r="Z195" s="29">
        <v>0</v>
      </c>
      <c r="AA195" s="32"/>
      <c r="AB195" s="33"/>
      <c r="AC195" s="32">
        <v>0</v>
      </c>
      <c r="AD195" s="33"/>
      <c r="AE195" s="32">
        <f t="shared" si="0"/>
        <v>0</v>
      </c>
      <c r="AF195" s="33"/>
      <c r="AG195" s="32"/>
      <c r="AH195" s="33"/>
      <c r="AI195" s="32">
        <v>0</v>
      </c>
      <c r="AJ195" s="33"/>
      <c r="AK195" s="32">
        <f t="shared" si="1"/>
        <v>0</v>
      </c>
      <c r="AL195" s="33"/>
      <c r="AM195" s="32"/>
      <c r="AN195" s="33"/>
      <c r="AO195" s="32">
        <v>0</v>
      </c>
      <c r="AP195" s="33"/>
      <c r="AQ195" s="32">
        <f t="shared" si="2"/>
        <v>0</v>
      </c>
      <c r="AR195" s="33"/>
    </row>
    <row r="196" spans="1:44" ht="15.75" customHeight="1">
      <c r="A196" s="16">
        <v>41301</v>
      </c>
      <c r="B196" s="17" t="s">
        <v>154</v>
      </c>
      <c r="C196" s="35">
        <v>0</v>
      </c>
      <c r="D196" s="19">
        <v>0</v>
      </c>
      <c r="E196" s="20">
        <v>0</v>
      </c>
      <c r="F196" s="19">
        <v>0</v>
      </c>
      <c r="G196" s="21">
        <v>0</v>
      </c>
      <c r="H196" s="22">
        <v>0</v>
      </c>
      <c r="I196" s="35">
        <v>0</v>
      </c>
      <c r="J196" s="19">
        <v>0</v>
      </c>
      <c r="K196" s="25">
        <v>0</v>
      </c>
      <c r="L196" s="26">
        <v>0</v>
      </c>
      <c r="M196" s="21">
        <v>0</v>
      </c>
      <c r="N196" s="22">
        <v>0</v>
      </c>
      <c r="O196" s="35">
        <v>0</v>
      </c>
      <c r="P196" s="19">
        <v>0</v>
      </c>
      <c r="Q196" s="25">
        <v>0</v>
      </c>
      <c r="R196" s="19">
        <v>0</v>
      </c>
      <c r="S196" s="21">
        <v>0</v>
      </c>
      <c r="T196" s="22">
        <v>0</v>
      </c>
      <c r="U196" s="28">
        <v>0</v>
      </c>
      <c r="V196" s="29">
        <v>0</v>
      </c>
      <c r="W196" s="30">
        <v>0</v>
      </c>
      <c r="X196" s="29">
        <v>0</v>
      </c>
      <c r="Y196" s="31">
        <v>0</v>
      </c>
      <c r="Z196" s="29">
        <v>0</v>
      </c>
      <c r="AA196" s="32"/>
      <c r="AB196" s="33"/>
      <c r="AC196" s="32">
        <v>0</v>
      </c>
      <c r="AD196" s="33"/>
      <c r="AE196" s="32">
        <f t="shared" si="0"/>
        <v>0</v>
      </c>
      <c r="AF196" s="33"/>
      <c r="AG196" s="32"/>
      <c r="AH196" s="33"/>
      <c r="AI196" s="32">
        <v>0</v>
      </c>
      <c r="AJ196" s="33"/>
      <c r="AK196" s="32">
        <f t="shared" si="1"/>
        <v>0</v>
      </c>
      <c r="AL196" s="33"/>
      <c r="AM196" s="32">
        <v>5000</v>
      </c>
      <c r="AN196" s="33"/>
      <c r="AO196" s="32">
        <v>0</v>
      </c>
      <c r="AP196" s="33"/>
      <c r="AQ196" s="32">
        <f t="shared" si="2"/>
        <v>5000</v>
      </c>
      <c r="AR196" s="33"/>
    </row>
    <row r="197" spans="1:44" ht="15.75" customHeight="1">
      <c r="A197" s="16">
        <v>41401</v>
      </c>
      <c r="B197" s="17" t="s">
        <v>201</v>
      </c>
      <c r="C197" s="18">
        <v>50000</v>
      </c>
      <c r="D197" s="19">
        <v>0.69</v>
      </c>
      <c r="E197" s="20">
        <v>0</v>
      </c>
      <c r="F197" s="19">
        <v>0</v>
      </c>
      <c r="G197" s="21">
        <v>50000</v>
      </c>
      <c r="H197" s="22">
        <v>0.4</v>
      </c>
      <c r="I197" s="23">
        <v>50000</v>
      </c>
      <c r="J197" s="24">
        <v>0.77</v>
      </c>
      <c r="K197" s="25">
        <v>0</v>
      </c>
      <c r="L197" s="26">
        <v>0</v>
      </c>
      <c r="M197" s="25">
        <v>50000</v>
      </c>
      <c r="N197" s="27">
        <v>0.39</v>
      </c>
      <c r="O197" s="23">
        <v>70000</v>
      </c>
      <c r="P197" s="24">
        <v>0.82</v>
      </c>
      <c r="Q197" s="25">
        <v>0</v>
      </c>
      <c r="R197" s="19">
        <v>0</v>
      </c>
      <c r="S197" s="25">
        <v>70000</v>
      </c>
      <c r="T197" s="22">
        <v>0.45</v>
      </c>
      <c r="U197" s="34">
        <v>200000</v>
      </c>
      <c r="V197" s="29">
        <v>1.49</v>
      </c>
      <c r="W197" s="30">
        <v>0</v>
      </c>
      <c r="X197" s="29">
        <v>0</v>
      </c>
      <c r="Y197" s="31">
        <v>200000</v>
      </c>
      <c r="Z197" s="29">
        <v>1.35</v>
      </c>
      <c r="AA197" s="32">
        <v>200000</v>
      </c>
      <c r="AB197" s="33"/>
      <c r="AC197" s="32">
        <v>0</v>
      </c>
      <c r="AD197" s="33"/>
      <c r="AE197" s="32">
        <f t="shared" si="0"/>
        <v>200000</v>
      </c>
      <c r="AF197" s="33"/>
      <c r="AG197" s="32">
        <v>215000</v>
      </c>
      <c r="AH197" s="33"/>
      <c r="AI197" s="32">
        <v>0</v>
      </c>
      <c r="AJ197" s="33"/>
      <c r="AK197" s="32">
        <f t="shared" si="1"/>
        <v>215000</v>
      </c>
      <c r="AL197" s="33"/>
      <c r="AM197" s="32">
        <v>205000</v>
      </c>
      <c r="AN197" s="33"/>
      <c r="AO197" s="32">
        <v>0</v>
      </c>
      <c r="AP197" s="33"/>
      <c r="AQ197" s="32">
        <f t="shared" si="2"/>
        <v>205000</v>
      </c>
      <c r="AR197" s="33"/>
    </row>
    <row r="198" spans="1:44" ht="15.75" customHeight="1">
      <c r="A198" s="16">
        <v>41501</v>
      </c>
      <c r="B198" s="17" t="s">
        <v>202</v>
      </c>
      <c r="C198" s="35">
        <v>0</v>
      </c>
      <c r="D198" s="19">
        <v>0</v>
      </c>
      <c r="E198" s="20">
        <v>0</v>
      </c>
      <c r="F198" s="19">
        <v>0</v>
      </c>
      <c r="G198" s="21">
        <v>0</v>
      </c>
      <c r="H198" s="22">
        <v>0</v>
      </c>
      <c r="I198" s="35">
        <v>0</v>
      </c>
      <c r="J198" s="19">
        <v>0</v>
      </c>
      <c r="K198" s="25">
        <v>0</v>
      </c>
      <c r="L198" s="26">
        <v>0</v>
      </c>
      <c r="M198" s="21">
        <v>0</v>
      </c>
      <c r="N198" s="22">
        <v>0</v>
      </c>
      <c r="O198" s="35">
        <v>0</v>
      </c>
      <c r="P198" s="19">
        <v>0</v>
      </c>
      <c r="Q198" s="25">
        <v>0</v>
      </c>
      <c r="R198" s="19">
        <v>0</v>
      </c>
      <c r="S198" s="21">
        <v>0</v>
      </c>
      <c r="T198" s="22">
        <v>0</v>
      </c>
      <c r="U198" s="28">
        <v>0</v>
      </c>
      <c r="V198" s="29">
        <v>0</v>
      </c>
      <c r="W198" s="30">
        <v>0</v>
      </c>
      <c r="X198" s="29">
        <v>0</v>
      </c>
      <c r="Y198" s="31">
        <v>0</v>
      </c>
      <c r="Z198" s="29">
        <v>0</v>
      </c>
      <c r="AA198" s="32"/>
      <c r="AB198" s="33"/>
      <c r="AC198" s="32">
        <v>0</v>
      </c>
      <c r="AD198" s="33"/>
      <c r="AE198" s="32">
        <f t="shared" si="0"/>
        <v>0</v>
      </c>
      <c r="AF198" s="33"/>
      <c r="AG198" s="32"/>
      <c r="AH198" s="33"/>
      <c r="AI198" s="32">
        <v>0</v>
      </c>
      <c r="AJ198" s="33"/>
      <c r="AK198" s="32">
        <f t="shared" si="1"/>
        <v>0</v>
      </c>
      <c r="AL198" s="33"/>
      <c r="AM198" s="32"/>
      <c r="AN198" s="33"/>
      <c r="AO198" s="32">
        <v>0</v>
      </c>
      <c r="AP198" s="33"/>
      <c r="AQ198" s="32">
        <f t="shared" si="2"/>
        <v>0</v>
      </c>
      <c r="AR198" s="33"/>
    </row>
    <row r="199" spans="1:44" ht="15.75" customHeight="1">
      <c r="A199" s="16">
        <v>41502</v>
      </c>
      <c r="B199" s="17" t="s">
        <v>203</v>
      </c>
      <c r="C199" s="35">
        <v>0</v>
      </c>
      <c r="D199" s="19">
        <v>0</v>
      </c>
      <c r="E199" s="20">
        <v>0</v>
      </c>
      <c r="F199" s="19">
        <v>0</v>
      </c>
      <c r="G199" s="21">
        <v>0</v>
      </c>
      <c r="H199" s="22">
        <v>0</v>
      </c>
      <c r="I199" s="35">
        <v>0</v>
      </c>
      <c r="J199" s="19">
        <v>0</v>
      </c>
      <c r="K199" s="25">
        <v>0</v>
      </c>
      <c r="L199" s="26">
        <v>0</v>
      </c>
      <c r="M199" s="21">
        <v>0</v>
      </c>
      <c r="N199" s="22">
        <v>0</v>
      </c>
      <c r="O199" s="35">
        <v>0</v>
      </c>
      <c r="P199" s="19">
        <v>0</v>
      </c>
      <c r="Q199" s="25">
        <v>0</v>
      </c>
      <c r="R199" s="19">
        <v>0</v>
      </c>
      <c r="S199" s="21">
        <v>0</v>
      </c>
      <c r="T199" s="22">
        <v>0</v>
      </c>
      <c r="U199" s="28">
        <v>0</v>
      </c>
      <c r="V199" s="29">
        <v>0</v>
      </c>
      <c r="W199" s="30">
        <v>0</v>
      </c>
      <c r="X199" s="29">
        <v>0</v>
      </c>
      <c r="Y199" s="31">
        <v>0</v>
      </c>
      <c r="Z199" s="29">
        <v>0</v>
      </c>
      <c r="AA199" s="32"/>
      <c r="AB199" s="33"/>
      <c r="AC199" s="32">
        <v>0</v>
      </c>
      <c r="AD199" s="33"/>
      <c r="AE199" s="32">
        <f t="shared" si="0"/>
        <v>0</v>
      </c>
      <c r="AF199" s="33"/>
      <c r="AG199" s="32">
        <v>15000</v>
      </c>
      <c r="AH199" s="33"/>
      <c r="AI199" s="32">
        <v>0</v>
      </c>
      <c r="AJ199" s="33"/>
      <c r="AK199" s="32">
        <f t="shared" si="1"/>
        <v>15000</v>
      </c>
      <c r="AL199" s="33"/>
      <c r="AM199" s="32">
        <v>5000</v>
      </c>
      <c r="AN199" s="33"/>
      <c r="AO199" s="32">
        <v>0</v>
      </c>
      <c r="AP199" s="33"/>
      <c r="AQ199" s="32">
        <f t="shared" si="2"/>
        <v>5000</v>
      </c>
      <c r="AR199" s="33"/>
    </row>
    <row r="200" spans="1:44" ht="15.75" customHeight="1">
      <c r="A200" s="16">
        <v>41503</v>
      </c>
      <c r="B200" s="17" t="s">
        <v>204</v>
      </c>
      <c r="C200" s="35">
        <v>0</v>
      </c>
      <c r="D200" s="19">
        <v>0</v>
      </c>
      <c r="E200" s="20">
        <v>0</v>
      </c>
      <c r="F200" s="19">
        <v>0</v>
      </c>
      <c r="G200" s="21">
        <v>0</v>
      </c>
      <c r="H200" s="22">
        <v>0</v>
      </c>
      <c r="I200" s="35">
        <v>0</v>
      </c>
      <c r="J200" s="19">
        <v>0</v>
      </c>
      <c r="K200" s="25">
        <v>0</v>
      </c>
      <c r="L200" s="26">
        <v>0</v>
      </c>
      <c r="M200" s="21">
        <v>0</v>
      </c>
      <c r="N200" s="22">
        <v>0</v>
      </c>
      <c r="O200" s="35">
        <v>0</v>
      </c>
      <c r="P200" s="19">
        <v>0</v>
      </c>
      <c r="Q200" s="25">
        <v>0</v>
      </c>
      <c r="R200" s="19">
        <v>0</v>
      </c>
      <c r="S200" s="21">
        <v>0</v>
      </c>
      <c r="T200" s="22">
        <v>0</v>
      </c>
      <c r="U200" s="28">
        <v>0</v>
      </c>
      <c r="V200" s="29">
        <v>0</v>
      </c>
      <c r="W200" s="30">
        <v>0</v>
      </c>
      <c r="X200" s="29">
        <v>0</v>
      </c>
      <c r="Y200" s="31">
        <v>0</v>
      </c>
      <c r="Z200" s="29">
        <v>0</v>
      </c>
      <c r="AA200" s="32">
        <v>2000</v>
      </c>
      <c r="AB200" s="33"/>
      <c r="AC200" s="32">
        <v>0</v>
      </c>
      <c r="AD200" s="33"/>
      <c r="AE200" s="32">
        <f t="shared" si="0"/>
        <v>2000</v>
      </c>
      <c r="AF200" s="33"/>
      <c r="AG200" s="32">
        <v>5000</v>
      </c>
      <c r="AH200" s="33"/>
      <c r="AI200" s="32">
        <v>0</v>
      </c>
      <c r="AJ200" s="33"/>
      <c r="AK200" s="32">
        <f t="shared" si="1"/>
        <v>5000</v>
      </c>
      <c r="AL200" s="33"/>
      <c r="AM200" s="32">
        <v>10000</v>
      </c>
      <c r="AN200" s="33"/>
      <c r="AO200" s="32">
        <v>0</v>
      </c>
      <c r="AP200" s="33"/>
      <c r="AQ200" s="32">
        <f t="shared" si="2"/>
        <v>10000</v>
      </c>
      <c r="AR200" s="33"/>
    </row>
    <row r="201" spans="1:44" ht="15.75" customHeight="1">
      <c r="A201" s="16">
        <v>41601</v>
      </c>
      <c r="B201" s="17" t="s">
        <v>205</v>
      </c>
      <c r="C201" s="35">
        <v>0</v>
      </c>
      <c r="D201" s="19">
        <v>0</v>
      </c>
      <c r="E201" s="20">
        <v>0</v>
      </c>
      <c r="F201" s="19">
        <v>0</v>
      </c>
      <c r="G201" s="21">
        <v>0</v>
      </c>
      <c r="H201" s="22">
        <v>0</v>
      </c>
      <c r="I201" s="35">
        <v>0</v>
      </c>
      <c r="J201" s="19">
        <v>0</v>
      </c>
      <c r="K201" s="25">
        <v>0</v>
      </c>
      <c r="L201" s="26">
        <v>0</v>
      </c>
      <c r="M201" s="21">
        <v>0</v>
      </c>
      <c r="N201" s="22">
        <v>0</v>
      </c>
      <c r="O201" s="35">
        <v>0</v>
      </c>
      <c r="P201" s="19">
        <v>0</v>
      </c>
      <c r="Q201" s="25">
        <v>0</v>
      </c>
      <c r="R201" s="19">
        <v>0</v>
      </c>
      <c r="S201" s="21">
        <v>0</v>
      </c>
      <c r="T201" s="22">
        <v>0</v>
      </c>
      <c r="U201" s="28">
        <v>0</v>
      </c>
      <c r="V201" s="29">
        <v>0</v>
      </c>
      <c r="W201" s="30">
        <v>0</v>
      </c>
      <c r="X201" s="29">
        <v>0</v>
      </c>
      <c r="Y201" s="31">
        <v>0</v>
      </c>
      <c r="Z201" s="29">
        <v>0</v>
      </c>
      <c r="AA201" s="32">
        <v>15000</v>
      </c>
      <c r="AB201" s="33"/>
      <c r="AC201" s="32">
        <v>0</v>
      </c>
      <c r="AD201" s="33"/>
      <c r="AE201" s="32">
        <f t="shared" si="0"/>
        <v>15000</v>
      </c>
      <c r="AF201" s="33"/>
      <c r="AG201" s="32">
        <v>15000</v>
      </c>
      <c r="AH201" s="33"/>
      <c r="AI201" s="32">
        <v>0</v>
      </c>
      <c r="AJ201" s="33"/>
      <c r="AK201" s="32">
        <f t="shared" si="1"/>
        <v>15000</v>
      </c>
      <c r="AL201" s="33"/>
      <c r="AM201" s="32">
        <v>10000</v>
      </c>
      <c r="AN201" s="33"/>
      <c r="AO201" s="32">
        <v>0</v>
      </c>
      <c r="AP201" s="33"/>
      <c r="AQ201" s="32">
        <f t="shared" si="2"/>
        <v>10000</v>
      </c>
      <c r="AR201" s="33"/>
    </row>
    <row r="202" spans="1:44" ht="15.75" customHeight="1">
      <c r="A202" s="16">
        <v>50101</v>
      </c>
      <c r="B202" s="17" t="s">
        <v>206</v>
      </c>
      <c r="C202" s="35">
        <v>0</v>
      </c>
      <c r="D202" s="19">
        <v>0</v>
      </c>
      <c r="E202" s="20">
        <v>0</v>
      </c>
      <c r="F202" s="19">
        <v>0</v>
      </c>
      <c r="G202" s="21">
        <v>0</v>
      </c>
      <c r="H202" s="22">
        <v>0</v>
      </c>
      <c r="I202" s="35">
        <v>0</v>
      </c>
      <c r="J202" s="19">
        <v>0</v>
      </c>
      <c r="K202" s="25">
        <v>0</v>
      </c>
      <c r="L202" s="26">
        <v>0</v>
      </c>
      <c r="M202" s="21">
        <v>0</v>
      </c>
      <c r="N202" s="22">
        <v>0</v>
      </c>
      <c r="O202" s="35">
        <v>0</v>
      </c>
      <c r="P202" s="19">
        <v>0</v>
      </c>
      <c r="Q202" s="25">
        <v>0</v>
      </c>
      <c r="R202" s="19">
        <v>0</v>
      </c>
      <c r="S202" s="21">
        <v>0</v>
      </c>
      <c r="T202" s="22">
        <v>0</v>
      </c>
      <c r="U202" s="34">
        <v>6375000</v>
      </c>
      <c r="V202" s="29">
        <v>2.4500000000000002</v>
      </c>
      <c r="W202" s="31">
        <v>574560</v>
      </c>
      <c r="X202" s="29">
        <v>0.69</v>
      </c>
      <c r="Y202" s="31">
        <v>6949560</v>
      </c>
      <c r="Z202" s="29">
        <v>2.02</v>
      </c>
      <c r="AA202" s="32">
        <v>6406536</v>
      </c>
      <c r="AB202" s="33"/>
      <c r="AC202" s="32">
        <v>0</v>
      </c>
      <c r="AD202" s="33"/>
      <c r="AE202" s="32">
        <f t="shared" si="0"/>
        <v>6406536</v>
      </c>
      <c r="AF202" s="33"/>
      <c r="AG202" s="32">
        <v>6320000</v>
      </c>
      <c r="AH202" s="33"/>
      <c r="AI202" s="32">
        <v>0</v>
      </c>
      <c r="AJ202" s="33"/>
      <c r="AK202" s="32">
        <f t="shared" si="1"/>
        <v>6320000</v>
      </c>
      <c r="AL202" s="33"/>
      <c r="AM202" s="32">
        <v>6636000</v>
      </c>
      <c r="AN202" s="33"/>
      <c r="AO202" s="32">
        <v>0</v>
      </c>
      <c r="AP202" s="33"/>
      <c r="AQ202" s="32">
        <f t="shared" si="2"/>
        <v>6636000</v>
      </c>
      <c r="AR202" s="33"/>
    </row>
    <row r="203" spans="1:44" ht="15.75" customHeight="1">
      <c r="A203" s="16">
        <v>50102</v>
      </c>
      <c r="B203" s="17" t="s">
        <v>207</v>
      </c>
      <c r="C203" s="18">
        <v>40000</v>
      </c>
      <c r="D203" s="19">
        <v>0.27</v>
      </c>
      <c r="E203" s="20">
        <v>0</v>
      </c>
      <c r="F203" s="19">
        <v>0</v>
      </c>
      <c r="G203" s="21">
        <v>40000</v>
      </c>
      <c r="H203" s="22">
        <v>0.17</v>
      </c>
      <c r="I203" s="23">
        <v>90000</v>
      </c>
      <c r="J203" s="24">
        <v>0.6</v>
      </c>
      <c r="K203" s="25">
        <v>0</v>
      </c>
      <c r="L203" s="26">
        <v>0</v>
      </c>
      <c r="M203" s="25">
        <v>90000</v>
      </c>
      <c r="N203" s="27">
        <v>0.43</v>
      </c>
      <c r="O203" s="23">
        <v>10000</v>
      </c>
      <c r="P203" s="24">
        <v>0.06</v>
      </c>
      <c r="Q203" s="25">
        <v>0</v>
      </c>
      <c r="R203" s="19">
        <v>0</v>
      </c>
      <c r="S203" s="25">
        <v>10000</v>
      </c>
      <c r="T203" s="22">
        <v>0.04</v>
      </c>
      <c r="U203" s="34">
        <v>18000</v>
      </c>
      <c r="V203" s="29">
        <v>0.09</v>
      </c>
      <c r="W203" s="30">
        <v>0</v>
      </c>
      <c r="X203" s="29">
        <v>0</v>
      </c>
      <c r="Y203" s="31">
        <v>18000</v>
      </c>
      <c r="Z203" s="29">
        <v>7.0000000000000007E-2</v>
      </c>
      <c r="AA203" s="32">
        <v>18000</v>
      </c>
      <c r="AB203" s="33"/>
      <c r="AC203" s="32">
        <v>0</v>
      </c>
      <c r="AD203" s="33"/>
      <c r="AE203" s="32">
        <f t="shared" si="0"/>
        <v>18000</v>
      </c>
      <c r="AF203" s="33"/>
      <c r="AG203" s="32">
        <v>18000</v>
      </c>
      <c r="AH203" s="33"/>
      <c r="AI203" s="32">
        <v>0</v>
      </c>
      <c r="AJ203" s="33"/>
      <c r="AK203" s="32">
        <f t="shared" si="1"/>
        <v>18000</v>
      </c>
      <c r="AL203" s="33"/>
      <c r="AM203" s="32">
        <v>18000</v>
      </c>
      <c r="AN203" s="33"/>
      <c r="AO203" s="32">
        <v>0</v>
      </c>
      <c r="AP203" s="33"/>
      <c r="AQ203" s="32">
        <f t="shared" si="2"/>
        <v>18000</v>
      </c>
      <c r="AR203" s="33"/>
    </row>
    <row r="204" spans="1:44" ht="15.75" customHeight="1">
      <c r="A204" s="16">
        <v>50103</v>
      </c>
      <c r="B204" s="17" t="s">
        <v>208</v>
      </c>
      <c r="C204" s="35">
        <v>0</v>
      </c>
      <c r="D204" s="19">
        <v>0</v>
      </c>
      <c r="E204" s="20">
        <v>0</v>
      </c>
      <c r="F204" s="19">
        <v>0</v>
      </c>
      <c r="G204" s="21">
        <v>0</v>
      </c>
      <c r="H204" s="22">
        <v>0</v>
      </c>
      <c r="I204" s="23">
        <v>30000</v>
      </c>
      <c r="J204" s="24">
        <v>0.42</v>
      </c>
      <c r="K204" s="25">
        <v>0</v>
      </c>
      <c r="L204" s="26">
        <v>0</v>
      </c>
      <c r="M204" s="25">
        <v>30000</v>
      </c>
      <c r="N204" s="27">
        <v>0.25</v>
      </c>
      <c r="O204" s="23">
        <v>31000</v>
      </c>
      <c r="P204" s="24">
        <v>0.47</v>
      </c>
      <c r="Q204" s="25">
        <v>0</v>
      </c>
      <c r="R204" s="19">
        <v>0</v>
      </c>
      <c r="S204" s="25">
        <v>31000</v>
      </c>
      <c r="T204" s="22">
        <v>0.33</v>
      </c>
      <c r="U204" s="34">
        <v>15000</v>
      </c>
      <c r="V204" s="29">
        <v>0.2</v>
      </c>
      <c r="W204" s="30">
        <v>0</v>
      </c>
      <c r="X204" s="29">
        <v>0</v>
      </c>
      <c r="Y204" s="31">
        <v>15000</v>
      </c>
      <c r="Z204" s="29">
        <v>0.19</v>
      </c>
      <c r="AA204" s="32"/>
      <c r="AB204" s="33"/>
      <c r="AC204" s="32">
        <v>0</v>
      </c>
      <c r="AD204" s="33"/>
      <c r="AE204" s="32">
        <f t="shared" si="0"/>
        <v>0</v>
      </c>
      <c r="AF204" s="33"/>
      <c r="AG204" s="32"/>
      <c r="AH204" s="33"/>
      <c r="AI204" s="32">
        <v>0</v>
      </c>
      <c r="AJ204" s="33"/>
      <c r="AK204" s="32">
        <f t="shared" si="1"/>
        <v>0</v>
      </c>
      <c r="AL204" s="33"/>
      <c r="AM204" s="32">
        <v>20000</v>
      </c>
      <c r="AN204" s="33"/>
      <c r="AO204" s="32">
        <v>0</v>
      </c>
      <c r="AP204" s="33"/>
      <c r="AQ204" s="32">
        <f t="shared" si="2"/>
        <v>20000</v>
      </c>
      <c r="AR204" s="33"/>
    </row>
    <row r="205" spans="1:44" ht="15.75" customHeight="1">
      <c r="A205" s="16">
        <v>50104</v>
      </c>
      <c r="B205" s="17" t="s">
        <v>209</v>
      </c>
      <c r="C205" s="35">
        <v>0</v>
      </c>
      <c r="D205" s="19">
        <v>0</v>
      </c>
      <c r="E205" s="20">
        <v>0</v>
      </c>
      <c r="F205" s="19">
        <v>0</v>
      </c>
      <c r="G205" s="21">
        <v>0</v>
      </c>
      <c r="H205" s="22">
        <v>0</v>
      </c>
      <c r="I205" s="35">
        <v>0</v>
      </c>
      <c r="J205" s="19">
        <v>0</v>
      </c>
      <c r="K205" s="25">
        <v>0</v>
      </c>
      <c r="L205" s="26">
        <v>0</v>
      </c>
      <c r="M205" s="21">
        <v>0</v>
      </c>
      <c r="N205" s="22">
        <v>0</v>
      </c>
      <c r="O205" s="35">
        <v>0</v>
      </c>
      <c r="P205" s="19">
        <v>0</v>
      </c>
      <c r="Q205" s="25">
        <v>0</v>
      </c>
      <c r="R205" s="19">
        <v>0</v>
      </c>
      <c r="S205" s="21">
        <v>0</v>
      </c>
      <c r="T205" s="22">
        <v>0</v>
      </c>
      <c r="U205" s="34">
        <v>3500</v>
      </c>
      <c r="V205" s="29">
        <v>0.16</v>
      </c>
      <c r="W205" s="30">
        <v>0</v>
      </c>
      <c r="X205" s="29">
        <v>0</v>
      </c>
      <c r="Y205" s="31">
        <v>3500</v>
      </c>
      <c r="Z205" s="29">
        <v>0.13</v>
      </c>
      <c r="AA205" s="32">
        <v>3500</v>
      </c>
      <c r="AB205" s="33"/>
      <c r="AC205" s="32">
        <v>0</v>
      </c>
      <c r="AD205" s="33"/>
      <c r="AE205" s="32">
        <f t="shared" si="0"/>
        <v>3500</v>
      </c>
      <c r="AF205" s="33"/>
      <c r="AG205" s="32">
        <v>3500</v>
      </c>
      <c r="AH205" s="33"/>
      <c r="AI205" s="32">
        <v>0</v>
      </c>
      <c r="AJ205" s="33"/>
      <c r="AK205" s="32">
        <f t="shared" si="1"/>
        <v>3500</v>
      </c>
      <c r="AL205" s="33"/>
      <c r="AM205" s="32">
        <v>3500</v>
      </c>
      <c r="AN205" s="33"/>
      <c r="AO205" s="32">
        <v>0</v>
      </c>
      <c r="AP205" s="33"/>
      <c r="AQ205" s="32">
        <f t="shared" si="2"/>
        <v>3500</v>
      </c>
      <c r="AR205" s="33"/>
    </row>
    <row r="206" spans="1:44" ht="15.75" customHeight="1">
      <c r="A206" s="16">
        <v>50201</v>
      </c>
      <c r="B206" s="17" t="s">
        <v>210</v>
      </c>
      <c r="C206" s="18">
        <v>16776</v>
      </c>
      <c r="D206" s="19">
        <v>0.17</v>
      </c>
      <c r="E206" s="20">
        <v>0</v>
      </c>
      <c r="F206" s="19">
        <v>0</v>
      </c>
      <c r="G206" s="36">
        <v>16776</v>
      </c>
      <c r="H206" s="22">
        <v>0.14000000000000001</v>
      </c>
      <c r="I206" s="35">
        <v>0</v>
      </c>
      <c r="J206" s="19">
        <v>0</v>
      </c>
      <c r="K206" s="25">
        <v>0</v>
      </c>
      <c r="L206" s="26">
        <v>0</v>
      </c>
      <c r="M206" s="21">
        <v>0</v>
      </c>
      <c r="N206" s="22">
        <v>0</v>
      </c>
      <c r="O206" s="35">
        <v>0</v>
      </c>
      <c r="P206" s="19">
        <v>0</v>
      </c>
      <c r="Q206" s="25">
        <v>0</v>
      </c>
      <c r="R206" s="19">
        <v>0</v>
      </c>
      <c r="S206" s="21">
        <v>0</v>
      </c>
      <c r="T206" s="22">
        <v>0</v>
      </c>
      <c r="U206" s="34">
        <v>193717</v>
      </c>
      <c r="V206" s="29">
        <v>1.22</v>
      </c>
      <c r="W206" s="31">
        <v>0</v>
      </c>
      <c r="X206" s="29">
        <v>0</v>
      </c>
      <c r="Y206" s="31">
        <v>193717</v>
      </c>
      <c r="Z206" s="29">
        <v>1.22</v>
      </c>
      <c r="AA206" s="32">
        <v>196652</v>
      </c>
      <c r="AB206" s="33"/>
      <c r="AC206" s="32">
        <v>0</v>
      </c>
      <c r="AD206" s="33"/>
      <c r="AE206" s="32">
        <f t="shared" si="0"/>
        <v>196652</v>
      </c>
      <c r="AF206" s="33"/>
      <c r="AG206" s="32">
        <v>203320</v>
      </c>
      <c r="AH206" s="33"/>
      <c r="AI206" s="32">
        <v>0</v>
      </c>
      <c r="AJ206" s="33"/>
      <c r="AK206" s="32">
        <f t="shared" si="1"/>
        <v>203320</v>
      </c>
      <c r="AL206" s="33"/>
      <c r="AM206" s="32">
        <v>212774</v>
      </c>
      <c r="AN206" s="33"/>
      <c r="AO206" s="32">
        <v>0</v>
      </c>
      <c r="AP206" s="33"/>
      <c r="AQ206" s="32">
        <f t="shared" si="2"/>
        <v>212774</v>
      </c>
      <c r="AR206" s="33"/>
    </row>
    <row r="207" spans="1:44" ht="15.75" customHeight="1">
      <c r="A207" s="16">
        <v>50202</v>
      </c>
      <c r="B207" s="17" t="s">
        <v>211</v>
      </c>
      <c r="C207" s="18">
        <v>5000</v>
      </c>
      <c r="D207" s="19">
        <v>7.0000000000000007E-2</v>
      </c>
      <c r="E207" s="20">
        <v>0</v>
      </c>
      <c r="F207" s="19">
        <v>0</v>
      </c>
      <c r="G207" s="36">
        <v>5000</v>
      </c>
      <c r="H207" s="22">
        <v>0.05</v>
      </c>
      <c r="I207" s="35">
        <v>0</v>
      </c>
      <c r="J207" s="19">
        <v>0</v>
      </c>
      <c r="K207" s="25">
        <v>0</v>
      </c>
      <c r="L207" s="26">
        <v>0</v>
      </c>
      <c r="M207" s="21">
        <v>0</v>
      </c>
      <c r="N207" s="22">
        <v>0</v>
      </c>
      <c r="O207" s="35">
        <v>0</v>
      </c>
      <c r="P207" s="19">
        <v>0</v>
      </c>
      <c r="Q207" s="25">
        <v>0</v>
      </c>
      <c r="R207" s="19">
        <v>0</v>
      </c>
      <c r="S207" s="21">
        <v>0</v>
      </c>
      <c r="T207" s="22">
        <v>0</v>
      </c>
      <c r="U207" s="34">
        <v>30000</v>
      </c>
      <c r="V207" s="29">
        <v>0.23</v>
      </c>
      <c r="W207" s="30">
        <v>0</v>
      </c>
      <c r="X207" s="29">
        <v>0</v>
      </c>
      <c r="Y207" s="31">
        <v>30000</v>
      </c>
      <c r="Z207" s="29">
        <v>0.22</v>
      </c>
      <c r="AA207" s="32">
        <v>30000</v>
      </c>
      <c r="AB207" s="33"/>
      <c r="AC207" s="32">
        <v>0</v>
      </c>
      <c r="AD207" s="33"/>
      <c r="AE207" s="32">
        <f t="shared" si="0"/>
        <v>30000</v>
      </c>
      <c r="AF207" s="33"/>
      <c r="AG207" s="32">
        <v>30000</v>
      </c>
      <c r="AH207" s="33"/>
      <c r="AI207" s="32">
        <v>0</v>
      </c>
      <c r="AJ207" s="33"/>
      <c r="AK207" s="32">
        <f t="shared" si="1"/>
        <v>30000</v>
      </c>
      <c r="AL207" s="33"/>
      <c r="AM207" s="32">
        <v>50000</v>
      </c>
      <c r="AN207" s="33"/>
      <c r="AO207" s="32">
        <v>0</v>
      </c>
      <c r="AP207" s="33"/>
      <c r="AQ207" s="32">
        <f t="shared" si="2"/>
        <v>50000</v>
      </c>
      <c r="AR207" s="33"/>
    </row>
    <row r="208" spans="1:44" ht="15.75" customHeight="1">
      <c r="A208" s="16">
        <v>50203</v>
      </c>
      <c r="B208" s="17" t="s">
        <v>212</v>
      </c>
      <c r="C208" s="35">
        <v>0</v>
      </c>
      <c r="D208" s="19">
        <v>0</v>
      </c>
      <c r="E208" s="20">
        <v>0</v>
      </c>
      <c r="F208" s="19">
        <v>0</v>
      </c>
      <c r="G208" s="21">
        <v>0</v>
      </c>
      <c r="H208" s="22">
        <v>0</v>
      </c>
      <c r="I208" s="35">
        <v>0</v>
      </c>
      <c r="J208" s="19">
        <v>0</v>
      </c>
      <c r="K208" s="25">
        <v>0</v>
      </c>
      <c r="L208" s="26">
        <v>0</v>
      </c>
      <c r="M208" s="21">
        <v>0</v>
      </c>
      <c r="N208" s="22">
        <v>0</v>
      </c>
      <c r="O208" s="23">
        <v>780000</v>
      </c>
      <c r="P208" s="24">
        <v>2.4</v>
      </c>
      <c r="Q208" s="25">
        <v>0</v>
      </c>
      <c r="R208" s="19">
        <v>0</v>
      </c>
      <c r="S208" s="25">
        <v>780000</v>
      </c>
      <c r="T208" s="22">
        <v>1.81</v>
      </c>
      <c r="U208" s="34">
        <v>1020000</v>
      </c>
      <c r="V208" s="29">
        <v>2.35</v>
      </c>
      <c r="W208" s="30">
        <v>0</v>
      </c>
      <c r="X208" s="29">
        <v>0</v>
      </c>
      <c r="Y208" s="31">
        <v>1020000</v>
      </c>
      <c r="Z208" s="29">
        <v>2.0299999999999998</v>
      </c>
      <c r="AA208" s="32">
        <v>1020000</v>
      </c>
      <c r="AB208" s="33"/>
      <c r="AC208" s="32">
        <v>0</v>
      </c>
      <c r="AD208" s="33"/>
      <c r="AE208" s="32">
        <f t="shared" si="0"/>
        <v>1020000</v>
      </c>
      <c r="AF208" s="33"/>
      <c r="AG208" s="32">
        <v>1020000</v>
      </c>
      <c r="AH208" s="33"/>
      <c r="AI208" s="32">
        <v>0</v>
      </c>
      <c r="AJ208" s="33"/>
      <c r="AK208" s="32">
        <f t="shared" si="1"/>
        <v>1020000</v>
      </c>
      <c r="AL208" s="33"/>
      <c r="AM208" s="32">
        <v>1004197</v>
      </c>
      <c r="AN208" s="33"/>
      <c r="AO208" s="32">
        <v>0</v>
      </c>
      <c r="AP208" s="33"/>
      <c r="AQ208" s="32">
        <f t="shared" si="2"/>
        <v>1004197</v>
      </c>
      <c r="AR208" s="33"/>
    </row>
    <row r="209" spans="1:44" ht="15.75" customHeight="1">
      <c r="A209" s="16">
        <v>50204</v>
      </c>
      <c r="B209" s="17" t="s">
        <v>213</v>
      </c>
      <c r="C209" s="18">
        <v>10000</v>
      </c>
      <c r="D209" s="19">
        <v>0.22</v>
      </c>
      <c r="E209" s="20">
        <v>0</v>
      </c>
      <c r="F209" s="19">
        <v>0</v>
      </c>
      <c r="G209" s="21">
        <v>10000</v>
      </c>
      <c r="H209" s="22">
        <v>0.2</v>
      </c>
      <c r="I209" s="23">
        <v>23500</v>
      </c>
      <c r="J209" s="24">
        <v>0.53</v>
      </c>
      <c r="K209" s="25">
        <v>0</v>
      </c>
      <c r="L209" s="26">
        <v>0</v>
      </c>
      <c r="M209" s="25">
        <v>23500</v>
      </c>
      <c r="N209" s="27">
        <v>0.3</v>
      </c>
      <c r="O209" s="23">
        <v>32000</v>
      </c>
      <c r="P209" s="24">
        <v>0.55000000000000004</v>
      </c>
      <c r="Q209" s="25">
        <v>0</v>
      </c>
      <c r="R209" s="19">
        <v>0</v>
      </c>
      <c r="S209" s="25">
        <v>32000</v>
      </c>
      <c r="T209" s="22">
        <v>0.5</v>
      </c>
      <c r="U209" s="34">
        <v>12000</v>
      </c>
      <c r="V209" s="29">
        <v>0.17</v>
      </c>
      <c r="W209" s="30">
        <v>0</v>
      </c>
      <c r="X209" s="29">
        <v>0</v>
      </c>
      <c r="Y209" s="31">
        <v>12000</v>
      </c>
      <c r="Z209" s="29">
        <v>0.16</v>
      </c>
      <c r="AA209" s="32">
        <v>12000</v>
      </c>
      <c r="AB209" s="33"/>
      <c r="AC209" s="32">
        <v>0</v>
      </c>
      <c r="AD209" s="33"/>
      <c r="AE209" s="32">
        <f t="shared" si="0"/>
        <v>12000</v>
      </c>
      <c r="AF209" s="33"/>
      <c r="AG209" s="32">
        <v>12000</v>
      </c>
      <c r="AH209" s="33"/>
      <c r="AI209" s="32">
        <v>0</v>
      </c>
      <c r="AJ209" s="33"/>
      <c r="AK209" s="32">
        <f t="shared" si="1"/>
        <v>12000</v>
      </c>
      <c r="AL209" s="33"/>
      <c r="AM209" s="32">
        <v>10000</v>
      </c>
      <c r="AN209" s="33"/>
      <c r="AO209" s="32">
        <v>0</v>
      </c>
      <c r="AP209" s="33"/>
      <c r="AQ209" s="32">
        <f t="shared" si="2"/>
        <v>10000</v>
      </c>
      <c r="AR209" s="33"/>
    </row>
    <row r="210" spans="1:44" ht="15.75" customHeight="1">
      <c r="A210" s="16">
        <v>50301</v>
      </c>
      <c r="B210" s="17" t="s">
        <v>214</v>
      </c>
      <c r="C210" s="18">
        <v>33200</v>
      </c>
      <c r="D210" s="19">
        <v>0.16</v>
      </c>
      <c r="E210" s="20">
        <v>0</v>
      </c>
      <c r="F210" s="19">
        <v>0</v>
      </c>
      <c r="G210" s="36">
        <v>33200</v>
      </c>
      <c r="H210" s="22">
        <v>0.09</v>
      </c>
      <c r="I210" s="23">
        <v>33200</v>
      </c>
      <c r="J210" s="24">
        <v>0.15</v>
      </c>
      <c r="K210" s="25">
        <v>0</v>
      </c>
      <c r="L210" s="26">
        <v>0</v>
      </c>
      <c r="M210" s="25">
        <v>33200</v>
      </c>
      <c r="N210" s="27">
        <v>0.08</v>
      </c>
      <c r="O210" s="23">
        <v>33200</v>
      </c>
      <c r="P210" s="24">
        <v>0.15</v>
      </c>
      <c r="Q210" s="25">
        <v>0</v>
      </c>
      <c r="R210" s="19">
        <v>0</v>
      </c>
      <c r="S210" s="25">
        <v>33200</v>
      </c>
      <c r="T210" s="22">
        <v>0.08</v>
      </c>
      <c r="U210" s="34">
        <v>468800</v>
      </c>
      <c r="V210" s="29">
        <v>2.0499999999999998</v>
      </c>
      <c r="W210" s="30">
        <v>0</v>
      </c>
      <c r="X210" s="29">
        <v>0</v>
      </c>
      <c r="Y210" s="31">
        <v>468800</v>
      </c>
      <c r="Z210" s="29">
        <v>1.52</v>
      </c>
      <c r="AA210" s="32">
        <v>1394877</v>
      </c>
      <c r="AB210" s="33"/>
      <c r="AC210" s="32">
        <v>0</v>
      </c>
      <c r="AD210" s="33"/>
      <c r="AE210" s="32">
        <f t="shared" si="0"/>
        <v>1394877</v>
      </c>
      <c r="AF210" s="33"/>
      <c r="AG210" s="32">
        <v>400000</v>
      </c>
      <c r="AH210" s="33"/>
      <c r="AI210" s="32">
        <v>0</v>
      </c>
      <c r="AJ210" s="33"/>
      <c r="AK210" s="32">
        <f t="shared" si="1"/>
        <v>400000</v>
      </c>
      <c r="AL210" s="33"/>
      <c r="AM210" s="32">
        <v>400000</v>
      </c>
      <c r="AN210" s="33"/>
      <c r="AO210" s="32">
        <v>0</v>
      </c>
      <c r="AP210" s="33"/>
      <c r="AQ210" s="32">
        <f t="shared" si="2"/>
        <v>400000</v>
      </c>
      <c r="AR210" s="33"/>
    </row>
    <row r="211" spans="1:44" ht="15.75" customHeight="1">
      <c r="A211" s="16">
        <v>50302</v>
      </c>
      <c r="B211" s="17" t="s">
        <v>215</v>
      </c>
      <c r="C211" s="18">
        <v>9999</v>
      </c>
      <c r="D211" s="19">
        <v>0.21</v>
      </c>
      <c r="E211" s="20">
        <v>0</v>
      </c>
      <c r="F211" s="19">
        <v>0</v>
      </c>
      <c r="G211" s="36">
        <v>9999</v>
      </c>
      <c r="H211" s="22">
        <v>0.1</v>
      </c>
      <c r="I211" s="23">
        <v>10000</v>
      </c>
      <c r="J211" s="24">
        <v>0.14000000000000001</v>
      </c>
      <c r="K211" s="25">
        <v>0</v>
      </c>
      <c r="L211" s="26">
        <v>0</v>
      </c>
      <c r="M211" s="25">
        <v>10000</v>
      </c>
      <c r="N211" s="27">
        <v>0.1</v>
      </c>
      <c r="O211" s="23">
        <v>10000</v>
      </c>
      <c r="P211" s="24">
        <v>0.18</v>
      </c>
      <c r="Q211" s="25">
        <v>0</v>
      </c>
      <c r="R211" s="19">
        <v>0</v>
      </c>
      <c r="S211" s="25">
        <v>10000</v>
      </c>
      <c r="T211" s="22">
        <v>0.11</v>
      </c>
      <c r="U211" s="34">
        <v>7000</v>
      </c>
      <c r="V211" s="29">
        <v>0.09</v>
      </c>
      <c r="W211" s="30">
        <v>0</v>
      </c>
      <c r="X211" s="29">
        <v>0</v>
      </c>
      <c r="Y211" s="31">
        <v>7000</v>
      </c>
      <c r="Z211" s="29">
        <v>0.08</v>
      </c>
      <c r="AA211" s="32">
        <v>7000</v>
      </c>
      <c r="AB211" s="33"/>
      <c r="AC211" s="32">
        <v>0</v>
      </c>
      <c r="AD211" s="33"/>
      <c r="AE211" s="32">
        <f t="shared" si="0"/>
        <v>7000</v>
      </c>
      <c r="AF211" s="33"/>
      <c r="AG211" s="32">
        <v>9000</v>
      </c>
      <c r="AH211" s="33"/>
      <c r="AI211" s="32">
        <v>0</v>
      </c>
      <c r="AJ211" s="33"/>
      <c r="AK211" s="32">
        <f t="shared" si="1"/>
        <v>9000</v>
      </c>
      <c r="AL211" s="33"/>
      <c r="AM211" s="32">
        <v>9000</v>
      </c>
      <c r="AN211" s="33"/>
      <c r="AO211" s="32">
        <v>0</v>
      </c>
      <c r="AP211" s="33"/>
      <c r="AQ211" s="32">
        <f t="shared" si="2"/>
        <v>9000</v>
      </c>
      <c r="AR211" s="33"/>
    </row>
    <row r="212" spans="1:44" ht="15.75" customHeight="1">
      <c r="A212" s="16">
        <v>50303</v>
      </c>
      <c r="B212" s="17" t="s">
        <v>216</v>
      </c>
      <c r="C212" s="18">
        <v>10000</v>
      </c>
      <c r="D212" s="19">
        <v>0.14000000000000001</v>
      </c>
      <c r="E212" s="20">
        <v>0</v>
      </c>
      <c r="F212" s="19">
        <v>0</v>
      </c>
      <c r="G212" s="36">
        <v>10000</v>
      </c>
      <c r="H212" s="22">
        <v>0.1</v>
      </c>
      <c r="I212" s="23">
        <v>30000</v>
      </c>
      <c r="J212" s="24">
        <v>0.34</v>
      </c>
      <c r="K212" s="25">
        <v>0</v>
      </c>
      <c r="L212" s="26">
        <v>0</v>
      </c>
      <c r="M212" s="25">
        <v>30000</v>
      </c>
      <c r="N212" s="27">
        <v>0.33</v>
      </c>
      <c r="O212" s="23">
        <v>50000</v>
      </c>
      <c r="P212" s="24">
        <v>0.74</v>
      </c>
      <c r="Q212" s="25">
        <v>0</v>
      </c>
      <c r="R212" s="19">
        <v>0</v>
      </c>
      <c r="S212" s="25">
        <v>50000</v>
      </c>
      <c r="T212" s="22">
        <v>0.32</v>
      </c>
      <c r="U212" s="34">
        <v>80000</v>
      </c>
      <c r="V212" s="29">
        <v>1</v>
      </c>
      <c r="W212" s="30">
        <v>0</v>
      </c>
      <c r="X212" s="29">
        <v>0</v>
      </c>
      <c r="Y212" s="31">
        <v>80000</v>
      </c>
      <c r="Z212" s="29">
        <v>0.97</v>
      </c>
      <c r="AA212" s="32">
        <v>80000</v>
      </c>
      <c r="AB212" s="33"/>
      <c r="AC212" s="32">
        <v>0</v>
      </c>
      <c r="AD212" s="33"/>
      <c r="AE212" s="32">
        <f t="shared" si="0"/>
        <v>80000</v>
      </c>
      <c r="AF212" s="33"/>
      <c r="AG212" s="32">
        <v>62200</v>
      </c>
      <c r="AH212" s="33"/>
      <c r="AI212" s="32">
        <v>0</v>
      </c>
      <c r="AJ212" s="33"/>
      <c r="AK212" s="32">
        <f t="shared" si="1"/>
        <v>62200</v>
      </c>
      <c r="AL212" s="33"/>
      <c r="AM212" s="32">
        <v>47200</v>
      </c>
      <c r="AN212" s="33"/>
      <c r="AO212" s="32">
        <v>0</v>
      </c>
      <c r="AP212" s="33"/>
      <c r="AQ212" s="32">
        <f t="shared" si="2"/>
        <v>47200</v>
      </c>
      <c r="AR212" s="33"/>
    </row>
    <row r="213" spans="1:44" ht="15.75" customHeight="1">
      <c r="A213" s="16">
        <v>50401</v>
      </c>
      <c r="B213" s="17" t="s">
        <v>217</v>
      </c>
      <c r="C213" s="35">
        <v>0</v>
      </c>
      <c r="D213" s="19">
        <v>0</v>
      </c>
      <c r="E213" s="20">
        <v>0</v>
      </c>
      <c r="F213" s="19">
        <v>0</v>
      </c>
      <c r="G213" s="21">
        <v>0</v>
      </c>
      <c r="H213" s="22">
        <v>0</v>
      </c>
      <c r="I213" s="23">
        <v>80000</v>
      </c>
      <c r="J213" s="24">
        <v>0.41</v>
      </c>
      <c r="K213" s="25">
        <v>0</v>
      </c>
      <c r="L213" s="26">
        <v>0</v>
      </c>
      <c r="M213" s="25">
        <v>80000</v>
      </c>
      <c r="N213" s="27">
        <v>0.3</v>
      </c>
      <c r="O213" s="23">
        <v>110000</v>
      </c>
      <c r="P213" s="24">
        <v>0.54</v>
      </c>
      <c r="Q213" s="25">
        <v>0</v>
      </c>
      <c r="R213" s="19">
        <v>0</v>
      </c>
      <c r="S213" s="25">
        <v>110000</v>
      </c>
      <c r="T213" s="22">
        <v>0.34</v>
      </c>
      <c r="U213" s="28">
        <v>0</v>
      </c>
      <c r="V213" s="29">
        <v>0</v>
      </c>
      <c r="W213" s="30">
        <v>0</v>
      </c>
      <c r="X213" s="29">
        <v>0</v>
      </c>
      <c r="Y213" s="31">
        <v>0</v>
      </c>
      <c r="Z213" s="29">
        <v>0</v>
      </c>
      <c r="AA213" s="32">
        <v>120400</v>
      </c>
      <c r="AB213" s="33"/>
      <c r="AC213" s="32">
        <v>0</v>
      </c>
      <c r="AD213" s="33"/>
      <c r="AE213" s="32">
        <f t="shared" si="0"/>
        <v>120400</v>
      </c>
      <c r="AF213" s="33"/>
      <c r="AG213" s="32">
        <v>145400</v>
      </c>
      <c r="AH213" s="33"/>
      <c r="AI213" s="32">
        <v>0</v>
      </c>
      <c r="AJ213" s="33"/>
      <c r="AK213" s="32">
        <f t="shared" si="1"/>
        <v>145400</v>
      </c>
      <c r="AL213" s="33"/>
      <c r="AM213" s="32">
        <v>110000</v>
      </c>
      <c r="AN213" s="33"/>
      <c r="AO213" s="32">
        <v>0</v>
      </c>
      <c r="AP213" s="33"/>
      <c r="AQ213" s="32">
        <f t="shared" si="2"/>
        <v>110000</v>
      </c>
      <c r="AR213" s="33"/>
    </row>
    <row r="214" spans="1:44" ht="15.75" customHeight="1">
      <c r="A214" s="16">
        <v>50402</v>
      </c>
      <c r="B214" s="17" t="s">
        <v>218</v>
      </c>
      <c r="C214" s="35">
        <v>0</v>
      </c>
      <c r="D214" s="19">
        <v>0</v>
      </c>
      <c r="E214" s="20">
        <v>0</v>
      </c>
      <c r="F214" s="19">
        <v>0</v>
      </c>
      <c r="G214" s="21">
        <v>0</v>
      </c>
      <c r="H214" s="22">
        <v>0</v>
      </c>
      <c r="I214" s="35">
        <v>0</v>
      </c>
      <c r="J214" s="19">
        <v>0</v>
      </c>
      <c r="K214" s="25">
        <v>0</v>
      </c>
      <c r="L214" s="26">
        <v>0</v>
      </c>
      <c r="M214" s="21">
        <v>0</v>
      </c>
      <c r="N214" s="22">
        <v>0</v>
      </c>
      <c r="O214" s="35">
        <v>0</v>
      </c>
      <c r="P214" s="19">
        <v>0</v>
      </c>
      <c r="Q214" s="25">
        <v>0</v>
      </c>
      <c r="R214" s="19">
        <v>0</v>
      </c>
      <c r="S214" s="21">
        <v>0</v>
      </c>
      <c r="T214" s="22">
        <v>0</v>
      </c>
      <c r="U214" s="34">
        <v>50000</v>
      </c>
      <c r="V214" s="29">
        <v>0.28000000000000003</v>
      </c>
      <c r="W214" s="30">
        <v>0</v>
      </c>
      <c r="X214" s="29">
        <v>0</v>
      </c>
      <c r="Y214" s="31">
        <v>50000</v>
      </c>
      <c r="Z214" s="29">
        <v>0.24</v>
      </c>
      <c r="AA214" s="32">
        <v>50000</v>
      </c>
      <c r="AB214" s="33"/>
      <c r="AC214" s="32">
        <v>0</v>
      </c>
      <c r="AD214" s="33"/>
      <c r="AE214" s="32">
        <f t="shared" si="0"/>
        <v>50000</v>
      </c>
      <c r="AF214" s="33"/>
      <c r="AG214" s="32">
        <v>50000</v>
      </c>
      <c r="AH214" s="33"/>
      <c r="AI214" s="32">
        <v>0</v>
      </c>
      <c r="AJ214" s="33"/>
      <c r="AK214" s="32">
        <f t="shared" si="1"/>
        <v>50000</v>
      </c>
      <c r="AL214" s="33"/>
      <c r="AM214" s="32">
        <v>50000</v>
      </c>
      <c r="AN214" s="33"/>
      <c r="AO214" s="32">
        <v>0</v>
      </c>
      <c r="AP214" s="33"/>
      <c r="AQ214" s="32">
        <f t="shared" si="2"/>
        <v>50000</v>
      </c>
      <c r="AR214" s="33"/>
    </row>
    <row r="215" spans="1:44" ht="15.75" customHeight="1">
      <c r="A215" s="16">
        <v>50403</v>
      </c>
      <c r="B215" s="17" t="s">
        <v>219</v>
      </c>
      <c r="C215" s="35">
        <v>0</v>
      </c>
      <c r="D215" s="19">
        <v>0</v>
      </c>
      <c r="E215" s="20">
        <v>0</v>
      </c>
      <c r="F215" s="19">
        <v>0</v>
      </c>
      <c r="G215" s="21">
        <v>0</v>
      </c>
      <c r="H215" s="22">
        <v>0</v>
      </c>
      <c r="I215" s="35">
        <v>0</v>
      </c>
      <c r="J215" s="19">
        <v>0</v>
      </c>
      <c r="K215" s="25">
        <v>0</v>
      </c>
      <c r="L215" s="26">
        <v>0</v>
      </c>
      <c r="M215" s="21">
        <v>0</v>
      </c>
      <c r="N215" s="22">
        <v>0</v>
      </c>
      <c r="O215" s="35">
        <v>0</v>
      </c>
      <c r="P215" s="19">
        <v>0</v>
      </c>
      <c r="Q215" s="25">
        <v>0</v>
      </c>
      <c r="R215" s="19">
        <v>0</v>
      </c>
      <c r="S215" s="21">
        <v>0</v>
      </c>
      <c r="T215" s="22">
        <v>0</v>
      </c>
      <c r="U215" s="34">
        <v>50000</v>
      </c>
      <c r="V215" s="29">
        <v>0.3</v>
      </c>
      <c r="W215" s="30">
        <v>0</v>
      </c>
      <c r="X215" s="29">
        <v>0</v>
      </c>
      <c r="Y215" s="31">
        <v>50000</v>
      </c>
      <c r="Z215" s="29">
        <v>0.28999999999999998</v>
      </c>
      <c r="AA215" s="32">
        <v>50000</v>
      </c>
      <c r="AB215" s="33"/>
      <c r="AC215" s="32">
        <v>0</v>
      </c>
      <c r="AD215" s="33"/>
      <c r="AE215" s="32">
        <f t="shared" si="0"/>
        <v>50000</v>
      </c>
      <c r="AF215" s="33"/>
      <c r="AG215" s="32">
        <v>100000</v>
      </c>
      <c r="AH215" s="33"/>
      <c r="AI215" s="32">
        <v>0</v>
      </c>
      <c r="AJ215" s="33"/>
      <c r="AK215" s="32">
        <f t="shared" si="1"/>
        <v>100000</v>
      </c>
      <c r="AL215" s="33"/>
      <c r="AM215" s="32">
        <v>100000</v>
      </c>
      <c r="AN215" s="33"/>
      <c r="AO215" s="32">
        <v>0</v>
      </c>
      <c r="AP215" s="33"/>
      <c r="AQ215" s="32">
        <f t="shared" si="2"/>
        <v>100000</v>
      </c>
      <c r="AR215" s="33"/>
    </row>
    <row r="216" spans="1:44" ht="15.75" customHeight="1">
      <c r="A216" s="16">
        <v>50404</v>
      </c>
      <c r="B216" s="17" t="s">
        <v>220</v>
      </c>
      <c r="C216" s="35">
        <v>0</v>
      </c>
      <c r="D216" s="19">
        <v>0</v>
      </c>
      <c r="E216" s="20">
        <v>0</v>
      </c>
      <c r="F216" s="19">
        <v>0</v>
      </c>
      <c r="G216" s="21">
        <v>0</v>
      </c>
      <c r="H216" s="22">
        <v>0</v>
      </c>
      <c r="I216" s="23">
        <v>20000</v>
      </c>
      <c r="J216" s="24">
        <v>0.17</v>
      </c>
      <c r="K216" s="25">
        <v>0</v>
      </c>
      <c r="L216" s="26">
        <v>0</v>
      </c>
      <c r="M216" s="25">
        <v>20000</v>
      </c>
      <c r="N216" s="27">
        <v>0.11</v>
      </c>
      <c r="O216" s="23">
        <v>20000</v>
      </c>
      <c r="P216" s="24">
        <v>0.18</v>
      </c>
      <c r="Q216" s="25">
        <v>0</v>
      </c>
      <c r="R216" s="19">
        <v>0</v>
      </c>
      <c r="S216" s="25">
        <v>20000</v>
      </c>
      <c r="T216" s="22">
        <v>0.13</v>
      </c>
      <c r="U216" s="34">
        <v>62000</v>
      </c>
      <c r="V216" s="29">
        <v>0.48</v>
      </c>
      <c r="W216" s="30">
        <v>0</v>
      </c>
      <c r="X216" s="29">
        <v>0</v>
      </c>
      <c r="Y216" s="31">
        <v>62000</v>
      </c>
      <c r="Z216" s="29">
        <v>0.42</v>
      </c>
      <c r="AA216" s="32">
        <v>101667</v>
      </c>
      <c r="AB216" s="33"/>
      <c r="AC216" s="32">
        <v>0</v>
      </c>
      <c r="AD216" s="33"/>
      <c r="AE216" s="32">
        <f t="shared" si="0"/>
        <v>101667</v>
      </c>
      <c r="AF216" s="33"/>
      <c r="AG216" s="32">
        <v>101667</v>
      </c>
      <c r="AH216" s="33"/>
      <c r="AI216" s="32">
        <v>0</v>
      </c>
      <c r="AJ216" s="33"/>
      <c r="AK216" s="32">
        <f t="shared" si="1"/>
        <v>101667</v>
      </c>
      <c r="AL216" s="33"/>
      <c r="AM216" s="32">
        <v>101667</v>
      </c>
      <c r="AN216" s="33"/>
      <c r="AO216" s="32">
        <v>0</v>
      </c>
      <c r="AP216" s="33"/>
      <c r="AQ216" s="32">
        <f t="shared" si="2"/>
        <v>101667</v>
      </c>
      <c r="AR216" s="33"/>
    </row>
    <row r="217" spans="1:44" ht="15.75" customHeight="1">
      <c r="A217" s="38">
        <v>50405</v>
      </c>
      <c r="B217" s="39" t="s">
        <v>221</v>
      </c>
      <c r="C217" s="35"/>
      <c r="D217" s="19">
        <v>0</v>
      </c>
      <c r="E217" s="20">
        <v>0</v>
      </c>
      <c r="F217" s="19">
        <v>0</v>
      </c>
      <c r="G217" s="21">
        <v>0</v>
      </c>
      <c r="H217" s="22">
        <v>0</v>
      </c>
      <c r="I217" s="23">
        <v>80000</v>
      </c>
      <c r="J217" s="24">
        <v>0.41</v>
      </c>
      <c r="K217" s="25">
        <v>0</v>
      </c>
      <c r="L217" s="26">
        <v>0</v>
      </c>
      <c r="M217" s="25">
        <v>80000</v>
      </c>
      <c r="N217" s="27">
        <v>0.3</v>
      </c>
      <c r="O217" s="23">
        <v>110000</v>
      </c>
      <c r="P217" s="24">
        <v>0.54</v>
      </c>
      <c r="Q217" s="25">
        <v>0</v>
      </c>
      <c r="R217" s="19">
        <v>0</v>
      </c>
      <c r="S217" s="25">
        <v>110000</v>
      </c>
      <c r="T217" s="22">
        <v>0.34</v>
      </c>
      <c r="U217" s="28">
        <v>0</v>
      </c>
      <c r="V217" s="29">
        <v>0</v>
      </c>
      <c r="W217" s="30">
        <v>0</v>
      </c>
      <c r="X217" s="29">
        <v>0</v>
      </c>
      <c r="Y217" s="31">
        <v>0</v>
      </c>
      <c r="Z217" s="29">
        <v>0</v>
      </c>
      <c r="AA217" s="32"/>
      <c r="AB217" s="33"/>
      <c r="AC217" s="32">
        <v>0</v>
      </c>
      <c r="AD217" s="33"/>
      <c r="AE217" s="32">
        <f t="shared" si="0"/>
        <v>0</v>
      </c>
      <c r="AF217" s="33"/>
      <c r="AG217" s="32">
        <v>16136</v>
      </c>
      <c r="AH217" s="33"/>
      <c r="AI217" s="32">
        <v>0</v>
      </c>
      <c r="AJ217" s="33"/>
      <c r="AK217" s="32">
        <f t="shared" si="1"/>
        <v>16136</v>
      </c>
      <c r="AL217" s="33"/>
      <c r="AM217" s="32">
        <v>29000</v>
      </c>
      <c r="AN217" s="33"/>
      <c r="AO217" s="32">
        <v>0</v>
      </c>
      <c r="AP217" s="33"/>
      <c r="AQ217" s="32">
        <f t="shared" si="2"/>
        <v>29000</v>
      </c>
      <c r="AR217" s="33"/>
    </row>
    <row r="218" spans="1:44" ht="15.75" customHeight="1">
      <c r="A218" s="16">
        <v>50501</v>
      </c>
      <c r="B218" s="17" t="s">
        <v>222</v>
      </c>
      <c r="C218" s="18">
        <v>150000</v>
      </c>
      <c r="D218" s="19">
        <v>0.82</v>
      </c>
      <c r="E218" s="20">
        <v>0</v>
      </c>
      <c r="F218" s="19">
        <v>0</v>
      </c>
      <c r="G218" s="21">
        <v>150000</v>
      </c>
      <c r="H218" s="22">
        <v>0.78</v>
      </c>
      <c r="I218" s="23">
        <v>150000</v>
      </c>
      <c r="J218" s="24">
        <v>0.8</v>
      </c>
      <c r="K218" s="25">
        <v>0</v>
      </c>
      <c r="L218" s="26">
        <v>0</v>
      </c>
      <c r="M218" s="25">
        <v>150000</v>
      </c>
      <c r="N218" s="27">
        <v>0.61</v>
      </c>
      <c r="O218" s="23">
        <v>160000</v>
      </c>
      <c r="P218" s="24">
        <v>0.56000000000000005</v>
      </c>
      <c r="Q218" s="25">
        <v>0</v>
      </c>
      <c r="R218" s="19">
        <v>0</v>
      </c>
      <c r="S218" s="25">
        <v>160000</v>
      </c>
      <c r="T218" s="22">
        <v>0.39</v>
      </c>
      <c r="U218" s="34">
        <v>80000</v>
      </c>
      <c r="V218" s="29">
        <v>0.33</v>
      </c>
      <c r="W218" s="30">
        <v>0</v>
      </c>
      <c r="X218" s="29">
        <v>0</v>
      </c>
      <c r="Y218" s="31">
        <v>80000</v>
      </c>
      <c r="Z218" s="29">
        <v>0.32</v>
      </c>
      <c r="AA218" s="32">
        <v>83435</v>
      </c>
      <c r="AB218" s="33"/>
      <c r="AC218" s="32">
        <v>0</v>
      </c>
      <c r="AD218" s="33"/>
      <c r="AE218" s="32">
        <f t="shared" si="0"/>
        <v>83435</v>
      </c>
      <c r="AF218" s="33"/>
      <c r="AG218" s="32">
        <v>80000</v>
      </c>
      <c r="AH218" s="33"/>
      <c r="AI218" s="32">
        <v>0</v>
      </c>
      <c r="AJ218" s="33"/>
      <c r="AK218" s="32">
        <f t="shared" si="1"/>
        <v>80000</v>
      </c>
      <c r="AL218" s="33"/>
      <c r="AM218" s="32">
        <v>50000</v>
      </c>
      <c r="AN218" s="33"/>
      <c r="AO218" s="32">
        <v>0</v>
      </c>
      <c r="AP218" s="33"/>
      <c r="AQ218" s="32">
        <f t="shared" si="2"/>
        <v>50000</v>
      </c>
      <c r="AR218" s="33"/>
    </row>
    <row r="219" spans="1:44" ht="15.75" customHeight="1">
      <c r="A219" s="16">
        <v>50502</v>
      </c>
      <c r="B219" s="17" t="s">
        <v>223</v>
      </c>
      <c r="C219" s="18">
        <v>25000</v>
      </c>
      <c r="D219" s="19">
        <v>0.34</v>
      </c>
      <c r="E219" s="20">
        <v>0</v>
      </c>
      <c r="F219" s="19">
        <v>0</v>
      </c>
      <c r="G219" s="21">
        <v>25000</v>
      </c>
      <c r="H219" s="22">
        <v>0.28000000000000003</v>
      </c>
      <c r="I219" s="23">
        <v>51000</v>
      </c>
      <c r="J219" s="24">
        <v>0.74</v>
      </c>
      <c r="K219" s="25">
        <v>0</v>
      </c>
      <c r="L219" s="26">
        <v>0</v>
      </c>
      <c r="M219" s="25">
        <v>51000</v>
      </c>
      <c r="N219" s="27">
        <v>0.44</v>
      </c>
      <c r="O219" s="23">
        <v>56000</v>
      </c>
      <c r="P219" s="24">
        <v>0.83</v>
      </c>
      <c r="Q219" s="25">
        <v>0</v>
      </c>
      <c r="R219" s="19">
        <v>0</v>
      </c>
      <c r="S219" s="25">
        <v>56000</v>
      </c>
      <c r="T219" s="22">
        <v>0.44</v>
      </c>
      <c r="U219" s="34">
        <v>110000</v>
      </c>
      <c r="V219" s="29">
        <v>1.1399999999999999</v>
      </c>
      <c r="W219" s="30">
        <v>0</v>
      </c>
      <c r="X219" s="29">
        <v>0</v>
      </c>
      <c r="Y219" s="31">
        <v>110000</v>
      </c>
      <c r="Z219" s="29">
        <v>0.7</v>
      </c>
      <c r="AA219" s="32">
        <v>92000</v>
      </c>
      <c r="AB219" s="33"/>
      <c r="AC219" s="32">
        <v>0</v>
      </c>
      <c r="AD219" s="33"/>
      <c r="AE219" s="32">
        <f t="shared" si="0"/>
        <v>92000</v>
      </c>
      <c r="AF219" s="33"/>
      <c r="AG219" s="32">
        <v>115000</v>
      </c>
      <c r="AH219" s="33"/>
      <c r="AI219" s="32">
        <v>0</v>
      </c>
      <c r="AJ219" s="33"/>
      <c r="AK219" s="32">
        <f t="shared" si="1"/>
        <v>115000</v>
      </c>
      <c r="AL219" s="33"/>
      <c r="AM219" s="32">
        <v>110000</v>
      </c>
      <c r="AN219" s="33"/>
      <c r="AO219" s="32">
        <v>0</v>
      </c>
      <c r="AP219" s="33"/>
      <c r="AQ219" s="32">
        <f t="shared" si="2"/>
        <v>110000</v>
      </c>
      <c r="AR219" s="33"/>
    </row>
    <row r="220" spans="1:44" ht="15.75" customHeight="1">
      <c r="A220" s="16">
        <v>50601</v>
      </c>
      <c r="B220" s="17" t="s">
        <v>224</v>
      </c>
      <c r="C220" s="35">
        <v>0</v>
      </c>
      <c r="D220" s="19">
        <v>0</v>
      </c>
      <c r="E220" s="20">
        <v>0</v>
      </c>
      <c r="F220" s="19">
        <v>0</v>
      </c>
      <c r="G220" s="21">
        <v>0</v>
      </c>
      <c r="H220" s="22">
        <v>0</v>
      </c>
      <c r="I220" s="35">
        <v>0</v>
      </c>
      <c r="J220" s="19">
        <v>0</v>
      </c>
      <c r="K220" s="25">
        <v>0</v>
      </c>
      <c r="L220" s="26">
        <v>0</v>
      </c>
      <c r="M220" s="21">
        <v>0</v>
      </c>
      <c r="N220" s="22">
        <v>0</v>
      </c>
      <c r="O220" s="35">
        <v>0</v>
      </c>
      <c r="P220" s="19">
        <v>0</v>
      </c>
      <c r="Q220" s="25">
        <v>0</v>
      </c>
      <c r="R220" s="19">
        <v>0</v>
      </c>
      <c r="S220" s="21">
        <v>0</v>
      </c>
      <c r="T220" s="22">
        <v>0</v>
      </c>
      <c r="U220" s="28">
        <v>0</v>
      </c>
      <c r="V220" s="29">
        <v>0</v>
      </c>
      <c r="W220" s="30">
        <v>0</v>
      </c>
      <c r="X220" s="29">
        <v>0</v>
      </c>
      <c r="Y220" s="31">
        <v>0</v>
      </c>
      <c r="Z220" s="29">
        <v>0</v>
      </c>
      <c r="AA220" s="32"/>
      <c r="AB220" s="33"/>
      <c r="AC220" s="32">
        <v>0</v>
      </c>
      <c r="AD220" s="33"/>
      <c r="AE220" s="32">
        <f t="shared" si="0"/>
        <v>0</v>
      </c>
      <c r="AF220" s="33"/>
      <c r="AG220" s="32"/>
      <c r="AH220" s="33"/>
      <c r="AI220" s="32">
        <v>0</v>
      </c>
      <c r="AJ220" s="33"/>
      <c r="AK220" s="32">
        <f t="shared" si="1"/>
        <v>0</v>
      </c>
      <c r="AL220" s="33"/>
      <c r="AM220" s="32"/>
      <c r="AN220" s="33"/>
      <c r="AO220" s="32">
        <v>0</v>
      </c>
      <c r="AP220" s="33"/>
      <c r="AQ220" s="32">
        <f t="shared" si="2"/>
        <v>0</v>
      </c>
      <c r="AR220" s="33"/>
    </row>
    <row r="221" spans="1:44" ht="15.75" customHeight="1">
      <c r="A221" s="16">
        <v>50602</v>
      </c>
      <c r="B221" s="17" t="s">
        <v>225</v>
      </c>
      <c r="C221" s="35">
        <v>0</v>
      </c>
      <c r="D221" s="19">
        <v>0</v>
      </c>
      <c r="E221" s="20">
        <v>0</v>
      </c>
      <c r="F221" s="19">
        <v>0</v>
      </c>
      <c r="G221" s="21">
        <v>0</v>
      </c>
      <c r="H221" s="22">
        <v>0</v>
      </c>
      <c r="I221" s="35">
        <v>0</v>
      </c>
      <c r="J221" s="19">
        <v>0</v>
      </c>
      <c r="K221" s="25">
        <v>0</v>
      </c>
      <c r="L221" s="26">
        <v>0</v>
      </c>
      <c r="M221" s="21">
        <v>0</v>
      </c>
      <c r="N221" s="22">
        <v>0</v>
      </c>
      <c r="O221" s="35">
        <v>0</v>
      </c>
      <c r="P221" s="19">
        <v>0</v>
      </c>
      <c r="Q221" s="25">
        <v>0</v>
      </c>
      <c r="R221" s="19">
        <v>0</v>
      </c>
      <c r="S221" s="21">
        <v>0</v>
      </c>
      <c r="T221" s="22">
        <v>0</v>
      </c>
      <c r="U221" s="28">
        <v>0</v>
      </c>
      <c r="V221" s="29">
        <v>0</v>
      </c>
      <c r="W221" s="30">
        <v>0</v>
      </c>
      <c r="X221" s="29">
        <v>0</v>
      </c>
      <c r="Y221" s="31">
        <v>0</v>
      </c>
      <c r="Z221" s="29">
        <v>0</v>
      </c>
      <c r="AA221" s="32">
        <v>0</v>
      </c>
      <c r="AB221" s="33"/>
      <c r="AC221" s="32">
        <v>0</v>
      </c>
      <c r="AD221" s="33"/>
      <c r="AE221" s="32">
        <f t="shared" si="0"/>
        <v>0</v>
      </c>
      <c r="AF221" s="33"/>
      <c r="AG221" s="32">
        <v>40000</v>
      </c>
      <c r="AH221" s="33"/>
      <c r="AI221" s="32">
        <v>0</v>
      </c>
      <c r="AJ221" s="33"/>
      <c r="AK221" s="32">
        <f t="shared" si="1"/>
        <v>40000</v>
      </c>
      <c r="AL221" s="33"/>
      <c r="AM221" s="32">
        <v>42000</v>
      </c>
      <c r="AN221" s="33"/>
      <c r="AO221" s="32">
        <v>0</v>
      </c>
      <c r="AP221" s="33"/>
      <c r="AQ221" s="32">
        <f t="shared" si="2"/>
        <v>42000</v>
      </c>
      <c r="AR221" s="33"/>
    </row>
    <row r="222" spans="1:44" ht="15.75" customHeight="1">
      <c r="A222" s="16">
        <v>50701</v>
      </c>
      <c r="B222" s="17" t="s">
        <v>226</v>
      </c>
      <c r="C222" s="18">
        <v>18593</v>
      </c>
      <c r="D222" s="19">
        <v>0.21</v>
      </c>
      <c r="E222" s="20">
        <v>0</v>
      </c>
      <c r="F222" s="19">
        <v>0</v>
      </c>
      <c r="G222" s="21">
        <v>18593</v>
      </c>
      <c r="H222" s="22">
        <v>0.12</v>
      </c>
      <c r="I222" s="35">
        <v>0</v>
      </c>
      <c r="J222" s="19">
        <v>0</v>
      </c>
      <c r="K222" s="25">
        <v>0</v>
      </c>
      <c r="L222" s="26">
        <v>0</v>
      </c>
      <c r="M222" s="21">
        <v>0</v>
      </c>
      <c r="N222" s="22">
        <v>0</v>
      </c>
      <c r="O222" s="23">
        <v>43800</v>
      </c>
      <c r="P222" s="24">
        <v>0.3</v>
      </c>
      <c r="Q222" s="25">
        <v>0</v>
      </c>
      <c r="R222" s="19">
        <v>0</v>
      </c>
      <c r="S222" s="25">
        <v>43800</v>
      </c>
      <c r="T222" s="22">
        <v>0.23</v>
      </c>
      <c r="U222" s="34">
        <v>44000</v>
      </c>
      <c r="V222" s="29">
        <v>0.3</v>
      </c>
      <c r="W222" s="30">
        <v>0</v>
      </c>
      <c r="X222" s="29">
        <v>0</v>
      </c>
      <c r="Y222" s="31">
        <v>44000</v>
      </c>
      <c r="Z222" s="29">
        <v>0.25</v>
      </c>
      <c r="AA222" s="32">
        <v>44000</v>
      </c>
      <c r="AB222" s="33"/>
      <c r="AC222" s="32">
        <v>0</v>
      </c>
      <c r="AD222" s="33"/>
      <c r="AE222" s="32">
        <f t="shared" si="0"/>
        <v>44000</v>
      </c>
      <c r="AF222" s="33"/>
      <c r="AG222" s="32">
        <v>44000</v>
      </c>
      <c r="AH222" s="33"/>
      <c r="AI222" s="32">
        <v>0</v>
      </c>
      <c r="AJ222" s="33"/>
      <c r="AK222" s="32">
        <f t="shared" si="1"/>
        <v>44000</v>
      </c>
      <c r="AL222" s="33"/>
      <c r="AM222" s="32">
        <v>52000</v>
      </c>
      <c r="AN222" s="33"/>
      <c r="AO222" s="32">
        <v>0</v>
      </c>
      <c r="AP222" s="33"/>
      <c r="AQ222" s="32">
        <f t="shared" si="2"/>
        <v>52000</v>
      </c>
      <c r="AR222" s="33"/>
    </row>
    <row r="223" spans="1:44" ht="15.75" customHeight="1">
      <c r="A223" s="16">
        <v>50702</v>
      </c>
      <c r="B223" s="17" t="s">
        <v>227</v>
      </c>
      <c r="C223" s="18">
        <v>20017</v>
      </c>
      <c r="D223" s="19">
        <v>0.23</v>
      </c>
      <c r="E223" s="20">
        <v>0</v>
      </c>
      <c r="F223" s="19">
        <v>0</v>
      </c>
      <c r="G223" s="21">
        <v>20017</v>
      </c>
      <c r="H223" s="22">
        <v>0.15</v>
      </c>
      <c r="I223" s="23">
        <v>16793</v>
      </c>
      <c r="J223" s="24">
        <v>0.24</v>
      </c>
      <c r="K223" s="25">
        <v>0</v>
      </c>
      <c r="L223" s="26">
        <v>0</v>
      </c>
      <c r="M223" s="25">
        <v>16793</v>
      </c>
      <c r="N223" s="27">
        <v>0.16</v>
      </c>
      <c r="O223" s="23">
        <v>11894</v>
      </c>
      <c r="P223" s="24">
        <v>0.23</v>
      </c>
      <c r="Q223" s="25">
        <v>0</v>
      </c>
      <c r="R223" s="19">
        <v>0</v>
      </c>
      <c r="S223" s="25">
        <v>11894</v>
      </c>
      <c r="T223" s="22">
        <v>0.12</v>
      </c>
      <c r="U223" s="34">
        <v>22000</v>
      </c>
      <c r="V223" s="29">
        <v>0.33</v>
      </c>
      <c r="W223" s="31">
        <v>50000</v>
      </c>
      <c r="X223" s="29">
        <v>9.17</v>
      </c>
      <c r="Y223" s="31">
        <v>72000</v>
      </c>
      <c r="Z223" s="29">
        <v>1</v>
      </c>
      <c r="AA223" s="32">
        <v>29550</v>
      </c>
      <c r="AB223" s="33"/>
      <c r="AC223" s="32">
        <v>0</v>
      </c>
      <c r="AD223" s="33"/>
      <c r="AE223" s="32">
        <f t="shared" si="0"/>
        <v>29550</v>
      </c>
      <c r="AF223" s="33"/>
      <c r="AG223" s="32">
        <v>29200</v>
      </c>
      <c r="AH223" s="33"/>
      <c r="AI223" s="32">
        <v>0</v>
      </c>
      <c r="AJ223" s="33"/>
      <c r="AK223" s="32">
        <f t="shared" si="1"/>
        <v>29200</v>
      </c>
      <c r="AL223" s="33"/>
      <c r="AM223" s="32">
        <v>29400</v>
      </c>
      <c r="AN223" s="33"/>
      <c r="AO223" s="32">
        <v>0</v>
      </c>
      <c r="AP223" s="33"/>
      <c r="AQ223" s="32">
        <f t="shared" si="2"/>
        <v>29400</v>
      </c>
      <c r="AR223" s="33"/>
    </row>
    <row r="224" spans="1:44" ht="15.75" customHeight="1">
      <c r="A224" s="16">
        <v>50801</v>
      </c>
      <c r="B224" s="17" t="s">
        <v>228</v>
      </c>
      <c r="C224" s="18">
        <v>303000</v>
      </c>
      <c r="D224" s="19">
        <v>1.45</v>
      </c>
      <c r="E224" s="20">
        <v>0</v>
      </c>
      <c r="F224" s="19">
        <v>0</v>
      </c>
      <c r="G224" s="21">
        <v>303000</v>
      </c>
      <c r="H224" s="22">
        <v>0.86</v>
      </c>
      <c r="I224" s="23">
        <v>1136499</v>
      </c>
      <c r="J224" s="24">
        <v>3.56</v>
      </c>
      <c r="K224" s="25">
        <v>0</v>
      </c>
      <c r="L224" s="26">
        <v>0</v>
      </c>
      <c r="M224" s="25">
        <v>1136499</v>
      </c>
      <c r="N224" s="27">
        <v>2.46</v>
      </c>
      <c r="O224" s="23">
        <v>573000</v>
      </c>
      <c r="P224" s="24">
        <v>1.53</v>
      </c>
      <c r="Q224" s="25">
        <v>0</v>
      </c>
      <c r="R224" s="19">
        <v>0</v>
      </c>
      <c r="S224" s="25">
        <v>573000</v>
      </c>
      <c r="T224" s="22">
        <v>1.19</v>
      </c>
      <c r="U224" s="34">
        <v>1656300</v>
      </c>
      <c r="V224" s="29">
        <v>3.63</v>
      </c>
      <c r="W224" s="30">
        <v>0</v>
      </c>
      <c r="X224" s="29">
        <v>0</v>
      </c>
      <c r="Y224" s="31">
        <v>1656300</v>
      </c>
      <c r="Z224" s="29">
        <v>3.36</v>
      </c>
      <c r="AA224" s="32">
        <v>1656300</v>
      </c>
      <c r="AB224" s="33"/>
      <c r="AC224" s="32">
        <v>0</v>
      </c>
      <c r="AD224" s="33"/>
      <c r="AE224" s="32">
        <f t="shared" si="0"/>
        <v>1656300</v>
      </c>
      <c r="AF224" s="33"/>
      <c r="AG224" s="32">
        <v>1456300</v>
      </c>
      <c r="AH224" s="33"/>
      <c r="AI224" s="32">
        <v>0</v>
      </c>
      <c r="AJ224" s="33"/>
      <c r="AK224" s="32">
        <f t="shared" si="1"/>
        <v>1456300</v>
      </c>
      <c r="AL224" s="33"/>
      <c r="AM224" s="32">
        <v>3100010</v>
      </c>
      <c r="AN224" s="33"/>
      <c r="AO224" s="32">
        <v>0</v>
      </c>
      <c r="AP224" s="33"/>
      <c r="AQ224" s="32">
        <f t="shared" si="2"/>
        <v>3100010</v>
      </c>
      <c r="AR224" s="33"/>
    </row>
    <row r="225" spans="1:44" ht="15.75" customHeight="1">
      <c r="A225" s="16">
        <v>50802</v>
      </c>
      <c r="B225" s="17" t="s">
        <v>229</v>
      </c>
      <c r="C225" s="18">
        <v>210209</v>
      </c>
      <c r="D225" s="19">
        <v>2.61</v>
      </c>
      <c r="E225" s="20">
        <v>0</v>
      </c>
      <c r="F225" s="19">
        <v>0</v>
      </c>
      <c r="G225" s="21">
        <v>210209</v>
      </c>
      <c r="H225" s="22">
        <v>1.1599999999999999</v>
      </c>
      <c r="I225" s="23">
        <v>174860</v>
      </c>
      <c r="J225" s="24">
        <v>2.0499999999999998</v>
      </c>
      <c r="K225" s="25">
        <v>0</v>
      </c>
      <c r="L225" s="26">
        <v>0</v>
      </c>
      <c r="M225" s="25">
        <v>174860</v>
      </c>
      <c r="N225" s="27">
        <v>0.61</v>
      </c>
      <c r="O225" s="23">
        <v>230000</v>
      </c>
      <c r="P225" s="24">
        <v>2.12</v>
      </c>
      <c r="Q225" s="25">
        <v>0</v>
      </c>
      <c r="R225" s="19">
        <v>0</v>
      </c>
      <c r="S225" s="25">
        <v>230000</v>
      </c>
      <c r="T225" s="22">
        <v>1.27</v>
      </c>
      <c r="U225" s="34">
        <v>250000</v>
      </c>
      <c r="V225" s="29">
        <v>2.27</v>
      </c>
      <c r="W225" s="30">
        <v>0</v>
      </c>
      <c r="X225" s="29">
        <v>0</v>
      </c>
      <c r="Y225" s="31">
        <v>250000</v>
      </c>
      <c r="Z225" s="29">
        <v>1.63</v>
      </c>
      <c r="AA225" s="32">
        <v>315935</v>
      </c>
      <c r="AB225" s="33"/>
      <c r="AC225" s="32">
        <v>0</v>
      </c>
      <c r="AD225" s="33"/>
      <c r="AE225" s="32">
        <f t="shared" si="0"/>
        <v>315935</v>
      </c>
      <c r="AF225" s="33"/>
      <c r="AG225" s="32">
        <v>452881</v>
      </c>
      <c r="AH225" s="33"/>
      <c r="AI225" s="32">
        <v>0</v>
      </c>
      <c r="AJ225" s="33"/>
      <c r="AK225" s="32">
        <f t="shared" si="1"/>
        <v>452881</v>
      </c>
      <c r="AL225" s="33"/>
      <c r="AM225" s="32">
        <v>352868</v>
      </c>
      <c r="AN225" s="33"/>
      <c r="AO225" s="32">
        <v>0</v>
      </c>
      <c r="AP225" s="33"/>
      <c r="AQ225" s="32">
        <f t="shared" si="2"/>
        <v>352868</v>
      </c>
      <c r="AR225" s="33"/>
    </row>
    <row r="226" spans="1:44" ht="15.75" customHeight="1">
      <c r="A226" s="16">
        <v>50901</v>
      </c>
      <c r="B226" s="17" t="s">
        <v>230</v>
      </c>
      <c r="C226" s="18">
        <v>107000</v>
      </c>
      <c r="D226" s="19">
        <v>0.32</v>
      </c>
      <c r="E226" s="20">
        <v>0</v>
      </c>
      <c r="F226" s="19">
        <v>0</v>
      </c>
      <c r="G226" s="21">
        <v>107000</v>
      </c>
      <c r="H226" s="22">
        <v>0.13</v>
      </c>
      <c r="I226" s="23">
        <v>74000</v>
      </c>
      <c r="J226" s="24">
        <v>0.25</v>
      </c>
      <c r="K226" s="25">
        <v>0</v>
      </c>
      <c r="L226" s="26">
        <v>0</v>
      </c>
      <c r="M226" s="25">
        <v>74000</v>
      </c>
      <c r="N226" s="27">
        <v>0.2</v>
      </c>
      <c r="O226" s="23">
        <v>85000</v>
      </c>
      <c r="P226" s="24">
        <v>0.27</v>
      </c>
      <c r="Q226" s="25">
        <v>0</v>
      </c>
      <c r="R226" s="19">
        <v>0</v>
      </c>
      <c r="S226" s="25">
        <v>85000</v>
      </c>
      <c r="T226" s="22">
        <v>0.17</v>
      </c>
      <c r="U226" s="34">
        <v>160000</v>
      </c>
      <c r="V226" s="29">
        <v>0.46</v>
      </c>
      <c r="W226" s="30">
        <v>0</v>
      </c>
      <c r="X226" s="29">
        <v>0</v>
      </c>
      <c r="Y226" s="31">
        <v>160000</v>
      </c>
      <c r="Z226" s="29">
        <v>0.28999999999999998</v>
      </c>
      <c r="AA226" s="32">
        <v>160000</v>
      </c>
      <c r="AB226" s="33"/>
      <c r="AC226" s="32">
        <v>1600000</v>
      </c>
      <c r="AD226" s="33"/>
      <c r="AE226" s="32">
        <f t="shared" si="0"/>
        <v>1760000</v>
      </c>
      <c r="AF226" s="33"/>
      <c r="AG226" s="32">
        <v>382676</v>
      </c>
      <c r="AH226" s="33"/>
      <c r="AI226" s="32">
        <v>2000000</v>
      </c>
      <c r="AJ226" s="33"/>
      <c r="AK226" s="32">
        <f t="shared" si="1"/>
        <v>2382676</v>
      </c>
      <c r="AL226" s="33"/>
      <c r="AM226" s="32">
        <v>382676</v>
      </c>
      <c r="AN226" s="33"/>
      <c r="AO226" s="32">
        <v>2840820</v>
      </c>
      <c r="AP226" s="33"/>
      <c r="AQ226" s="32">
        <f t="shared" si="2"/>
        <v>3223496</v>
      </c>
      <c r="AR226" s="33"/>
    </row>
    <row r="227" spans="1:44" ht="15.75" customHeight="1">
      <c r="A227" s="16">
        <v>50902</v>
      </c>
      <c r="B227" s="17" t="s">
        <v>231</v>
      </c>
      <c r="C227" s="35">
        <v>0</v>
      </c>
      <c r="D227" s="19">
        <v>0</v>
      </c>
      <c r="E227" s="20">
        <v>0</v>
      </c>
      <c r="F227" s="19">
        <v>0</v>
      </c>
      <c r="G227" s="21">
        <v>0</v>
      </c>
      <c r="H227" s="22">
        <v>0</v>
      </c>
      <c r="I227" s="35">
        <v>0</v>
      </c>
      <c r="J227" s="19">
        <v>0</v>
      </c>
      <c r="K227" s="25">
        <v>0</v>
      </c>
      <c r="L227" s="26">
        <v>0</v>
      </c>
      <c r="M227" s="21">
        <v>0</v>
      </c>
      <c r="N227" s="22">
        <v>0</v>
      </c>
      <c r="O227" s="35">
        <v>0</v>
      </c>
      <c r="P227" s="19">
        <v>0</v>
      </c>
      <c r="Q227" s="25">
        <v>0</v>
      </c>
      <c r="R227" s="19">
        <v>0</v>
      </c>
      <c r="S227" s="21">
        <v>0</v>
      </c>
      <c r="T227" s="22">
        <v>0</v>
      </c>
      <c r="U227" s="28">
        <v>0</v>
      </c>
      <c r="V227" s="29">
        <v>0</v>
      </c>
      <c r="W227" s="30">
        <v>0</v>
      </c>
      <c r="X227" s="29">
        <v>0</v>
      </c>
      <c r="Y227" s="31">
        <v>0</v>
      </c>
      <c r="Z227" s="29">
        <v>0</v>
      </c>
      <c r="AA227" s="32"/>
      <c r="AB227" s="33"/>
      <c r="AC227" s="32">
        <v>0</v>
      </c>
      <c r="AD227" s="33"/>
      <c r="AE227" s="32">
        <f t="shared" si="0"/>
        <v>0</v>
      </c>
      <c r="AF227" s="33"/>
      <c r="AG227" s="32"/>
      <c r="AH227" s="33"/>
      <c r="AI227" s="32">
        <v>0</v>
      </c>
      <c r="AJ227" s="33"/>
      <c r="AK227" s="32">
        <f t="shared" si="1"/>
        <v>0</v>
      </c>
      <c r="AL227" s="33"/>
      <c r="AM227" s="32"/>
      <c r="AN227" s="33"/>
      <c r="AO227" s="32">
        <v>0</v>
      </c>
      <c r="AP227" s="33"/>
      <c r="AQ227" s="32">
        <f t="shared" si="2"/>
        <v>0</v>
      </c>
      <c r="AR227" s="33"/>
    </row>
    <row r="228" spans="1:44" ht="15.75" customHeight="1">
      <c r="A228" s="16">
        <v>51001</v>
      </c>
      <c r="B228" s="17" t="s">
        <v>232</v>
      </c>
      <c r="C228" s="35">
        <v>0</v>
      </c>
      <c r="D228" s="19">
        <v>0</v>
      </c>
      <c r="E228" s="20">
        <v>0</v>
      </c>
      <c r="F228" s="19">
        <v>0</v>
      </c>
      <c r="G228" s="21">
        <v>0</v>
      </c>
      <c r="H228" s="22">
        <v>0</v>
      </c>
      <c r="I228" s="35">
        <v>0</v>
      </c>
      <c r="J228" s="19">
        <v>0</v>
      </c>
      <c r="K228" s="25">
        <v>0</v>
      </c>
      <c r="L228" s="26">
        <v>0</v>
      </c>
      <c r="M228" s="21">
        <v>0</v>
      </c>
      <c r="N228" s="22">
        <v>0</v>
      </c>
      <c r="O228" s="35">
        <v>0</v>
      </c>
      <c r="P228" s="19">
        <v>0</v>
      </c>
      <c r="Q228" s="25">
        <v>0</v>
      </c>
      <c r="R228" s="19">
        <v>0</v>
      </c>
      <c r="S228" s="21">
        <v>0</v>
      </c>
      <c r="T228" s="22">
        <v>0</v>
      </c>
      <c r="U228" s="34">
        <v>10000</v>
      </c>
      <c r="V228" s="29">
        <v>0.37</v>
      </c>
      <c r="W228" s="30">
        <v>0</v>
      </c>
      <c r="X228" s="29">
        <v>0</v>
      </c>
      <c r="Y228" s="31">
        <v>10000</v>
      </c>
      <c r="Z228" s="29">
        <v>0.35</v>
      </c>
      <c r="AA228" s="32">
        <v>15000</v>
      </c>
      <c r="AB228" s="33"/>
      <c r="AC228" s="32">
        <v>0</v>
      </c>
      <c r="AD228" s="33"/>
      <c r="AE228" s="32">
        <f t="shared" si="0"/>
        <v>15000</v>
      </c>
      <c r="AF228" s="33"/>
      <c r="AG228" s="32">
        <v>7000</v>
      </c>
      <c r="AH228" s="33"/>
      <c r="AI228" s="32">
        <v>0</v>
      </c>
      <c r="AJ228" s="33"/>
      <c r="AK228" s="32">
        <f t="shared" si="1"/>
        <v>7000</v>
      </c>
      <c r="AL228" s="33"/>
      <c r="AM228" s="32">
        <v>7000</v>
      </c>
      <c r="AN228" s="33"/>
      <c r="AO228" s="32">
        <v>0</v>
      </c>
      <c r="AP228" s="33"/>
      <c r="AQ228" s="32">
        <f t="shared" si="2"/>
        <v>7000</v>
      </c>
      <c r="AR228" s="33"/>
    </row>
    <row r="229" spans="1:44" ht="15.75" customHeight="1">
      <c r="A229" s="16">
        <v>51002</v>
      </c>
      <c r="B229" s="17" t="s">
        <v>233</v>
      </c>
      <c r="C229" s="35">
        <v>0</v>
      </c>
      <c r="D229" s="19">
        <v>0</v>
      </c>
      <c r="E229" s="20">
        <v>0</v>
      </c>
      <c r="F229" s="19">
        <v>0</v>
      </c>
      <c r="G229" s="21">
        <v>0</v>
      </c>
      <c r="H229" s="22">
        <v>0</v>
      </c>
      <c r="I229" s="35">
        <v>0</v>
      </c>
      <c r="J229" s="19">
        <v>0</v>
      </c>
      <c r="K229" s="25">
        <v>0</v>
      </c>
      <c r="L229" s="26">
        <v>0</v>
      </c>
      <c r="M229" s="21">
        <v>0</v>
      </c>
      <c r="N229" s="22">
        <v>0</v>
      </c>
      <c r="O229" s="35">
        <v>0</v>
      </c>
      <c r="P229" s="19">
        <v>0</v>
      </c>
      <c r="Q229" s="25">
        <v>0</v>
      </c>
      <c r="R229" s="19">
        <v>0</v>
      </c>
      <c r="S229" s="21">
        <v>0</v>
      </c>
      <c r="T229" s="22">
        <v>0</v>
      </c>
      <c r="U229" s="28">
        <v>0</v>
      </c>
      <c r="V229" s="29">
        <v>0</v>
      </c>
      <c r="W229" s="30">
        <v>0</v>
      </c>
      <c r="X229" s="29">
        <v>0</v>
      </c>
      <c r="Y229" s="31">
        <v>0</v>
      </c>
      <c r="Z229" s="29">
        <v>0</v>
      </c>
      <c r="AA229" s="32">
        <v>2500</v>
      </c>
      <c r="AB229" s="33"/>
      <c r="AC229" s="32">
        <v>0</v>
      </c>
      <c r="AD229" s="33"/>
      <c r="AE229" s="32">
        <f t="shared" si="0"/>
        <v>2500</v>
      </c>
      <c r="AF229" s="33"/>
      <c r="AG229" s="32">
        <v>1500</v>
      </c>
      <c r="AH229" s="33"/>
      <c r="AI229" s="32">
        <v>0</v>
      </c>
      <c r="AJ229" s="33"/>
      <c r="AK229" s="32">
        <f t="shared" si="1"/>
        <v>1500</v>
      </c>
      <c r="AL229" s="33"/>
      <c r="AM229" s="32">
        <v>1500</v>
      </c>
      <c r="AN229" s="33"/>
      <c r="AO229" s="32">
        <v>0</v>
      </c>
      <c r="AP229" s="33"/>
      <c r="AQ229" s="32">
        <f t="shared" si="2"/>
        <v>1500</v>
      </c>
      <c r="AR229" s="33"/>
    </row>
    <row r="230" spans="1:44" ht="15.75" customHeight="1">
      <c r="A230" s="16">
        <v>51003</v>
      </c>
      <c r="B230" s="17" t="s">
        <v>234</v>
      </c>
      <c r="C230" s="35">
        <v>0</v>
      </c>
      <c r="D230" s="19">
        <v>0</v>
      </c>
      <c r="E230" s="20">
        <v>0</v>
      </c>
      <c r="F230" s="19">
        <v>0</v>
      </c>
      <c r="G230" s="21">
        <v>0</v>
      </c>
      <c r="H230" s="22">
        <v>0</v>
      </c>
      <c r="I230" s="35">
        <v>0</v>
      </c>
      <c r="J230" s="19">
        <v>0</v>
      </c>
      <c r="K230" s="25">
        <v>0</v>
      </c>
      <c r="L230" s="26">
        <v>0</v>
      </c>
      <c r="M230" s="21">
        <v>0</v>
      </c>
      <c r="N230" s="22">
        <v>0</v>
      </c>
      <c r="O230" s="35">
        <v>0</v>
      </c>
      <c r="P230" s="19">
        <v>0</v>
      </c>
      <c r="Q230" s="25">
        <v>0</v>
      </c>
      <c r="R230" s="19">
        <v>0</v>
      </c>
      <c r="S230" s="21">
        <v>0</v>
      </c>
      <c r="T230" s="22">
        <v>0</v>
      </c>
      <c r="U230" s="28">
        <v>0</v>
      </c>
      <c r="V230" s="29">
        <v>0</v>
      </c>
      <c r="W230" s="30">
        <v>0</v>
      </c>
      <c r="X230" s="29">
        <v>0</v>
      </c>
      <c r="Y230" s="31">
        <v>0</v>
      </c>
      <c r="Z230" s="29">
        <v>0</v>
      </c>
      <c r="AA230" s="32"/>
      <c r="AB230" s="33"/>
      <c r="AC230" s="32">
        <v>0</v>
      </c>
      <c r="AD230" s="33"/>
      <c r="AE230" s="32">
        <f t="shared" si="0"/>
        <v>0</v>
      </c>
      <c r="AF230" s="33"/>
      <c r="AG230" s="32"/>
      <c r="AH230" s="33"/>
      <c r="AI230" s="32">
        <v>0</v>
      </c>
      <c r="AJ230" s="33"/>
      <c r="AK230" s="32">
        <f t="shared" si="1"/>
        <v>0</v>
      </c>
      <c r="AL230" s="33"/>
      <c r="AM230" s="32"/>
      <c r="AN230" s="33"/>
      <c r="AO230" s="32">
        <v>0</v>
      </c>
      <c r="AP230" s="33"/>
      <c r="AQ230" s="32">
        <f t="shared" si="2"/>
        <v>0</v>
      </c>
      <c r="AR230" s="33"/>
    </row>
    <row r="231" spans="1:44" ht="15.75" customHeight="1">
      <c r="A231" s="16">
        <v>51101</v>
      </c>
      <c r="B231" s="17" t="s">
        <v>235</v>
      </c>
      <c r="C231" s="18">
        <v>10000</v>
      </c>
      <c r="D231" s="19">
        <v>0.11</v>
      </c>
      <c r="E231" s="20">
        <v>0</v>
      </c>
      <c r="F231" s="19">
        <v>0</v>
      </c>
      <c r="G231" s="21">
        <v>10000</v>
      </c>
      <c r="H231" s="22">
        <v>0.1</v>
      </c>
      <c r="I231" s="23">
        <v>10000</v>
      </c>
      <c r="J231" s="24">
        <v>0.09</v>
      </c>
      <c r="K231" s="25">
        <v>0</v>
      </c>
      <c r="L231" s="26">
        <v>0</v>
      </c>
      <c r="M231" s="25">
        <v>10000</v>
      </c>
      <c r="N231" s="27">
        <v>0.05</v>
      </c>
      <c r="O231" s="23">
        <v>58000</v>
      </c>
      <c r="P231" s="24">
        <v>0.38</v>
      </c>
      <c r="Q231" s="25">
        <v>0</v>
      </c>
      <c r="R231" s="19">
        <v>0</v>
      </c>
      <c r="S231" s="25">
        <v>58000</v>
      </c>
      <c r="T231" s="22">
        <v>0.18</v>
      </c>
      <c r="U231" s="34">
        <v>28000</v>
      </c>
      <c r="V231" s="29">
        <v>0.18</v>
      </c>
      <c r="W231" s="30">
        <v>0</v>
      </c>
      <c r="X231" s="29">
        <v>0</v>
      </c>
      <c r="Y231" s="31">
        <v>28000</v>
      </c>
      <c r="Z231" s="29">
        <v>0.17</v>
      </c>
      <c r="AA231" s="32">
        <v>30000</v>
      </c>
      <c r="AB231" s="33"/>
      <c r="AC231" s="32">
        <v>0</v>
      </c>
      <c r="AD231" s="33"/>
      <c r="AE231" s="32">
        <f t="shared" si="0"/>
        <v>30000</v>
      </c>
      <c r="AF231" s="33"/>
      <c r="AG231" s="32">
        <v>26354</v>
      </c>
      <c r="AH231" s="33"/>
      <c r="AI231" s="32">
        <v>0</v>
      </c>
      <c r="AJ231" s="33"/>
      <c r="AK231" s="32">
        <f t="shared" si="1"/>
        <v>26354</v>
      </c>
      <c r="AL231" s="33"/>
      <c r="AM231" s="32">
        <v>29988</v>
      </c>
      <c r="AN231" s="33"/>
      <c r="AO231" s="32">
        <v>0</v>
      </c>
      <c r="AP231" s="33"/>
      <c r="AQ231" s="32">
        <f t="shared" si="2"/>
        <v>29988</v>
      </c>
      <c r="AR231" s="33"/>
    </row>
    <row r="232" spans="1:44" ht="15.75" customHeight="1">
      <c r="A232" s="16">
        <v>51102</v>
      </c>
      <c r="B232" s="17" t="s">
        <v>236</v>
      </c>
      <c r="C232" s="18">
        <v>18500</v>
      </c>
      <c r="D232" s="19">
        <v>0.36</v>
      </c>
      <c r="E232" s="20">
        <v>0</v>
      </c>
      <c r="F232" s="19">
        <v>0</v>
      </c>
      <c r="G232" s="21">
        <v>18500</v>
      </c>
      <c r="H232" s="22">
        <v>0.21</v>
      </c>
      <c r="I232" s="23">
        <v>18500</v>
      </c>
      <c r="J232" s="24">
        <v>0.27</v>
      </c>
      <c r="K232" s="25">
        <v>0</v>
      </c>
      <c r="L232" s="26">
        <v>0</v>
      </c>
      <c r="M232" s="25">
        <v>18500</v>
      </c>
      <c r="N232" s="27">
        <v>0.14000000000000001</v>
      </c>
      <c r="O232" s="23">
        <v>18500</v>
      </c>
      <c r="P232" s="24">
        <v>0.25</v>
      </c>
      <c r="Q232" s="25">
        <v>0</v>
      </c>
      <c r="R232" s="19">
        <v>0</v>
      </c>
      <c r="S232" s="25">
        <v>18500</v>
      </c>
      <c r="T232" s="22">
        <v>0.11</v>
      </c>
      <c r="U232" s="34">
        <v>40000</v>
      </c>
      <c r="V232" s="29">
        <v>0.45</v>
      </c>
      <c r="W232" s="30">
        <v>0</v>
      </c>
      <c r="X232" s="29">
        <v>0</v>
      </c>
      <c r="Y232" s="31">
        <v>40000</v>
      </c>
      <c r="Z232" s="29">
        <v>0.39</v>
      </c>
      <c r="AA232" s="32">
        <v>41100</v>
      </c>
      <c r="AB232" s="33"/>
      <c r="AC232" s="32">
        <v>0</v>
      </c>
      <c r="AD232" s="33"/>
      <c r="AE232" s="32">
        <f t="shared" si="0"/>
        <v>41100</v>
      </c>
      <c r="AF232" s="33"/>
      <c r="AG232" s="32">
        <v>41400</v>
      </c>
      <c r="AH232" s="33"/>
      <c r="AI232" s="32">
        <v>0</v>
      </c>
      <c r="AJ232" s="33"/>
      <c r="AK232" s="32">
        <f t="shared" si="1"/>
        <v>41400</v>
      </c>
      <c r="AL232" s="33"/>
      <c r="AM232" s="32">
        <v>20000</v>
      </c>
      <c r="AN232" s="33"/>
      <c r="AO232" s="32">
        <v>0</v>
      </c>
      <c r="AP232" s="33"/>
      <c r="AQ232" s="32">
        <f t="shared" si="2"/>
        <v>20000</v>
      </c>
      <c r="AR232" s="33"/>
    </row>
    <row r="233" spans="1:44" ht="15.75" customHeight="1">
      <c r="A233" s="16">
        <v>51103</v>
      </c>
      <c r="B233" s="17" t="s">
        <v>237</v>
      </c>
      <c r="C233" s="18">
        <v>25000</v>
      </c>
      <c r="D233" s="19">
        <v>0.26</v>
      </c>
      <c r="E233" s="20">
        <v>0</v>
      </c>
      <c r="F233" s="19">
        <v>0</v>
      </c>
      <c r="G233" s="21">
        <v>25000</v>
      </c>
      <c r="H233" s="22">
        <v>0.21</v>
      </c>
      <c r="I233" s="23">
        <v>28560</v>
      </c>
      <c r="J233" s="24">
        <v>0.32</v>
      </c>
      <c r="K233" s="25">
        <v>0</v>
      </c>
      <c r="L233" s="26">
        <v>0</v>
      </c>
      <c r="M233" s="25">
        <v>28560</v>
      </c>
      <c r="N233" s="27">
        <v>0.21</v>
      </c>
      <c r="O233" s="23">
        <v>8300</v>
      </c>
      <c r="P233" s="24">
        <v>0.08</v>
      </c>
      <c r="Q233" s="25">
        <v>0</v>
      </c>
      <c r="R233" s="19">
        <v>0</v>
      </c>
      <c r="S233" s="25">
        <v>8300</v>
      </c>
      <c r="T233" s="22">
        <v>0.04</v>
      </c>
      <c r="U233" s="28">
        <v>0</v>
      </c>
      <c r="V233" s="29">
        <v>0</v>
      </c>
      <c r="W233" s="30">
        <v>0</v>
      </c>
      <c r="X233" s="29">
        <v>0</v>
      </c>
      <c r="Y233" s="31">
        <v>0</v>
      </c>
      <c r="Z233" s="29">
        <v>0</v>
      </c>
      <c r="AA233" s="32"/>
      <c r="AB233" s="33"/>
      <c r="AC233" s="32">
        <v>0</v>
      </c>
      <c r="AD233" s="33"/>
      <c r="AE233" s="32">
        <f t="shared" si="0"/>
        <v>0</v>
      </c>
      <c r="AF233" s="33"/>
      <c r="AG233" s="32"/>
      <c r="AH233" s="33"/>
      <c r="AI233" s="32">
        <v>0</v>
      </c>
      <c r="AJ233" s="33"/>
      <c r="AK233" s="32">
        <f t="shared" si="1"/>
        <v>0</v>
      </c>
      <c r="AL233" s="33"/>
      <c r="AM233" s="32"/>
      <c r="AN233" s="33"/>
      <c r="AO233" s="32">
        <v>0</v>
      </c>
      <c r="AP233" s="33"/>
      <c r="AQ233" s="32">
        <f t="shared" si="2"/>
        <v>0</v>
      </c>
      <c r="AR233" s="33"/>
    </row>
    <row r="234" spans="1:44" ht="15.75" customHeight="1">
      <c r="A234" s="16">
        <v>51201</v>
      </c>
      <c r="B234" s="17" t="s">
        <v>238</v>
      </c>
      <c r="C234" s="18">
        <v>230000</v>
      </c>
      <c r="D234" s="19">
        <v>2.17</v>
      </c>
      <c r="E234" s="20">
        <v>0</v>
      </c>
      <c r="F234" s="19">
        <v>0</v>
      </c>
      <c r="G234" s="21">
        <v>230000</v>
      </c>
      <c r="H234" s="22">
        <v>2.02</v>
      </c>
      <c r="I234" s="23">
        <v>330000</v>
      </c>
      <c r="J234" s="24">
        <v>2.4300000000000002</v>
      </c>
      <c r="K234" s="25">
        <v>0</v>
      </c>
      <c r="L234" s="26">
        <v>0</v>
      </c>
      <c r="M234" s="25">
        <v>330000</v>
      </c>
      <c r="N234" s="27">
        <v>2.19</v>
      </c>
      <c r="O234" s="23">
        <v>522762</v>
      </c>
      <c r="P234" s="24">
        <v>2.76</v>
      </c>
      <c r="Q234" s="25">
        <v>0</v>
      </c>
      <c r="R234" s="19">
        <v>0</v>
      </c>
      <c r="S234" s="25">
        <v>522762</v>
      </c>
      <c r="T234" s="22">
        <v>2.12</v>
      </c>
      <c r="U234" s="28">
        <v>0</v>
      </c>
      <c r="V234" s="29">
        <v>0</v>
      </c>
      <c r="W234" s="30">
        <v>0</v>
      </c>
      <c r="X234" s="29">
        <v>0</v>
      </c>
      <c r="Y234" s="31">
        <v>0</v>
      </c>
      <c r="Z234" s="29">
        <v>0</v>
      </c>
      <c r="AA234" s="32">
        <v>1074399</v>
      </c>
      <c r="AB234" s="33"/>
      <c r="AC234" s="32">
        <v>0</v>
      </c>
      <c r="AD234" s="33"/>
      <c r="AE234" s="32">
        <f t="shared" si="0"/>
        <v>1074399</v>
      </c>
      <c r="AF234" s="33"/>
      <c r="AG234" s="32">
        <v>1252873</v>
      </c>
      <c r="AH234" s="33"/>
      <c r="AI234" s="32">
        <v>0</v>
      </c>
      <c r="AJ234" s="33"/>
      <c r="AK234" s="32">
        <f t="shared" si="1"/>
        <v>1252873</v>
      </c>
      <c r="AL234" s="33"/>
      <c r="AM234" s="32">
        <v>1403859</v>
      </c>
      <c r="AN234" s="33"/>
      <c r="AO234" s="32">
        <v>0</v>
      </c>
      <c r="AP234" s="33"/>
      <c r="AQ234" s="32">
        <f t="shared" si="2"/>
        <v>1403859</v>
      </c>
      <c r="AR234" s="33"/>
    </row>
    <row r="235" spans="1:44" ht="15.75" customHeight="1">
      <c r="A235" s="16">
        <v>51202</v>
      </c>
      <c r="B235" s="17" t="s">
        <v>239</v>
      </c>
      <c r="C235" s="18">
        <v>15000</v>
      </c>
      <c r="D235" s="19">
        <v>0.24</v>
      </c>
      <c r="E235" s="20">
        <v>0</v>
      </c>
      <c r="F235" s="19">
        <v>0</v>
      </c>
      <c r="G235" s="21">
        <v>15000</v>
      </c>
      <c r="H235" s="22">
        <v>0.18</v>
      </c>
      <c r="I235" s="23">
        <v>22000</v>
      </c>
      <c r="J235" s="24">
        <v>0.26</v>
      </c>
      <c r="K235" s="25">
        <v>0</v>
      </c>
      <c r="L235" s="26">
        <v>0</v>
      </c>
      <c r="M235" s="25">
        <v>22000</v>
      </c>
      <c r="N235" s="27">
        <v>0.16</v>
      </c>
      <c r="O235" s="23">
        <v>32000</v>
      </c>
      <c r="P235" s="24">
        <v>0.35</v>
      </c>
      <c r="Q235" s="25">
        <v>0</v>
      </c>
      <c r="R235" s="19">
        <v>0</v>
      </c>
      <c r="S235" s="25">
        <v>32000</v>
      </c>
      <c r="T235" s="22">
        <v>0.18</v>
      </c>
      <c r="U235" s="34">
        <v>46500</v>
      </c>
      <c r="V235" s="29">
        <v>0.39</v>
      </c>
      <c r="W235" s="30">
        <v>0</v>
      </c>
      <c r="X235" s="29">
        <v>0</v>
      </c>
      <c r="Y235" s="31">
        <v>46500</v>
      </c>
      <c r="Z235" s="29">
        <v>0.28999999999999998</v>
      </c>
      <c r="AA235" s="32">
        <v>46500</v>
      </c>
      <c r="AB235" s="33"/>
      <c r="AC235" s="32">
        <v>0</v>
      </c>
      <c r="AD235" s="33"/>
      <c r="AE235" s="32">
        <f t="shared" si="0"/>
        <v>46500</v>
      </c>
      <c r="AF235" s="33"/>
      <c r="AG235" s="32">
        <v>44080</v>
      </c>
      <c r="AH235" s="33"/>
      <c r="AI235" s="32">
        <v>0</v>
      </c>
      <c r="AJ235" s="33"/>
      <c r="AK235" s="32">
        <f t="shared" si="1"/>
        <v>44080</v>
      </c>
      <c r="AL235" s="33"/>
      <c r="AM235" s="32">
        <v>46380</v>
      </c>
      <c r="AN235" s="33"/>
      <c r="AO235" s="32">
        <v>0</v>
      </c>
      <c r="AP235" s="33"/>
      <c r="AQ235" s="32">
        <f t="shared" si="2"/>
        <v>46380</v>
      </c>
      <c r="AR235" s="33"/>
    </row>
    <row r="236" spans="1:44" ht="15.75" customHeight="1">
      <c r="A236" s="16">
        <v>51203</v>
      </c>
      <c r="B236" s="17" t="s">
        <v>240</v>
      </c>
      <c r="C236" s="18">
        <v>70000</v>
      </c>
      <c r="D236" s="19">
        <v>1.51</v>
      </c>
      <c r="E236" s="20">
        <v>0</v>
      </c>
      <c r="F236" s="19">
        <v>0</v>
      </c>
      <c r="G236" s="21">
        <v>70000</v>
      </c>
      <c r="H236" s="22">
        <v>0.96</v>
      </c>
      <c r="I236" s="23">
        <v>72400</v>
      </c>
      <c r="J236" s="24">
        <v>1.1000000000000001</v>
      </c>
      <c r="K236" s="25">
        <v>0</v>
      </c>
      <c r="L236" s="26">
        <v>0</v>
      </c>
      <c r="M236" s="25">
        <v>72400</v>
      </c>
      <c r="N236" s="27">
        <v>0.57999999999999996</v>
      </c>
      <c r="O236" s="23">
        <v>72400</v>
      </c>
      <c r="P236" s="24">
        <v>0.61</v>
      </c>
      <c r="Q236" s="25">
        <v>0</v>
      </c>
      <c r="R236" s="19">
        <v>0</v>
      </c>
      <c r="S236" s="25">
        <v>72400</v>
      </c>
      <c r="T236" s="22">
        <v>0.49</v>
      </c>
      <c r="U236" s="34">
        <v>77000</v>
      </c>
      <c r="V236" s="29">
        <v>0.61</v>
      </c>
      <c r="W236" s="31">
        <v>105000</v>
      </c>
      <c r="X236" s="29">
        <v>3.54</v>
      </c>
      <c r="Y236" s="31">
        <v>182000</v>
      </c>
      <c r="Z236" s="29">
        <v>1.17</v>
      </c>
      <c r="AA236" s="32">
        <v>77000</v>
      </c>
      <c r="AB236" s="33"/>
      <c r="AC236" s="32">
        <v>0</v>
      </c>
      <c r="AD236" s="33"/>
      <c r="AE236" s="32">
        <f t="shared" si="0"/>
        <v>77000</v>
      </c>
      <c r="AF236" s="33"/>
      <c r="AG236" s="32">
        <v>107000</v>
      </c>
      <c r="AH236" s="33"/>
      <c r="AI236" s="32">
        <v>0</v>
      </c>
      <c r="AJ236" s="33"/>
      <c r="AK236" s="32">
        <f t="shared" si="1"/>
        <v>107000</v>
      </c>
      <c r="AL236" s="33"/>
      <c r="AM236" s="32">
        <v>107000</v>
      </c>
      <c r="AN236" s="33"/>
      <c r="AO236" s="32">
        <v>0</v>
      </c>
      <c r="AP236" s="33"/>
      <c r="AQ236" s="32">
        <f t="shared" si="2"/>
        <v>107000</v>
      </c>
      <c r="AR236" s="33"/>
    </row>
    <row r="237" spans="1:44" ht="15.75" customHeight="1">
      <c r="A237" s="16">
        <v>51204</v>
      </c>
      <c r="B237" s="17" t="s">
        <v>241</v>
      </c>
      <c r="C237" s="35">
        <v>0</v>
      </c>
      <c r="D237" s="19">
        <v>0</v>
      </c>
      <c r="E237" s="20">
        <v>0</v>
      </c>
      <c r="F237" s="19">
        <v>0</v>
      </c>
      <c r="G237" s="21">
        <v>0</v>
      </c>
      <c r="H237" s="22">
        <v>0</v>
      </c>
      <c r="I237" s="35">
        <v>0</v>
      </c>
      <c r="J237" s="19">
        <v>0</v>
      </c>
      <c r="K237" s="25">
        <v>0</v>
      </c>
      <c r="L237" s="26">
        <v>0</v>
      </c>
      <c r="M237" s="21">
        <v>0</v>
      </c>
      <c r="N237" s="22">
        <v>0</v>
      </c>
      <c r="O237" s="35">
        <v>0</v>
      </c>
      <c r="P237" s="19">
        <v>0</v>
      </c>
      <c r="Q237" s="25">
        <v>0</v>
      </c>
      <c r="R237" s="19">
        <v>0</v>
      </c>
      <c r="S237" s="21">
        <v>0</v>
      </c>
      <c r="T237" s="22">
        <v>0</v>
      </c>
      <c r="U237" s="28">
        <v>0</v>
      </c>
      <c r="V237" s="29">
        <v>0</v>
      </c>
      <c r="W237" s="30">
        <v>0</v>
      </c>
      <c r="X237" s="29">
        <v>0</v>
      </c>
      <c r="Y237" s="31">
        <v>0</v>
      </c>
      <c r="Z237" s="29">
        <v>0</v>
      </c>
      <c r="AA237" s="32"/>
      <c r="AB237" s="33"/>
      <c r="AC237" s="32">
        <v>0</v>
      </c>
      <c r="AD237" s="33"/>
      <c r="AE237" s="32">
        <f t="shared" si="0"/>
        <v>0</v>
      </c>
      <c r="AF237" s="33"/>
      <c r="AG237" s="32">
        <v>4000</v>
      </c>
      <c r="AH237" s="33"/>
      <c r="AI237" s="32">
        <v>0</v>
      </c>
      <c r="AJ237" s="33"/>
      <c r="AK237" s="32">
        <f t="shared" si="1"/>
        <v>4000</v>
      </c>
      <c r="AL237" s="33"/>
      <c r="AM237" s="32">
        <v>4000</v>
      </c>
      <c r="AN237" s="33"/>
      <c r="AO237" s="32">
        <v>0</v>
      </c>
      <c r="AP237" s="33"/>
      <c r="AQ237" s="32">
        <f t="shared" si="2"/>
        <v>4000</v>
      </c>
      <c r="AR237" s="33"/>
    </row>
    <row r="238" spans="1:44" ht="15.75" customHeight="1">
      <c r="A238" s="16">
        <v>51301</v>
      </c>
      <c r="B238" s="17" t="s">
        <v>242</v>
      </c>
      <c r="C238" s="18">
        <v>15000</v>
      </c>
      <c r="D238" s="19">
        <v>0.45</v>
      </c>
      <c r="E238" s="20">
        <v>0</v>
      </c>
      <c r="F238" s="19">
        <v>0</v>
      </c>
      <c r="G238" s="21">
        <v>15000</v>
      </c>
      <c r="H238" s="22">
        <v>0.28999999999999998</v>
      </c>
      <c r="I238" s="23">
        <v>19000</v>
      </c>
      <c r="J238" s="24">
        <v>0.68</v>
      </c>
      <c r="K238" s="25">
        <v>0</v>
      </c>
      <c r="L238" s="26">
        <v>0</v>
      </c>
      <c r="M238" s="25">
        <v>19000</v>
      </c>
      <c r="N238" s="27">
        <v>0.48</v>
      </c>
      <c r="O238" s="23">
        <v>19000</v>
      </c>
      <c r="P238" s="24">
        <v>0.7</v>
      </c>
      <c r="Q238" s="25">
        <v>0</v>
      </c>
      <c r="R238" s="19">
        <v>0</v>
      </c>
      <c r="S238" s="25">
        <v>19000</v>
      </c>
      <c r="T238" s="22">
        <v>0.48</v>
      </c>
      <c r="U238" s="34">
        <v>5000</v>
      </c>
      <c r="V238" s="29">
        <v>0.14000000000000001</v>
      </c>
      <c r="W238" s="30">
        <v>0</v>
      </c>
      <c r="X238" s="29">
        <v>0</v>
      </c>
      <c r="Y238" s="31">
        <v>5000</v>
      </c>
      <c r="Z238" s="29">
        <v>0.13</v>
      </c>
      <c r="AA238" s="32">
        <v>5000</v>
      </c>
      <c r="AB238" s="33"/>
      <c r="AC238" s="32">
        <v>0</v>
      </c>
      <c r="AD238" s="33"/>
      <c r="AE238" s="32">
        <f t="shared" si="0"/>
        <v>5000</v>
      </c>
      <c r="AF238" s="33"/>
      <c r="AG238" s="32">
        <v>10000</v>
      </c>
      <c r="AH238" s="33"/>
      <c r="AI238" s="32">
        <v>0</v>
      </c>
      <c r="AJ238" s="33"/>
      <c r="AK238" s="32">
        <f t="shared" si="1"/>
        <v>10000</v>
      </c>
      <c r="AL238" s="33"/>
      <c r="AM238" s="32">
        <v>10000</v>
      </c>
      <c r="AN238" s="33"/>
      <c r="AO238" s="32">
        <v>0</v>
      </c>
      <c r="AP238" s="33"/>
      <c r="AQ238" s="32">
        <f t="shared" si="2"/>
        <v>10000</v>
      </c>
      <c r="AR238" s="33"/>
    </row>
    <row r="239" spans="1:44" ht="15.75" customHeight="1">
      <c r="A239" s="16">
        <v>51302</v>
      </c>
      <c r="B239" s="17" t="s">
        <v>243</v>
      </c>
      <c r="C239" s="18">
        <v>45000</v>
      </c>
      <c r="D239" s="19">
        <v>1.0900000000000001</v>
      </c>
      <c r="E239" s="20">
        <v>0</v>
      </c>
      <c r="F239" s="19">
        <v>0</v>
      </c>
      <c r="G239" s="21">
        <v>45000</v>
      </c>
      <c r="H239" s="22">
        <v>0.99</v>
      </c>
      <c r="I239" s="23">
        <v>45000</v>
      </c>
      <c r="J239" s="24">
        <v>0.92</v>
      </c>
      <c r="K239" s="25">
        <v>0</v>
      </c>
      <c r="L239" s="26">
        <v>0</v>
      </c>
      <c r="M239" s="25">
        <v>45000</v>
      </c>
      <c r="N239" s="27">
        <v>0.6</v>
      </c>
      <c r="O239" s="23">
        <v>25000</v>
      </c>
      <c r="P239" s="24">
        <v>0.52</v>
      </c>
      <c r="Q239" s="25">
        <v>0</v>
      </c>
      <c r="R239" s="19">
        <v>0</v>
      </c>
      <c r="S239" s="25">
        <v>25000</v>
      </c>
      <c r="T239" s="22">
        <v>0.39</v>
      </c>
      <c r="U239" s="34">
        <v>7000</v>
      </c>
      <c r="V239" s="29">
        <v>0.12</v>
      </c>
      <c r="W239" s="30">
        <v>0</v>
      </c>
      <c r="X239" s="29">
        <v>0</v>
      </c>
      <c r="Y239" s="31">
        <v>7000</v>
      </c>
      <c r="Z239" s="29">
        <v>0.12</v>
      </c>
      <c r="AA239" s="32">
        <v>10000</v>
      </c>
      <c r="AB239" s="33"/>
      <c r="AC239" s="32">
        <v>0</v>
      </c>
      <c r="AD239" s="33"/>
      <c r="AE239" s="32">
        <f t="shared" si="0"/>
        <v>10000</v>
      </c>
      <c r="AF239" s="33"/>
      <c r="AG239" s="32">
        <v>160128</v>
      </c>
      <c r="AH239" s="33"/>
      <c r="AI239" s="32">
        <v>0</v>
      </c>
      <c r="AJ239" s="33"/>
      <c r="AK239" s="32">
        <f t="shared" si="1"/>
        <v>160128</v>
      </c>
      <c r="AL239" s="33"/>
      <c r="AM239" s="32">
        <v>10000</v>
      </c>
      <c r="AN239" s="33"/>
      <c r="AO239" s="32">
        <v>0</v>
      </c>
      <c r="AP239" s="33"/>
      <c r="AQ239" s="32">
        <f t="shared" si="2"/>
        <v>10000</v>
      </c>
      <c r="AR239" s="33"/>
    </row>
    <row r="240" spans="1:44" ht="15.75" customHeight="1">
      <c r="A240" s="16">
        <v>51401</v>
      </c>
      <c r="B240" s="17" t="s">
        <v>244</v>
      </c>
      <c r="C240" s="18">
        <v>30000</v>
      </c>
      <c r="D240" s="19">
        <v>1.56</v>
      </c>
      <c r="E240" s="20">
        <v>0</v>
      </c>
      <c r="F240" s="19">
        <v>0</v>
      </c>
      <c r="G240" s="21">
        <v>30000</v>
      </c>
      <c r="H240" s="22">
        <v>1.24</v>
      </c>
      <c r="I240" s="23">
        <v>38510</v>
      </c>
      <c r="J240" s="24">
        <v>1.44</v>
      </c>
      <c r="K240" s="25">
        <v>0</v>
      </c>
      <c r="L240" s="26">
        <v>0</v>
      </c>
      <c r="M240" s="25">
        <v>38510</v>
      </c>
      <c r="N240" s="27">
        <v>1.1499999999999999</v>
      </c>
      <c r="O240" s="23">
        <v>36800</v>
      </c>
      <c r="P240" s="24">
        <v>1.19</v>
      </c>
      <c r="Q240" s="25">
        <v>0</v>
      </c>
      <c r="R240" s="19">
        <v>0</v>
      </c>
      <c r="S240" s="25">
        <v>36800</v>
      </c>
      <c r="T240" s="22">
        <v>1.18</v>
      </c>
      <c r="U240" s="34">
        <v>47737</v>
      </c>
      <c r="V240" s="29">
        <v>1.31</v>
      </c>
      <c r="W240" s="30">
        <v>0</v>
      </c>
      <c r="X240" s="29">
        <v>0</v>
      </c>
      <c r="Y240" s="31">
        <v>47737</v>
      </c>
      <c r="Z240" s="29">
        <v>0.87</v>
      </c>
      <c r="AA240" s="32">
        <v>134132</v>
      </c>
      <c r="AB240" s="33"/>
      <c r="AC240" s="32">
        <v>0</v>
      </c>
      <c r="AD240" s="33"/>
      <c r="AE240" s="32">
        <f t="shared" si="0"/>
        <v>134132</v>
      </c>
      <c r="AF240" s="33"/>
      <c r="AG240" s="32">
        <v>106278</v>
      </c>
      <c r="AH240" s="33"/>
      <c r="AI240" s="32">
        <v>0</v>
      </c>
      <c r="AJ240" s="33"/>
      <c r="AK240" s="32">
        <f t="shared" si="1"/>
        <v>106278</v>
      </c>
      <c r="AL240" s="33"/>
      <c r="AM240" s="32">
        <v>51384</v>
      </c>
      <c r="AN240" s="33"/>
      <c r="AO240" s="32">
        <v>0</v>
      </c>
      <c r="AP240" s="33"/>
      <c r="AQ240" s="32">
        <f t="shared" si="2"/>
        <v>51384</v>
      </c>
      <c r="AR240" s="33"/>
    </row>
    <row r="241" spans="1:44" ht="15.75" customHeight="1">
      <c r="A241" s="16">
        <v>51402</v>
      </c>
      <c r="B241" s="17" t="s">
        <v>245</v>
      </c>
      <c r="C241" s="35">
        <v>0</v>
      </c>
      <c r="D241" s="19">
        <v>0</v>
      </c>
      <c r="E241" s="20">
        <v>0</v>
      </c>
      <c r="F241" s="19">
        <v>0</v>
      </c>
      <c r="G241" s="21">
        <v>0</v>
      </c>
      <c r="H241" s="22">
        <v>0</v>
      </c>
      <c r="I241" s="23">
        <v>3000</v>
      </c>
      <c r="J241" s="24">
        <v>0.25</v>
      </c>
      <c r="K241" s="25">
        <v>0</v>
      </c>
      <c r="L241" s="26">
        <v>0</v>
      </c>
      <c r="M241" s="25">
        <v>3000</v>
      </c>
      <c r="N241" s="27">
        <v>0.17</v>
      </c>
      <c r="O241" s="23">
        <v>2000</v>
      </c>
      <c r="P241" s="24">
        <v>0.16</v>
      </c>
      <c r="Q241" s="25">
        <v>0</v>
      </c>
      <c r="R241" s="19">
        <v>0</v>
      </c>
      <c r="S241" s="25">
        <v>2000</v>
      </c>
      <c r="T241" s="22">
        <v>0.12</v>
      </c>
      <c r="U241" s="28">
        <v>0</v>
      </c>
      <c r="V241" s="29">
        <v>0</v>
      </c>
      <c r="W241" s="30">
        <v>0</v>
      </c>
      <c r="X241" s="29">
        <v>0</v>
      </c>
      <c r="Y241" s="31">
        <v>0</v>
      </c>
      <c r="Z241" s="29">
        <v>0</v>
      </c>
      <c r="AA241" s="32"/>
      <c r="AB241" s="33"/>
      <c r="AC241" s="32">
        <v>0</v>
      </c>
      <c r="AD241" s="33"/>
      <c r="AE241" s="32">
        <f t="shared" si="0"/>
        <v>0</v>
      </c>
      <c r="AF241" s="33"/>
      <c r="AG241" s="32"/>
      <c r="AH241" s="33"/>
      <c r="AI241" s="32">
        <v>0</v>
      </c>
      <c r="AJ241" s="33"/>
      <c r="AK241" s="32">
        <f t="shared" si="1"/>
        <v>0</v>
      </c>
      <c r="AL241" s="33"/>
      <c r="AM241" s="32"/>
      <c r="AN241" s="33"/>
      <c r="AO241" s="32">
        <v>0</v>
      </c>
      <c r="AP241" s="33"/>
      <c r="AQ241" s="32">
        <f t="shared" si="2"/>
        <v>0</v>
      </c>
      <c r="AR241" s="33"/>
    </row>
    <row r="242" spans="1:44" ht="15.75" customHeight="1">
      <c r="A242" s="16">
        <v>51501</v>
      </c>
      <c r="B242" s="17" t="s">
        <v>246</v>
      </c>
      <c r="C242" s="18">
        <v>700000</v>
      </c>
      <c r="D242" s="19">
        <v>3.51</v>
      </c>
      <c r="E242" s="20">
        <v>0</v>
      </c>
      <c r="F242" s="19">
        <v>0</v>
      </c>
      <c r="G242" s="21">
        <v>700000</v>
      </c>
      <c r="H242" s="22">
        <v>2.42</v>
      </c>
      <c r="I242" s="23">
        <v>1000000</v>
      </c>
      <c r="J242" s="24">
        <v>3.66</v>
      </c>
      <c r="K242" s="25">
        <v>0</v>
      </c>
      <c r="L242" s="26">
        <v>0</v>
      </c>
      <c r="M242" s="25">
        <v>1000000</v>
      </c>
      <c r="N242" s="27">
        <v>2.68</v>
      </c>
      <c r="O242" s="23">
        <v>1800000</v>
      </c>
      <c r="P242" s="24">
        <v>4.84</v>
      </c>
      <c r="Q242" s="25">
        <v>0</v>
      </c>
      <c r="R242" s="19">
        <v>0</v>
      </c>
      <c r="S242" s="25">
        <v>1800000</v>
      </c>
      <c r="T242" s="22">
        <v>3.78</v>
      </c>
      <c r="U242" s="28">
        <v>0</v>
      </c>
      <c r="V242" s="29">
        <v>0</v>
      </c>
      <c r="W242" s="30">
        <v>0</v>
      </c>
      <c r="X242" s="29">
        <v>0</v>
      </c>
      <c r="Y242" s="31">
        <v>0</v>
      </c>
      <c r="Z242" s="29">
        <v>0</v>
      </c>
      <c r="AA242" s="32">
        <v>2500000</v>
      </c>
      <c r="AB242" s="33"/>
      <c r="AC242" s="32">
        <v>0</v>
      </c>
      <c r="AD242" s="33"/>
      <c r="AE242" s="32">
        <f t="shared" si="0"/>
        <v>2500000</v>
      </c>
      <c r="AF242" s="33"/>
      <c r="AG242" s="32">
        <v>2958410</v>
      </c>
      <c r="AH242" s="33"/>
      <c r="AI242" s="32">
        <v>0</v>
      </c>
      <c r="AJ242" s="33"/>
      <c r="AK242" s="32">
        <f t="shared" si="1"/>
        <v>2958410</v>
      </c>
      <c r="AL242" s="33"/>
      <c r="AM242" s="32">
        <v>3326072</v>
      </c>
      <c r="AN242" s="33"/>
      <c r="AO242" s="32">
        <v>0</v>
      </c>
      <c r="AP242" s="33"/>
      <c r="AQ242" s="32">
        <f t="shared" si="2"/>
        <v>3326072</v>
      </c>
      <c r="AR242" s="33"/>
    </row>
    <row r="243" spans="1:44" ht="15.75" customHeight="1">
      <c r="A243" s="16">
        <v>51601</v>
      </c>
      <c r="B243" s="17" t="s">
        <v>247</v>
      </c>
      <c r="C243" s="35">
        <v>0</v>
      </c>
      <c r="D243" s="19">
        <v>0</v>
      </c>
      <c r="E243" s="20">
        <v>0</v>
      </c>
      <c r="F243" s="19">
        <v>0</v>
      </c>
      <c r="G243" s="21">
        <v>0</v>
      </c>
      <c r="H243" s="22">
        <v>0</v>
      </c>
      <c r="I243" s="35">
        <v>0</v>
      </c>
      <c r="J243" s="19">
        <v>0</v>
      </c>
      <c r="K243" s="25">
        <v>0</v>
      </c>
      <c r="L243" s="26">
        <v>0</v>
      </c>
      <c r="M243" s="21">
        <v>0</v>
      </c>
      <c r="N243" s="22">
        <v>0</v>
      </c>
      <c r="O243" s="35">
        <v>0</v>
      </c>
      <c r="P243" s="19">
        <v>0</v>
      </c>
      <c r="Q243" s="25">
        <v>0</v>
      </c>
      <c r="R243" s="19">
        <v>0</v>
      </c>
      <c r="S243" s="21">
        <v>0</v>
      </c>
      <c r="T243" s="22">
        <v>0</v>
      </c>
      <c r="U243" s="28">
        <v>0</v>
      </c>
      <c r="V243" s="29">
        <v>0</v>
      </c>
      <c r="W243" s="30">
        <v>0</v>
      </c>
      <c r="X243" s="29">
        <v>0</v>
      </c>
      <c r="Y243" s="31">
        <v>0</v>
      </c>
      <c r="Z243" s="29">
        <v>0</v>
      </c>
      <c r="AA243" s="32"/>
      <c r="AB243" s="33"/>
      <c r="AC243" s="32">
        <v>0</v>
      </c>
      <c r="AD243" s="33"/>
      <c r="AE243" s="32">
        <f t="shared" si="0"/>
        <v>0</v>
      </c>
      <c r="AF243" s="33"/>
      <c r="AG243" s="32"/>
      <c r="AH243" s="33"/>
      <c r="AI243" s="32">
        <v>0</v>
      </c>
      <c r="AJ243" s="33"/>
      <c r="AK243" s="32">
        <f t="shared" si="1"/>
        <v>0</v>
      </c>
      <c r="AL243" s="33"/>
      <c r="AM243" s="32"/>
      <c r="AN243" s="33"/>
      <c r="AO243" s="32">
        <v>0</v>
      </c>
      <c r="AP243" s="33"/>
      <c r="AQ243" s="32">
        <f t="shared" si="2"/>
        <v>0</v>
      </c>
      <c r="AR243" s="33"/>
    </row>
    <row r="244" spans="1:44" ht="15.75" customHeight="1">
      <c r="A244" s="16">
        <v>60101</v>
      </c>
      <c r="B244" s="17" t="s">
        <v>248</v>
      </c>
      <c r="C244" s="18">
        <v>11749782</v>
      </c>
      <c r="D244" s="19">
        <v>5.46</v>
      </c>
      <c r="E244" s="20">
        <v>0</v>
      </c>
      <c r="F244" s="19">
        <v>0</v>
      </c>
      <c r="G244" s="21">
        <v>11749782</v>
      </c>
      <c r="H244" s="22">
        <v>2.5</v>
      </c>
      <c r="I244" s="23">
        <v>13093123</v>
      </c>
      <c r="J244" s="24">
        <v>5.34</v>
      </c>
      <c r="K244" s="25">
        <v>239031</v>
      </c>
      <c r="L244" s="26">
        <v>0.08</v>
      </c>
      <c r="M244" s="25">
        <v>13332154</v>
      </c>
      <c r="N244" s="27">
        <v>2.5099999999999998</v>
      </c>
      <c r="O244" s="23">
        <v>16127853</v>
      </c>
      <c r="P244" s="24">
        <v>5.67</v>
      </c>
      <c r="Q244" s="25">
        <v>245857</v>
      </c>
      <c r="R244" s="19">
        <v>0.05</v>
      </c>
      <c r="S244" s="25">
        <v>16373710</v>
      </c>
      <c r="T244" s="22">
        <v>2.1800000000000002</v>
      </c>
      <c r="U244" s="34">
        <v>20283322</v>
      </c>
      <c r="V244" s="29">
        <v>5.56</v>
      </c>
      <c r="W244" s="30">
        <v>0</v>
      </c>
      <c r="X244" s="29">
        <v>0</v>
      </c>
      <c r="Y244" s="31">
        <v>20283322</v>
      </c>
      <c r="Z244" s="29">
        <v>4.47</v>
      </c>
      <c r="AA244" s="32">
        <v>22583322</v>
      </c>
      <c r="AB244" s="33"/>
      <c r="AC244" s="32">
        <v>0</v>
      </c>
      <c r="AD244" s="33"/>
      <c r="AE244" s="32">
        <f t="shared" si="0"/>
        <v>22583322</v>
      </c>
      <c r="AF244" s="33"/>
      <c r="AG244" s="32">
        <v>22783322</v>
      </c>
      <c r="AH244" s="33"/>
      <c r="AI244" s="32">
        <v>0</v>
      </c>
      <c r="AJ244" s="33"/>
      <c r="AK244" s="32">
        <f t="shared" si="1"/>
        <v>22783322</v>
      </c>
      <c r="AL244" s="33"/>
      <c r="AM244" s="32">
        <v>25763393</v>
      </c>
      <c r="AN244" s="33"/>
      <c r="AO244" s="32">
        <v>0</v>
      </c>
      <c r="AP244" s="33"/>
      <c r="AQ244" s="32">
        <f t="shared" si="2"/>
        <v>25763393</v>
      </c>
      <c r="AR244" s="33"/>
    </row>
    <row r="245" spans="1:44" ht="15.75" customHeight="1">
      <c r="A245" s="16">
        <v>60201</v>
      </c>
      <c r="B245" s="17" t="s">
        <v>249</v>
      </c>
      <c r="C245" s="18">
        <v>156300</v>
      </c>
      <c r="D245" s="19">
        <v>0.88</v>
      </c>
      <c r="E245" s="20">
        <v>0</v>
      </c>
      <c r="F245" s="19">
        <v>0</v>
      </c>
      <c r="G245" s="21">
        <v>156300</v>
      </c>
      <c r="H245" s="22">
        <v>0.36</v>
      </c>
      <c r="I245" s="23">
        <v>296500</v>
      </c>
      <c r="J245" s="24">
        <v>1.49</v>
      </c>
      <c r="K245" s="25">
        <v>0</v>
      </c>
      <c r="L245" s="26">
        <v>0</v>
      </c>
      <c r="M245" s="25">
        <v>296500</v>
      </c>
      <c r="N245" s="27">
        <v>0.62</v>
      </c>
      <c r="O245" s="23">
        <v>310000</v>
      </c>
      <c r="P245" s="24">
        <v>1.44</v>
      </c>
      <c r="Q245" s="25">
        <v>0</v>
      </c>
      <c r="R245" s="19">
        <v>0</v>
      </c>
      <c r="S245" s="25">
        <v>310000</v>
      </c>
      <c r="T245" s="22">
        <v>0.55000000000000004</v>
      </c>
      <c r="U245" s="34">
        <v>266754</v>
      </c>
      <c r="V245" s="29">
        <v>1.27</v>
      </c>
      <c r="W245" s="30">
        <v>0</v>
      </c>
      <c r="X245" s="29">
        <v>0</v>
      </c>
      <c r="Y245" s="31">
        <v>266754</v>
      </c>
      <c r="Z245" s="29">
        <v>0.92</v>
      </c>
      <c r="AA245" s="32">
        <v>120000</v>
      </c>
      <c r="AB245" s="33"/>
      <c r="AC245" s="32">
        <v>0</v>
      </c>
      <c r="AD245" s="33"/>
      <c r="AE245" s="32">
        <f t="shared" si="0"/>
        <v>120000</v>
      </c>
      <c r="AF245" s="33"/>
      <c r="AG245" s="32">
        <v>140000</v>
      </c>
      <c r="AH245" s="33"/>
      <c r="AI245" s="32">
        <v>0</v>
      </c>
      <c r="AJ245" s="33"/>
      <c r="AK245" s="32">
        <f t="shared" si="1"/>
        <v>140000</v>
      </c>
      <c r="AL245" s="33"/>
      <c r="AM245" s="32">
        <v>187632</v>
      </c>
      <c r="AN245" s="33"/>
      <c r="AO245" s="32">
        <v>0</v>
      </c>
      <c r="AP245" s="33"/>
      <c r="AQ245" s="32">
        <f t="shared" si="2"/>
        <v>187632</v>
      </c>
      <c r="AR245" s="33"/>
    </row>
    <row r="246" spans="1:44" ht="15.75" customHeight="1">
      <c r="A246" s="16">
        <v>60202</v>
      </c>
      <c r="B246" s="17" t="s">
        <v>250</v>
      </c>
      <c r="C246" s="18">
        <v>715257</v>
      </c>
      <c r="D246" s="19">
        <v>1.92</v>
      </c>
      <c r="E246" s="20">
        <v>0</v>
      </c>
      <c r="F246" s="19">
        <v>0</v>
      </c>
      <c r="G246" s="21">
        <v>715257</v>
      </c>
      <c r="H246" s="22">
        <v>1.21</v>
      </c>
      <c r="I246" s="23">
        <v>1000000</v>
      </c>
      <c r="J246" s="24">
        <v>2.2400000000000002</v>
      </c>
      <c r="K246" s="25">
        <v>0</v>
      </c>
      <c r="L246" s="26">
        <v>0</v>
      </c>
      <c r="M246" s="25">
        <v>1000000</v>
      </c>
      <c r="N246" s="27">
        <v>1.25</v>
      </c>
      <c r="O246" s="23">
        <v>1139391</v>
      </c>
      <c r="P246" s="24">
        <v>2.08</v>
      </c>
      <c r="Q246" s="25">
        <v>0</v>
      </c>
      <c r="R246" s="19">
        <v>0</v>
      </c>
      <c r="S246" s="25">
        <v>1139391</v>
      </c>
      <c r="T246" s="22">
        <v>1.1299999999999999</v>
      </c>
      <c r="U246" s="34">
        <v>1203121</v>
      </c>
      <c r="V246" s="29">
        <v>2.6</v>
      </c>
      <c r="W246" s="30">
        <v>0</v>
      </c>
      <c r="X246" s="29">
        <v>0</v>
      </c>
      <c r="Y246" s="31">
        <v>1203121</v>
      </c>
      <c r="Z246" s="29">
        <v>1.92</v>
      </c>
      <c r="AA246" s="32">
        <v>1856979</v>
      </c>
      <c r="AB246" s="33"/>
      <c r="AC246" s="32">
        <v>0</v>
      </c>
      <c r="AD246" s="33"/>
      <c r="AE246" s="32">
        <f t="shared" si="0"/>
        <v>1856979</v>
      </c>
      <c r="AF246" s="33"/>
      <c r="AG246" s="32">
        <v>1488590</v>
      </c>
      <c r="AH246" s="33"/>
      <c r="AI246" s="32">
        <v>0</v>
      </c>
      <c r="AJ246" s="33"/>
      <c r="AK246" s="32">
        <f t="shared" si="1"/>
        <v>1488590</v>
      </c>
      <c r="AL246" s="33"/>
      <c r="AM246" s="32">
        <v>1727650</v>
      </c>
      <c r="AN246" s="33"/>
      <c r="AO246" s="32">
        <v>0</v>
      </c>
      <c r="AP246" s="33"/>
      <c r="AQ246" s="32">
        <f t="shared" si="2"/>
        <v>1727650</v>
      </c>
      <c r="AR246" s="33"/>
    </row>
    <row r="247" spans="1:44" ht="15.75" customHeight="1">
      <c r="A247" s="16">
        <v>60301</v>
      </c>
      <c r="B247" s="17" t="s">
        <v>251</v>
      </c>
      <c r="C247" s="18">
        <v>4380000</v>
      </c>
      <c r="D247" s="19">
        <v>3.1</v>
      </c>
      <c r="E247" s="20">
        <v>0</v>
      </c>
      <c r="F247" s="19">
        <v>0</v>
      </c>
      <c r="G247" s="21">
        <v>4380000</v>
      </c>
      <c r="H247" s="22">
        <v>1.97</v>
      </c>
      <c r="I247" s="23">
        <v>5204500</v>
      </c>
      <c r="J247" s="24">
        <v>2.64</v>
      </c>
      <c r="K247" s="25">
        <v>0</v>
      </c>
      <c r="L247" s="26">
        <v>0</v>
      </c>
      <c r="M247" s="25">
        <v>5204500</v>
      </c>
      <c r="N247" s="27">
        <v>2</v>
      </c>
      <c r="O247" s="23">
        <v>5204500</v>
      </c>
      <c r="P247" s="24">
        <v>2.2999999999999998</v>
      </c>
      <c r="Q247" s="25">
        <v>0</v>
      </c>
      <c r="R247" s="19">
        <v>0</v>
      </c>
      <c r="S247" s="25">
        <v>5204500</v>
      </c>
      <c r="T247" s="22">
        <v>1.53</v>
      </c>
      <c r="U247" s="34">
        <v>8715745</v>
      </c>
      <c r="V247" s="29">
        <v>5.99</v>
      </c>
      <c r="W247" s="30">
        <v>0</v>
      </c>
      <c r="X247" s="29">
        <v>0</v>
      </c>
      <c r="Y247" s="31">
        <v>8715745</v>
      </c>
      <c r="Z247" s="29">
        <v>4.68</v>
      </c>
      <c r="AA247" s="32">
        <v>7408383</v>
      </c>
      <c r="AB247" s="33"/>
      <c r="AC247" s="32">
        <v>0</v>
      </c>
      <c r="AD247" s="33"/>
      <c r="AE247" s="32">
        <f t="shared" si="0"/>
        <v>7408383</v>
      </c>
      <c r="AF247" s="33"/>
      <c r="AG247" s="32">
        <v>8107951</v>
      </c>
      <c r="AH247" s="33"/>
      <c r="AI247" s="32">
        <v>0</v>
      </c>
      <c r="AJ247" s="33"/>
      <c r="AK247" s="32">
        <f t="shared" si="1"/>
        <v>8107951</v>
      </c>
      <c r="AL247" s="33"/>
      <c r="AM247" s="32">
        <v>6146667</v>
      </c>
      <c r="AN247" s="33"/>
      <c r="AO247" s="32">
        <v>0</v>
      </c>
      <c r="AP247" s="33"/>
      <c r="AQ247" s="32">
        <f t="shared" si="2"/>
        <v>6146667</v>
      </c>
      <c r="AR247" s="33"/>
    </row>
    <row r="248" spans="1:44" ht="15.75" customHeight="1">
      <c r="A248" s="16">
        <v>60302</v>
      </c>
      <c r="B248" s="17" t="s">
        <v>252</v>
      </c>
      <c r="C248" s="18">
        <v>790200</v>
      </c>
      <c r="D248" s="19">
        <v>1.38</v>
      </c>
      <c r="E248" s="20">
        <v>0</v>
      </c>
      <c r="F248" s="19">
        <v>0</v>
      </c>
      <c r="G248" s="21">
        <v>790200</v>
      </c>
      <c r="H248" s="22">
        <v>0.56000000000000005</v>
      </c>
      <c r="I248" s="23">
        <v>1208600</v>
      </c>
      <c r="J248" s="24">
        <v>1.44</v>
      </c>
      <c r="K248" s="25">
        <v>0</v>
      </c>
      <c r="L248" s="26">
        <v>0</v>
      </c>
      <c r="M248" s="25">
        <v>1208600</v>
      </c>
      <c r="N248" s="27">
        <v>0.66</v>
      </c>
      <c r="O248" s="23">
        <v>776000</v>
      </c>
      <c r="P248" s="24">
        <v>0.85</v>
      </c>
      <c r="Q248" s="25">
        <v>50000</v>
      </c>
      <c r="R248" s="19">
        <v>0.04</v>
      </c>
      <c r="S248" s="25">
        <v>826000</v>
      </c>
      <c r="T248" s="22">
        <v>0.39</v>
      </c>
      <c r="U248" s="34">
        <v>864776</v>
      </c>
      <c r="V248" s="29">
        <v>1.51</v>
      </c>
      <c r="W248" s="30">
        <v>0</v>
      </c>
      <c r="X248" s="29">
        <v>0</v>
      </c>
      <c r="Y248" s="31">
        <v>864776</v>
      </c>
      <c r="Z248" s="29">
        <v>1.25</v>
      </c>
      <c r="AA248" s="32">
        <v>830969</v>
      </c>
      <c r="AB248" s="33"/>
      <c r="AC248" s="32">
        <v>0</v>
      </c>
      <c r="AD248" s="33"/>
      <c r="AE248" s="32">
        <f t="shared" si="0"/>
        <v>830969</v>
      </c>
      <c r="AF248" s="33"/>
      <c r="AG248" s="32">
        <v>1035727</v>
      </c>
      <c r="AH248" s="33"/>
      <c r="AI248" s="32">
        <v>0</v>
      </c>
      <c r="AJ248" s="33"/>
      <c r="AK248" s="32">
        <f t="shared" si="1"/>
        <v>1035727</v>
      </c>
      <c r="AL248" s="33"/>
      <c r="AM248" s="32">
        <v>1011014</v>
      </c>
      <c r="AN248" s="33"/>
      <c r="AO248" s="32">
        <v>0</v>
      </c>
      <c r="AP248" s="33"/>
      <c r="AQ248" s="32">
        <f t="shared" si="2"/>
        <v>1011014</v>
      </c>
      <c r="AR248" s="33"/>
    </row>
    <row r="249" spans="1:44" ht="15.75" customHeight="1">
      <c r="A249" s="16">
        <v>60303</v>
      </c>
      <c r="B249" s="17" t="s">
        <v>253</v>
      </c>
      <c r="C249" s="18">
        <v>585000</v>
      </c>
      <c r="D249" s="19">
        <v>1.39</v>
      </c>
      <c r="E249" s="20">
        <v>0</v>
      </c>
      <c r="F249" s="19">
        <v>0</v>
      </c>
      <c r="G249" s="21">
        <v>585000</v>
      </c>
      <c r="H249" s="22">
        <v>0.5</v>
      </c>
      <c r="I249" s="23">
        <v>901000</v>
      </c>
      <c r="J249" s="24">
        <v>1.23</v>
      </c>
      <c r="K249" s="25">
        <v>10000</v>
      </c>
      <c r="L249" s="26">
        <v>0.01</v>
      </c>
      <c r="M249" s="25">
        <v>911000</v>
      </c>
      <c r="N249" s="27">
        <v>0.62</v>
      </c>
      <c r="O249" s="23">
        <v>1357950</v>
      </c>
      <c r="P249" s="24">
        <v>1.8</v>
      </c>
      <c r="Q249" s="25">
        <v>0</v>
      </c>
      <c r="R249" s="19">
        <v>0</v>
      </c>
      <c r="S249" s="25">
        <v>1357950</v>
      </c>
      <c r="T249" s="22">
        <v>0.9</v>
      </c>
      <c r="U249" s="34">
        <v>3385674</v>
      </c>
      <c r="V249" s="29">
        <v>4</v>
      </c>
      <c r="W249" s="30">
        <v>0</v>
      </c>
      <c r="X249" s="29">
        <v>0</v>
      </c>
      <c r="Y249" s="31">
        <v>3385674</v>
      </c>
      <c r="Z249" s="29">
        <v>2.96</v>
      </c>
      <c r="AA249" s="32">
        <v>3209700</v>
      </c>
      <c r="AB249" s="33"/>
      <c r="AC249" s="32">
        <v>0</v>
      </c>
      <c r="AD249" s="33"/>
      <c r="AE249" s="32">
        <f t="shared" si="0"/>
        <v>3209700</v>
      </c>
      <c r="AF249" s="33"/>
      <c r="AG249" s="32">
        <v>3209686</v>
      </c>
      <c r="AH249" s="33"/>
      <c r="AI249" s="32">
        <v>0</v>
      </c>
      <c r="AJ249" s="33"/>
      <c r="AK249" s="32">
        <f t="shared" si="1"/>
        <v>3209686</v>
      </c>
      <c r="AL249" s="33"/>
      <c r="AM249" s="32">
        <v>2998964</v>
      </c>
      <c r="AN249" s="33"/>
      <c r="AO249" s="32">
        <v>0</v>
      </c>
      <c r="AP249" s="33"/>
      <c r="AQ249" s="32">
        <f t="shared" si="2"/>
        <v>2998964</v>
      </c>
      <c r="AR249" s="33"/>
    </row>
    <row r="250" spans="1:44" ht="15.75" customHeight="1">
      <c r="A250" s="16">
        <v>60401</v>
      </c>
      <c r="B250" s="17" t="s">
        <v>254</v>
      </c>
      <c r="C250" s="18">
        <v>97864</v>
      </c>
      <c r="D250" s="19">
        <v>0.76</v>
      </c>
      <c r="E250" s="20">
        <v>0</v>
      </c>
      <c r="F250" s="19">
        <v>0</v>
      </c>
      <c r="G250" s="21">
        <v>97864</v>
      </c>
      <c r="H250" s="22">
        <v>0.66</v>
      </c>
      <c r="I250" s="23">
        <v>210491</v>
      </c>
      <c r="J250" s="24">
        <v>1.31</v>
      </c>
      <c r="K250" s="25">
        <v>0</v>
      </c>
      <c r="L250" s="26">
        <v>0</v>
      </c>
      <c r="M250" s="25">
        <v>210491</v>
      </c>
      <c r="N250" s="27">
        <v>1.03</v>
      </c>
      <c r="O250" s="23">
        <v>220491</v>
      </c>
      <c r="P250" s="24">
        <v>1.18</v>
      </c>
      <c r="Q250" s="25">
        <v>0</v>
      </c>
      <c r="R250" s="19">
        <v>0</v>
      </c>
      <c r="S250" s="25">
        <v>220491</v>
      </c>
      <c r="T250" s="22">
        <v>0.72</v>
      </c>
      <c r="U250" s="34">
        <v>170000</v>
      </c>
      <c r="V250" s="29">
        <v>1.07</v>
      </c>
      <c r="W250" s="30">
        <v>0</v>
      </c>
      <c r="X250" s="29">
        <v>0</v>
      </c>
      <c r="Y250" s="31">
        <v>170000</v>
      </c>
      <c r="Z250" s="29">
        <v>0.62</v>
      </c>
      <c r="AA250" s="32">
        <v>212041</v>
      </c>
      <c r="AB250" s="33"/>
      <c r="AC250" s="32">
        <v>0</v>
      </c>
      <c r="AD250" s="33"/>
      <c r="AE250" s="32">
        <f t="shared" si="0"/>
        <v>212041</v>
      </c>
      <c r="AF250" s="33"/>
      <c r="AG250" s="32">
        <v>166800</v>
      </c>
      <c r="AH250" s="33"/>
      <c r="AI250" s="32">
        <v>0</v>
      </c>
      <c r="AJ250" s="33"/>
      <c r="AK250" s="32">
        <f t="shared" si="1"/>
        <v>166800</v>
      </c>
      <c r="AL250" s="33"/>
      <c r="AM250" s="32">
        <v>300000</v>
      </c>
      <c r="AN250" s="33"/>
      <c r="AO250" s="32">
        <v>0</v>
      </c>
      <c r="AP250" s="33"/>
      <c r="AQ250" s="32">
        <f t="shared" si="2"/>
        <v>300000</v>
      </c>
      <c r="AR250" s="33"/>
    </row>
    <row r="251" spans="1:44" ht="15.75" customHeight="1">
      <c r="A251" s="16">
        <v>60402</v>
      </c>
      <c r="B251" s="17" t="s">
        <v>255</v>
      </c>
      <c r="C251" s="18">
        <v>5000</v>
      </c>
      <c r="D251" s="19">
        <v>0.09</v>
      </c>
      <c r="E251" s="20">
        <v>0</v>
      </c>
      <c r="F251" s="19">
        <v>0</v>
      </c>
      <c r="G251" s="21">
        <v>5000</v>
      </c>
      <c r="H251" s="22">
        <v>0.05</v>
      </c>
      <c r="I251" s="23">
        <v>93000</v>
      </c>
      <c r="J251" s="24">
        <v>1.26</v>
      </c>
      <c r="K251" s="25">
        <v>0</v>
      </c>
      <c r="L251" s="26">
        <v>0</v>
      </c>
      <c r="M251" s="25">
        <v>93000</v>
      </c>
      <c r="N251" s="27">
        <v>0.95</v>
      </c>
      <c r="O251" s="23"/>
      <c r="P251" s="24">
        <v>0</v>
      </c>
      <c r="Q251" s="25">
        <v>0</v>
      </c>
      <c r="R251" s="19">
        <v>0</v>
      </c>
      <c r="S251" s="25"/>
      <c r="T251" s="22">
        <v>0</v>
      </c>
      <c r="U251" s="34">
        <v>15735</v>
      </c>
      <c r="V251" s="29">
        <v>0.22</v>
      </c>
      <c r="W251" s="30">
        <v>0</v>
      </c>
      <c r="X251" s="29">
        <v>0</v>
      </c>
      <c r="Y251" s="31">
        <v>15735</v>
      </c>
      <c r="Z251" s="29">
        <v>0.11</v>
      </c>
      <c r="AA251" s="32">
        <v>15735</v>
      </c>
      <c r="AB251" s="33"/>
      <c r="AC251" s="32">
        <v>0</v>
      </c>
      <c r="AD251" s="33"/>
      <c r="AE251" s="32">
        <f t="shared" si="0"/>
        <v>15735</v>
      </c>
      <c r="AF251" s="33"/>
      <c r="AG251" s="32">
        <v>15581</v>
      </c>
      <c r="AH251" s="33"/>
      <c r="AI251" s="32">
        <v>0</v>
      </c>
      <c r="AJ251" s="33"/>
      <c r="AK251" s="32">
        <f t="shared" si="1"/>
        <v>15581</v>
      </c>
      <c r="AL251" s="33"/>
      <c r="AM251" s="32">
        <v>10500</v>
      </c>
      <c r="AN251" s="33"/>
      <c r="AO251" s="32">
        <v>0</v>
      </c>
      <c r="AP251" s="33"/>
      <c r="AQ251" s="32">
        <f t="shared" si="2"/>
        <v>10500</v>
      </c>
      <c r="AR251" s="33"/>
    </row>
    <row r="252" spans="1:44" ht="15.75" customHeight="1">
      <c r="A252" s="16">
        <v>60501</v>
      </c>
      <c r="B252" s="17" t="s">
        <v>256</v>
      </c>
      <c r="C252" s="18">
        <v>297460</v>
      </c>
      <c r="D252" s="19">
        <v>1.68</v>
      </c>
      <c r="E252" s="20">
        <v>0</v>
      </c>
      <c r="F252" s="19">
        <v>0</v>
      </c>
      <c r="G252" s="21">
        <v>297460</v>
      </c>
      <c r="H252" s="22">
        <v>0.92</v>
      </c>
      <c r="I252" s="23">
        <v>635293</v>
      </c>
      <c r="J252" s="24">
        <v>2.95</v>
      </c>
      <c r="K252" s="25">
        <v>0</v>
      </c>
      <c r="L252" s="26">
        <v>0</v>
      </c>
      <c r="M252" s="25">
        <v>635293</v>
      </c>
      <c r="N252" s="27">
        <v>1.32</v>
      </c>
      <c r="O252" s="23">
        <v>635293</v>
      </c>
      <c r="P252" s="24">
        <v>2.69</v>
      </c>
      <c r="Q252" s="25">
        <v>0</v>
      </c>
      <c r="R252" s="19">
        <v>0</v>
      </c>
      <c r="S252" s="25">
        <v>635293</v>
      </c>
      <c r="T252" s="22">
        <v>1.24</v>
      </c>
      <c r="U252" s="34">
        <v>415000</v>
      </c>
      <c r="V252" s="29">
        <v>1.92</v>
      </c>
      <c r="W252" s="30">
        <v>0</v>
      </c>
      <c r="X252" s="29">
        <v>0</v>
      </c>
      <c r="Y252" s="31">
        <v>415000</v>
      </c>
      <c r="Z252" s="29">
        <v>1.38</v>
      </c>
      <c r="AA252" s="32">
        <v>160602</v>
      </c>
      <c r="AB252" s="33"/>
      <c r="AC252" s="32">
        <v>0</v>
      </c>
      <c r="AD252" s="33"/>
      <c r="AE252" s="32">
        <f t="shared" si="0"/>
        <v>160602</v>
      </c>
      <c r="AF252" s="33"/>
      <c r="AG252" s="32">
        <v>745689</v>
      </c>
      <c r="AH252" s="33"/>
      <c r="AI252" s="32">
        <v>0</v>
      </c>
      <c r="AJ252" s="33"/>
      <c r="AK252" s="32">
        <f t="shared" si="1"/>
        <v>745689</v>
      </c>
      <c r="AL252" s="33"/>
      <c r="AM252" s="32"/>
      <c r="AN252" s="33"/>
      <c r="AO252" s="32">
        <v>0</v>
      </c>
      <c r="AP252" s="33"/>
      <c r="AQ252" s="32">
        <f t="shared" si="2"/>
        <v>0</v>
      </c>
      <c r="AR252" s="33"/>
    </row>
    <row r="253" spans="1:44" ht="15.75" customHeight="1">
      <c r="A253" s="16">
        <v>60502</v>
      </c>
      <c r="B253" s="17" t="s">
        <v>257</v>
      </c>
      <c r="C253" s="18">
        <v>50500</v>
      </c>
      <c r="D253" s="19">
        <v>0.55000000000000004</v>
      </c>
      <c r="E253" s="20">
        <v>0</v>
      </c>
      <c r="F253" s="19">
        <v>0</v>
      </c>
      <c r="G253" s="21">
        <v>50500</v>
      </c>
      <c r="H253" s="22">
        <v>0.31</v>
      </c>
      <c r="I253" s="23">
        <v>52500</v>
      </c>
      <c r="J253" s="24">
        <v>0.48</v>
      </c>
      <c r="K253" s="25">
        <v>0</v>
      </c>
      <c r="L253" s="26">
        <v>0</v>
      </c>
      <c r="M253" s="25">
        <v>52500</v>
      </c>
      <c r="N253" s="27">
        <v>0.22</v>
      </c>
      <c r="O253" s="23">
        <v>25492</v>
      </c>
      <c r="P253" s="24">
        <v>0.22</v>
      </c>
      <c r="Q253" s="25">
        <v>0</v>
      </c>
      <c r="R253" s="19">
        <v>0</v>
      </c>
      <c r="S253" s="25">
        <v>25492</v>
      </c>
      <c r="T253" s="22">
        <v>0.09</v>
      </c>
      <c r="U253" s="34">
        <v>6000</v>
      </c>
      <c r="V253" s="29">
        <v>0.05</v>
      </c>
      <c r="W253" s="30">
        <v>0</v>
      </c>
      <c r="X253" s="29">
        <v>0</v>
      </c>
      <c r="Y253" s="31">
        <v>6000</v>
      </c>
      <c r="Z253" s="29">
        <v>0.02</v>
      </c>
      <c r="AA253" s="32">
        <v>71004</v>
      </c>
      <c r="AB253" s="33"/>
      <c r="AC253" s="32">
        <v>0</v>
      </c>
      <c r="AD253" s="33"/>
      <c r="AE253" s="32">
        <f t="shared" si="0"/>
        <v>71004</v>
      </c>
      <c r="AF253" s="33"/>
      <c r="AG253" s="32">
        <v>81000</v>
      </c>
      <c r="AH253" s="33"/>
      <c r="AI253" s="32">
        <v>0</v>
      </c>
      <c r="AJ253" s="33"/>
      <c r="AK253" s="32">
        <f t="shared" si="1"/>
        <v>81000</v>
      </c>
      <c r="AL253" s="33"/>
      <c r="AM253" s="32">
        <v>77000</v>
      </c>
      <c r="AN253" s="33"/>
      <c r="AO253" s="32">
        <v>0</v>
      </c>
      <c r="AP253" s="33"/>
      <c r="AQ253" s="32">
        <f t="shared" si="2"/>
        <v>77000</v>
      </c>
      <c r="AR253" s="33"/>
    </row>
    <row r="254" spans="1:44" ht="15.75" customHeight="1">
      <c r="A254" s="16">
        <v>60601</v>
      </c>
      <c r="B254" s="17" t="s">
        <v>159</v>
      </c>
      <c r="C254" s="18">
        <v>307702</v>
      </c>
      <c r="D254" s="19">
        <v>1.56</v>
      </c>
      <c r="E254" s="20">
        <v>0</v>
      </c>
      <c r="F254" s="19">
        <v>0</v>
      </c>
      <c r="G254" s="21">
        <v>307702</v>
      </c>
      <c r="H254" s="22">
        <v>0.57999999999999996</v>
      </c>
      <c r="I254" s="23">
        <v>322982</v>
      </c>
      <c r="J254" s="24">
        <v>1.29</v>
      </c>
      <c r="K254" s="25">
        <v>0</v>
      </c>
      <c r="L254" s="26">
        <v>0</v>
      </c>
      <c r="M254" s="25">
        <v>322982</v>
      </c>
      <c r="N254" s="27">
        <v>0.6</v>
      </c>
      <c r="O254" s="23">
        <v>298759</v>
      </c>
      <c r="P254" s="24">
        <v>1.1399999999999999</v>
      </c>
      <c r="Q254" s="25">
        <v>0</v>
      </c>
      <c r="R254" s="19">
        <v>0</v>
      </c>
      <c r="S254" s="25">
        <v>298759</v>
      </c>
      <c r="T254" s="22">
        <v>0.7</v>
      </c>
      <c r="U254" s="34">
        <v>197699</v>
      </c>
      <c r="V254" s="29">
        <v>0.82</v>
      </c>
      <c r="W254" s="30">
        <v>0</v>
      </c>
      <c r="X254" s="29">
        <v>0</v>
      </c>
      <c r="Y254" s="31">
        <v>197699</v>
      </c>
      <c r="Z254" s="29">
        <v>0.53</v>
      </c>
      <c r="AA254" s="32">
        <v>228910</v>
      </c>
      <c r="AB254" s="33"/>
      <c r="AC254" s="32">
        <v>40000</v>
      </c>
      <c r="AD254" s="33"/>
      <c r="AE254" s="32">
        <f t="shared" si="0"/>
        <v>268910</v>
      </c>
      <c r="AF254" s="33"/>
      <c r="AG254" s="32">
        <v>263439</v>
      </c>
      <c r="AH254" s="33"/>
      <c r="AI254" s="32">
        <v>0</v>
      </c>
      <c r="AJ254" s="33"/>
      <c r="AK254" s="32">
        <f t="shared" si="1"/>
        <v>263439</v>
      </c>
      <c r="AL254" s="33"/>
      <c r="AM254" s="32">
        <v>312569</v>
      </c>
      <c r="AN254" s="33"/>
      <c r="AO254" s="32">
        <v>0</v>
      </c>
      <c r="AP254" s="33"/>
      <c r="AQ254" s="32">
        <f t="shared" si="2"/>
        <v>312569</v>
      </c>
      <c r="AR254" s="33"/>
    </row>
    <row r="255" spans="1:44" ht="15.75" customHeight="1">
      <c r="A255" s="16">
        <v>70101</v>
      </c>
      <c r="B255" s="17" t="s">
        <v>258</v>
      </c>
      <c r="C255" s="18">
        <v>87396579</v>
      </c>
      <c r="D255" s="19">
        <v>9.4</v>
      </c>
      <c r="E255" s="36">
        <v>3400000</v>
      </c>
      <c r="F255" s="19">
        <v>0.38</v>
      </c>
      <c r="G255" s="21">
        <v>90796579</v>
      </c>
      <c r="H255" s="22">
        <v>4.95</v>
      </c>
      <c r="I255" s="23">
        <v>215943910</v>
      </c>
      <c r="J255" s="24">
        <v>13.23</v>
      </c>
      <c r="K255" s="25">
        <v>4313440</v>
      </c>
      <c r="L255" s="26">
        <v>0.48</v>
      </c>
      <c r="M255" s="25">
        <v>220257350</v>
      </c>
      <c r="N255" s="27">
        <v>8.7200000000000006</v>
      </c>
      <c r="O255" s="23">
        <v>258317280</v>
      </c>
      <c r="P255" s="24">
        <v>14.24</v>
      </c>
      <c r="Q255" s="25">
        <v>665000</v>
      </c>
      <c r="R255" s="19">
        <v>7.0000000000000007E-2</v>
      </c>
      <c r="S255" s="25">
        <v>258982280</v>
      </c>
      <c r="T255" s="22">
        <v>9.5</v>
      </c>
      <c r="U255" s="34">
        <v>256912454</v>
      </c>
      <c r="V255" s="29">
        <v>11.8</v>
      </c>
      <c r="W255" s="30">
        <v>0</v>
      </c>
      <c r="X255" s="29">
        <v>0</v>
      </c>
      <c r="Y255" s="31">
        <v>256912454</v>
      </c>
      <c r="Z255" s="29">
        <v>10.55</v>
      </c>
      <c r="AA255" s="32">
        <v>258147644</v>
      </c>
      <c r="AB255" s="33"/>
      <c r="AC255" s="32">
        <v>0</v>
      </c>
      <c r="AD255" s="33"/>
      <c r="AE255" s="32">
        <f t="shared" si="0"/>
        <v>258147644</v>
      </c>
      <c r="AF255" s="33"/>
      <c r="AG255" s="32">
        <v>315553843</v>
      </c>
      <c r="AH255" s="33"/>
      <c r="AI255" s="32">
        <v>0</v>
      </c>
      <c r="AJ255" s="33"/>
      <c r="AK255" s="32">
        <f t="shared" si="1"/>
        <v>315553843</v>
      </c>
      <c r="AL255" s="33"/>
      <c r="AM255" s="32">
        <v>352621164</v>
      </c>
      <c r="AN255" s="33"/>
      <c r="AO255" s="32">
        <v>0</v>
      </c>
      <c r="AP255" s="33"/>
      <c r="AQ255" s="32">
        <f t="shared" si="2"/>
        <v>352621164</v>
      </c>
      <c r="AR255" s="33"/>
    </row>
    <row r="256" spans="1:44" ht="15.75" customHeight="1">
      <c r="A256" s="16">
        <v>70102</v>
      </c>
      <c r="B256" s="17" t="s">
        <v>259</v>
      </c>
      <c r="C256" s="18">
        <v>1430325</v>
      </c>
      <c r="D256" s="19">
        <v>5.3</v>
      </c>
      <c r="E256" s="20">
        <v>0</v>
      </c>
      <c r="F256" s="19">
        <v>0</v>
      </c>
      <c r="G256" s="21">
        <v>1430325</v>
      </c>
      <c r="H256" s="22">
        <v>3.4</v>
      </c>
      <c r="I256" s="23">
        <v>1350000</v>
      </c>
      <c r="J256" s="24">
        <v>3.56</v>
      </c>
      <c r="K256" s="25">
        <v>2000000</v>
      </c>
      <c r="L256" s="26">
        <v>20.38</v>
      </c>
      <c r="M256" s="25">
        <v>3350000</v>
      </c>
      <c r="N256" s="27">
        <v>7.01</v>
      </c>
      <c r="O256" s="23">
        <v>2270640</v>
      </c>
      <c r="P256" s="24">
        <v>4.83</v>
      </c>
      <c r="Q256" s="25">
        <v>0</v>
      </c>
      <c r="R256" s="19">
        <v>0</v>
      </c>
      <c r="S256" s="25">
        <v>2270640</v>
      </c>
      <c r="T256" s="22">
        <v>3.5</v>
      </c>
      <c r="U256" s="34">
        <v>4079400</v>
      </c>
      <c r="V256" s="29">
        <v>6.05</v>
      </c>
      <c r="W256" s="30">
        <v>0</v>
      </c>
      <c r="X256" s="29">
        <v>0</v>
      </c>
      <c r="Y256" s="31">
        <v>4079400</v>
      </c>
      <c r="Z256" s="29">
        <v>5.88</v>
      </c>
      <c r="AA256" s="32">
        <v>3903000</v>
      </c>
      <c r="AB256" s="33"/>
      <c r="AC256" s="32">
        <v>0</v>
      </c>
      <c r="AD256" s="33"/>
      <c r="AE256" s="32">
        <f t="shared" si="0"/>
        <v>3903000</v>
      </c>
      <c r="AF256" s="33"/>
      <c r="AG256" s="32">
        <v>4098150</v>
      </c>
      <c r="AH256" s="33"/>
      <c r="AI256" s="32">
        <v>0</v>
      </c>
      <c r="AJ256" s="33"/>
      <c r="AK256" s="32">
        <f t="shared" si="1"/>
        <v>4098150</v>
      </c>
      <c r="AL256" s="33"/>
      <c r="AM256" s="32">
        <v>4643750</v>
      </c>
      <c r="AN256" s="33"/>
      <c r="AO256" s="32">
        <v>0</v>
      </c>
      <c r="AP256" s="33"/>
      <c r="AQ256" s="32">
        <f t="shared" si="2"/>
        <v>4643750</v>
      </c>
      <c r="AR256" s="33"/>
    </row>
    <row r="257" spans="1:44" ht="15.75" customHeight="1">
      <c r="A257" s="16">
        <v>70103</v>
      </c>
      <c r="B257" s="17" t="s">
        <v>260</v>
      </c>
      <c r="C257" s="18">
        <v>269573</v>
      </c>
      <c r="D257" s="19">
        <v>1.54</v>
      </c>
      <c r="E257" s="20">
        <v>0</v>
      </c>
      <c r="F257" s="19">
        <v>0</v>
      </c>
      <c r="G257" s="21">
        <v>269573</v>
      </c>
      <c r="H257" s="22">
        <v>1.26</v>
      </c>
      <c r="I257" s="23">
        <v>269573</v>
      </c>
      <c r="J257" s="24">
        <v>1.43</v>
      </c>
      <c r="K257" s="25">
        <v>0</v>
      </c>
      <c r="L257" s="26">
        <v>0</v>
      </c>
      <c r="M257" s="25">
        <v>269573</v>
      </c>
      <c r="N257" s="27">
        <v>1.1100000000000001</v>
      </c>
      <c r="O257" s="23">
        <v>592627</v>
      </c>
      <c r="P257" s="24">
        <v>2.58</v>
      </c>
      <c r="Q257" s="25">
        <v>0</v>
      </c>
      <c r="R257" s="19">
        <v>0</v>
      </c>
      <c r="S257" s="25">
        <v>592627</v>
      </c>
      <c r="T257" s="22">
        <v>2.0299999999999998</v>
      </c>
      <c r="U257" s="34">
        <v>2121304</v>
      </c>
      <c r="V257" s="29">
        <v>3.17</v>
      </c>
      <c r="W257" s="31">
        <v>2200000</v>
      </c>
      <c r="X257" s="29">
        <v>7.65</v>
      </c>
      <c r="Y257" s="31">
        <v>4321304</v>
      </c>
      <c r="Z257" s="29">
        <v>4.5199999999999996</v>
      </c>
      <c r="AA257" s="32">
        <v>1681667</v>
      </c>
      <c r="AB257" s="33"/>
      <c r="AC257" s="32">
        <v>0</v>
      </c>
      <c r="AD257" s="33"/>
      <c r="AE257" s="32">
        <f t="shared" si="0"/>
        <v>1681667</v>
      </c>
      <c r="AF257" s="33"/>
      <c r="AG257" s="32">
        <v>2476312</v>
      </c>
      <c r="AH257" s="33"/>
      <c r="AI257" s="32">
        <v>0</v>
      </c>
      <c r="AJ257" s="33"/>
      <c r="AK257" s="32">
        <f t="shared" si="1"/>
        <v>2476312</v>
      </c>
      <c r="AL257" s="33"/>
      <c r="AM257" s="32">
        <v>3331829</v>
      </c>
      <c r="AN257" s="33"/>
      <c r="AO257" s="32">
        <v>0</v>
      </c>
      <c r="AP257" s="33"/>
      <c r="AQ257" s="32">
        <f t="shared" si="2"/>
        <v>3331829</v>
      </c>
      <c r="AR257" s="33"/>
    </row>
    <row r="258" spans="1:44" ht="15.75" customHeight="1">
      <c r="A258" s="16">
        <v>70104</v>
      </c>
      <c r="B258" s="17" t="s">
        <v>261</v>
      </c>
      <c r="C258" s="18">
        <v>1780000</v>
      </c>
      <c r="D258" s="19">
        <v>4.5599999999999996</v>
      </c>
      <c r="E258" s="36">
        <v>700000</v>
      </c>
      <c r="F258" s="19">
        <v>8.9</v>
      </c>
      <c r="G258" s="21">
        <v>2480000</v>
      </c>
      <c r="H258" s="22">
        <v>5.29</v>
      </c>
      <c r="I258" s="23">
        <v>2000000</v>
      </c>
      <c r="J258" s="24">
        <v>3.59</v>
      </c>
      <c r="K258" s="25">
        <v>1396000</v>
      </c>
      <c r="L258" s="26">
        <v>8.4</v>
      </c>
      <c r="M258" s="25">
        <v>3396000</v>
      </c>
      <c r="N258" s="27">
        <v>4.7</v>
      </c>
      <c r="O258" s="23">
        <v>3175000</v>
      </c>
      <c r="P258" s="24">
        <v>3.95</v>
      </c>
      <c r="Q258" s="25">
        <v>1500000</v>
      </c>
      <c r="R258" s="19">
        <v>4.01</v>
      </c>
      <c r="S258" s="25">
        <v>4675000</v>
      </c>
      <c r="T258" s="22">
        <v>3.97</v>
      </c>
      <c r="U258" s="34">
        <v>3803143</v>
      </c>
      <c r="V258" s="29">
        <v>3.81</v>
      </c>
      <c r="W258" s="30">
        <v>0</v>
      </c>
      <c r="X258" s="29">
        <v>0</v>
      </c>
      <c r="Y258" s="31">
        <v>3803143</v>
      </c>
      <c r="Z258" s="29">
        <v>3.73</v>
      </c>
      <c r="AA258" s="32">
        <v>5200000</v>
      </c>
      <c r="AB258" s="33"/>
      <c r="AC258" s="32">
        <v>0</v>
      </c>
      <c r="AD258" s="33"/>
      <c r="AE258" s="32">
        <f t="shared" ref="AE258:AE345" si="3">AA258+AC258</f>
        <v>5200000</v>
      </c>
      <c r="AF258" s="33"/>
      <c r="AG258" s="32">
        <v>5400000</v>
      </c>
      <c r="AH258" s="33"/>
      <c r="AI258" s="32">
        <v>0</v>
      </c>
      <c r="AJ258" s="33"/>
      <c r="AK258" s="32">
        <f t="shared" ref="AK258:AK345" si="4">AG258+AI258</f>
        <v>5400000</v>
      </c>
      <c r="AL258" s="33"/>
      <c r="AM258" s="32">
        <v>5278776</v>
      </c>
      <c r="AN258" s="33"/>
      <c r="AO258" s="32">
        <v>0</v>
      </c>
      <c r="AP258" s="33"/>
      <c r="AQ258" s="32">
        <f t="shared" ref="AQ258:AQ345" si="5">AM258+AO258</f>
        <v>5278776</v>
      </c>
      <c r="AR258" s="33"/>
    </row>
    <row r="259" spans="1:44" ht="15.75" customHeight="1">
      <c r="A259" s="16">
        <v>70105</v>
      </c>
      <c r="B259" s="17" t="s">
        <v>262</v>
      </c>
      <c r="C259" s="18">
        <v>600000</v>
      </c>
      <c r="D259" s="19">
        <v>2.48</v>
      </c>
      <c r="E259" s="20">
        <v>0</v>
      </c>
      <c r="F259" s="19">
        <v>0</v>
      </c>
      <c r="G259" s="21">
        <v>600000</v>
      </c>
      <c r="H259" s="22">
        <v>1.62</v>
      </c>
      <c r="I259" s="23">
        <v>1267032</v>
      </c>
      <c r="J259" s="24">
        <v>4.5</v>
      </c>
      <c r="K259" s="25">
        <v>0</v>
      </c>
      <c r="L259" s="26">
        <v>0</v>
      </c>
      <c r="M259" s="25">
        <v>1267032</v>
      </c>
      <c r="N259" s="27">
        <v>3.45</v>
      </c>
      <c r="O259" s="23">
        <v>1267032</v>
      </c>
      <c r="P259" s="24">
        <v>3.27</v>
      </c>
      <c r="Q259" s="25">
        <v>0</v>
      </c>
      <c r="R259" s="19">
        <v>0</v>
      </c>
      <c r="S259" s="25">
        <v>1267032</v>
      </c>
      <c r="T259" s="22">
        <v>2.27</v>
      </c>
      <c r="U259" s="34">
        <v>1407034</v>
      </c>
      <c r="V259" s="29">
        <v>3.32</v>
      </c>
      <c r="W259" s="30">
        <v>0</v>
      </c>
      <c r="X259" s="29">
        <v>0</v>
      </c>
      <c r="Y259" s="31">
        <v>1407034</v>
      </c>
      <c r="Z259" s="29">
        <v>2.98</v>
      </c>
      <c r="AA259" s="32">
        <v>1081400</v>
      </c>
      <c r="AB259" s="33"/>
      <c r="AC259" s="32">
        <v>0</v>
      </c>
      <c r="AD259" s="33"/>
      <c r="AE259" s="32">
        <f t="shared" si="3"/>
        <v>1081400</v>
      </c>
      <c r="AF259" s="33"/>
      <c r="AG259" s="32">
        <v>1418400</v>
      </c>
      <c r="AH259" s="33"/>
      <c r="AI259" s="32">
        <v>0</v>
      </c>
      <c r="AJ259" s="33"/>
      <c r="AK259" s="32">
        <f t="shared" si="4"/>
        <v>1418400</v>
      </c>
      <c r="AL259" s="33"/>
      <c r="AM259" s="32">
        <v>1892592</v>
      </c>
      <c r="AN259" s="33"/>
      <c r="AO259" s="32">
        <v>0</v>
      </c>
      <c r="AP259" s="33"/>
      <c r="AQ259" s="32">
        <f t="shared" si="5"/>
        <v>1892592</v>
      </c>
      <c r="AR259" s="33"/>
    </row>
    <row r="260" spans="1:44" ht="15.75" customHeight="1">
      <c r="A260" s="16">
        <v>70201</v>
      </c>
      <c r="B260" s="17" t="s">
        <v>263</v>
      </c>
      <c r="C260" s="18">
        <v>2424000</v>
      </c>
      <c r="D260" s="19">
        <v>3.79</v>
      </c>
      <c r="E260" s="20">
        <v>0</v>
      </c>
      <c r="F260" s="19">
        <v>0</v>
      </c>
      <c r="G260" s="21">
        <v>2424000</v>
      </c>
      <c r="H260" s="22">
        <v>3.74</v>
      </c>
      <c r="I260" s="23">
        <v>2725000</v>
      </c>
      <c r="J260" s="24">
        <v>3.56</v>
      </c>
      <c r="K260" s="25">
        <v>0</v>
      </c>
      <c r="L260" s="26">
        <v>0</v>
      </c>
      <c r="M260" s="25">
        <v>2725000</v>
      </c>
      <c r="N260" s="27">
        <v>2.3199999999999998</v>
      </c>
      <c r="O260" s="23">
        <v>4594280</v>
      </c>
      <c r="P260" s="24">
        <v>4.74</v>
      </c>
      <c r="Q260" s="25">
        <v>0</v>
      </c>
      <c r="R260" s="19">
        <v>0</v>
      </c>
      <c r="S260" s="25">
        <v>4594280</v>
      </c>
      <c r="T260" s="22">
        <v>3.07</v>
      </c>
      <c r="U260" s="34">
        <v>13044000</v>
      </c>
      <c r="V260" s="29">
        <v>7.45</v>
      </c>
      <c r="W260" s="30">
        <v>0</v>
      </c>
      <c r="X260" s="29">
        <v>0</v>
      </c>
      <c r="Y260" s="31">
        <v>13044000</v>
      </c>
      <c r="Z260" s="29">
        <v>6.04</v>
      </c>
      <c r="AA260" s="32">
        <v>12500000</v>
      </c>
      <c r="AB260" s="33"/>
      <c r="AC260" s="32">
        <v>450000</v>
      </c>
      <c r="AD260" s="33"/>
      <c r="AE260" s="32">
        <f t="shared" si="3"/>
        <v>12950000</v>
      </c>
      <c r="AF260" s="33"/>
      <c r="AG260" s="32">
        <v>13500000</v>
      </c>
      <c r="AH260" s="33"/>
      <c r="AI260" s="32">
        <v>0</v>
      </c>
      <c r="AJ260" s="33"/>
      <c r="AK260" s="32">
        <f t="shared" si="4"/>
        <v>13500000</v>
      </c>
      <c r="AL260" s="33"/>
      <c r="AM260" s="32">
        <v>15274600</v>
      </c>
      <c r="AN260" s="33"/>
      <c r="AO260" s="32">
        <v>0</v>
      </c>
      <c r="AP260" s="33"/>
      <c r="AQ260" s="32">
        <f t="shared" si="5"/>
        <v>15274600</v>
      </c>
      <c r="AR260" s="33"/>
    </row>
    <row r="261" spans="1:44" ht="15.75" customHeight="1">
      <c r="A261" s="16">
        <v>70202</v>
      </c>
      <c r="B261" s="17" t="s">
        <v>264</v>
      </c>
      <c r="C261" s="18">
        <v>200000</v>
      </c>
      <c r="D261" s="19">
        <v>2.58</v>
      </c>
      <c r="E261" s="20">
        <v>0</v>
      </c>
      <c r="F261" s="19">
        <v>0</v>
      </c>
      <c r="G261" s="21">
        <v>200000</v>
      </c>
      <c r="H261" s="22">
        <v>1.76</v>
      </c>
      <c r="I261" s="23">
        <v>86000</v>
      </c>
      <c r="J261" s="24">
        <v>1.1299999999999999</v>
      </c>
      <c r="K261" s="25">
        <v>0</v>
      </c>
      <c r="L261" s="26">
        <v>0</v>
      </c>
      <c r="M261" s="25">
        <v>86000</v>
      </c>
      <c r="N261" s="27">
        <v>0.7</v>
      </c>
      <c r="O261" s="23">
        <v>111000</v>
      </c>
      <c r="P261" s="24">
        <v>1.2</v>
      </c>
      <c r="Q261" s="25">
        <v>0</v>
      </c>
      <c r="R261" s="19">
        <v>0</v>
      </c>
      <c r="S261" s="25">
        <v>111000</v>
      </c>
      <c r="T261" s="22"/>
      <c r="U261" s="28">
        <v>0</v>
      </c>
      <c r="V261" s="29">
        <v>0</v>
      </c>
      <c r="W261" s="31">
        <v>255720</v>
      </c>
      <c r="X261" s="29">
        <v>55.87</v>
      </c>
      <c r="Y261" s="31">
        <v>255720</v>
      </c>
      <c r="Z261" s="29">
        <v>3.23</v>
      </c>
      <c r="AA261" s="32">
        <v>919088</v>
      </c>
      <c r="AB261" s="33"/>
      <c r="AC261" s="32">
        <v>364506</v>
      </c>
      <c r="AD261" s="33"/>
      <c r="AE261" s="32">
        <f t="shared" si="3"/>
        <v>1283594</v>
      </c>
      <c r="AF261" s="33"/>
      <c r="AG261" s="32">
        <v>175000</v>
      </c>
      <c r="AH261" s="33"/>
      <c r="AI261" s="32">
        <v>0</v>
      </c>
      <c r="AJ261" s="33"/>
      <c r="AK261" s="32">
        <f t="shared" si="4"/>
        <v>175000</v>
      </c>
      <c r="AL261" s="33"/>
      <c r="AM261" s="32">
        <v>200000</v>
      </c>
      <c r="AN261" s="33"/>
      <c r="AO261" s="32">
        <v>0</v>
      </c>
      <c r="AP261" s="33"/>
      <c r="AQ261" s="32">
        <f t="shared" si="5"/>
        <v>200000</v>
      </c>
      <c r="AR261" s="33"/>
    </row>
    <row r="262" spans="1:44" ht="15.75" customHeight="1">
      <c r="A262" s="16">
        <v>70301</v>
      </c>
      <c r="B262" s="17" t="s">
        <v>265</v>
      </c>
      <c r="C262" s="18">
        <v>950000</v>
      </c>
      <c r="D262" s="19">
        <v>2.89</v>
      </c>
      <c r="E262" s="20">
        <v>0</v>
      </c>
      <c r="F262" s="19">
        <v>0</v>
      </c>
      <c r="G262" s="21">
        <v>950000</v>
      </c>
      <c r="H262" s="22">
        <v>2.36</v>
      </c>
      <c r="I262" s="23">
        <v>1050000</v>
      </c>
      <c r="J262" s="24">
        <v>3.14</v>
      </c>
      <c r="K262" s="25">
        <v>0</v>
      </c>
      <c r="L262" s="26">
        <v>0</v>
      </c>
      <c r="M262" s="25">
        <v>1050000</v>
      </c>
      <c r="N262" s="27">
        <v>2.2599999999999998</v>
      </c>
      <c r="O262" s="23">
        <v>1050000</v>
      </c>
      <c r="P262" s="24">
        <v>2.72</v>
      </c>
      <c r="Q262" s="25">
        <v>0</v>
      </c>
      <c r="R262" s="19">
        <v>0</v>
      </c>
      <c r="S262" s="25">
        <v>1050000</v>
      </c>
      <c r="T262" s="22">
        <v>2.08</v>
      </c>
      <c r="U262" s="34">
        <v>2210000</v>
      </c>
      <c r="V262" s="29">
        <v>4.4800000000000004</v>
      </c>
      <c r="W262" s="30">
        <v>0</v>
      </c>
      <c r="X262" s="29">
        <v>0</v>
      </c>
      <c r="Y262" s="31">
        <v>2210000</v>
      </c>
      <c r="Z262" s="29">
        <v>4.22</v>
      </c>
      <c r="AA262" s="32">
        <v>2227256</v>
      </c>
      <c r="AB262" s="33"/>
      <c r="AC262" s="32">
        <v>0</v>
      </c>
      <c r="AD262" s="33"/>
      <c r="AE262" s="32">
        <f t="shared" si="3"/>
        <v>2227256</v>
      </c>
      <c r="AF262" s="33"/>
      <c r="AG262" s="32">
        <v>2307855</v>
      </c>
      <c r="AH262" s="33"/>
      <c r="AI262" s="32">
        <v>0</v>
      </c>
      <c r="AJ262" s="33"/>
      <c r="AK262" s="32">
        <f t="shared" si="4"/>
        <v>2307855</v>
      </c>
      <c r="AL262" s="33"/>
      <c r="AM262" s="32">
        <v>2650000</v>
      </c>
      <c r="AN262" s="33"/>
      <c r="AO262" s="32">
        <v>0</v>
      </c>
      <c r="AP262" s="33"/>
      <c r="AQ262" s="32">
        <f t="shared" si="5"/>
        <v>2650000</v>
      </c>
      <c r="AR262" s="33"/>
    </row>
    <row r="263" spans="1:44" ht="15.75" customHeight="1">
      <c r="A263" s="16">
        <v>70302</v>
      </c>
      <c r="B263" s="17" t="s">
        <v>266</v>
      </c>
      <c r="C263" s="18">
        <v>78000</v>
      </c>
      <c r="D263" s="19">
        <v>0.92</v>
      </c>
      <c r="E263" s="20">
        <v>0</v>
      </c>
      <c r="F263" s="19">
        <v>0</v>
      </c>
      <c r="G263" s="21">
        <v>78000</v>
      </c>
      <c r="H263" s="22">
        <v>0.63</v>
      </c>
      <c r="I263" s="23">
        <v>75000</v>
      </c>
      <c r="J263" s="24">
        <v>0.8</v>
      </c>
      <c r="K263" s="25">
        <v>0</v>
      </c>
      <c r="L263" s="26">
        <v>0</v>
      </c>
      <c r="M263" s="25">
        <v>75000</v>
      </c>
      <c r="N263" s="27">
        <v>0.72</v>
      </c>
      <c r="O263" s="23">
        <v>125000</v>
      </c>
      <c r="P263" s="24">
        <v>1.37</v>
      </c>
      <c r="Q263" s="25">
        <v>0</v>
      </c>
      <c r="R263" s="19">
        <v>0</v>
      </c>
      <c r="S263" s="25">
        <v>125000</v>
      </c>
      <c r="T263" s="22">
        <v>1.3</v>
      </c>
      <c r="U263" s="34">
        <v>100000</v>
      </c>
      <c r="V263" s="29">
        <v>1.2</v>
      </c>
      <c r="W263" s="30">
        <v>0</v>
      </c>
      <c r="X263" s="29">
        <v>0</v>
      </c>
      <c r="Y263" s="31">
        <v>100000</v>
      </c>
      <c r="Z263" s="29">
        <v>1.06</v>
      </c>
      <c r="AA263" s="32">
        <v>120000</v>
      </c>
      <c r="AB263" s="33"/>
      <c r="AC263" s="32">
        <v>0</v>
      </c>
      <c r="AD263" s="33"/>
      <c r="AE263" s="32">
        <f t="shared" si="3"/>
        <v>120000</v>
      </c>
      <c r="AF263" s="33"/>
      <c r="AG263" s="32">
        <v>137000</v>
      </c>
      <c r="AH263" s="33"/>
      <c r="AI263" s="32">
        <v>0</v>
      </c>
      <c r="AJ263" s="33"/>
      <c r="AK263" s="32">
        <f t="shared" si="4"/>
        <v>137000</v>
      </c>
      <c r="AL263" s="33"/>
      <c r="AM263" s="32">
        <v>121670</v>
      </c>
      <c r="AN263" s="33"/>
      <c r="AO263" s="32">
        <v>0</v>
      </c>
      <c r="AP263" s="33"/>
      <c r="AQ263" s="32">
        <f t="shared" si="5"/>
        <v>121670</v>
      </c>
      <c r="AR263" s="33"/>
    </row>
    <row r="264" spans="1:44" ht="15.75" customHeight="1">
      <c r="A264" s="16">
        <v>70303</v>
      </c>
      <c r="B264" s="17" t="s">
        <v>267</v>
      </c>
      <c r="C264" s="35">
        <v>0</v>
      </c>
      <c r="D264" s="19">
        <v>0</v>
      </c>
      <c r="E264" s="20">
        <v>0</v>
      </c>
      <c r="F264" s="19">
        <v>0</v>
      </c>
      <c r="G264" s="21">
        <v>0</v>
      </c>
      <c r="H264" s="22">
        <v>0</v>
      </c>
      <c r="I264" s="23">
        <v>20000</v>
      </c>
      <c r="J264" s="24">
        <v>0.37</v>
      </c>
      <c r="K264" s="25">
        <v>0</v>
      </c>
      <c r="L264" s="26">
        <v>0</v>
      </c>
      <c r="M264" s="25">
        <v>20000</v>
      </c>
      <c r="N264" s="27">
        <v>0.37</v>
      </c>
      <c r="O264" s="23">
        <v>30000</v>
      </c>
      <c r="P264" s="24">
        <v>0.54</v>
      </c>
      <c r="Q264" s="25">
        <v>0</v>
      </c>
      <c r="R264" s="19">
        <v>0</v>
      </c>
      <c r="S264" s="25">
        <v>30000</v>
      </c>
      <c r="T264" s="22">
        <v>0.46</v>
      </c>
      <c r="U264" s="34">
        <v>30000</v>
      </c>
      <c r="V264" s="29">
        <v>0.49</v>
      </c>
      <c r="W264" s="30">
        <v>0</v>
      </c>
      <c r="X264" s="29">
        <v>0</v>
      </c>
      <c r="Y264" s="31">
        <v>30000</v>
      </c>
      <c r="Z264" s="29">
        <v>0.49</v>
      </c>
      <c r="AA264" s="32">
        <v>53822</v>
      </c>
      <c r="AB264" s="33"/>
      <c r="AC264" s="32">
        <v>0</v>
      </c>
      <c r="AD264" s="33"/>
      <c r="AE264" s="32">
        <f t="shared" si="3"/>
        <v>53822</v>
      </c>
      <c r="AF264" s="33"/>
      <c r="AG264" s="32">
        <v>36000</v>
      </c>
      <c r="AH264" s="33"/>
      <c r="AI264" s="32">
        <v>0</v>
      </c>
      <c r="AJ264" s="33"/>
      <c r="AK264" s="32">
        <f t="shared" si="4"/>
        <v>36000</v>
      </c>
      <c r="AL264" s="33"/>
      <c r="AM264" s="32">
        <v>36000</v>
      </c>
      <c r="AN264" s="33"/>
      <c r="AO264" s="32">
        <v>0</v>
      </c>
      <c r="AP264" s="33"/>
      <c r="AQ264" s="32">
        <f t="shared" si="5"/>
        <v>36000</v>
      </c>
      <c r="AR264" s="33"/>
    </row>
    <row r="265" spans="1:44" ht="15.75" customHeight="1">
      <c r="A265" s="16">
        <v>70401</v>
      </c>
      <c r="B265" s="17" t="s">
        <v>268</v>
      </c>
      <c r="C265" s="18">
        <v>140000</v>
      </c>
      <c r="D265" s="19">
        <v>1.64</v>
      </c>
      <c r="E265" s="20">
        <v>0</v>
      </c>
      <c r="F265" s="19">
        <v>0</v>
      </c>
      <c r="G265" s="21">
        <v>140000</v>
      </c>
      <c r="H265" s="22">
        <v>1.19</v>
      </c>
      <c r="I265" s="23">
        <v>233900</v>
      </c>
      <c r="J265" s="24">
        <v>3.07</v>
      </c>
      <c r="K265" s="25">
        <v>0</v>
      </c>
      <c r="L265" s="26">
        <v>0</v>
      </c>
      <c r="M265" s="25">
        <v>233900</v>
      </c>
      <c r="N265" s="27">
        <v>2.5099999999999998</v>
      </c>
      <c r="O265" s="23">
        <v>170000</v>
      </c>
      <c r="P265" s="24">
        <v>1.73</v>
      </c>
      <c r="Q265" s="25">
        <v>0</v>
      </c>
      <c r="R265" s="19">
        <v>0</v>
      </c>
      <c r="S265" s="25">
        <v>170000</v>
      </c>
      <c r="T265" s="22">
        <v>1.35</v>
      </c>
      <c r="U265" s="34">
        <v>143620</v>
      </c>
      <c r="V265" s="29">
        <v>1.45</v>
      </c>
      <c r="W265" s="30">
        <v>0</v>
      </c>
      <c r="X265" s="29">
        <v>0</v>
      </c>
      <c r="Y265" s="31">
        <v>143620</v>
      </c>
      <c r="Z265" s="29">
        <v>1.45</v>
      </c>
      <c r="AA265" s="32">
        <v>163500</v>
      </c>
      <c r="AB265" s="33"/>
      <c r="AC265" s="32">
        <v>0</v>
      </c>
      <c r="AD265" s="33"/>
      <c r="AE265" s="32">
        <f t="shared" si="3"/>
        <v>163500</v>
      </c>
      <c r="AF265" s="33"/>
      <c r="AG265" s="32">
        <v>355600</v>
      </c>
      <c r="AH265" s="33"/>
      <c r="AI265" s="32">
        <v>0</v>
      </c>
      <c r="AJ265" s="33"/>
      <c r="AK265" s="32">
        <f t="shared" si="4"/>
        <v>355600</v>
      </c>
      <c r="AL265" s="33"/>
      <c r="AM265" s="32"/>
      <c r="AN265" s="33"/>
      <c r="AO265" s="32">
        <v>0</v>
      </c>
      <c r="AP265" s="33"/>
      <c r="AQ265" s="32">
        <f t="shared" si="5"/>
        <v>0</v>
      </c>
      <c r="AR265" s="33"/>
    </row>
    <row r="266" spans="1:44" ht="15.75" customHeight="1">
      <c r="A266" s="16">
        <v>70402</v>
      </c>
      <c r="B266" s="17" t="s">
        <v>269</v>
      </c>
      <c r="C266" s="18">
        <v>85500</v>
      </c>
      <c r="D266" s="19">
        <v>0.77</v>
      </c>
      <c r="E266" s="20">
        <v>0</v>
      </c>
      <c r="F266" s="19">
        <v>0</v>
      </c>
      <c r="G266" s="21">
        <v>85500</v>
      </c>
      <c r="H266" s="22">
        <v>0.64</v>
      </c>
      <c r="I266" s="23">
        <v>108917</v>
      </c>
      <c r="J266" s="24">
        <v>0.91</v>
      </c>
      <c r="K266" s="25">
        <v>0</v>
      </c>
      <c r="L266" s="26">
        <v>0</v>
      </c>
      <c r="M266" s="25">
        <v>108917</v>
      </c>
      <c r="N266" s="27">
        <v>0.66</v>
      </c>
      <c r="O266" s="23">
        <v>156212</v>
      </c>
      <c r="P266" s="24">
        <v>1.1100000000000001</v>
      </c>
      <c r="Q266" s="25">
        <v>0</v>
      </c>
      <c r="R266" s="19">
        <v>0</v>
      </c>
      <c r="S266" s="25">
        <v>156212</v>
      </c>
      <c r="T266" s="22">
        <v>0.83</v>
      </c>
      <c r="U266" s="34">
        <v>400000</v>
      </c>
      <c r="V266" s="29">
        <v>2.0499999999999998</v>
      </c>
      <c r="W266" s="30">
        <v>0</v>
      </c>
      <c r="X266" s="29">
        <v>0</v>
      </c>
      <c r="Y266" s="31">
        <v>400000</v>
      </c>
      <c r="Z266" s="29">
        <v>1.76</v>
      </c>
      <c r="AA266" s="32">
        <v>400000</v>
      </c>
      <c r="AB266" s="33"/>
      <c r="AC266" s="32">
        <v>0</v>
      </c>
      <c r="AD266" s="33"/>
      <c r="AE266" s="32">
        <f t="shared" si="3"/>
        <v>400000</v>
      </c>
      <c r="AF266" s="33"/>
      <c r="AG266" s="32">
        <v>400000</v>
      </c>
      <c r="AH266" s="33"/>
      <c r="AI266" s="32">
        <v>0</v>
      </c>
      <c r="AJ266" s="33"/>
      <c r="AK266" s="32">
        <f t="shared" si="4"/>
        <v>400000</v>
      </c>
      <c r="AL266" s="33"/>
      <c r="AM266" s="32">
        <v>400000</v>
      </c>
      <c r="AN266" s="33"/>
      <c r="AO266" s="32">
        <v>0</v>
      </c>
      <c r="AP266" s="33"/>
      <c r="AQ266" s="32">
        <f t="shared" si="5"/>
        <v>400000</v>
      </c>
      <c r="AR266" s="33"/>
    </row>
    <row r="267" spans="1:44" ht="15.75" customHeight="1">
      <c r="A267" s="16">
        <v>70403</v>
      </c>
      <c r="B267" s="17" t="s">
        <v>270</v>
      </c>
      <c r="C267" s="18">
        <v>593642</v>
      </c>
      <c r="D267" s="19">
        <v>3.22</v>
      </c>
      <c r="E267" s="20">
        <v>0</v>
      </c>
      <c r="F267" s="19">
        <v>0</v>
      </c>
      <c r="G267" s="21">
        <v>593642</v>
      </c>
      <c r="H267" s="22">
        <v>2.76</v>
      </c>
      <c r="I267" s="23">
        <v>400000</v>
      </c>
      <c r="J267" s="24">
        <v>2.0299999999999998</v>
      </c>
      <c r="K267" s="25">
        <v>0</v>
      </c>
      <c r="L267" s="26">
        <v>0</v>
      </c>
      <c r="M267" s="25">
        <v>400000</v>
      </c>
      <c r="N267" s="27">
        <v>1.19</v>
      </c>
      <c r="O267" s="23">
        <v>855000</v>
      </c>
      <c r="P267" s="24">
        <v>2.86</v>
      </c>
      <c r="Q267" s="25">
        <v>0</v>
      </c>
      <c r="R267" s="19">
        <v>0</v>
      </c>
      <c r="S267" s="25">
        <v>855000</v>
      </c>
      <c r="T267" s="22">
        <v>1.89</v>
      </c>
      <c r="U267" s="28">
        <v>0</v>
      </c>
      <c r="V267" s="29">
        <v>0</v>
      </c>
      <c r="W267" s="31">
        <v>768269</v>
      </c>
      <c r="X267" s="29">
        <v>36.659999999999997</v>
      </c>
      <c r="Y267" s="31">
        <v>768269</v>
      </c>
      <c r="Z267" s="29">
        <v>3.25</v>
      </c>
      <c r="AA267" s="32">
        <v>3335689</v>
      </c>
      <c r="AB267" s="33"/>
      <c r="AC267" s="32">
        <v>0</v>
      </c>
      <c r="AD267" s="33"/>
      <c r="AE267" s="32">
        <f t="shared" si="3"/>
        <v>3335689</v>
      </c>
      <c r="AF267" s="33"/>
      <c r="AG267" s="32">
        <v>3825448</v>
      </c>
      <c r="AH267" s="33"/>
      <c r="AI267" s="32">
        <v>0</v>
      </c>
      <c r="AJ267" s="33"/>
      <c r="AK267" s="32">
        <f t="shared" si="4"/>
        <v>3825448</v>
      </c>
      <c r="AL267" s="33"/>
      <c r="AM267" s="32">
        <v>2893916</v>
      </c>
      <c r="AN267" s="33"/>
      <c r="AO267" s="32">
        <v>887084</v>
      </c>
      <c r="AP267" s="33"/>
      <c r="AQ267" s="32">
        <f t="shared" si="5"/>
        <v>3781000</v>
      </c>
      <c r="AR267" s="33"/>
    </row>
    <row r="268" spans="1:44" ht="15.75" customHeight="1">
      <c r="A268" s="16">
        <v>70404</v>
      </c>
      <c r="B268" s="17" t="s">
        <v>271</v>
      </c>
      <c r="C268" s="18">
        <v>80000</v>
      </c>
      <c r="D268" s="19">
        <v>1.26</v>
      </c>
      <c r="E268" s="20">
        <v>0</v>
      </c>
      <c r="F268" s="19">
        <v>0</v>
      </c>
      <c r="G268" s="21">
        <v>80000</v>
      </c>
      <c r="H268" s="22">
        <v>0.98</v>
      </c>
      <c r="I268" s="23">
        <v>100000</v>
      </c>
      <c r="J268" s="24">
        <v>1.2</v>
      </c>
      <c r="K268" s="25">
        <v>0</v>
      </c>
      <c r="L268" s="26">
        <v>0</v>
      </c>
      <c r="M268" s="25">
        <v>100000</v>
      </c>
      <c r="N268" s="27">
        <v>1.08</v>
      </c>
      <c r="O268" s="23">
        <v>450000</v>
      </c>
      <c r="P268" s="24">
        <v>5.74</v>
      </c>
      <c r="Q268" s="25">
        <v>0</v>
      </c>
      <c r="R268" s="19">
        <v>0</v>
      </c>
      <c r="S268" s="25">
        <v>450000</v>
      </c>
      <c r="T268" s="22">
        <v>5.07</v>
      </c>
      <c r="U268" s="34">
        <v>575567</v>
      </c>
      <c r="V268" s="29">
        <v>6.73</v>
      </c>
      <c r="W268" s="31">
        <v>499687</v>
      </c>
      <c r="X268" s="29">
        <v>98.46</v>
      </c>
      <c r="Y268" s="31">
        <v>1075254</v>
      </c>
      <c r="Z268" s="29">
        <v>11.87</v>
      </c>
      <c r="AA268" s="32">
        <v>521031</v>
      </c>
      <c r="AB268" s="33"/>
      <c r="AC268" s="32">
        <v>0</v>
      </c>
      <c r="AD268" s="33"/>
      <c r="AE268" s="32">
        <f t="shared" si="3"/>
        <v>521031</v>
      </c>
      <c r="AF268" s="33"/>
      <c r="AG268" s="32">
        <v>671031</v>
      </c>
      <c r="AH268" s="33"/>
      <c r="AI268" s="32">
        <v>0</v>
      </c>
      <c r="AJ268" s="33"/>
      <c r="AK268" s="32">
        <f t="shared" si="4"/>
        <v>671031</v>
      </c>
      <c r="AL268" s="33"/>
      <c r="AM268" s="32"/>
      <c r="AN268" s="33"/>
      <c r="AO268" s="32">
        <v>0</v>
      </c>
      <c r="AP268" s="33"/>
      <c r="AQ268" s="32">
        <f t="shared" si="5"/>
        <v>0</v>
      </c>
      <c r="AR268" s="33"/>
    </row>
    <row r="269" spans="1:44" ht="15.75" customHeight="1">
      <c r="A269" s="16">
        <v>70501</v>
      </c>
      <c r="B269" s="17" t="s">
        <v>272</v>
      </c>
      <c r="C269" s="18">
        <v>555000</v>
      </c>
      <c r="D269" s="19">
        <v>3.5</v>
      </c>
      <c r="E269" s="20">
        <v>0</v>
      </c>
      <c r="F269" s="19">
        <v>0</v>
      </c>
      <c r="G269" s="21">
        <v>555000</v>
      </c>
      <c r="H269" s="22">
        <v>2.7</v>
      </c>
      <c r="I269" s="23">
        <v>725000</v>
      </c>
      <c r="J269" s="24">
        <v>3.94</v>
      </c>
      <c r="K269" s="25">
        <v>0</v>
      </c>
      <c r="L269" s="26">
        <v>0</v>
      </c>
      <c r="M269" s="25">
        <v>725000</v>
      </c>
      <c r="N269" s="27">
        <v>3.24</v>
      </c>
      <c r="O269" s="23">
        <v>700000</v>
      </c>
      <c r="P269" s="24">
        <v>2.73</v>
      </c>
      <c r="Q269" s="25">
        <v>0</v>
      </c>
      <c r="R269" s="19">
        <v>0</v>
      </c>
      <c r="S269" s="25">
        <v>700000</v>
      </c>
      <c r="T269" s="22">
        <v>1.73</v>
      </c>
      <c r="U269" s="34">
        <v>570000</v>
      </c>
      <c r="V269" s="29">
        <v>2.38</v>
      </c>
      <c r="W269" s="30">
        <v>0</v>
      </c>
      <c r="X269" s="29">
        <v>0</v>
      </c>
      <c r="Y269" s="31">
        <v>570000</v>
      </c>
      <c r="Z269" s="29">
        <v>2.36</v>
      </c>
      <c r="AA269" s="32">
        <v>546432</v>
      </c>
      <c r="AB269" s="33"/>
      <c r="AC269" s="32">
        <v>0</v>
      </c>
      <c r="AD269" s="33"/>
      <c r="AE269" s="32">
        <f t="shared" si="3"/>
        <v>546432</v>
      </c>
      <c r="AF269" s="33"/>
      <c r="AG269" s="32">
        <v>650307</v>
      </c>
      <c r="AH269" s="33"/>
      <c r="AI269" s="32">
        <v>0</v>
      </c>
      <c r="AJ269" s="33"/>
      <c r="AK269" s="32">
        <f t="shared" si="4"/>
        <v>650307</v>
      </c>
      <c r="AL269" s="33"/>
      <c r="AM269" s="32">
        <v>448540</v>
      </c>
      <c r="AN269" s="33"/>
      <c r="AO269" s="32">
        <v>0</v>
      </c>
      <c r="AP269" s="33"/>
      <c r="AQ269" s="32">
        <f t="shared" si="5"/>
        <v>448540</v>
      </c>
      <c r="AR269" s="33"/>
    </row>
    <row r="270" spans="1:44" ht="15.75" customHeight="1">
      <c r="A270" s="16">
        <v>70502</v>
      </c>
      <c r="B270" s="17" t="s">
        <v>273</v>
      </c>
      <c r="C270" s="18">
        <v>522850</v>
      </c>
      <c r="D270" s="19">
        <v>2.4500000000000002</v>
      </c>
      <c r="E270" s="20">
        <v>0</v>
      </c>
      <c r="F270" s="19">
        <v>0</v>
      </c>
      <c r="G270" s="21">
        <v>522850</v>
      </c>
      <c r="H270" s="22">
        <v>2.3199999999999998</v>
      </c>
      <c r="I270" s="23">
        <v>0</v>
      </c>
      <c r="J270" s="19">
        <v>0</v>
      </c>
      <c r="K270" s="25">
        <v>0</v>
      </c>
      <c r="L270" s="26">
        <v>0</v>
      </c>
      <c r="M270" s="25">
        <v>0</v>
      </c>
      <c r="N270" s="22">
        <v>0</v>
      </c>
      <c r="O270" s="23">
        <v>746000</v>
      </c>
      <c r="P270" s="24">
        <v>2.06</v>
      </c>
      <c r="Q270" s="25">
        <v>0</v>
      </c>
      <c r="R270" s="19">
        <v>0</v>
      </c>
      <c r="S270" s="25">
        <v>746000</v>
      </c>
      <c r="T270" s="22">
        <v>1.49</v>
      </c>
      <c r="U270" s="28">
        <v>0</v>
      </c>
      <c r="V270" s="29">
        <v>0</v>
      </c>
      <c r="W270" s="30">
        <v>0</v>
      </c>
      <c r="X270" s="29">
        <v>0</v>
      </c>
      <c r="Y270" s="31">
        <v>0</v>
      </c>
      <c r="Z270" s="29">
        <v>0</v>
      </c>
      <c r="AA270" s="32">
        <v>903650</v>
      </c>
      <c r="AB270" s="33"/>
      <c r="AC270" s="32">
        <v>0</v>
      </c>
      <c r="AD270" s="33"/>
      <c r="AE270" s="32">
        <f t="shared" si="3"/>
        <v>903650</v>
      </c>
      <c r="AF270" s="33"/>
      <c r="AG270" s="32">
        <v>903650</v>
      </c>
      <c r="AH270" s="33"/>
      <c r="AI270" s="32">
        <v>0</v>
      </c>
      <c r="AJ270" s="33"/>
      <c r="AK270" s="32">
        <f t="shared" si="4"/>
        <v>903650</v>
      </c>
      <c r="AL270" s="33"/>
      <c r="AM270" s="32">
        <v>891075</v>
      </c>
      <c r="AN270" s="33"/>
      <c r="AO270" s="32">
        <v>0</v>
      </c>
      <c r="AP270" s="33"/>
      <c r="AQ270" s="32">
        <f t="shared" si="5"/>
        <v>891075</v>
      </c>
      <c r="AR270" s="33"/>
    </row>
    <row r="271" spans="1:44" ht="15.75" customHeight="1">
      <c r="A271" s="16">
        <v>70503</v>
      </c>
      <c r="B271" s="17" t="s">
        <v>274</v>
      </c>
      <c r="C271" s="18">
        <v>383000</v>
      </c>
      <c r="D271" s="19">
        <v>3.84</v>
      </c>
      <c r="E271" s="20">
        <v>0</v>
      </c>
      <c r="F271" s="19">
        <v>0</v>
      </c>
      <c r="G271" s="21">
        <v>383000</v>
      </c>
      <c r="H271" s="22">
        <v>2.65</v>
      </c>
      <c r="I271" s="23">
        <v>533000</v>
      </c>
      <c r="J271" s="24">
        <v>4.55</v>
      </c>
      <c r="K271" s="25">
        <v>0</v>
      </c>
      <c r="L271" s="26">
        <v>0</v>
      </c>
      <c r="M271" s="25">
        <v>533000</v>
      </c>
      <c r="N271" s="27">
        <v>3.01</v>
      </c>
      <c r="O271" s="23">
        <v>610000</v>
      </c>
      <c r="P271" s="24">
        <v>5.05</v>
      </c>
      <c r="Q271" s="25">
        <v>0</v>
      </c>
      <c r="R271" s="19">
        <v>0</v>
      </c>
      <c r="S271" s="25">
        <v>610000</v>
      </c>
      <c r="T271" s="22">
        <v>3.58</v>
      </c>
      <c r="U271" s="34">
        <v>117220</v>
      </c>
      <c r="V271" s="29">
        <v>0.79</v>
      </c>
      <c r="W271" s="30">
        <v>0</v>
      </c>
      <c r="X271" s="29">
        <v>0</v>
      </c>
      <c r="Y271" s="31">
        <v>117220</v>
      </c>
      <c r="Z271" s="29">
        <v>0.77</v>
      </c>
      <c r="AA271" s="32">
        <v>260500</v>
      </c>
      <c r="AB271" s="33"/>
      <c r="AC271" s="32">
        <v>0</v>
      </c>
      <c r="AD271" s="33"/>
      <c r="AE271" s="32">
        <f t="shared" si="3"/>
        <v>260500</v>
      </c>
      <c r="AF271" s="33"/>
      <c r="AG271" s="32">
        <v>255000</v>
      </c>
      <c r="AH271" s="33"/>
      <c r="AI271" s="32">
        <v>0</v>
      </c>
      <c r="AJ271" s="33"/>
      <c r="AK271" s="32">
        <f t="shared" si="4"/>
        <v>255000</v>
      </c>
      <c r="AL271" s="33"/>
      <c r="AM271" s="32">
        <v>300000</v>
      </c>
      <c r="AN271" s="33"/>
      <c r="AO271" s="32">
        <v>0</v>
      </c>
      <c r="AP271" s="33"/>
      <c r="AQ271" s="32">
        <f t="shared" si="5"/>
        <v>300000</v>
      </c>
      <c r="AR271" s="33"/>
    </row>
    <row r="272" spans="1:44" ht="15.75" customHeight="1">
      <c r="A272" s="16">
        <v>70601</v>
      </c>
      <c r="B272" s="17" t="s">
        <v>275</v>
      </c>
      <c r="C272" s="18">
        <v>517000</v>
      </c>
      <c r="D272" s="19">
        <v>4.51</v>
      </c>
      <c r="E272" s="20">
        <v>0</v>
      </c>
      <c r="F272" s="19">
        <v>0</v>
      </c>
      <c r="G272" s="21">
        <v>517000</v>
      </c>
      <c r="H272" s="22">
        <v>3.37</v>
      </c>
      <c r="I272" s="23">
        <v>580000</v>
      </c>
      <c r="J272" s="24">
        <v>4.46</v>
      </c>
      <c r="K272" s="25">
        <v>0</v>
      </c>
      <c r="L272" s="26">
        <v>0</v>
      </c>
      <c r="M272" s="25">
        <v>580000</v>
      </c>
      <c r="N272" s="27">
        <v>2.72</v>
      </c>
      <c r="O272" s="23">
        <v>553629</v>
      </c>
      <c r="P272" s="24">
        <v>3.95</v>
      </c>
      <c r="Q272" s="25">
        <v>0</v>
      </c>
      <c r="R272" s="19">
        <v>0</v>
      </c>
      <c r="S272" s="25">
        <v>553629</v>
      </c>
      <c r="T272" s="22">
        <v>2.39</v>
      </c>
      <c r="U272" s="34">
        <v>1000000</v>
      </c>
      <c r="V272" s="29">
        <v>4.71</v>
      </c>
      <c r="W272" s="30">
        <v>0</v>
      </c>
      <c r="X272" s="29">
        <v>0</v>
      </c>
      <c r="Y272" s="31">
        <v>1000000</v>
      </c>
      <c r="Z272" s="29">
        <v>4.24</v>
      </c>
      <c r="AA272" s="32">
        <v>1020000</v>
      </c>
      <c r="AB272" s="33"/>
      <c r="AC272" s="32">
        <v>0</v>
      </c>
      <c r="AD272" s="33"/>
      <c r="AE272" s="32">
        <f t="shared" si="3"/>
        <v>1020000</v>
      </c>
      <c r="AF272" s="33"/>
      <c r="AG272" s="32">
        <v>1050001</v>
      </c>
      <c r="AH272" s="33"/>
      <c r="AI272" s="32">
        <v>0</v>
      </c>
      <c r="AJ272" s="33"/>
      <c r="AK272" s="32">
        <f t="shared" si="4"/>
        <v>1050001</v>
      </c>
      <c r="AL272" s="33"/>
      <c r="AM272" s="32">
        <v>850000</v>
      </c>
      <c r="AN272" s="33"/>
      <c r="AO272" s="32">
        <v>0</v>
      </c>
      <c r="AP272" s="33"/>
      <c r="AQ272" s="32">
        <f t="shared" si="5"/>
        <v>850000</v>
      </c>
      <c r="AR272" s="33"/>
    </row>
    <row r="273" spans="1:44" ht="15.75" customHeight="1">
      <c r="A273" s="16">
        <v>70602</v>
      </c>
      <c r="B273" s="17" t="s">
        <v>276</v>
      </c>
      <c r="C273" s="18">
        <v>117999</v>
      </c>
      <c r="D273" s="19">
        <v>1.01</v>
      </c>
      <c r="E273" s="20">
        <v>0</v>
      </c>
      <c r="F273" s="19">
        <v>0</v>
      </c>
      <c r="G273" s="21">
        <v>117999</v>
      </c>
      <c r="H273" s="22">
        <v>0.88</v>
      </c>
      <c r="I273" s="23">
        <v>97419</v>
      </c>
      <c r="J273" s="24">
        <v>0.78</v>
      </c>
      <c r="K273" s="25">
        <v>0</v>
      </c>
      <c r="L273" s="26">
        <v>0</v>
      </c>
      <c r="M273" s="25">
        <v>97419</v>
      </c>
      <c r="N273" s="27">
        <v>0.74</v>
      </c>
      <c r="O273" s="23">
        <v>85340</v>
      </c>
      <c r="P273" s="24">
        <v>0.56999999999999995</v>
      </c>
      <c r="Q273" s="25">
        <v>0</v>
      </c>
      <c r="R273" s="19">
        <v>0</v>
      </c>
      <c r="S273" s="25">
        <v>85340</v>
      </c>
      <c r="T273" s="22">
        <v>0.52</v>
      </c>
      <c r="U273" s="28">
        <v>0</v>
      </c>
      <c r="V273" s="29">
        <v>0</v>
      </c>
      <c r="W273" s="30">
        <v>0</v>
      </c>
      <c r="X273" s="29">
        <v>0</v>
      </c>
      <c r="Y273" s="31">
        <v>0</v>
      </c>
      <c r="Z273" s="29">
        <v>0</v>
      </c>
      <c r="AA273" s="32">
        <v>0</v>
      </c>
      <c r="AB273" s="33"/>
      <c r="AC273" s="32">
        <v>0</v>
      </c>
      <c r="AD273" s="33"/>
      <c r="AE273" s="32">
        <f t="shared" si="3"/>
        <v>0</v>
      </c>
      <c r="AF273" s="33"/>
      <c r="AG273" s="32">
        <v>105000</v>
      </c>
      <c r="AH273" s="33"/>
      <c r="AI273" s="32">
        <v>0</v>
      </c>
      <c r="AJ273" s="33"/>
      <c r="AK273" s="32">
        <f t="shared" si="4"/>
        <v>105000</v>
      </c>
      <c r="AL273" s="33"/>
      <c r="AM273" s="32">
        <v>105000</v>
      </c>
      <c r="AN273" s="33"/>
      <c r="AO273" s="32">
        <v>0</v>
      </c>
      <c r="AP273" s="33"/>
      <c r="AQ273" s="32">
        <f t="shared" si="5"/>
        <v>105000</v>
      </c>
      <c r="AR273" s="33"/>
    </row>
    <row r="274" spans="1:44" ht="15.75" customHeight="1">
      <c r="A274" s="16">
        <v>70603</v>
      </c>
      <c r="B274" s="17" t="s">
        <v>277</v>
      </c>
      <c r="C274" s="18">
        <v>190000</v>
      </c>
      <c r="D274" s="19">
        <v>3.65</v>
      </c>
      <c r="E274" s="20">
        <v>0</v>
      </c>
      <c r="F274" s="19">
        <v>0</v>
      </c>
      <c r="G274" s="21">
        <v>190000</v>
      </c>
      <c r="H274" s="22">
        <v>3.09</v>
      </c>
      <c r="I274" s="23">
        <v>170000</v>
      </c>
      <c r="J274" s="24">
        <v>3.3</v>
      </c>
      <c r="K274" s="25">
        <v>0</v>
      </c>
      <c r="L274" s="26">
        <v>0</v>
      </c>
      <c r="M274" s="25">
        <v>170000</v>
      </c>
      <c r="N274" s="27">
        <v>2.34</v>
      </c>
      <c r="O274" s="23">
        <v>170000</v>
      </c>
      <c r="P274" s="24">
        <v>3.03</v>
      </c>
      <c r="Q274" s="25">
        <v>0</v>
      </c>
      <c r="R274" s="19">
        <v>0</v>
      </c>
      <c r="S274" s="25">
        <v>170000</v>
      </c>
      <c r="T274" s="22">
        <v>2.79</v>
      </c>
      <c r="U274" s="34">
        <v>520000</v>
      </c>
      <c r="V274" s="29">
        <v>4.7</v>
      </c>
      <c r="W274" s="30">
        <v>0</v>
      </c>
      <c r="X274" s="29">
        <v>0</v>
      </c>
      <c r="Y274" s="31">
        <v>520000</v>
      </c>
      <c r="Z274" s="29">
        <v>3.7</v>
      </c>
      <c r="AA274" s="32">
        <v>1716000</v>
      </c>
      <c r="AB274" s="33"/>
      <c r="AC274" s="32">
        <v>0</v>
      </c>
      <c r="AD274" s="33"/>
      <c r="AE274" s="32">
        <f t="shared" si="3"/>
        <v>1716000</v>
      </c>
      <c r="AF274" s="33"/>
      <c r="AG274" s="32">
        <v>118000</v>
      </c>
      <c r="AH274" s="33"/>
      <c r="AI274" s="32">
        <v>60000</v>
      </c>
      <c r="AJ274" s="33"/>
      <c r="AK274" s="32">
        <f t="shared" si="4"/>
        <v>178000</v>
      </c>
      <c r="AL274" s="33"/>
      <c r="AM274" s="32">
        <v>99000</v>
      </c>
      <c r="AN274" s="33"/>
      <c r="AO274" s="32">
        <v>0</v>
      </c>
      <c r="AP274" s="33"/>
      <c r="AQ274" s="32">
        <f t="shared" si="5"/>
        <v>99000</v>
      </c>
      <c r="AR274" s="33"/>
    </row>
    <row r="275" spans="1:44" ht="15.75" customHeight="1">
      <c r="A275" s="16">
        <v>70701</v>
      </c>
      <c r="B275" s="17" t="s">
        <v>278</v>
      </c>
      <c r="C275" s="18">
        <v>50000</v>
      </c>
      <c r="D275" s="19">
        <v>1.17</v>
      </c>
      <c r="E275" s="20">
        <v>0</v>
      </c>
      <c r="F275" s="19">
        <v>0</v>
      </c>
      <c r="G275" s="21">
        <v>50000</v>
      </c>
      <c r="H275" s="22">
        <v>0.65</v>
      </c>
      <c r="I275" s="23">
        <v>30000</v>
      </c>
      <c r="J275" s="24">
        <v>0.68</v>
      </c>
      <c r="K275" s="25">
        <v>0</v>
      </c>
      <c r="L275" s="26">
        <v>0</v>
      </c>
      <c r="M275" s="25">
        <v>30000</v>
      </c>
      <c r="N275" s="27">
        <v>0.65</v>
      </c>
      <c r="O275" s="23">
        <v>20000</v>
      </c>
      <c r="P275" s="24">
        <v>0.48</v>
      </c>
      <c r="Q275" s="25">
        <v>0</v>
      </c>
      <c r="R275" s="19">
        <v>0</v>
      </c>
      <c r="S275" s="25">
        <v>20000</v>
      </c>
      <c r="T275" s="22">
        <v>0.35</v>
      </c>
      <c r="U275" s="34">
        <v>30000</v>
      </c>
      <c r="V275" s="29">
        <v>0.99</v>
      </c>
      <c r="W275" s="30">
        <v>0</v>
      </c>
      <c r="X275" s="29">
        <v>0</v>
      </c>
      <c r="Y275" s="31">
        <v>30000</v>
      </c>
      <c r="Z275" s="29">
        <v>0.98</v>
      </c>
      <c r="AA275" s="32">
        <v>30000</v>
      </c>
      <c r="AB275" s="33"/>
      <c r="AC275" s="32">
        <v>0</v>
      </c>
      <c r="AD275" s="33"/>
      <c r="AE275" s="32">
        <f t="shared" si="3"/>
        <v>30000</v>
      </c>
      <c r="AF275" s="33"/>
      <c r="AG275" s="32">
        <v>30000</v>
      </c>
      <c r="AH275" s="33"/>
      <c r="AI275" s="32">
        <v>0</v>
      </c>
      <c r="AJ275" s="33"/>
      <c r="AK275" s="32">
        <f t="shared" si="4"/>
        <v>30000</v>
      </c>
      <c r="AL275" s="33"/>
      <c r="AM275" s="32">
        <v>30000</v>
      </c>
      <c r="AN275" s="33"/>
      <c r="AO275" s="32">
        <v>0</v>
      </c>
      <c r="AP275" s="33"/>
      <c r="AQ275" s="32">
        <f t="shared" si="5"/>
        <v>30000</v>
      </c>
      <c r="AR275" s="33"/>
    </row>
    <row r="276" spans="1:44" ht="15.75" customHeight="1">
      <c r="A276" s="16">
        <v>70702</v>
      </c>
      <c r="B276" s="17" t="s">
        <v>279</v>
      </c>
      <c r="C276" s="35">
        <v>0</v>
      </c>
      <c r="D276" s="19">
        <v>0</v>
      </c>
      <c r="E276" s="20">
        <v>0</v>
      </c>
      <c r="F276" s="19">
        <v>0</v>
      </c>
      <c r="G276" s="21">
        <v>0</v>
      </c>
      <c r="H276" s="22">
        <v>0</v>
      </c>
      <c r="I276" s="35">
        <v>0</v>
      </c>
      <c r="J276" s="19">
        <v>0</v>
      </c>
      <c r="K276" s="25">
        <v>0</v>
      </c>
      <c r="L276" s="26">
        <v>0</v>
      </c>
      <c r="M276" s="21">
        <v>0</v>
      </c>
      <c r="N276" s="22">
        <v>0</v>
      </c>
      <c r="O276" s="35">
        <v>0</v>
      </c>
      <c r="P276" s="19">
        <v>0</v>
      </c>
      <c r="Q276" s="25">
        <v>0</v>
      </c>
      <c r="R276" s="19">
        <v>0</v>
      </c>
      <c r="S276" s="21">
        <v>0</v>
      </c>
      <c r="T276" s="22">
        <v>0</v>
      </c>
      <c r="U276" s="28">
        <v>0</v>
      </c>
      <c r="V276" s="29">
        <v>0</v>
      </c>
      <c r="W276" s="30">
        <v>0</v>
      </c>
      <c r="X276" s="29">
        <v>0</v>
      </c>
      <c r="Y276" s="31">
        <v>0</v>
      </c>
      <c r="Z276" s="29">
        <v>0</v>
      </c>
      <c r="AA276" s="32">
        <v>240808</v>
      </c>
      <c r="AB276" s="33"/>
      <c r="AC276" s="32">
        <v>0</v>
      </c>
      <c r="AD276" s="33"/>
      <c r="AE276" s="32">
        <f t="shared" si="3"/>
        <v>240808</v>
      </c>
      <c r="AF276" s="33"/>
      <c r="AG276" s="32"/>
      <c r="AH276" s="33"/>
      <c r="AI276" s="32">
        <v>0</v>
      </c>
      <c r="AJ276" s="33"/>
      <c r="AK276" s="32">
        <f t="shared" si="4"/>
        <v>0</v>
      </c>
      <c r="AL276" s="33"/>
      <c r="AM276" s="32"/>
      <c r="AN276" s="33"/>
      <c r="AO276" s="32">
        <v>0</v>
      </c>
      <c r="AP276" s="33"/>
      <c r="AQ276" s="32">
        <f t="shared" si="5"/>
        <v>0</v>
      </c>
      <c r="AR276" s="33"/>
    </row>
    <row r="277" spans="1:44" ht="15.75" customHeight="1">
      <c r="A277" s="16">
        <v>70703</v>
      </c>
      <c r="B277" s="17" t="s">
        <v>280</v>
      </c>
      <c r="C277" s="18">
        <v>90000</v>
      </c>
      <c r="D277" s="19">
        <v>0.53</v>
      </c>
      <c r="E277" s="20">
        <v>0</v>
      </c>
      <c r="F277" s="19">
        <v>0</v>
      </c>
      <c r="G277" s="21">
        <v>90000</v>
      </c>
      <c r="H277" s="22">
        <v>0.33</v>
      </c>
      <c r="I277" s="23">
        <v>110000</v>
      </c>
      <c r="J277" s="24">
        <v>0.65</v>
      </c>
      <c r="K277" s="25">
        <v>0</v>
      </c>
      <c r="L277" s="26">
        <v>0</v>
      </c>
      <c r="M277" s="25">
        <v>110000</v>
      </c>
      <c r="N277" s="27">
        <v>0.47</v>
      </c>
      <c r="O277" s="23">
        <v>147000</v>
      </c>
      <c r="P277" s="24">
        <v>0.83</v>
      </c>
      <c r="Q277" s="25">
        <v>0</v>
      </c>
      <c r="R277" s="19">
        <v>0</v>
      </c>
      <c r="S277" s="25">
        <v>147000</v>
      </c>
      <c r="T277" s="22">
        <v>0.55000000000000004</v>
      </c>
      <c r="U277" s="34">
        <v>186500</v>
      </c>
      <c r="V277" s="29">
        <v>0.82</v>
      </c>
      <c r="W277" s="30">
        <v>0</v>
      </c>
      <c r="X277" s="29">
        <v>0</v>
      </c>
      <c r="Y277" s="31">
        <v>186500</v>
      </c>
      <c r="Z277" s="29">
        <v>0.62</v>
      </c>
      <c r="AA277" s="32">
        <v>117500</v>
      </c>
      <c r="AB277" s="33"/>
      <c r="AC277" s="32">
        <v>0</v>
      </c>
      <c r="AD277" s="33"/>
      <c r="AE277" s="32">
        <f t="shared" si="3"/>
        <v>117500</v>
      </c>
      <c r="AF277" s="33"/>
      <c r="AG277" s="32">
        <v>126490</v>
      </c>
      <c r="AH277" s="33"/>
      <c r="AI277" s="32">
        <v>0</v>
      </c>
      <c r="AJ277" s="33"/>
      <c r="AK277" s="32">
        <f t="shared" si="4"/>
        <v>126490</v>
      </c>
      <c r="AL277" s="33"/>
      <c r="AM277" s="32">
        <v>124668</v>
      </c>
      <c r="AN277" s="33"/>
      <c r="AO277" s="32">
        <v>0</v>
      </c>
      <c r="AP277" s="33"/>
      <c r="AQ277" s="32">
        <f t="shared" si="5"/>
        <v>124668</v>
      </c>
      <c r="AR277" s="33"/>
    </row>
    <row r="278" spans="1:44" ht="15.75" customHeight="1">
      <c r="A278" s="16">
        <v>70704</v>
      </c>
      <c r="B278" s="17" t="s">
        <v>281</v>
      </c>
      <c r="C278" s="18">
        <v>23404</v>
      </c>
      <c r="D278" s="19">
        <v>1.1399999999999999</v>
      </c>
      <c r="E278" s="20">
        <v>0</v>
      </c>
      <c r="F278" s="19">
        <v>0</v>
      </c>
      <c r="G278" s="21">
        <v>23404</v>
      </c>
      <c r="H278" s="22">
        <v>0.93</v>
      </c>
      <c r="I278" s="23">
        <v>30000</v>
      </c>
      <c r="J278" s="24">
        <v>1.07</v>
      </c>
      <c r="K278" s="25">
        <v>0</v>
      </c>
      <c r="L278" s="26">
        <v>0</v>
      </c>
      <c r="M278" s="25">
        <v>30000</v>
      </c>
      <c r="N278" s="27">
        <v>1.07</v>
      </c>
      <c r="O278" s="23">
        <v>30000</v>
      </c>
      <c r="P278" s="24">
        <v>0.9</v>
      </c>
      <c r="Q278" s="25">
        <v>0</v>
      </c>
      <c r="R278" s="19">
        <v>0</v>
      </c>
      <c r="S278" s="25">
        <v>30000</v>
      </c>
      <c r="T278" s="22">
        <v>0.84</v>
      </c>
      <c r="U278" s="34">
        <v>40000</v>
      </c>
      <c r="V278" s="29">
        <v>1.07</v>
      </c>
      <c r="W278" s="30">
        <v>0</v>
      </c>
      <c r="X278" s="29">
        <v>0</v>
      </c>
      <c r="Y278" s="31">
        <v>40000</v>
      </c>
      <c r="Z278" s="29">
        <v>0.53</v>
      </c>
      <c r="AA278" s="32">
        <v>40000</v>
      </c>
      <c r="AB278" s="33"/>
      <c r="AC278" s="32">
        <v>0</v>
      </c>
      <c r="AD278" s="33"/>
      <c r="AE278" s="32">
        <f t="shared" si="3"/>
        <v>40000</v>
      </c>
      <c r="AF278" s="33"/>
      <c r="AG278" s="32">
        <v>35000</v>
      </c>
      <c r="AH278" s="33"/>
      <c r="AI278" s="32">
        <v>0</v>
      </c>
      <c r="AJ278" s="33"/>
      <c r="AK278" s="32">
        <f t="shared" si="4"/>
        <v>35000</v>
      </c>
      <c r="AL278" s="33"/>
      <c r="AM278" s="32">
        <v>50000</v>
      </c>
      <c r="AN278" s="33"/>
      <c r="AO278" s="32">
        <v>0</v>
      </c>
      <c r="AP278" s="33"/>
      <c r="AQ278" s="32">
        <f t="shared" si="5"/>
        <v>50000</v>
      </c>
      <c r="AR278" s="33"/>
    </row>
    <row r="279" spans="1:44" ht="15.75" customHeight="1">
      <c r="A279" s="16">
        <v>70705</v>
      </c>
      <c r="B279" s="17" t="s">
        <v>282</v>
      </c>
      <c r="C279" s="18">
        <v>5000</v>
      </c>
      <c r="D279" s="19">
        <v>7.0000000000000007E-2</v>
      </c>
      <c r="E279" s="20">
        <v>0</v>
      </c>
      <c r="F279" s="19">
        <v>0</v>
      </c>
      <c r="G279" s="21">
        <v>5000</v>
      </c>
      <c r="H279" s="22">
        <v>0.06</v>
      </c>
      <c r="I279" s="23">
        <v>5000</v>
      </c>
      <c r="J279" s="24">
        <v>0.06</v>
      </c>
      <c r="K279" s="25">
        <v>0</v>
      </c>
      <c r="L279" s="26">
        <v>0</v>
      </c>
      <c r="M279" s="25">
        <v>5000</v>
      </c>
      <c r="N279" s="27">
        <v>0.06</v>
      </c>
      <c r="O279" s="23">
        <v>5000</v>
      </c>
      <c r="P279" s="24">
        <v>0.06</v>
      </c>
      <c r="Q279" s="25">
        <v>0</v>
      </c>
      <c r="R279" s="19">
        <v>0</v>
      </c>
      <c r="S279" s="25">
        <v>5000</v>
      </c>
      <c r="T279" s="22">
        <v>0.05</v>
      </c>
      <c r="U279" s="28">
        <v>0</v>
      </c>
      <c r="V279" s="29">
        <v>0</v>
      </c>
      <c r="W279" s="30">
        <v>0</v>
      </c>
      <c r="X279" s="29">
        <v>0</v>
      </c>
      <c r="Y279" s="31">
        <v>0</v>
      </c>
      <c r="Z279" s="29">
        <v>0</v>
      </c>
      <c r="AA279" s="32"/>
      <c r="AB279" s="33"/>
      <c r="AC279" s="32">
        <v>0</v>
      </c>
      <c r="AD279" s="33"/>
      <c r="AE279" s="32">
        <f t="shared" si="3"/>
        <v>0</v>
      </c>
      <c r="AF279" s="33"/>
      <c r="AG279" s="32">
        <v>15000</v>
      </c>
      <c r="AH279" s="33"/>
      <c r="AI279" s="32">
        <v>0</v>
      </c>
      <c r="AJ279" s="33"/>
      <c r="AK279" s="32">
        <f t="shared" si="4"/>
        <v>15000</v>
      </c>
      <c r="AL279" s="33"/>
      <c r="AM279" s="32"/>
      <c r="AN279" s="33"/>
      <c r="AO279" s="32">
        <v>0</v>
      </c>
      <c r="AP279" s="33"/>
      <c r="AQ279" s="32">
        <f t="shared" si="5"/>
        <v>0</v>
      </c>
      <c r="AR279" s="33"/>
    </row>
    <row r="280" spans="1:44" ht="15.75" customHeight="1">
      <c r="A280" s="16">
        <v>70706</v>
      </c>
      <c r="B280" s="17" t="s">
        <v>283</v>
      </c>
      <c r="C280" s="18">
        <v>1900000</v>
      </c>
      <c r="D280" s="19">
        <v>7.29</v>
      </c>
      <c r="E280" s="20">
        <v>0</v>
      </c>
      <c r="F280" s="19">
        <v>0</v>
      </c>
      <c r="G280" s="21">
        <v>1900000</v>
      </c>
      <c r="H280" s="22">
        <v>5.83</v>
      </c>
      <c r="I280" s="23">
        <v>2900000</v>
      </c>
      <c r="J280" s="24">
        <v>9.01</v>
      </c>
      <c r="K280" s="25">
        <v>0</v>
      </c>
      <c r="L280" s="26">
        <v>0</v>
      </c>
      <c r="M280" s="25">
        <v>2900000</v>
      </c>
      <c r="N280" s="27">
        <v>7.99</v>
      </c>
      <c r="O280" s="23">
        <v>3250000</v>
      </c>
      <c r="P280" s="24">
        <v>9.43</v>
      </c>
      <c r="Q280" s="25">
        <v>0</v>
      </c>
      <c r="R280" s="19">
        <v>0</v>
      </c>
      <c r="S280" s="25">
        <v>3250000</v>
      </c>
      <c r="T280" s="22">
        <v>9.02</v>
      </c>
      <c r="U280" s="34">
        <v>2900000</v>
      </c>
      <c r="V280" s="29">
        <v>8.3800000000000008</v>
      </c>
      <c r="W280" s="30">
        <v>0</v>
      </c>
      <c r="X280" s="29">
        <v>0</v>
      </c>
      <c r="Y280" s="31">
        <v>2900000</v>
      </c>
      <c r="Z280" s="29">
        <v>7.73</v>
      </c>
      <c r="AA280" s="32">
        <v>2950000</v>
      </c>
      <c r="AB280" s="33"/>
      <c r="AC280" s="32">
        <v>0</v>
      </c>
      <c r="AD280" s="33"/>
      <c r="AE280" s="32">
        <f t="shared" si="3"/>
        <v>2950000</v>
      </c>
      <c r="AF280" s="33"/>
      <c r="AG280" s="32">
        <v>2950000</v>
      </c>
      <c r="AH280" s="33"/>
      <c r="AI280" s="32">
        <v>0</v>
      </c>
      <c r="AJ280" s="33"/>
      <c r="AK280" s="32">
        <f t="shared" si="4"/>
        <v>2950000</v>
      </c>
      <c r="AL280" s="33"/>
      <c r="AM280" s="32">
        <v>2889050</v>
      </c>
      <c r="AN280" s="33"/>
      <c r="AO280" s="32">
        <v>0</v>
      </c>
      <c r="AP280" s="33"/>
      <c r="AQ280" s="32">
        <f t="shared" si="5"/>
        <v>2889050</v>
      </c>
      <c r="AR280" s="33"/>
    </row>
    <row r="281" spans="1:44" ht="15.75" customHeight="1">
      <c r="A281" s="16">
        <v>70707</v>
      </c>
      <c r="B281" s="17" t="s">
        <v>284</v>
      </c>
      <c r="C281" s="18">
        <v>45000</v>
      </c>
      <c r="D281" s="19">
        <v>1.2</v>
      </c>
      <c r="E281" s="20">
        <v>0</v>
      </c>
      <c r="F281" s="19">
        <v>0</v>
      </c>
      <c r="G281" s="21">
        <v>45000</v>
      </c>
      <c r="H281" s="22">
        <v>1.0900000000000001</v>
      </c>
      <c r="I281" s="23">
        <v>90000</v>
      </c>
      <c r="J281" s="24">
        <v>2.2400000000000002</v>
      </c>
      <c r="K281" s="25">
        <v>0</v>
      </c>
      <c r="L281" s="26">
        <v>0</v>
      </c>
      <c r="M281" s="25">
        <v>90000</v>
      </c>
      <c r="N281" s="27">
        <v>2.2400000000000002</v>
      </c>
      <c r="O281" s="23">
        <v>105000</v>
      </c>
      <c r="P281" s="24">
        <v>2.36</v>
      </c>
      <c r="Q281" s="25">
        <v>0</v>
      </c>
      <c r="R281" s="19">
        <v>0</v>
      </c>
      <c r="S281" s="25">
        <v>105000</v>
      </c>
      <c r="T281" s="22">
        <v>1.93</v>
      </c>
      <c r="U281" s="34">
        <v>40000</v>
      </c>
      <c r="V281" s="29">
        <v>0.98</v>
      </c>
      <c r="W281" s="30">
        <v>0</v>
      </c>
      <c r="X281" s="29">
        <v>0</v>
      </c>
      <c r="Y281" s="31">
        <v>40000</v>
      </c>
      <c r="Z281" s="29">
        <v>0.95</v>
      </c>
      <c r="AA281" s="32">
        <v>40000</v>
      </c>
      <c r="AB281" s="33"/>
      <c r="AC281" s="32">
        <v>0</v>
      </c>
      <c r="AD281" s="33"/>
      <c r="AE281" s="32">
        <f t="shared" si="3"/>
        <v>40000</v>
      </c>
      <c r="AF281" s="33"/>
      <c r="AG281" s="32">
        <v>55000</v>
      </c>
      <c r="AH281" s="33"/>
      <c r="AI281" s="32">
        <v>0</v>
      </c>
      <c r="AJ281" s="33"/>
      <c r="AK281" s="32">
        <f t="shared" si="4"/>
        <v>55000</v>
      </c>
      <c r="AL281" s="33"/>
      <c r="AM281" s="32">
        <v>55000</v>
      </c>
      <c r="AN281" s="33"/>
      <c r="AO281" s="32">
        <v>0</v>
      </c>
      <c r="AP281" s="33"/>
      <c r="AQ281" s="32">
        <f t="shared" si="5"/>
        <v>55000</v>
      </c>
      <c r="AR281" s="33"/>
    </row>
    <row r="282" spans="1:44" ht="15.75" customHeight="1">
      <c r="A282" s="16">
        <v>70801</v>
      </c>
      <c r="B282" s="17" t="s">
        <v>285</v>
      </c>
      <c r="C282" s="18">
        <v>320000</v>
      </c>
      <c r="D282" s="19">
        <v>3.02</v>
      </c>
      <c r="E282" s="20">
        <v>0</v>
      </c>
      <c r="F282" s="19">
        <v>0</v>
      </c>
      <c r="G282" s="21">
        <v>320000</v>
      </c>
      <c r="H282" s="22">
        <v>1.78</v>
      </c>
      <c r="I282" s="23">
        <v>280000</v>
      </c>
      <c r="J282" s="24">
        <v>2.3199999999999998</v>
      </c>
      <c r="K282" s="25">
        <v>200000</v>
      </c>
      <c r="L282" s="26">
        <v>3.37</v>
      </c>
      <c r="M282" s="25">
        <v>480000</v>
      </c>
      <c r="N282" s="27">
        <v>2.66</v>
      </c>
      <c r="O282" s="23">
        <v>250000</v>
      </c>
      <c r="P282" s="24">
        <v>1.57</v>
      </c>
      <c r="Q282" s="25">
        <v>448000</v>
      </c>
      <c r="R282" s="19">
        <v>7.59</v>
      </c>
      <c r="S282" s="25">
        <v>698000</v>
      </c>
      <c r="T282" s="22">
        <v>3.2</v>
      </c>
      <c r="U282" s="34">
        <v>750000</v>
      </c>
      <c r="V282" s="29">
        <v>4.22</v>
      </c>
      <c r="W282" s="30">
        <v>0</v>
      </c>
      <c r="X282" s="29">
        <v>0</v>
      </c>
      <c r="Y282" s="31">
        <v>750000</v>
      </c>
      <c r="Z282" s="29">
        <v>4.1100000000000003</v>
      </c>
      <c r="AA282" s="32">
        <v>750000</v>
      </c>
      <c r="AB282" s="33"/>
      <c r="AC282" s="32">
        <v>0</v>
      </c>
      <c r="AD282" s="33"/>
      <c r="AE282" s="32">
        <f t="shared" si="3"/>
        <v>750000</v>
      </c>
      <c r="AF282" s="33"/>
      <c r="AG282" s="32">
        <v>750000</v>
      </c>
      <c r="AH282" s="33"/>
      <c r="AI282" s="32">
        <v>0</v>
      </c>
      <c r="AJ282" s="33"/>
      <c r="AK282" s="32">
        <f t="shared" si="4"/>
        <v>750000</v>
      </c>
      <c r="AL282" s="33"/>
      <c r="AM282" s="32">
        <v>750000</v>
      </c>
      <c r="AN282" s="33"/>
      <c r="AO282" s="32">
        <v>0</v>
      </c>
      <c r="AP282" s="33"/>
      <c r="AQ282" s="32">
        <f t="shared" si="5"/>
        <v>750000</v>
      </c>
      <c r="AR282" s="33"/>
    </row>
    <row r="283" spans="1:44" ht="15.75" customHeight="1">
      <c r="A283" s="16">
        <v>70802</v>
      </c>
      <c r="B283" s="17" t="s">
        <v>286</v>
      </c>
      <c r="C283" s="18">
        <v>3000</v>
      </c>
      <c r="D283" s="19">
        <v>0.2</v>
      </c>
      <c r="E283" s="20">
        <v>0</v>
      </c>
      <c r="F283" s="19">
        <v>0</v>
      </c>
      <c r="G283" s="21">
        <v>3000</v>
      </c>
      <c r="H283" s="22">
        <v>0.11</v>
      </c>
      <c r="I283" s="23">
        <v>3000</v>
      </c>
      <c r="J283" s="24">
        <v>0.19</v>
      </c>
      <c r="K283" s="25">
        <v>0</v>
      </c>
      <c r="L283" s="26">
        <v>0</v>
      </c>
      <c r="M283" s="25">
        <v>3000</v>
      </c>
      <c r="N283" s="27">
        <v>0.09</v>
      </c>
      <c r="O283" s="23">
        <v>3000</v>
      </c>
      <c r="P283" s="24">
        <v>0.18</v>
      </c>
      <c r="Q283" s="25">
        <v>0</v>
      </c>
      <c r="R283" s="19">
        <v>0</v>
      </c>
      <c r="S283" s="25">
        <v>3000</v>
      </c>
      <c r="T283" s="22">
        <v>0.12</v>
      </c>
      <c r="U283" s="34">
        <v>15000</v>
      </c>
      <c r="V283" s="29">
        <v>0.83</v>
      </c>
      <c r="W283" s="30">
        <v>0</v>
      </c>
      <c r="X283" s="29">
        <v>0</v>
      </c>
      <c r="Y283" s="31">
        <v>15000</v>
      </c>
      <c r="Z283" s="29">
        <v>0.73</v>
      </c>
      <c r="AA283" s="32">
        <v>15000</v>
      </c>
      <c r="AB283" s="33"/>
      <c r="AC283" s="32">
        <v>0</v>
      </c>
      <c r="AD283" s="33"/>
      <c r="AE283" s="32">
        <f t="shared" si="3"/>
        <v>15000</v>
      </c>
      <c r="AF283" s="33"/>
      <c r="AG283" s="32">
        <v>10000</v>
      </c>
      <c r="AH283" s="33"/>
      <c r="AI283" s="32">
        <v>0</v>
      </c>
      <c r="AJ283" s="33"/>
      <c r="AK283" s="32">
        <f t="shared" si="4"/>
        <v>10000</v>
      </c>
      <c r="AL283" s="33"/>
      <c r="AM283" s="32">
        <v>20000</v>
      </c>
      <c r="AN283" s="33"/>
      <c r="AO283" s="32">
        <v>0</v>
      </c>
      <c r="AP283" s="33"/>
      <c r="AQ283" s="32">
        <f t="shared" si="5"/>
        <v>20000</v>
      </c>
      <c r="AR283" s="33"/>
    </row>
    <row r="284" spans="1:44" ht="15.75" customHeight="1">
      <c r="A284" s="16">
        <v>70803</v>
      </c>
      <c r="B284" s="17" t="s">
        <v>287</v>
      </c>
      <c r="C284" s="18">
        <v>31700</v>
      </c>
      <c r="D284" s="19">
        <v>1.41</v>
      </c>
      <c r="E284" s="20">
        <v>0</v>
      </c>
      <c r="F284" s="19">
        <v>0</v>
      </c>
      <c r="G284" s="21">
        <v>31700</v>
      </c>
      <c r="H284" s="22">
        <v>1.33</v>
      </c>
      <c r="I284" s="23">
        <v>35000</v>
      </c>
      <c r="J284" s="24">
        <v>1.33</v>
      </c>
      <c r="K284" s="25">
        <v>0</v>
      </c>
      <c r="L284" s="26">
        <v>0</v>
      </c>
      <c r="M284" s="25">
        <v>35000</v>
      </c>
      <c r="N284" s="27">
        <v>1.32</v>
      </c>
      <c r="O284" s="23">
        <v>19400</v>
      </c>
      <c r="P284" s="24">
        <v>1.02</v>
      </c>
      <c r="Q284" s="25">
        <v>0</v>
      </c>
      <c r="R284" s="19">
        <v>0</v>
      </c>
      <c r="S284" s="25">
        <v>19400</v>
      </c>
      <c r="T284" s="22">
        <v>0.86</v>
      </c>
      <c r="U284" s="34">
        <v>32000</v>
      </c>
      <c r="V284" s="29">
        <v>1.54</v>
      </c>
      <c r="W284" s="30">
        <v>0</v>
      </c>
      <c r="X284" s="29">
        <v>0</v>
      </c>
      <c r="Y284" s="31">
        <v>32000</v>
      </c>
      <c r="Z284" s="29">
        <v>1.54</v>
      </c>
      <c r="AA284" s="32">
        <v>18000</v>
      </c>
      <c r="AB284" s="33"/>
      <c r="AC284" s="32">
        <v>0</v>
      </c>
      <c r="AD284" s="33"/>
      <c r="AE284" s="32">
        <f t="shared" si="3"/>
        <v>18000</v>
      </c>
      <c r="AF284" s="33"/>
      <c r="AG284" s="32">
        <v>27141</v>
      </c>
      <c r="AH284" s="33"/>
      <c r="AI284" s="32">
        <v>0</v>
      </c>
      <c r="AJ284" s="33"/>
      <c r="AK284" s="32">
        <f t="shared" si="4"/>
        <v>27141</v>
      </c>
      <c r="AL284" s="33"/>
      <c r="AM284" s="32">
        <v>24600</v>
      </c>
      <c r="AN284" s="33"/>
      <c r="AO284" s="32">
        <v>0</v>
      </c>
      <c r="AP284" s="33"/>
      <c r="AQ284" s="32">
        <f t="shared" si="5"/>
        <v>24600</v>
      </c>
      <c r="AR284" s="33"/>
    </row>
    <row r="285" spans="1:44" ht="15.75" customHeight="1">
      <c r="A285" s="16">
        <v>70804</v>
      </c>
      <c r="B285" s="17" t="s">
        <v>288</v>
      </c>
      <c r="C285" s="18">
        <v>12000</v>
      </c>
      <c r="D285" s="19">
        <v>0.86</v>
      </c>
      <c r="E285" s="20">
        <v>0</v>
      </c>
      <c r="F285" s="19">
        <v>0</v>
      </c>
      <c r="G285" s="21">
        <v>12000</v>
      </c>
      <c r="H285" s="22">
        <v>0.48</v>
      </c>
      <c r="I285" s="23">
        <v>25000</v>
      </c>
      <c r="J285" s="24">
        <v>1.49</v>
      </c>
      <c r="K285" s="25">
        <v>0</v>
      </c>
      <c r="L285" s="26">
        <v>0</v>
      </c>
      <c r="M285" s="25">
        <v>25000</v>
      </c>
      <c r="N285" s="27">
        <v>1.33</v>
      </c>
      <c r="O285" s="23">
        <v>25000</v>
      </c>
      <c r="P285" s="24">
        <v>1.46</v>
      </c>
      <c r="Q285" s="25">
        <v>0</v>
      </c>
      <c r="R285" s="19">
        <v>0</v>
      </c>
      <c r="S285" s="25">
        <v>25000</v>
      </c>
      <c r="T285" s="22">
        <v>1.06</v>
      </c>
      <c r="U285" s="34">
        <v>30000</v>
      </c>
      <c r="V285" s="29">
        <v>1.44</v>
      </c>
      <c r="W285" s="30">
        <v>0</v>
      </c>
      <c r="X285" s="29">
        <v>0</v>
      </c>
      <c r="Y285" s="31">
        <v>30000</v>
      </c>
      <c r="Z285" s="29">
        <v>1.26</v>
      </c>
      <c r="AA285" s="32">
        <v>30000</v>
      </c>
      <c r="AB285" s="33"/>
      <c r="AC285" s="32">
        <v>0</v>
      </c>
      <c r="AD285" s="33"/>
      <c r="AE285" s="32">
        <f t="shared" si="3"/>
        <v>30000</v>
      </c>
      <c r="AF285" s="33"/>
      <c r="AG285" s="32"/>
      <c r="AH285" s="33"/>
      <c r="AI285" s="32">
        <v>0</v>
      </c>
      <c r="AJ285" s="33"/>
      <c r="AK285" s="32">
        <f t="shared" si="4"/>
        <v>0</v>
      </c>
      <c r="AL285" s="33"/>
      <c r="AM285" s="32"/>
      <c r="AN285" s="33"/>
      <c r="AO285" s="32">
        <v>0</v>
      </c>
      <c r="AP285" s="33"/>
      <c r="AQ285" s="32">
        <f t="shared" si="5"/>
        <v>0</v>
      </c>
      <c r="AR285" s="33"/>
    </row>
    <row r="286" spans="1:44" ht="15.75" customHeight="1">
      <c r="A286" s="16">
        <v>70805</v>
      </c>
      <c r="B286" s="17" t="s">
        <v>289</v>
      </c>
      <c r="C286" s="18">
        <v>10000</v>
      </c>
      <c r="D286" s="19">
        <v>0.56000000000000005</v>
      </c>
      <c r="E286" s="20">
        <v>0</v>
      </c>
      <c r="F286" s="19">
        <v>0</v>
      </c>
      <c r="G286" s="21">
        <v>10000</v>
      </c>
      <c r="H286" s="22">
        <v>0.56000000000000005</v>
      </c>
      <c r="I286" s="23">
        <v>20000</v>
      </c>
      <c r="J286" s="24">
        <v>1.2</v>
      </c>
      <c r="K286" s="25">
        <v>0</v>
      </c>
      <c r="L286" s="26">
        <v>0</v>
      </c>
      <c r="M286" s="25">
        <v>20000</v>
      </c>
      <c r="N286" s="27">
        <v>0.96</v>
      </c>
      <c r="O286" s="23">
        <v>20000</v>
      </c>
      <c r="P286" s="24">
        <v>1.07</v>
      </c>
      <c r="Q286" s="25">
        <v>0</v>
      </c>
      <c r="R286" s="19">
        <v>0</v>
      </c>
      <c r="S286" s="25">
        <v>20000</v>
      </c>
      <c r="T286" s="22">
        <v>0.91</v>
      </c>
      <c r="U286" s="34">
        <v>24000</v>
      </c>
      <c r="V286" s="29">
        <v>1.6</v>
      </c>
      <c r="W286" s="30">
        <v>0</v>
      </c>
      <c r="X286" s="29">
        <v>0</v>
      </c>
      <c r="Y286" s="31">
        <v>24000</v>
      </c>
      <c r="Z286" s="29">
        <v>1.48</v>
      </c>
      <c r="AA286" s="32">
        <v>50000</v>
      </c>
      <c r="AB286" s="33"/>
      <c r="AC286" s="32">
        <v>0</v>
      </c>
      <c r="AD286" s="33"/>
      <c r="AE286" s="32">
        <f t="shared" si="3"/>
        <v>50000</v>
      </c>
      <c r="AF286" s="33"/>
      <c r="AG286" s="32">
        <v>45000</v>
      </c>
      <c r="AH286" s="33"/>
      <c r="AI286" s="32">
        <v>0</v>
      </c>
      <c r="AJ286" s="33"/>
      <c r="AK286" s="32">
        <f t="shared" si="4"/>
        <v>45000</v>
      </c>
      <c r="AL286" s="33"/>
      <c r="AM286" s="32">
        <v>40000</v>
      </c>
      <c r="AN286" s="33"/>
      <c r="AO286" s="32">
        <v>0</v>
      </c>
      <c r="AP286" s="33"/>
      <c r="AQ286" s="32">
        <f t="shared" si="5"/>
        <v>40000</v>
      </c>
      <c r="AR286" s="33"/>
    </row>
    <row r="287" spans="1:44" ht="15.75" customHeight="1">
      <c r="A287" s="16">
        <v>70901</v>
      </c>
      <c r="B287" s="17" t="s">
        <v>290</v>
      </c>
      <c r="C287" s="18">
        <v>80000</v>
      </c>
      <c r="D287" s="19">
        <v>1.44</v>
      </c>
      <c r="E287" s="20">
        <v>0</v>
      </c>
      <c r="F287" s="19">
        <v>0</v>
      </c>
      <c r="G287" s="21">
        <v>80000</v>
      </c>
      <c r="H287" s="22">
        <v>1.1499999999999999</v>
      </c>
      <c r="I287" s="23">
        <v>70000</v>
      </c>
      <c r="J287" s="24">
        <v>1.27</v>
      </c>
      <c r="K287" s="25">
        <v>0</v>
      </c>
      <c r="L287" s="26">
        <v>0</v>
      </c>
      <c r="M287" s="25">
        <v>70000</v>
      </c>
      <c r="N287" s="27">
        <v>1.1499999999999999</v>
      </c>
      <c r="O287" s="23">
        <v>60000</v>
      </c>
      <c r="P287" s="24">
        <v>1.05</v>
      </c>
      <c r="Q287" s="25">
        <v>0</v>
      </c>
      <c r="R287" s="19">
        <v>0</v>
      </c>
      <c r="S287" s="25">
        <v>60000</v>
      </c>
      <c r="T287" s="22">
        <v>0.91</v>
      </c>
      <c r="U287" s="34">
        <v>310000</v>
      </c>
      <c r="V287" s="29">
        <v>2.98</v>
      </c>
      <c r="W287" s="30">
        <v>0</v>
      </c>
      <c r="X287" s="29">
        <v>0</v>
      </c>
      <c r="Y287" s="31">
        <v>310000</v>
      </c>
      <c r="Z287" s="29">
        <v>2.88</v>
      </c>
      <c r="AA287" s="32">
        <v>430000</v>
      </c>
      <c r="AB287" s="33"/>
      <c r="AC287" s="32">
        <v>420978</v>
      </c>
      <c r="AD287" s="33"/>
      <c r="AE287" s="32">
        <f t="shared" si="3"/>
        <v>850978</v>
      </c>
      <c r="AF287" s="33"/>
      <c r="AG287" s="32">
        <v>372800</v>
      </c>
      <c r="AH287" s="33"/>
      <c r="AI287" s="32">
        <v>0</v>
      </c>
      <c r="AJ287" s="33"/>
      <c r="AK287" s="32">
        <f t="shared" si="4"/>
        <v>372800</v>
      </c>
      <c r="AL287" s="33"/>
      <c r="AM287" s="32">
        <v>679130</v>
      </c>
      <c r="AN287" s="33"/>
      <c r="AO287" s="32">
        <v>0</v>
      </c>
      <c r="AP287" s="33"/>
      <c r="AQ287" s="32">
        <f t="shared" si="5"/>
        <v>679130</v>
      </c>
      <c r="AR287" s="33"/>
    </row>
    <row r="288" spans="1:44" ht="15.75" customHeight="1">
      <c r="A288" s="16">
        <v>70902</v>
      </c>
      <c r="B288" s="17" t="s">
        <v>291</v>
      </c>
      <c r="C288" s="18">
        <v>36000</v>
      </c>
      <c r="D288" s="19">
        <v>0.7</v>
      </c>
      <c r="E288" s="20">
        <v>0</v>
      </c>
      <c r="F288" s="19">
        <v>0</v>
      </c>
      <c r="G288" s="21">
        <v>36000</v>
      </c>
      <c r="H288" s="22">
        <v>0.48</v>
      </c>
      <c r="I288" s="23">
        <v>35000</v>
      </c>
      <c r="J288" s="24">
        <v>0.53</v>
      </c>
      <c r="K288" s="25">
        <v>0</v>
      </c>
      <c r="L288" s="26">
        <v>0</v>
      </c>
      <c r="M288" s="25">
        <v>35000</v>
      </c>
      <c r="N288" s="27">
        <v>0.53</v>
      </c>
      <c r="O288" s="23">
        <v>150000</v>
      </c>
      <c r="P288" s="24">
        <v>2.02</v>
      </c>
      <c r="Q288" s="25">
        <v>0</v>
      </c>
      <c r="R288" s="19">
        <v>0</v>
      </c>
      <c r="S288" s="25">
        <v>150000</v>
      </c>
      <c r="T288" s="22">
        <v>1.4</v>
      </c>
      <c r="U288" s="34">
        <v>137800</v>
      </c>
      <c r="V288" s="29">
        <v>2.04</v>
      </c>
      <c r="W288" s="30">
        <v>0</v>
      </c>
      <c r="X288" s="29">
        <v>0</v>
      </c>
      <c r="Y288" s="31">
        <v>137800</v>
      </c>
      <c r="Z288" s="29">
        <v>1.1100000000000001</v>
      </c>
      <c r="AA288" s="32">
        <v>235700</v>
      </c>
      <c r="AB288" s="33"/>
      <c r="AC288" s="32">
        <v>0</v>
      </c>
      <c r="AD288" s="33"/>
      <c r="AE288" s="32">
        <f t="shared" si="3"/>
        <v>235700</v>
      </c>
      <c r="AF288" s="33"/>
      <c r="AG288" s="32">
        <v>45000</v>
      </c>
      <c r="AH288" s="33"/>
      <c r="AI288" s="32">
        <v>0</v>
      </c>
      <c r="AJ288" s="33"/>
      <c r="AK288" s="32">
        <f t="shared" si="4"/>
        <v>45000</v>
      </c>
      <c r="AL288" s="33"/>
      <c r="AM288" s="32">
        <v>62500</v>
      </c>
      <c r="AN288" s="33"/>
      <c r="AO288" s="32">
        <v>0</v>
      </c>
      <c r="AP288" s="33"/>
      <c r="AQ288" s="32">
        <f t="shared" si="5"/>
        <v>62500</v>
      </c>
      <c r="AR288" s="33"/>
    </row>
    <row r="289" spans="1:44" ht="15.75" customHeight="1">
      <c r="A289" s="16">
        <v>70903</v>
      </c>
      <c r="B289" s="17" t="s">
        <v>292</v>
      </c>
      <c r="C289" s="18">
        <v>110000</v>
      </c>
      <c r="D289" s="19">
        <v>1.78</v>
      </c>
      <c r="E289" s="20">
        <v>0</v>
      </c>
      <c r="F289" s="19">
        <v>0</v>
      </c>
      <c r="G289" s="21">
        <v>110000</v>
      </c>
      <c r="H289" s="22">
        <v>1.71</v>
      </c>
      <c r="I289" s="23">
        <v>130000</v>
      </c>
      <c r="J289" s="24">
        <v>1.9</v>
      </c>
      <c r="K289" s="25">
        <v>0</v>
      </c>
      <c r="L289" s="26">
        <v>0</v>
      </c>
      <c r="M289" s="25">
        <v>130000</v>
      </c>
      <c r="N289" s="27">
        <v>1.63</v>
      </c>
      <c r="O289" s="23">
        <v>130000</v>
      </c>
      <c r="P289" s="24">
        <v>1.76</v>
      </c>
      <c r="Q289" s="25">
        <v>0</v>
      </c>
      <c r="R289" s="19">
        <v>0</v>
      </c>
      <c r="S289" s="25">
        <v>130000</v>
      </c>
      <c r="T289" s="22">
        <v>1.37</v>
      </c>
      <c r="U289" s="28">
        <v>0</v>
      </c>
      <c r="V289" s="29">
        <v>0</v>
      </c>
      <c r="W289" s="30">
        <v>0</v>
      </c>
      <c r="X289" s="29">
        <v>0</v>
      </c>
      <c r="Y289" s="31">
        <v>0</v>
      </c>
      <c r="Z289" s="29">
        <v>0</v>
      </c>
      <c r="AA289" s="32">
        <v>257687</v>
      </c>
      <c r="AB289" s="33"/>
      <c r="AC289" s="32">
        <v>0</v>
      </c>
      <c r="AD289" s="33"/>
      <c r="AE289" s="32">
        <f t="shared" si="3"/>
        <v>257687</v>
      </c>
      <c r="AF289" s="33"/>
      <c r="AG289" s="32">
        <v>267687</v>
      </c>
      <c r="AH289" s="33"/>
      <c r="AI289" s="32">
        <v>0</v>
      </c>
      <c r="AJ289" s="33"/>
      <c r="AK289" s="32">
        <f t="shared" si="4"/>
        <v>267687</v>
      </c>
      <c r="AL289" s="33"/>
      <c r="AM289" s="32">
        <v>295000</v>
      </c>
      <c r="AN289" s="33"/>
      <c r="AO289" s="32">
        <v>0</v>
      </c>
      <c r="AP289" s="33"/>
      <c r="AQ289" s="32">
        <f t="shared" si="5"/>
        <v>295000</v>
      </c>
      <c r="AR289" s="33"/>
    </row>
    <row r="290" spans="1:44" ht="15.75" customHeight="1">
      <c r="A290" s="16">
        <v>70904</v>
      </c>
      <c r="B290" s="17" t="s">
        <v>293</v>
      </c>
      <c r="C290" s="18">
        <v>19000</v>
      </c>
      <c r="D290" s="19">
        <v>1.73</v>
      </c>
      <c r="E290" s="20">
        <v>0</v>
      </c>
      <c r="F290" s="19">
        <v>0</v>
      </c>
      <c r="G290" s="21">
        <v>19000</v>
      </c>
      <c r="H290" s="22">
        <v>0.88</v>
      </c>
      <c r="I290" s="23">
        <v>19000</v>
      </c>
      <c r="J290" s="24">
        <v>1.36</v>
      </c>
      <c r="K290" s="25">
        <v>0</v>
      </c>
      <c r="L290" s="26">
        <v>0</v>
      </c>
      <c r="M290" s="25">
        <v>19000</v>
      </c>
      <c r="N290" s="27">
        <v>0.9</v>
      </c>
      <c r="O290" s="23">
        <v>25000</v>
      </c>
      <c r="P290" s="24">
        <v>1.33</v>
      </c>
      <c r="Q290" s="25">
        <v>0</v>
      </c>
      <c r="R290" s="19">
        <v>0</v>
      </c>
      <c r="S290" s="25">
        <v>25000</v>
      </c>
      <c r="T290" s="22">
        <v>0.94</v>
      </c>
      <c r="U290" s="34">
        <v>40000</v>
      </c>
      <c r="V290" s="29">
        <v>1.75</v>
      </c>
      <c r="W290" s="30">
        <v>0</v>
      </c>
      <c r="X290" s="29">
        <v>0</v>
      </c>
      <c r="Y290" s="31">
        <v>40000</v>
      </c>
      <c r="Z290" s="29">
        <v>1.75</v>
      </c>
      <c r="AA290" s="32">
        <v>40000</v>
      </c>
      <c r="AB290" s="33"/>
      <c r="AC290" s="32">
        <v>0</v>
      </c>
      <c r="AD290" s="33"/>
      <c r="AE290" s="32">
        <f t="shared" si="3"/>
        <v>40000</v>
      </c>
      <c r="AF290" s="33"/>
      <c r="AG290" s="32">
        <v>55000</v>
      </c>
      <c r="AH290" s="33"/>
      <c r="AI290" s="32">
        <v>0</v>
      </c>
      <c r="AJ290" s="33"/>
      <c r="AK290" s="32">
        <f t="shared" si="4"/>
        <v>55000</v>
      </c>
      <c r="AL290" s="33"/>
      <c r="AM290" s="32">
        <v>58200</v>
      </c>
      <c r="AN290" s="33"/>
      <c r="AO290" s="32">
        <v>0</v>
      </c>
      <c r="AP290" s="33"/>
      <c r="AQ290" s="32">
        <f t="shared" si="5"/>
        <v>58200</v>
      </c>
      <c r="AR290" s="33"/>
    </row>
    <row r="291" spans="1:44" ht="15.75" customHeight="1">
      <c r="A291" s="16">
        <v>71001</v>
      </c>
      <c r="B291" s="17" t="s">
        <v>294</v>
      </c>
      <c r="C291" s="18">
        <v>5254500</v>
      </c>
      <c r="D291" s="19">
        <v>7.08</v>
      </c>
      <c r="E291" s="36">
        <v>1460000</v>
      </c>
      <c r="F291" s="19">
        <v>9.16</v>
      </c>
      <c r="G291" s="21">
        <v>6714500</v>
      </c>
      <c r="H291" s="22">
        <v>7.44</v>
      </c>
      <c r="I291" s="23">
        <v>4133420</v>
      </c>
      <c r="J291" s="24">
        <v>5.0599999999999996</v>
      </c>
      <c r="K291" s="25">
        <v>1460000</v>
      </c>
      <c r="L291" s="26">
        <v>3.42</v>
      </c>
      <c r="M291" s="25">
        <v>5593420</v>
      </c>
      <c r="N291" s="27">
        <v>4.5</v>
      </c>
      <c r="O291" s="23">
        <v>6620459</v>
      </c>
      <c r="P291" s="24">
        <v>6.57</v>
      </c>
      <c r="Q291" s="25">
        <v>755000</v>
      </c>
      <c r="R291" s="19">
        <v>1.22</v>
      </c>
      <c r="S291" s="25">
        <v>7375459</v>
      </c>
      <c r="T291" s="22">
        <v>4.53</v>
      </c>
      <c r="U291" s="34">
        <v>6717664</v>
      </c>
      <c r="V291" s="29">
        <v>5.33</v>
      </c>
      <c r="W291" s="30">
        <v>0</v>
      </c>
      <c r="X291" s="29">
        <v>0</v>
      </c>
      <c r="Y291" s="31">
        <v>6717664</v>
      </c>
      <c r="Z291" s="29">
        <v>4.87</v>
      </c>
      <c r="AA291" s="32">
        <v>9378161</v>
      </c>
      <c r="AB291" s="33"/>
      <c r="AC291" s="32">
        <v>500000</v>
      </c>
      <c r="AD291" s="33"/>
      <c r="AE291" s="32">
        <f t="shared" si="3"/>
        <v>9878161</v>
      </c>
      <c r="AF291" s="33"/>
      <c r="AG291" s="32">
        <v>10584115</v>
      </c>
      <c r="AH291" s="33"/>
      <c r="AI291" s="32">
        <v>0</v>
      </c>
      <c r="AJ291" s="33"/>
      <c r="AK291" s="32">
        <f t="shared" si="4"/>
        <v>10584115</v>
      </c>
      <c r="AL291" s="33"/>
      <c r="AM291" s="32">
        <v>11305943</v>
      </c>
      <c r="AN291" s="33"/>
      <c r="AO291" s="32">
        <v>0</v>
      </c>
      <c r="AP291" s="33"/>
      <c r="AQ291" s="32">
        <f t="shared" si="5"/>
        <v>11305943</v>
      </c>
      <c r="AR291" s="33"/>
    </row>
    <row r="292" spans="1:44" ht="15.75" customHeight="1">
      <c r="A292" s="16">
        <v>71002</v>
      </c>
      <c r="B292" s="17" t="s">
        <v>295</v>
      </c>
      <c r="C292" s="18">
        <v>125000</v>
      </c>
      <c r="D292" s="19">
        <v>1.3</v>
      </c>
      <c r="E292" s="20">
        <v>0</v>
      </c>
      <c r="F292" s="19">
        <v>0</v>
      </c>
      <c r="G292" s="21">
        <v>125000</v>
      </c>
      <c r="H292" s="22">
        <v>0.83</v>
      </c>
      <c r="I292" s="23">
        <v>150000</v>
      </c>
      <c r="J292" s="24">
        <v>1.41</v>
      </c>
      <c r="K292" s="25">
        <v>0</v>
      </c>
      <c r="L292" s="26">
        <v>0</v>
      </c>
      <c r="M292" s="25">
        <v>150000</v>
      </c>
      <c r="N292" s="27">
        <v>0.99</v>
      </c>
      <c r="O292" s="23">
        <v>102000</v>
      </c>
      <c r="P292" s="24">
        <v>0.93</v>
      </c>
      <c r="Q292" s="25">
        <v>0</v>
      </c>
      <c r="R292" s="19">
        <v>0</v>
      </c>
      <c r="S292" s="25">
        <v>102000</v>
      </c>
      <c r="T292" s="22">
        <v>0.85</v>
      </c>
      <c r="U292" s="34">
        <v>180000</v>
      </c>
      <c r="V292" s="29">
        <v>1.58</v>
      </c>
      <c r="W292" s="30">
        <v>0</v>
      </c>
      <c r="X292" s="29">
        <v>0</v>
      </c>
      <c r="Y292" s="31">
        <v>180000</v>
      </c>
      <c r="Z292" s="29">
        <v>1.42</v>
      </c>
      <c r="AA292" s="32">
        <v>207259</v>
      </c>
      <c r="AB292" s="33"/>
      <c r="AC292" s="32">
        <v>0</v>
      </c>
      <c r="AD292" s="33"/>
      <c r="AE292" s="32">
        <f t="shared" si="3"/>
        <v>207259</v>
      </c>
      <c r="AF292" s="33"/>
      <c r="AG292" s="32">
        <v>261392</v>
      </c>
      <c r="AH292" s="33"/>
      <c r="AI292" s="32">
        <v>0</v>
      </c>
      <c r="AJ292" s="33"/>
      <c r="AK292" s="32">
        <f t="shared" si="4"/>
        <v>261392</v>
      </c>
      <c r="AL292" s="33"/>
      <c r="AM292" s="32">
        <v>261392</v>
      </c>
      <c r="AN292" s="33"/>
      <c r="AO292" s="32">
        <v>0</v>
      </c>
      <c r="AP292" s="33"/>
      <c r="AQ292" s="32">
        <f t="shared" si="5"/>
        <v>261392</v>
      </c>
      <c r="AR292" s="33"/>
    </row>
    <row r="293" spans="1:44" ht="15.75" customHeight="1">
      <c r="A293" s="16">
        <v>71003</v>
      </c>
      <c r="B293" s="17" t="s">
        <v>296</v>
      </c>
      <c r="C293" s="18">
        <v>355630</v>
      </c>
      <c r="D293" s="19">
        <v>3.13</v>
      </c>
      <c r="E293" s="20">
        <v>0</v>
      </c>
      <c r="F293" s="19">
        <v>0</v>
      </c>
      <c r="G293" s="21">
        <v>355630</v>
      </c>
      <c r="H293" s="22">
        <v>3</v>
      </c>
      <c r="I293" s="23">
        <v>159000</v>
      </c>
      <c r="J293" s="24">
        <v>1.06</v>
      </c>
      <c r="K293" s="25">
        <v>0</v>
      </c>
      <c r="L293" s="26">
        <v>0</v>
      </c>
      <c r="M293" s="25">
        <v>159000</v>
      </c>
      <c r="N293" s="27">
        <v>0.79</v>
      </c>
      <c r="O293" s="23">
        <v>191700</v>
      </c>
      <c r="P293" s="24">
        <v>1.1399999999999999</v>
      </c>
      <c r="Q293" s="25">
        <v>0</v>
      </c>
      <c r="R293" s="19">
        <v>0</v>
      </c>
      <c r="S293" s="25">
        <v>191700</v>
      </c>
      <c r="T293" s="22">
        <v>0.65</v>
      </c>
      <c r="U293" s="34">
        <v>1232698</v>
      </c>
      <c r="V293" s="29">
        <v>5.31</v>
      </c>
      <c r="W293" s="30">
        <v>0</v>
      </c>
      <c r="X293" s="29">
        <v>0</v>
      </c>
      <c r="Y293" s="31">
        <v>1232698</v>
      </c>
      <c r="Z293" s="29">
        <v>5.31</v>
      </c>
      <c r="AA293" s="32">
        <v>1202969</v>
      </c>
      <c r="AB293" s="33"/>
      <c r="AC293" s="32">
        <v>0</v>
      </c>
      <c r="AD293" s="33"/>
      <c r="AE293" s="32">
        <f t="shared" si="3"/>
        <v>1202969</v>
      </c>
      <c r="AF293" s="33"/>
      <c r="AG293" s="32">
        <v>931950</v>
      </c>
      <c r="AH293" s="33"/>
      <c r="AI293" s="32">
        <v>0</v>
      </c>
      <c r="AJ293" s="33"/>
      <c r="AK293" s="32">
        <f t="shared" si="4"/>
        <v>931950</v>
      </c>
      <c r="AL293" s="33"/>
      <c r="AM293" s="32">
        <v>1149650</v>
      </c>
      <c r="AN293" s="33"/>
      <c r="AO293" s="32">
        <v>0</v>
      </c>
      <c r="AP293" s="33"/>
      <c r="AQ293" s="32">
        <f t="shared" si="5"/>
        <v>1149650</v>
      </c>
      <c r="AR293" s="33"/>
    </row>
    <row r="294" spans="1:44" ht="15.75" customHeight="1">
      <c r="A294" s="16">
        <v>71004</v>
      </c>
      <c r="B294" s="17" t="s">
        <v>297</v>
      </c>
      <c r="C294" s="18">
        <v>98260</v>
      </c>
      <c r="D294" s="19">
        <v>1.35</v>
      </c>
      <c r="E294" s="20">
        <v>0</v>
      </c>
      <c r="F294" s="19">
        <v>0</v>
      </c>
      <c r="G294" s="21">
        <v>98260</v>
      </c>
      <c r="H294" s="22">
        <v>1.04</v>
      </c>
      <c r="I294" s="23">
        <v>99880</v>
      </c>
      <c r="J294" s="24">
        <v>1</v>
      </c>
      <c r="K294" s="25">
        <v>0</v>
      </c>
      <c r="L294" s="26">
        <v>0</v>
      </c>
      <c r="M294" s="25">
        <v>99880</v>
      </c>
      <c r="N294" s="27">
        <v>0.81</v>
      </c>
      <c r="O294" s="23">
        <v>210732</v>
      </c>
      <c r="P294" s="24">
        <v>1.77</v>
      </c>
      <c r="Q294" s="25">
        <v>0</v>
      </c>
      <c r="R294" s="19">
        <v>0</v>
      </c>
      <c r="S294" s="25">
        <v>210732</v>
      </c>
      <c r="T294" s="22">
        <v>1.43</v>
      </c>
      <c r="U294" s="34">
        <v>265585</v>
      </c>
      <c r="V294" s="29">
        <v>2.16</v>
      </c>
      <c r="W294" s="31">
        <v>319200</v>
      </c>
      <c r="X294" s="29">
        <v>65.06</v>
      </c>
      <c r="Y294" s="31">
        <v>584785</v>
      </c>
      <c r="Z294" s="29">
        <v>4.57</v>
      </c>
      <c r="AA294" s="32">
        <v>521065</v>
      </c>
      <c r="AB294" s="33"/>
      <c r="AC294" s="32">
        <v>8471</v>
      </c>
      <c r="AD294" s="33"/>
      <c r="AE294" s="32">
        <f t="shared" si="3"/>
        <v>529536</v>
      </c>
      <c r="AF294" s="33"/>
      <c r="AG294" s="32">
        <v>290400</v>
      </c>
      <c r="AH294" s="33"/>
      <c r="AI294" s="32">
        <v>0</v>
      </c>
      <c r="AJ294" s="33"/>
      <c r="AK294" s="32">
        <f t="shared" si="4"/>
        <v>290400</v>
      </c>
      <c r="AL294" s="33"/>
      <c r="AM294" s="32">
        <v>225864</v>
      </c>
      <c r="AN294" s="33"/>
      <c r="AO294" s="32">
        <v>0</v>
      </c>
      <c r="AP294" s="33"/>
      <c r="AQ294" s="32">
        <f t="shared" si="5"/>
        <v>225864</v>
      </c>
      <c r="AR294" s="33"/>
    </row>
    <row r="295" spans="1:44" ht="15.75" customHeight="1">
      <c r="A295" s="16">
        <v>71005</v>
      </c>
      <c r="B295" s="17" t="s">
        <v>222</v>
      </c>
      <c r="C295" s="18">
        <v>21000</v>
      </c>
      <c r="D295" s="19">
        <v>0.18</v>
      </c>
      <c r="E295" s="20">
        <v>0</v>
      </c>
      <c r="F295" s="19">
        <v>0</v>
      </c>
      <c r="G295" s="21">
        <v>21000</v>
      </c>
      <c r="H295" s="22">
        <v>0.14000000000000001</v>
      </c>
      <c r="I295" s="23">
        <v>18000</v>
      </c>
      <c r="J295" s="24">
        <v>0.12</v>
      </c>
      <c r="K295" s="25">
        <v>0</v>
      </c>
      <c r="L295" s="26">
        <v>0</v>
      </c>
      <c r="M295" s="25">
        <v>18000</v>
      </c>
      <c r="N295" s="27">
        <v>0.12</v>
      </c>
      <c r="O295" s="23">
        <v>78840</v>
      </c>
      <c r="P295" s="24">
        <v>0.42</v>
      </c>
      <c r="Q295" s="25">
        <v>0</v>
      </c>
      <c r="R295" s="19">
        <v>0</v>
      </c>
      <c r="S295" s="25">
        <v>78840</v>
      </c>
      <c r="T295" s="22">
        <v>0.42</v>
      </c>
      <c r="U295" s="34">
        <v>74450</v>
      </c>
      <c r="V295" s="29">
        <v>0.47</v>
      </c>
      <c r="W295" s="30">
        <v>0</v>
      </c>
      <c r="X295" s="29">
        <v>0</v>
      </c>
      <c r="Y295" s="31">
        <v>74450</v>
      </c>
      <c r="Z295" s="29">
        <v>0.47</v>
      </c>
      <c r="AA295" s="32">
        <v>74450</v>
      </c>
      <c r="AB295" s="33"/>
      <c r="AC295" s="32">
        <v>0</v>
      </c>
      <c r="AD295" s="33"/>
      <c r="AE295" s="32">
        <f t="shared" si="3"/>
        <v>74450</v>
      </c>
      <c r="AF295" s="33"/>
      <c r="AG295" s="32">
        <v>48450</v>
      </c>
      <c r="AH295" s="33"/>
      <c r="AI295" s="32">
        <v>0</v>
      </c>
      <c r="AJ295" s="33"/>
      <c r="AK295" s="32">
        <f t="shared" si="4"/>
        <v>48450</v>
      </c>
      <c r="AL295" s="33"/>
      <c r="AM295" s="32">
        <v>74450</v>
      </c>
      <c r="AN295" s="33"/>
      <c r="AO295" s="32">
        <v>0</v>
      </c>
      <c r="AP295" s="33"/>
      <c r="AQ295" s="32">
        <f t="shared" si="5"/>
        <v>74450</v>
      </c>
      <c r="AR295" s="33"/>
    </row>
    <row r="296" spans="1:44" ht="15.75" customHeight="1">
      <c r="A296" s="16">
        <v>71101</v>
      </c>
      <c r="B296" s="17" t="s">
        <v>298</v>
      </c>
      <c r="C296" s="18">
        <v>267614</v>
      </c>
      <c r="D296" s="19">
        <v>1.85</v>
      </c>
      <c r="E296" s="20">
        <v>0</v>
      </c>
      <c r="F296" s="19">
        <v>0</v>
      </c>
      <c r="G296" s="21">
        <v>267614</v>
      </c>
      <c r="H296" s="22">
        <v>1.1100000000000001</v>
      </c>
      <c r="I296" s="23">
        <v>334000</v>
      </c>
      <c r="J296" s="24">
        <v>2.27</v>
      </c>
      <c r="K296" s="25">
        <v>0</v>
      </c>
      <c r="L296" s="26">
        <v>0</v>
      </c>
      <c r="M296" s="25">
        <v>334000</v>
      </c>
      <c r="N296" s="27">
        <v>1.59</v>
      </c>
      <c r="O296" s="23">
        <v>270000</v>
      </c>
      <c r="P296" s="24">
        <v>1.55</v>
      </c>
      <c r="Q296" s="25">
        <v>0</v>
      </c>
      <c r="R296" s="19">
        <v>0</v>
      </c>
      <c r="S296" s="25">
        <v>270000</v>
      </c>
      <c r="T296" s="22">
        <v>1.49</v>
      </c>
      <c r="U296" s="34">
        <v>559340</v>
      </c>
      <c r="V296" s="29">
        <v>4.6100000000000003</v>
      </c>
      <c r="W296" s="30">
        <v>0</v>
      </c>
      <c r="X296" s="29">
        <v>0</v>
      </c>
      <c r="Y296" s="31">
        <v>559340</v>
      </c>
      <c r="Z296" s="29">
        <v>4.59</v>
      </c>
      <c r="AA296" s="32">
        <v>878140</v>
      </c>
      <c r="AB296" s="33"/>
      <c r="AC296" s="32">
        <v>0</v>
      </c>
      <c r="AD296" s="33"/>
      <c r="AE296" s="32">
        <f t="shared" si="3"/>
        <v>878140</v>
      </c>
      <c r="AF296" s="33"/>
      <c r="AG296" s="32">
        <v>1042800</v>
      </c>
      <c r="AH296" s="33"/>
      <c r="AI296" s="32">
        <v>0</v>
      </c>
      <c r="AJ296" s="33"/>
      <c r="AK296" s="32">
        <f t="shared" si="4"/>
        <v>1042800</v>
      </c>
      <c r="AL296" s="33"/>
      <c r="AM296" s="32">
        <v>940532</v>
      </c>
      <c r="AN296" s="33"/>
      <c r="AO296" s="32">
        <v>0</v>
      </c>
      <c r="AP296" s="33"/>
      <c r="AQ296" s="32">
        <f t="shared" si="5"/>
        <v>940532</v>
      </c>
      <c r="AR296" s="33"/>
    </row>
    <row r="297" spans="1:44" ht="15.75" customHeight="1">
      <c r="A297" s="16">
        <v>71102</v>
      </c>
      <c r="B297" s="17" t="s">
        <v>299</v>
      </c>
      <c r="C297" s="18">
        <v>160000</v>
      </c>
      <c r="D297" s="19">
        <v>1.82</v>
      </c>
      <c r="E297" s="20">
        <v>0</v>
      </c>
      <c r="F297" s="19">
        <v>0</v>
      </c>
      <c r="G297" s="21">
        <v>160000</v>
      </c>
      <c r="H297" s="22">
        <v>1.49</v>
      </c>
      <c r="I297" s="23">
        <v>160000</v>
      </c>
      <c r="J297" s="24">
        <v>1.48</v>
      </c>
      <c r="K297" s="25">
        <v>0</v>
      </c>
      <c r="L297" s="26">
        <v>0</v>
      </c>
      <c r="M297" s="25">
        <v>160000</v>
      </c>
      <c r="N297" s="27">
        <v>1.31</v>
      </c>
      <c r="O297" s="23">
        <v>200000</v>
      </c>
      <c r="P297" s="24">
        <v>1.79</v>
      </c>
      <c r="Q297" s="25">
        <v>0</v>
      </c>
      <c r="R297" s="19">
        <v>0</v>
      </c>
      <c r="S297" s="25">
        <v>200000</v>
      </c>
      <c r="T297" s="22">
        <v>1.28</v>
      </c>
      <c r="U297" s="34">
        <v>559312</v>
      </c>
      <c r="V297" s="29">
        <v>4.3499999999999996</v>
      </c>
      <c r="W297" s="30">
        <v>0</v>
      </c>
      <c r="X297" s="29">
        <v>0</v>
      </c>
      <c r="Y297" s="31">
        <v>559312</v>
      </c>
      <c r="Z297" s="29">
        <v>4.16</v>
      </c>
      <c r="AA297" s="32">
        <v>540000</v>
      </c>
      <c r="AB297" s="33"/>
      <c r="AC297" s="32">
        <v>0</v>
      </c>
      <c r="AD297" s="33"/>
      <c r="AE297" s="32">
        <f t="shared" si="3"/>
        <v>540000</v>
      </c>
      <c r="AF297" s="33"/>
      <c r="AG297" s="32">
        <v>544500</v>
      </c>
      <c r="AH297" s="33"/>
      <c r="AI297" s="32">
        <v>0</v>
      </c>
      <c r="AJ297" s="33"/>
      <c r="AK297" s="32">
        <f t="shared" si="4"/>
        <v>544500</v>
      </c>
      <c r="AL297" s="33"/>
      <c r="AM297" s="32">
        <v>510000</v>
      </c>
      <c r="AN297" s="33"/>
      <c r="AO297" s="32">
        <v>0</v>
      </c>
      <c r="AP297" s="33"/>
      <c r="AQ297" s="32">
        <f t="shared" si="5"/>
        <v>510000</v>
      </c>
      <c r="AR297" s="33"/>
    </row>
    <row r="298" spans="1:44" ht="15.75" customHeight="1">
      <c r="A298" s="16">
        <v>71103</v>
      </c>
      <c r="B298" s="17" t="s">
        <v>300</v>
      </c>
      <c r="C298" s="35">
        <v>0</v>
      </c>
      <c r="D298" s="19">
        <v>0</v>
      </c>
      <c r="E298" s="20">
        <v>0</v>
      </c>
      <c r="F298" s="19">
        <v>0</v>
      </c>
      <c r="G298" s="20">
        <v>0</v>
      </c>
      <c r="H298" s="22">
        <v>0</v>
      </c>
      <c r="I298" s="23">
        <v>267400</v>
      </c>
      <c r="J298" s="24">
        <v>6.55</v>
      </c>
      <c r="K298" s="25">
        <v>0</v>
      </c>
      <c r="L298" s="26">
        <v>0</v>
      </c>
      <c r="M298" s="25">
        <v>267400</v>
      </c>
      <c r="N298" s="27">
        <v>4.6500000000000004</v>
      </c>
      <c r="O298" s="23">
        <v>357000</v>
      </c>
      <c r="P298" s="24">
        <v>7.03</v>
      </c>
      <c r="Q298" s="25">
        <v>0</v>
      </c>
      <c r="R298" s="19">
        <v>0</v>
      </c>
      <c r="S298" s="25">
        <v>357000</v>
      </c>
      <c r="T298" s="22">
        <v>3.89</v>
      </c>
      <c r="U298" s="34">
        <v>217500</v>
      </c>
      <c r="V298" s="29">
        <v>3.29</v>
      </c>
      <c r="W298" s="30">
        <v>0</v>
      </c>
      <c r="X298" s="29">
        <v>0</v>
      </c>
      <c r="Y298" s="40">
        <v>217500</v>
      </c>
      <c r="Z298" s="29">
        <v>0.79</v>
      </c>
      <c r="AA298" s="32">
        <v>160200</v>
      </c>
      <c r="AB298" s="33"/>
      <c r="AC298" s="32">
        <v>0</v>
      </c>
      <c r="AD298" s="33"/>
      <c r="AE298" s="32">
        <f t="shared" si="3"/>
        <v>160200</v>
      </c>
      <c r="AF298" s="33"/>
      <c r="AG298" s="32">
        <v>189176</v>
      </c>
      <c r="AH298" s="33"/>
      <c r="AI298" s="32">
        <v>0</v>
      </c>
      <c r="AJ298" s="33"/>
      <c r="AK298" s="32">
        <f t="shared" si="4"/>
        <v>189176</v>
      </c>
      <c r="AL298" s="33"/>
      <c r="AM298" s="32">
        <v>176520</v>
      </c>
      <c r="AN298" s="33"/>
      <c r="AO298" s="32">
        <v>0</v>
      </c>
      <c r="AP298" s="33"/>
      <c r="AQ298" s="32">
        <f t="shared" si="5"/>
        <v>176520</v>
      </c>
      <c r="AR298" s="33"/>
    </row>
    <row r="299" spans="1:44" ht="15.75" customHeight="1">
      <c r="A299" s="16">
        <v>71104</v>
      </c>
      <c r="B299" s="17" t="s">
        <v>301</v>
      </c>
      <c r="C299" s="18">
        <v>364830</v>
      </c>
      <c r="D299" s="19">
        <v>1.29</v>
      </c>
      <c r="E299" s="20">
        <v>0</v>
      </c>
      <c r="F299" s="19">
        <v>0</v>
      </c>
      <c r="G299" s="21">
        <v>364830</v>
      </c>
      <c r="H299" s="22">
        <v>0.96</v>
      </c>
      <c r="I299" s="23">
        <v>286000</v>
      </c>
      <c r="J299" s="24">
        <v>0.73</v>
      </c>
      <c r="K299" s="25">
        <v>0</v>
      </c>
      <c r="L299" s="26">
        <v>0</v>
      </c>
      <c r="M299" s="25">
        <v>286000</v>
      </c>
      <c r="N299" s="27">
        <v>0.64</v>
      </c>
      <c r="O299" s="23">
        <v>755125</v>
      </c>
      <c r="P299" s="24">
        <v>1.76</v>
      </c>
      <c r="Q299" s="25">
        <v>0</v>
      </c>
      <c r="R299" s="19">
        <v>0</v>
      </c>
      <c r="S299" s="25">
        <v>755125</v>
      </c>
      <c r="T299" s="22">
        <v>1.5</v>
      </c>
      <c r="U299" s="34">
        <v>350000</v>
      </c>
      <c r="V299" s="29">
        <v>0.88</v>
      </c>
      <c r="W299" s="30">
        <v>0</v>
      </c>
      <c r="X299" s="29">
        <v>0</v>
      </c>
      <c r="Y299" s="31">
        <v>350000</v>
      </c>
      <c r="Z299" s="29">
        <v>0.84</v>
      </c>
      <c r="AA299" s="32">
        <v>400000</v>
      </c>
      <c r="AB299" s="33"/>
      <c r="AC299" s="32">
        <v>0</v>
      </c>
      <c r="AD299" s="33"/>
      <c r="AE299" s="32">
        <f t="shared" si="3"/>
        <v>400000</v>
      </c>
      <c r="AF299" s="33"/>
      <c r="AG299" s="32">
        <v>450000</v>
      </c>
      <c r="AH299" s="33"/>
      <c r="AI299" s="32">
        <v>0</v>
      </c>
      <c r="AJ299" s="33"/>
      <c r="AK299" s="32">
        <f t="shared" si="4"/>
        <v>450000</v>
      </c>
      <c r="AL299" s="33"/>
      <c r="AM299" s="32">
        <v>694405</v>
      </c>
      <c r="AN299" s="33"/>
      <c r="AO299" s="32">
        <v>0</v>
      </c>
      <c r="AP299" s="33"/>
      <c r="AQ299" s="32">
        <f t="shared" si="5"/>
        <v>694405</v>
      </c>
      <c r="AR299" s="33"/>
    </row>
    <row r="300" spans="1:44" ht="15.75" customHeight="1">
      <c r="A300" s="16">
        <v>71105</v>
      </c>
      <c r="B300" s="17" t="s">
        <v>302</v>
      </c>
      <c r="C300" s="18">
        <v>15000</v>
      </c>
      <c r="D300" s="19">
        <v>0.36</v>
      </c>
      <c r="E300" s="20">
        <v>0</v>
      </c>
      <c r="F300" s="19">
        <v>0</v>
      </c>
      <c r="G300" s="21">
        <v>15000</v>
      </c>
      <c r="H300" s="22">
        <v>0.27</v>
      </c>
      <c r="I300" s="23">
        <v>8000</v>
      </c>
      <c r="J300" s="24">
        <v>0.19</v>
      </c>
      <c r="K300" s="25">
        <v>0</v>
      </c>
      <c r="L300" s="26">
        <v>0</v>
      </c>
      <c r="M300" s="25">
        <v>8000</v>
      </c>
      <c r="N300" s="27">
        <v>0.16</v>
      </c>
      <c r="O300" s="23">
        <v>5000</v>
      </c>
      <c r="P300" s="24">
        <v>0.13</v>
      </c>
      <c r="Q300" s="25">
        <v>0</v>
      </c>
      <c r="R300" s="19">
        <v>0</v>
      </c>
      <c r="S300" s="25">
        <v>5000</v>
      </c>
      <c r="T300" s="22">
        <v>0.1</v>
      </c>
      <c r="U300" s="34">
        <v>50000</v>
      </c>
      <c r="V300" s="29">
        <v>1.03</v>
      </c>
      <c r="W300" s="30">
        <v>0</v>
      </c>
      <c r="X300" s="29">
        <v>0</v>
      </c>
      <c r="Y300" s="31">
        <v>50000</v>
      </c>
      <c r="Z300" s="29">
        <v>0.72</v>
      </c>
      <c r="AA300" s="32">
        <v>45000</v>
      </c>
      <c r="AB300" s="33"/>
      <c r="AC300" s="32">
        <v>0</v>
      </c>
      <c r="AD300" s="33"/>
      <c r="AE300" s="32">
        <f t="shared" si="3"/>
        <v>45000</v>
      </c>
      <c r="AF300" s="33"/>
      <c r="AG300" s="32">
        <v>50000</v>
      </c>
      <c r="AH300" s="33"/>
      <c r="AI300" s="32">
        <v>0</v>
      </c>
      <c r="AJ300" s="33"/>
      <c r="AK300" s="32">
        <f t="shared" si="4"/>
        <v>50000</v>
      </c>
      <c r="AL300" s="33"/>
      <c r="AM300" s="32">
        <v>50000</v>
      </c>
      <c r="AN300" s="33"/>
      <c r="AO300" s="32">
        <v>0</v>
      </c>
      <c r="AP300" s="33"/>
      <c r="AQ300" s="32">
        <f t="shared" si="5"/>
        <v>50000</v>
      </c>
      <c r="AR300" s="33"/>
    </row>
    <row r="301" spans="1:44" ht="15.75" customHeight="1">
      <c r="A301" s="16">
        <v>71106</v>
      </c>
      <c r="B301" s="17" t="s">
        <v>303</v>
      </c>
      <c r="C301" s="18">
        <v>60000</v>
      </c>
      <c r="D301" s="19">
        <v>0.42</v>
      </c>
      <c r="E301" s="20">
        <v>0</v>
      </c>
      <c r="F301" s="19">
        <v>0</v>
      </c>
      <c r="G301" s="21">
        <v>60000</v>
      </c>
      <c r="H301" s="22">
        <v>0.27</v>
      </c>
      <c r="I301" s="23">
        <v>100500</v>
      </c>
      <c r="J301" s="24">
        <v>0.56000000000000005</v>
      </c>
      <c r="K301" s="25">
        <v>0</v>
      </c>
      <c r="L301" s="26">
        <v>0</v>
      </c>
      <c r="M301" s="25">
        <v>100500</v>
      </c>
      <c r="N301" s="27">
        <v>0.46</v>
      </c>
      <c r="O301" s="23">
        <v>100000</v>
      </c>
      <c r="P301" s="24">
        <v>0.53</v>
      </c>
      <c r="Q301" s="25">
        <v>0</v>
      </c>
      <c r="R301" s="19">
        <v>0</v>
      </c>
      <c r="S301" s="25">
        <v>100000</v>
      </c>
      <c r="T301" s="22">
        <v>0.3</v>
      </c>
      <c r="U301" s="34">
        <v>298000</v>
      </c>
      <c r="V301" s="29">
        <v>1.3</v>
      </c>
      <c r="W301" s="30">
        <v>0</v>
      </c>
      <c r="X301" s="29">
        <v>0</v>
      </c>
      <c r="Y301" s="31">
        <v>298000</v>
      </c>
      <c r="Z301" s="29">
        <v>1.26</v>
      </c>
      <c r="AA301" s="32">
        <v>272000</v>
      </c>
      <c r="AB301" s="33"/>
      <c r="AC301" s="32">
        <v>0</v>
      </c>
      <c r="AD301" s="33"/>
      <c r="AE301" s="32">
        <f t="shared" si="3"/>
        <v>272000</v>
      </c>
      <c r="AF301" s="33"/>
      <c r="AG301" s="32">
        <v>280000</v>
      </c>
      <c r="AH301" s="33"/>
      <c r="AI301" s="32">
        <v>0</v>
      </c>
      <c r="AJ301" s="33"/>
      <c r="AK301" s="32">
        <f t="shared" si="4"/>
        <v>280000</v>
      </c>
      <c r="AL301" s="33"/>
      <c r="AM301" s="32">
        <v>178820</v>
      </c>
      <c r="AN301" s="33"/>
      <c r="AO301" s="32">
        <v>0</v>
      </c>
      <c r="AP301" s="33"/>
      <c r="AQ301" s="32">
        <f t="shared" si="5"/>
        <v>178820</v>
      </c>
      <c r="AR301" s="33"/>
    </row>
    <row r="302" spans="1:44" ht="15.75" customHeight="1">
      <c r="A302" s="16">
        <v>71201</v>
      </c>
      <c r="B302" s="17" t="s">
        <v>304</v>
      </c>
      <c r="C302" s="35">
        <v>0</v>
      </c>
      <c r="D302" s="19">
        <v>0</v>
      </c>
      <c r="E302" s="20">
        <v>0</v>
      </c>
      <c r="F302" s="19">
        <v>0</v>
      </c>
      <c r="G302" s="20">
        <v>0</v>
      </c>
      <c r="H302" s="22">
        <v>0</v>
      </c>
      <c r="I302" s="23">
        <v>100000</v>
      </c>
      <c r="J302" s="24">
        <v>0.93</v>
      </c>
      <c r="K302" s="25">
        <v>0</v>
      </c>
      <c r="L302" s="26">
        <v>0</v>
      </c>
      <c r="M302" s="25">
        <v>100000</v>
      </c>
      <c r="N302" s="27">
        <v>0.77</v>
      </c>
      <c r="O302" s="23">
        <v>100000</v>
      </c>
      <c r="P302" s="24">
        <v>0.87</v>
      </c>
      <c r="Q302" s="25">
        <v>0</v>
      </c>
      <c r="R302" s="19">
        <v>0</v>
      </c>
      <c r="S302" s="25">
        <v>100000</v>
      </c>
      <c r="T302" s="22">
        <v>0.55000000000000004</v>
      </c>
      <c r="U302" s="34">
        <v>200000</v>
      </c>
      <c r="V302" s="29">
        <v>1.78</v>
      </c>
      <c r="W302" s="30">
        <v>0</v>
      </c>
      <c r="X302" s="29">
        <v>0</v>
      </c>
      <c r="Y302" s="31">
        <v>200000</v>
      </c>
      <c r="Z302" s="29">
        <v>1.69</v>
      </c>
      <c r="AA302" s="32">
        <v>240648</v>
      </c>
      <c r="AB302" s="33"/>
      <c r="AC302" s="32">
        <v>0</v>
      </c>
      <c r="AD302" s="33"/>
      <c r="AE302" s="32">
        <f t="shared" si="3"/>
        <v>240648</v>
      </c>
      <c r="AF302" s="33"/>
      <c r="AG302" s="32">
        <v>211100</v>
      </c>
      <c r="AH302" s="33"/>
      <c r="AI302" s="32">
        <v>0</v>
      </c>
      <c r="AJ302" s="33"/>
      <c r="AK302" s="32">
        <f t="shared" si="4"/>
        <v>211100</v>
      </c>
      <c r="AL302" s="33"/>
      <c r="AM302" s="32">
        <v>227500</v>
      </c>
      <c r="AN302" s="33"/>
      <c r="AO302" s="32">
        <v>0</v>
      </c>
      <c r="AP302" s="33"/>
      <c r="AQ302" s="32">
        <f t="shared" si="5"/>
        <v>227500</v>
      </c>
      <c r="AR302" s="33"/>
    </row>
    <row r="303" spans="1:44" ht="15.75" customHeight="1">
      <c r="A303" s="16">
        <v>71301</v>
      </c>
      <c r="B303" s="17" t="s">
        <v>305</v>
      </c>
      <c r="C303" s="35">
        <v>0</v>
      </c>
      <c r="D303" s="19">
        <v>0</v>
      </c>
      <c r="E303" s="20">
        <v>0</v>
      </c>
      <c r="F303" s="19">
        <v>0</v>
      </c>
      <c r="G303" s="21">
        <v>0</v>
      </c>
      <c r="H303" s="22">
        <v>0</v>
      </c>
      <c r="I303" s="23">
        <v>315000</v>
      </c>
      <c r="J303" s="24">
        <v>2.96</v>
      </c>
      <c r="K303" s="25">
        <v>0</v>
      </c>
      <c r="L303" s="26">
        <v>0</v>
      </c>
      <c r="M303" s="25">
        <v>315000</v>
      </c>
      <c r="N303" s="27">
        <v>2.33</v>
      </c>
      <c r="O303" s="23">
        <v>400000</v>
      </c>
      <c r="P303" s="24">
        <v>3.33</v>
      </c>
      <c r="Q303" s="25">
        <v>0</v>
      </c>
      <c r="R303" s="19">
        <v>0</v>
      </c>
      <c r="S303" s="25">
        <v>400000</v>
      </c>
      <c r="T303" s="22">
        <v>2.3199999999999998</v>
      </c>
      <c r="U303" s="34">
        <v>407000</v>
      </c>
      <c r="V303" s="29">
        <v>3.29</v>
      </c>
      <c r="W303" s="31">
        <v>1125017</v>
      </c>
      <c r="X303" s="29">
        <v>72.81</v>
      </c>
      <c r="Y303" s="31">
        <v>1532017</v>
      </c>
      <c r="Z303" s="29">
        <v>11.01</v>
      </c>
      <c r="AA303" s="32">
        <v>407000</v>
      </c>
      <c r="AB303" s="33"/>
      <c r="AC303" s="32">
        <v>0</v>
      </c>
      <c r="AD303" s="33"/>
      <c r="AE303" s="32">
        <f t="shared" si="3"/>
        <v>407000</v>
      </c>
      <c r="AF303" s="33"/>
      <c r="AG303" s="32">
        <v>573360</v>
      </c>
      <c r="AH303" s="33"/>
      <c r="AI303" s="32">
        <v>0</v>
      </c>
      <c r="AJ303" s="33"/>
      <c r="AK303" s="32">
        <f t="shared" si="4"/>
        <v>573360</v>
      </c>
      <c r="AL303" s="33"/>
      <c r="AM303" s="32">
        <v>450000</v>
      </c>
      <c r="AN303" s="33"/>
      <c r="AO303" s="32">
        <v>0</v>
      </c>
      <c r="AP303" s="33"/>
      <c r="AQ303" s="32">
        <f t="shared" si="5"/>
        <v>450000</v>
      </c>
      <c r="AR303" s="33"/>
    </row>
    <row r="304" spans="1:44" ht="15.75" customHeight="1">
      <c r="A304" s="16">
        <v>71302</v>
      </c>
      <c r="B304" s="17" t="s">
        <v>306</v>
      </c>
      <c r="C304" s="18">
        <v>29091</v>
      </c>
      <c r="D304" s="19">
        <v>0.65</v>
      </c>
      <c r="E304" s="20">
        <v>0</v>
      </c>
      <c r="F304" s="19">
        <v>0</v>
      </c>
      <c r="G304" s="21">
        <v>29091</v>
      </c>
      <c r="H304" s="22">
        <v>0.41</v>
      </c>
      <c r="I304" s="23">
        <v>38848</v>
      </c>
      <c r="J304" s="24">
        <v>0.93</v>
      </c>
      <c r="K304" s="25">
        <v>0</v>
      </c>
      <c r="L304" s="26">
        <v>0</v>
      </c>
      <c r="M304" s="25">
        <v>38848</v>
      </c>
      <c r="N304" s="27">
        <v>0.65</v>
      </c>
      <c r="O304" s="23">
        <v>39000</v>
      </c>
      <c r="P304" s="24">
        <v>0.72</v>
      </c>
      <c r="Q304" s="25">
        <v>0</v>
      </c>
      <c r="R304" s="19">
        <v>0</v>
      </c>
      <c r="S304" s="25">
        <v>39000</v>
      </c>
      <c r="T304" s="22">
        <v>0.55000000000000004</v>
      </c>
      <c r="U304" s="34">
        <v>82000</v>
      </c>
      <c r="V304" s="29">
        <v>1.21</v>
      </c>
      <c r="W304" s="30">
        <v>0</v>
      </c>
      <c r="X304" s="29">
        <v>0</v>
      </c>
      <c r="Y304" s="31">
        <v>82000</v>
      </c>
      <c r="Z304" s="29">
        <v>1.21</v>
      </c>
      <c r="AA304" s="32">
        <v>65000</v>
      </c>
      <c r="AB304" s="33"/>
      <c r="AC304" s="32">
        <v>0</v>
      </c>
      <c r="AD304" s="33"/>
      <c r="AE304" s="32">
        <f t="shared" si="3"/>
        <v>65000</v>
      </c>
      <c r="AF304" s="33"/>
      <c r="AG304" s="32">
        <v>65000</v>
      </c>
      <c r="AH304" s="33"/>
      <c r="AI304" s="32">
        <v>0</v>
      </c>
      <c r="AJ304" s="33"/>
      <c r="AK304" s="32">
        <f t="shared" si="4"/>
        <v>65000</v>
      </c>
      <c r="AL304" s="33"/>
      <c r="AM304" s="32">
        <v>65000</v>
      </c>
      <c r="AN304" s="33"/>
      <c r="AO304" s="32">
        <v>0</v>
      </c>
      <c r="AP304" s="33"/>
      <c r="AQ304" s="32">
        <f t="shared" si="5"/>
        <v>65000</v>
      </c>
      <c r="AR304" s="33"/>
    </row>
    <row r="305" spans="1:44" ht="15.75" customHeight="1">
      <c r="A305" s="16">
        <v>71401</v>
      </c>
      <c r="B305" s="17" t="s">
        <v>307</v>
      </c>
      <c r="C305" s="35">
        <v>0</v>
      </c>
      <c r="D305" s="19">
        <v>0</v>
      </c>
      <c r="E305" s="20">
        <v>0</v>
      </c>
      <c r="F305" s="19">
        <v>0</v>
      </c>
      <c r="G305" s="21">
        <v>0</v>
      </c>
      <c r="H305" s="22">
        <v>0</v>
      </c>
      <c r="I305" s="23">
        <v>729877</v>
      </c>
      <c r="J305" s="24">
        <v>5.66</v>
      </c>
      <c r="K305" s="25">
        <v>0</v>
      </c>
      <c r="L305" s="26">
        <v>0</v>
      </c>
      <c r="M305" s="25">
        <v>729877</v>
      </c>
      <c r="N305" s="27">
        <v>5.66</v>
      </c>
      <c r="O305" s="23">
        <v>513565</v>
      </c>
      <c r="P305" s="24">
        <v>3.71</v>
      </c>
      <c r="Q305" s="25">
        <v>0</v>
      </c>
      <c r="R305" s="19">
        <v>0</v>
      </c>
      <c r="S305" s="25">
        <v>513565</v>
      </c>
      <c r="T305" s="22">
        <v>1.72</v>
      </c>
      <c r="U305" s="34">
        <v>323283</v>
      </c>
      <c r="V305" s="29">
        <v>2.02</v>
      </c>
      <c r="W305" s="30">
        <v>0</v>
      </c>
      <c r="X305" s="29">
        <v>0</v>
      </c>
      <c r="Y305" s="31">
        <v>323283</v>
      </c>
      <c r="Z305" s="29">
        <v>1.77</v>
      </c>
      <c r="AA305" s="32">
        <v>396501</v>
      </c>
      <c r="AB305" s="33"/>
      <c r="AC305" s="32">
        <v>0</v>
      </c>
      <c r="AD305" s="33"/>
      <c r="AE305" s="32">
        <f t="shared" si="3"/>
        <v>396501</v>
      </c>
      <c r="AF305" s="33"/>
      <c r="AG305" s="32">
        <v>865000</v>
      </c>
      <c r="AH305" s="33"/>
      <c r="AI305" s="32">
        <v>0</v>
      </c>
      <c r="AJ305" s="33"/>
      <c r="AK305" s="32">
        <f t="shared" si="4"/>
        <v>865000</v>
      </c>
      <c r="AL305" s="33"/>
      <c r="AM305" s="32">
        <v>1376500</v>
      </c>
      <c r="AN305" s="33"/>
      <c r="AO305" s="32">
        <v>0</v>
      </c>
      <c r="AP305" s="33"/>
      <c r="AQ305" s="32">
        <f t="shared" si="5"/>
        <v>1376500</v>
      </c>
      <c r="AR305" s="33"/>
    </row>
    <row r="306" spans="1:44" ht="15.75" customHeight="1">
      <c r="A306" s="16">
        <v>71402</v>
      </c>
      <c r="B306" s="17" t="s">
        <v>308</v>
      </c>
      <c r="C306" s="18">
        <v>100000</v>
      </c>
      <c r="D306" s="19">
        <v>1.04</v>
      </c>
      <c r="E306" s="20">
        <v>0</v>
      </c>
      <c r="F306" s="19">
        <v>0</v>
      </c>
      <c r="G306" s="21">
        <v>100000</v>
      </c>
      <c r="H306" s="22">
        <v>0.75</v>
      </c>
      <c r="I306" s="23">
        <v>840000</v>
      </c>
      <c r="J306" s="24">
        <v>7.06</v>
      </c>
      <c r="K306" s="25">
        <v>0</v>
      </c>
      <c r="L306" s="26">
        <v>0</v>
      </c>
      <c r="M306" s="25">
        <v>840000</v>
      </c>
      <c r="N306" s="27">
        <v>7.06</v>
      </c>
      <c r="O306" s="23">
        <v>840000</v>
      </c>
      <c r="P306" s="24">
        <v>6.18</v>
      </c>
      <c r="Q306" s="25">
        <v>0</v>
      </c>
      <c r="R306" s="19">
        <v>0</v>
      </c>
      <c r="S306" s="25">
        <v>840000</v>
      </c>
      <c r="T306" s="22">
        <v>6.18</v>
      </c>
      <c r="U306" s="34">
        <v>780000</v>
      </c>
      <c r="V306" s="29">
        <v>5.15</v>
      </c>
      <c r="W306" s="30">
        <v>0</v>
      </c>
      <c r="X306" s="29">
        <v>0</v>
      </c>
      <c r="Y306" s="31">
        <v>780000</v>
      </c>
      <c r="Z306" s="29">
        <v>4.92</v>
      </c>
      <c r="AA306" s="32">
        <v>780000</v>
      </c>
      <c r="AB306" s="33"/>
      <c r="AC306" s="32">
        <v>0</v>
      </c>
      <c r="AD306" s="33"/>
      <c r="AE306" s="32">
        <f t="shared" si="3"/>
        <v>780000</v>
      </c>
      <c r="AF306" s="33"/>
      <c r="AG306" s="32">
        <v>600000</v>
      </c>
      <c r="AH306" s="33"/>
      <c r="AI306" s="32">
        <v>0</v>
      </c>
      <c r="AJ306" s="33"/>
      <c r="AK306" s="32">
        <f t="shared" si="4"/>
        <v>600000</v>
      </c>
      <c r="AL306" s="33"/>
      <c r="AM306" s="32">
        <v>650000</v>
      </c>
      <c r="AN306" s="33"/>
      <c r="AO306" s="32">
        <v>0</v>
      </c>
      <c r="AP306" s="33"/>
      <c r="AQ306" s="32">
        <f t="shared" si="5"/>
        <v>650000</v>
      </c>
      <c r="AR306" s="33"/>
    </row>
    <row r="307" spans="1:44" ht="15.75" customHeight="1">
      <c r="A307" s="16">
        <v>71403</v>
      </c>
      <c r="B307" s="17" t="s">
        <v>309</v>
      </c>
      <c r="C307" s="18">
        <v>140000</v>
      </c>
      <c r="D307" s="19">
        <v>2.96</v>
      </c>
      <c r="E307" s="20">
        <v>0</v>
      </c>
      <c r="F307" s="19">
        <v>0</v>
      </c>
      <c r="G307" s="21">
        <v>140000</v>
      </c>
      <c r="H307" s="22">
        <v>1.97</v>
      </c>
      <c r="I307" s="23">
        <v>135000</v>
      </c>
      <c r="J307" s="24">
        <v>2.87</v>
      </c>
      <c r="K307" s="25">
        <v>0</v>
      </c>
      <c r="L307" s="26">
        <v>0</v>
      </c>
      <c r="M307" s="25">
        <v>135000</v>
      </c>
      <c r="N307" s="27">
        <v>2.04</v>
      </c>
      <c r="O307" s="23">
        <v>185000</v>
      </c>
      <c r="P307" s="24">
        <v>2.8</v>
      </c>
      <c r="Q307" s="25">
        <v>0</v>
      </c>
      <c r="R307" s="19">
        <v>0</v>
      </c>
      <c r="S307" s="25">
        <v>185000</v>
      </c>
      <c r="T307" s="22">
        <v>2.11</v>
      </c>
      <c r="U307" s="34">
        <v>165000</v>
      </c>
      <c r="V307" s="29">
        <v>2.2200000000000002</v>
      </c>
      <c r="W307" s="30">
        <v>0</v>
      </c>
      <c r="X307" s="29">
        <v>0</v>
      </c>
      <c r="Y307" s="31">
        <v>165000</v>
      </c>
      <c r="Z307" s="29">
        <v>2.15</v>
      </c>
      <c r="AA307" s="32">
        <v>15000</v>
      </c>
      <c r="AB307" s="33"/>
      <c r="AC307" s="32">
        <v>0</v>
      </c>
      <c r="AD307" s="33"/>
      <c r="AE307" s="32">
        <f t="shared" si="3"/>
        <v>15000</v>
      </c>
      <c r="AF307" s="33"/>
      <c r="AG307" s="32">
        <v>10000</v>
      </c>
      <c r="AH307" s="33"/>
      <c r="AI307" s="32">
        <v>0</v>
      </c>
      <c r="AJ307" s="33"/>
      <c r="AK307" s="32">
        <f t="shared" si="4"/>
        <v>10000</v>
      </c>
      <c r="AL307" s="33"/>
      <c r="AM307" s="32">
        <v>10000</v>
      </c>
      <c r="AN307" s="33"/>
      <c r="AO307" s="32">
        <v>0</v>
      </c>
      <c r="AP307" s="33"/>
      <c r="AQ307" s="32">
        <f t="shared" si="5"/>
        <v>10000</v>
      </c>
      <c r="AR307" s="33"/>
    </row>
    <row r="308" spans="1:44" ht="15.75" customHeight="1">
      <c r="A308" s="16">
        <v>71501</v>
      </c>
      <c r="B308" s="17" t="s">
        <v>310</v>
      </c>
      <c r="C308" s="18">
        <v>165000</v>
      </c>
      <c r="D308" s="19">
        <v>1.29</v>
      </c>
      <c r="E308" s="20">
        <v>0</v>
      </c>
      <c r="F308" s="19">
        <v>0</v>
      </c>
      <c r="G308" s="21">
        <v>165000</v>
      </c>
      <c r="H308" s="22">
        <v>1</v>
      </c>
      <c r="I308" s="23">
        <v>180000</v>
      </c>
      <c r="J308" s="24">
        <v>1.39</v>
      </c>
      <c r="K308" s="25">
        <v>0</v>
      </c>
      <c r="L308" s="26">
        <v>0</v>
      </c>
      <c r="M308" s="25">
        <v>180000</v>
      </c>
      <c r="N308" s="27">
        <v>0.83</v>
      </c>
      <c r="O308" s="23">
        <v>330000</v>
      </c>
      <c r="P308" s="24">
        <v>1.74</v>
      </c>
      <c r="Q308" s="25">
        <v>0</v>
      </c>
      <c r="R308" s="19">
        <v>0</v>
      </c>
      <c r="S308" s="25">
        <v>330000</v>
      </c>
      <c r="T308" s="22">
        <v>1.05</v>
      </c>
      <c r="U308" s="34">
        <v>464240</v>
      </c>
      <c r="V308" s="29">
        <v>1.99</v>
      </c>
      <c r="W308" s="30">
        <v>0</v>
      </c>
      <c r="X308" s="29">
        <v>0</v>
      </c>
      <c r="Y308" s="31">
        <v>464240</v>
      </c>
      <c r="Z308" s="29">
        <v>1.87</v>
      </c>
      <c r="AA308" s="32">
        <v>444800</v>
      </c>
      <c r="AB308" s="33"/>
      <c r="AC308" s="32">
        <v>0</v>
      </c>
      <c r="AD308" s="33"/>
      <c r="AE308" s="32">
        <f t="shared" si="3"/>
        <v>444800</v>
      </c>
      <c r="AF308" s="33"/>
      <c r="AG308" s="32">
        <v>540000</v>
      </c>
      <c r="AH308" s="33"/>
      <c r="AI308" s="32">
        <v>0</v>
      </c>
      <c r="AJ308" s="33"/>
      <c r="AK308" s="32">
        <f t="shared" si="4"/>
        <v>540000</v>
      </c>
      <c r="AL308" s="33"/>
      <c r="AM308" s="32">
        <v>1034000</v>
      </c>
      <c r="AN308" s="33"/>
      <c r="AO308" s="32">
        <v>0</v>
      </c>
      <c r="AP308" s="33"/>
      <c r="AQ308" s="32">
        <f t="shared" si="5"/>
        <v>1034000</v>
      </c>
      <c r="AR308" s="33"/>
    </row>
    <row r="309" spans="1:44" ht="15.75" customHeight="1">
      <c r="A309" s="16">
        <v>71502</v>
      </c>
      <c r="B309" s="17" t="s">
        <v>311</v>
      </c>
      <c r="C309" s="18">
        <v>189005</v>
      </c>
      <c r="D309" s="19">
        <v>3.94</v>
      </c>
      <c r="E309" s="20">
        <v>0</v>
      </c>
      <c r="F309" s="19">
        <v>0</v>
      </c>
      <c r="G309" s="21">
        <v>189005</v>
      </c>
      <c r="H309" s="22">
        <v>3.51</v>
      </c>
      <c r="I309" s="23">
        <v>244689</v>
      </c>
      <c r="J309" s="24">
        <v>4.97</v>
      </c>
      <c r="K309" s="25">
        <v>0</v>
      </c>
      <c r="L309" s="26">
        <v>0</v>
      </c>
      <c r="M309" s="25">
        <v>244689</v>
      </c>
      <c r="N309" s="27">
        <v>4.97</v>
      </c>
      <c r="O309" s="23">
        <v>284627</v>
      </c>
      <c r="P309" s="24">
        <v>5.34</v>
      </c>
      <c r="Q309" s="25">
        <v>0</v>
      </c>
      <c r="R309" s="19">
        <v>0</v>
      </c>
      <c r="S309" s="25">
        <v>284627</v>
      </c>
      <c r="T309" s="22">
        <v>5.34</v>
      </c>
      <c r="U309" s="34">
        <v>154200</v>
      </c>
      <c r="V309" s="29">
        <v>2.89</v>
      </c>
      <c r="W309" s="30">
        <v>0</v>
      </c>
      <c r="X309" s="29">
        <v>0</v>
      </c>
      <c r="Y309" s="31">
        <v>154200</v>
      </c>
      <c r="Z309" s="29">
        <v>2.88</v>
      </c>
      <c r="AA309" s="32">
        <v>253932</v>
      </c>
      <c r="AB309" s="33"/>
      <c r="AC309" s="32">
        <v>0</v>
      </c>
      <c r="AD309" s="33"/>
      <c r="AE309" s="32">
        <f t="shared" si="3"/>
        <v>253932</v>
      </c>
      <c r="AF309" s="33"/>
      <c r="AG309" s="32">
        <v>308300</v>
      </c>
      <c r="AH309" s="33"/>
      <c r="AI309" s="32">
        <v>0</v>
      </c>
      <c r="AJ309" s="33"/>
      <c r="AK309" s="32">
        <f t="shared" si="4"/>
        <v>308300</v>
      </c>
      <c r="AL309" s="33"/>
      <c r="AM309" s="32">
        <v>386700</v>
      </c>
      <c r="AN309" s="33"/>
      <c r="AO309" s="32">
        <v>0</v>
      </c>
      <c r="AP309" s="33"/>
      <c r="AQ309" s="32">
        <f t="shared" si="5"/>
        <v>386700</v>
      </c>
      <c r="AR309" s="33"/>
    </row>
    <row r="310" spans="1:44" ht="15.75" customHeight="1">
      <c r="A310" s="16">
        <v>71503</v>
      </c>
      <c r="B310" s="17" t="s">
        <v>257</v>
      </c>
      <c r="C310" s="18">
        <v>46200</v>
      </c>
      <c r="D310" s="19">
        <v>0.72</v>
      </c>
      <c r="E310" s="20">
        <v>0</v>
      </c>
      <c r="F310" s="19">
        <v>0</v>
      </c>
      <c r="G310" s="21">
        <v>46200</v>
      </c>
      <c r="H310" s="22">
        <v>0.46</v>
      </c>
      <c r="I310" s="23">
        <v>46000</v>
      </c>
      <c r="J310" s="24">
        <v>0.54</v>
      </c>
      <c r="K310" s="25">
        <v>0</v>
      </c>
      <c r="L310" s="26">
        <v>0</v>
      </c>
      <c r="M310" s="25">
        <v>46000</v>
      </c>
      <c r="N310" s="27">
        <v>0.36</v>
      </c>
      <c r="O310" s="23">
        <v>100000</v>
      </c>
      <c r="P310" s="24">
        <v>1.1100000000000001</v>
      </c>
      <c r="Q310" s="25">
        <v>0</v>
      </c>
      <c r="R310" s="19">
        <v>0</v>
      </c>
      <c r="S310" s="25">
        <v>100000</v>
      </c>
      <c r="T310" s="22">
        <v>0.6</v>
      </c>
      <c r="U310" s="34">
        <v>108800</v>
      </c>
      <c r="V310" s="29">
        <v>1.07</v>
      </c>
      <c r="W310" s="30">
        <v>0</v>
      </c>
      <c r="X310" s="29">
        <v>0</v>
      </c>
      <c r="Y310" s="31">
        <v>108800</v>
      </c>
      <c r="Z310" s="29">
        <v>1.07</v>
      </c>
      <c r="AA310" s="32">
        <v>169500</v>
      </c>
      <c r="AB310" s="33"/>
      <c r="AC310" s="32">
        <v>0</v>
      </c>
      <c r="AD310" s="33"/>
      <c r="AE310" s="32">
        <f t="shared" si="3"/>
        <v>169500</v>
      </c>
      <c r="AF310" s="33"/>
      <c r="AG310" s="32">
        <v>164000</v>
      </c>
      <c r="AH310" s="33"/>
      <c r="AI310" s="32">
        <v>0</v>
      </c>
      <c r="AJ310" s="33"/>
      <c r="AK310" s="32">
        <f t="shared" si="4"/>
        <v>164000</v>
      </c>
      <c r="AL310" s="33"/>
      <c r="AM310" s="32">
        <v>162000</v>
      </c>
      <c r="AN310" s="33"/>
      <c r="AO310" s="32">
        <v>0</v>
      </c>
      <c r="AP310" s="33"/>
      <c r="AQ310" s="32">
        <f t="shared" si="5"/>
        <v>162000</v>
      </c>
      <c r="AR310" s="33"/>
    </row>
    <row r="311" spans="1:44" ht="15.75" customHeight="1">
      <c r="A311" s="16">
        <v>80101</v>
      </c>
      <c r="B311" s="17" t="s">
        <v>312</v>
      </c>
      <c r="C311" s="18">
        <v>6024964</v>
      </c>
      <c r="D311" s="19">
        <v>6.43</v>
      </c>
      <c r="E311" s="36">
        <v>2210000</v>
      </c>
      <c r="F311" s="19">
        <v>3.63</v>
      </c>
      <c r="G311" s="21">
        <v>8234964</v>
      </c>
      <c r="H311" s="22">
        <v>5.33</v>
      </c>
      <c r="I311" s="23">
        <v>6254964</v>
      </c>
      <c r="J311" s="24">
        <v>4.82</v>
      </c>
      <c r="K311" s="25">
        <v>1250000</v>
      </c>
      <c r="L311" s="26">
        <v>1.46</v>
      </c>
      <c r="M311" s="25">
        <v>7504964</v>
      </c>
      <c r="N311" s="27">
        <v>3.49</v>
      </c>
      <c r="O311" s="23">
        <v>7450272</v>
      </c>
      <c r="P311" s="24">
        <v>4.6500000000000004</v>
      </c>
      <c r="Q311" s="25">
        <v>0</v>
      </c>
      <c r="R311" s="19">
        <v>0</v>
      </c>
      <c r="S311" s="25">
        <v>7450272</v>
      </c>
      <c r="T311" s="22">
        <v>3.06</v>
      </c>
      <c r="U311" s="34">
        <v>7095869</v>
      </c>
      <c r="V311" s="29">
        <v>4.7</v>
      </c>
      <c r="W311" s="30">
        <v>0</v>
      </c>
      <c r="X311" s="29">
        <v>0</v>
      </c>
      <c r="Y311" s="31">
        <v>7095869</v>
      </c>
      <c r="Z311" s="29">
        <v>3.82</v>
      </c>
      <c r="AA311" s="32">
        <v>7179778</v>
      </c>
      <c r="AB311" s="33"/>
      <c r="AC311" s="32">
        <v>0</v>
      </c>
      <c r="AD311" s="33"/>
      <c r="AE311" s="32">
        <f t="shared" si="3"/>
        <v>7179778</v>
      </c>
      <c r="AF311" s="33"/>
      <c r="AG311" s="32">
        <v>10910759</v>
      </c>
      <c r="AH311" s="33"/>
      <c r="AI311" s="32">
        <v>0</v>
      </c>
      <c r="AJ311" s="33"/>
      <c r="AK311" s="32">
        <f t="shared" si="4"/>
        <v>10910759</v>
      </c>
      <c r="AL311" s="33"/>
      <c r="AM311" s="32">
        <v>10904867</v>
      </c>
      <c r="AN311" s="33"/>
      <c r="AO311" s="32">
        <v>0</v>
      </c>
      <c r="AP311" s="33"/>
      <c r="AQ311" s="32">
        <f t="shared" si="5"/>
        <v>10904867</v>
      </c>
      <c r="AR311" s="33"/>
    </row>
    <row r="312" spans="1:44" ht="15.75" customHeight="1">
      <c r="A312" s="16">
        <v>80102</v>
      </c>
      <c r="B312" s="17" t="s">
        <v>299</v>
      </c>
      <c r="C312" s="18">
        <v>19000</v>
      </c>
      <c r="D312" s="19">
        <v>0.89</v>
      </c>
      <c r="E312" s="20">
        <v>0</v>
      </c>
      <c r="F312" s="19">
        <v>0</v>
      </c>
      <c r="G312" s="21">
        <v>19000</v>
      </c>
      <c r="H312" s="22">
        <v>0.51</v>
      </c>
      <c r="I312" s="23">
        <v>15000</v>
      </c>
      <c r="J312" s="24">
        <v>0.61</v>
      </c>
      <c r="K312" s="25">
        <v>0</v>
      </c>
      <c r="L312" s="26">
        <v>0</v>
      </c>
      <c r="M312" s="25">
        <v>15000</v>
      </c>
      <c r="N312" s="27">
        <v>0.47</v>
      </c>
      <c r="O312" s="23">
        <v>58000</v>
      </c>
      <c r="P312" s="24">
        <v>1.39</v>
      </c>
      <c r="Q312" s="25">
        <v>0</v>
      </c>
      <c r="R312" s="19">
        <v>0</v>
      </c>
      <c r="S312" s="25">
        <v>58000</v>
      </c>
      <c r="T312" s="22">
        <v>0.81</v>
      </c>
      <c r="U312" s="34">
        <v>85000</v>
      </c>
      <c r="V312" s="29">
        <v>1.89</v>
      </c>
      <c r="W312" s="30">
        <v>0</v>
      </c>
      <c r="X312" s="29">
        <v>0</v>
      </c>
      <c r="Y312" s="31">
        <v>85000</v>
      </c>
      <c r="Z312" s="29">
        <v>1.57</v>
      </c>
      <c r="AA312" s="32">
        <v>50000</v>
      </c>
      <c r="AB312" s="33"/>
      <c r="AC312" s="32">
        <v>0</v>
      </c>
      <c r="AD312" s="33"/>
      <c r="AE312" s="32">
        <f t="shared" si="3"/>
        <v>50000</v>
      </c>
      <c r="AF312" s="33"/>
      <c r="AG312" s="32">
        <v>20000</v>
      </c>
      <c r="AH312" s="33"/>
      <c r="AI312" s="32">
        <v>0</v>
      </c>
      <c r="AJ312" s="33"/>
      <c r="AK312" s="32">
        <f t="shared" si="4"/>
        <v>20000</v>
      </c>
      <c r="AL312" s="33"/>
      <c r="AM312" s="32">
        <v>50000</v>
      </c>
      <c r="AN312" s="33"/>
      <c r="AO312" s="32">
        <v>0</v>
      </c>
      <c r="AP312" s="33"/>
      <c r="AQ312" s="32">
        <f t="shared" si="5"/>
        <v>50000</v>
      </c>
      <c r="AR312" s="33"/>
    </row>
    <row r="313" spans="1:44" ht="15.75" customHeight="1">
      <c r="A313" s="16">
        <v>80201</v>
      </c>
      <c r="B313" s="17" t="s">
        <v>313</v>
      </c>
      <c r="C313" s="18">
        <v>1260214</v>
      </c>
      <c r="D313" s="19">
        <v>1.78</v>
      </c>
      <c r="E313" s="36">
        <v>1200000</v>
      </c>
      <c r="F313" s="19">
        <v>2.57</v>
      </c>
      <c r="G313" s="21">
        <v>2460214</v>
      </c>
      <c r="H313" s="22">
        <v>2.09</v>
      </c>
      <c r="I313" s="23">
        <v>3383734</v>
      </c>
      <c r="J313" s="24">
        <v>3.81</v>
      </c>
      <c r="K313" s="25">
        <v>0</v>
      </c>
      <c r="L313" s="26">
        <v>0</v>
      </c>
      <c r="M313" s="25">
        <v>3383734</v>
      </c>
      <c r="N313" s="27">
        <v>2.16</v>
      </c>
      <c r="O313" s="23">
        <v>3367607</v>
      </c>
      <c r="P313" s="24">
        <v>3.28</v>
      </c>
      <c r="Q313" s="25">
        <v>0</v>
      </c>
      <c r="R313" s="19">
        <v>0</v>
      </c>
      <c r="S313" s="25">
        <v>3367607</v>
      </c>
      <c r="T313" s="22">
        <v>2.1</v>
      </c>
      <c r="U313" s="34">
        <v>7818257</v>
      </c>
      <c r="V313" s="29">
        <v>5.72</v>
      </c>
      <c r="W313" s="30">
        <v>0</v>
      </c>
      <c r="X313" s="29">
        <v>0</v>
      </c>
      <c r="Y313" s="31">
        <v>7818257</v>
      </c>
      <c r="Z313" s="29">
        <v>5.71</v>
      </c>
      <c r="AA313" s="32">
        <v>0</v>
      </c>
      <c r="AB313" s="33"/>
      <c r="AC313" s="32">
        <v>0</v>
      </c>
      <c r="AD313" s="33"/>
      <c r="AE313" s="32">
        <f t="shared" si="3"/>
        <v>0</v>
      </c>
      <c r="AF313" s="33"/>
      <c r="AG313" s="32">
        <v>7708159</v>
      </c>
      <c r="AH313" s="33"/>
      <c r="AI313" s="32">
        <v>0</v>
      </c>
      <c r="AJ313" s="33"/>
      <c r="AK313" s="32">
        <f t="shared" si="4"/>
        <v>7708159</v>
      </c>
      <c r="AL313" s="33"/>
      <c r="AM313" s="32">
        <v>7708159</v>
      </c>
      <c r="AN313" s="33"/>
      <c r="AO313" s="32">
        <v>0</v>
      </c>
      <c r="AP313" s="33"/>
      <c r="AQ313" s="32">
        <f t="shared" si="5"/>
        <v>7708159</v>
      </c>
      <c r="AR313" s="33"/>
    </row>
    <row r="314" spans="1:44" ht="15.75" customHeight="1">
      <c r="A314" s="16">
        <v>80202</v>
      </c>
      <c r="B314" s="17" t="s">
        <v>314</v>
      </c>
      <c r="C314" s="18">
        <v>1839140</v>
      </c>
      <c r="D314" s="19">
        <v>4.43</v>
      </c>
      <c r="E314" s="20">
        <v>0</v>
      </c>
      <c r="F314" s="19">
        <v>0</v>
      </c>
      <c r="G314" s="21">
        <v>1839140</v>
      </c>
      <c r="H314" s="22">
        <v>3.93</v>
      </c>
      <c r="I314" s="23">
        <v>1800000</v>
      </c>
      <c r="J314" s="24">
        <v>3.53</v>
      </c>
      <c r="K314" s="25">
        <v>0</v>
      </c>
      <c r="L314" s="26">
        <v>0</v>
      </c>
      <c r="M314" s="25">
        <v>1800000</v>
      </c>
      <c r="N314" s="27">
        <v>2.99</v>
      </c>
      <c r="O314" s="23">
        <v>1800000</v>
      </c>
      <c r="P314" s="24">
        <v>3.42</v>
      </c>
      <c r="Q314" s="25">
        <v>0</v>
      </c>
      <c r="R314" s="19">
        <v>0</v>
      </c>
      <c r="S314" s="25">
        <v>1800000</v>
      </c>
      <c r="T314" s="22">
        <v>2.93</v>
      </c>
      <c r="U314" s="34">
        <v>1300000</v>
      </c>
      <c r="V314" s="29">
        <v>2.87</v>
      </c>
      <c r="W314" s="30">
        <v>0</v>
      </c>
      <c r="X314" s="29">
        <v>0</v>
      </c>
      <c r="Y314" s="31">
        <v>1300000</v>
      </c>
      <c r="Z314" s="29">
        <v>2.3199999999999998</v>
      </c>
      <c r="AA314" s="32">
        <v>1400000</v>
      </c>
      <c r="AB314" s="33"/>
      <c r="AC314" s="32">
        <v>0</v>
      </c>
      <c r="AD314" s="33"/>
      <c r="AE314" s="32">
        <f t="shared" si="3"/>
        <v>1400000</v>
      </c>
      <c r="AF314" s="33"/>
      <c r="AG314" s="32">
        <v>1600000</v>
      </c>
      <c r="AH314" s="33"/>
      <c r="AI314" s="32">
        <v>0</v>
      </c>
      <c r="AJ314" s="33"/>
      <c r="AK314" s="32">
        <f t="shared" si="4"/>
        <v>1600000</v>
      </c>
      <c r="AL314" s="33"/>
      <c r="AM314" s="32">
        <v>1600000</v>
      </c>
      <c r="AN314" s="33"/>
      <c r="AO314" s="32">
        <v>0</v>
      </c>
      <c r="AP314" s="33"/>
      <c r="AQ314" s="32">
        <f t="shared" si="5"/>
        <v>1600000</v>
      </c>
      <c r="AR314" s="33"/>
    </row>
    <row r="315" spans="1:44" ht="15.75" customHeight="1">
      <c r="A315" s="16">
        <v>80301</v>
      </c>
      <c r="B315" s="17" t="s">
        <v>315</v>
      </c>
      <c r="C315" s="18">
        <v>100000</v>
      </c>
      <c r="D315" s="19">
        <v>1.38</v>
      </c>
      <c r="E315" s="20">
        <v>0</v>
      </c>
      <c r="F315" s="19">
        <v>0</v>
      </c>
      <c r="G315" s="21">
        <v>100000</v>
      </c>
      <c r="H315" s="22">
        <v>0.87</v>
      </c>
      <c r="I315" s="23">
        <v>100000</v>
      </c>
      <c r="J315" s="24">
        <v>1</v>
      </c>
      <c r="K315" s="25">
        <v>0</v>
      </c>
      <c r="L315" s="26">
        <v>0</v>
      </c>
      <c r="M315" s="25">
        <v>100000</v>
      </c>
      <c r="N315" s="27">
        <v>0.65</v>
      </c>
      <c r="O315" s="23">
        <v>200000</v>
      </c>
      <c r="P315" s="24">
        <v>1.76</v>
      </c>
      <c r="Q315" s="25">
        <v>0</v>
      </c>
      <c r="R315" s="19">
        <v>0</v>
      </c>
      <c r="S315" s="25">
        <v>200000</v>
      </c>
      <c r="T315" s="22">
        <v>1.1299999999999999</v>
      </c>
      <c r="U315" s="34">
        <v>236524</v>
      </c>
      <c r="V315" s="29">
        <v>1.86</v>
      </c>
      <c r="W315" s="30">
        <v>0</v>
      </c>
      <c r="X315" s="29">
        <v>0</v>
      </c>
      <c r="Y315" s="31">
        <v>236524</v>
      </c>
      <c r="Z315" s="29">
        <v>1.86</v>
      </c>
      <c r="AA315" s="32">
        <v>446033</v>
      </c>
      <c r="AB315" s="33"/>
      <c r="AC315" s="32">
        <v>0</v>
      </c>
      <c r="AD315" s="33"/>
      <c r="AE315" s="32">
        <f t="shared" si="3"/>
        <v>446033</v>
      </c>
      <c r="AF315" s="33"/>
      <c r="AG315" s="32"/>
      <c r="AH315" s="33"/>
      <c r="AI315" s="32">
        <v>0</v>
      </c>
      <c r="AJ315" s="33"/>
      <c r="AK315" s="32">
        <f t="shared" si="4"/>
        <v>0</v>
      </c>
      <c r="AL315" s="33"/>
      <c r="AM315" s="32"/>
      <c r="AN315" s="33"/>
      <c r="AO315" s="32">
        <v>0</v>
      </c>
      <c r="AP315" s="33"/>
      <c r="AQ315" s="32">
        <f t="shared" si="5"/>
        <v>0</v>
      </c>
      <c r="AR315" s="33"/>
    </row>
    <row r="316" spans="1:44" ht="15.75" customHeight="1">
      <c r="A316" s="16">
        <v>80302</v>
      </c>
      <c r="B316" s="17" t="s">
        <v>316</v>
      </c>
      <c r="C316" s="18">
        <v>424560</v>
      </c>
      <c r="D316" s="19">
        <v>1.65</v>
      </c>
      <c r="E316" s="20">
        <v>0</v>
      </c>
      <c r="F316" s="19">
        <v>0</v>
      </c>
      <c r="G316" s="21">
        <v>424560</v>
      </c>
      <c r="H316" s="22">
        <v>0.99</v>
      </c>
      <c r="I316" s="23">
        <v>793000</v>
      </c>
      <c r="J316" s="24">
        <v>3</v>
      </c>
      <c r="K316" s="25">
        <v>0</v>
      </c>
      <c r="L316" s="26">
        <v>0</v>
      </c>
      <c r="M316" s="25">
        <v>793000</v>
      </c>
      <c r="N316" s="27">
        <v>1.84</v>
      </c>
      <c r="O316" s="23">
        <v>593000</v>
      </c>
      <c r="P316" s="24">
        <v>1.82</v>
      </c>
      <c r="Q316" s="25">
        <v>0</v>
      </c>
      <c r="R316" s="19">
        <v>0</v>
      </c>
      <c r="S316" s="25">
        <v>593000</v>
      </c>
      <c r="T316" s="22">
        <v>1.33</v>
      </c>
      <c r="U316" s="34">
        <v>1183068</v>
      </c>
      <c r="V316" s="29">
        <v>2.6</v>
      </c>
      <c r="W316" s="30">
        <v>0</v>
      </c>
      <c r="X316" s="29">
        <v>0</v>
      </c>
      <c r="Y316" s="31">
        <v>1183068</v>
      </c>
      <c r="Z316" s="29">
        <v>2.5299999999999998</v>
      </c>
      <c r="AA316" s="32">
        <v>2125000</v>
      </c>
      <c r="AB316" s="33"/>
      <c r="AC316" s="32">
        <v>0</v>
      </c>
      <c r="AD316" s="33"/>
      <c r="AE316" s="32">
        <f t="shared" si="3"/>
        <v>2125000</v>
      </c>
      <c r="AF316" s="33"/>
      <c r="AG316" s="32">
        <v>2224000</v>
      </c>
      <c r="AH316" s="33"/>
      <c r="AI316" s="32">
        <v>0</v>
      </c>
      <c r="AJ316" s="33"/>
      <c r="AK316" s="32">
        <f t="shared" si="4"/>
        <v>2224000</v>
      </c>
      <c r="AL316" s="33"/>
      <c r="AM316" s="32">
        <v>2315689</v>
      </c>
      <c r="AN316" s="33"/>
      <c r="AO316" s="32">
        <v>0</v>
      </c>
      <c r="AP316" s="33"/>
      <c r="AQ316" s="32">
        <f t="shared" si="5"/>
        <v>2315689</v>
      </c>
      <c r="AR316" s="33"/>
    </row>
    <row r="317" spans="1:44" ht="15.75" customHeight="1">
      <c r="A317" s="16">
        <v>80303</v>
      </c>
      <c r="B317" s="17" t="s">
        <v>276</v>
      </c>
      <c r="C317" s="18">
        <v>269150</v>
      </c>
      <c r="D317" s="19">
        <v>2.56</v>
      </c>
      <c r="E317" s="20">
        <v>0</v>
      </c>
      <c r="F317" s="19">
        <v>0</v>
      </c>
      <c r="G317" s="21">
        <v>269150</v>
      </c>
      <c r="H317" s="22">
        <v>1.63</v>
      </c>
      <c r="I317" s="23">
        <v>350435</v>
      </c>
      <c r="J317" s="24">
        <v>3.38</v>
      </c>
      <c r="K317" s="25">
        <v>0</v>
      </c>
      <c r="L317" s="26">
        <v>0</v>
      </c>
      <c r="M317" s="25">
        <v>350435</v>
      </c>
      <c r="N317" s="27">
        <v>1.98</v>
      </c>
      <c r="O317" s="23">
        <v>330000</v>
      </c>
      <c r="P317" s="24">
        <v>2.81</v>
      </c>
      <c r="Q317" s="25">
        <v>0</v>
      </c>
      <c r="R317" s="19">
        <v>0</v>
      </c>
      <c r="S317" s="25">
        <v>330000</v>
      </c>
      <c r="T317" s="22">
        <v>1.87</v>
      </c>
      <c r="U317" s="34">
        <v>250000</v>
      </c>
      <c r="V317" s="29">
        <v>1.96</v>
      </c>
      <c r="W317" s="30">
        <v>0</v>
      </c>
      <c r="X317" s="29">
        <v>0</v>
      </c>
      <c r="Y317" s="31">
        <v>250000</v>
      </c>
      <c r="Z317" s="29">
        <v>1.96</v>
      </c>
      <c r="AA317" s="32">
        <v>271400</v>
      </c>
      <c r="AB317" s="33"/>
      <c r="AC317" s="32">
        <v>0</v>
      </c>
      <c r="AD317" s="33"/>
      <c r="AE317" s="32">
        <f t="shared" si="3"/>
        <v>271400</v>
      </c>
      <c r="AF317" s="33"/>
      <c r="AG317" s="32">
        <v>271400</v>
      </c>
      <c r="AH317" s="33"/>
      <c r="AI317" s="32">
        <v>0</v>
      </c>
      <c r="AJ317" s="33"/>
      <c r="AK317" s="32">
        <f t="shared" si="4"/>
        <v>271400</v>
      </c>
      <c r="AL317" s="33"/>
      <c r="AM317" s="32">
        <v>231400</v>
      </c>
      <c r="AN317" s="33"/>
      <c r="AO317" s="32">
        <v>0</v>
      </c>
      <c r="AP317" s="33"/>
      <c r="AQ317" s="32">
        <f t="shared" si="5"/>
        <v>231400</v>
      </c>
      <c r="AR317" s="33"/>
    </row>
    <row r="318" spans="1:44" ht="15.75" customHeight="1">
      <c r="A318" s="16">
        <v>80304</v>
      </c>
      <c r="B318" s="17" t="s">
        <v>317</v>
      </c>
      <c r="C318" s="18">
        <v>350000</v>
      </c>
      <c r="D318" s="19">
        <v>3.31</v>
      </c>
      <c r="E318" s="20">
        <v>0</v>
      </c>
      <c r="F318" s="19">
        <v>0</v>
      </c>
      <c r="G318" s="21">
        <v>350000</v>
      </c>
      <c r="H318" s="22">
        <v>2.19</v>
      </c>
      <c r="I318" s="23">
        <v>350000</v>
      </c>
      <c r="J318" s="24">
        <v>2.7</v>
      </c>
      <c r="K318" s="25">
        <v>0</v>
      </c>
      <c r="L318" s="26">
        <v>0</v>
      </c>
      <c r="M318" s="25">
        <v>350000</v>
      </c>
      <c r="N318" s="27">
        <v>1.84</v>
      </c>
      <c r="O318" s="23">
        <v>620000</v>
      </c>
      <c r="P318" s="24">
        <v>4.24</v>
      </c>
      <c r="Q318" s="25">
        <v>0</v>
      </c>
      <c r="R318" s="19">
        <v>0</v>
      </c>
      <c r="S318" s="25">
        <v>620000</v>
      </c>
      <c r="T318" s="22">
        <v>2.39</v>
      </c>
      <c r="U318" s="34">
        <v>620332</v>
      </c>
      <c r="V318" s="29">
        <v>2.76</v>
      </c>
      <c r="W318" s="30">
        <v>0</v>
      </c>
      <c r="X318" s="29">
        <v>0</v>
      </c>
      <c r="Y318" s="31">
        <v>620332</v>
      </c>
      <c r="Z318" s="29">
        <v>2.35</v>
      </c>
      <c r="AA318" s="32">
        <v>558299</v>
      </c>
      <c r="AB318" s="33"/>
      <c r="AC318" s="32">
        <v>0</v>
      </c>
      <c r="AD318" s="33"/>
      <c r="AE318" s="32">
        <f t="shared" si="3"/>
        <v>558299</v>
      </c>
      <c r="AF318" s="33"/>
      <c r="AG318" s="32">
        <v>988299</v>
      </c>
      <c r="AH318" s="33"/>
      <c r="AI318" s="32">
        <v>0</v>
      </c>
      <c r="AJ318" s="33"/>
      <c r="AK318" s="32">
        <f t="shared" si="4"/>
        <v>988299</v>
      </c>
      <c r="AL318" s="33"/>
      <c r="AM318" s="32">
        <v>1268299</v>
      </c>
      <c r="AN318" s="33"/>
      <c r="AO318" s="32">
        <v>0</v>
      </c>
      <c r="AP318" s="33"/>
      <c r="AQ318" s="32">
        <f t="shared" si="5"/>
        <v>1268299</v>
      </c>
      <c r="AR318" s="33"/>
    </row>
    <row r="319" spans="1:44" ht="15.75" customHeight="1">
      <c r="A319" s="16">
        <v>80401</v>
      </c>
      <c r="B319" s="17" t="s">
        <v>318</v>
      </c>
      <c r="C319" s="18">
        <v>250000</v>
      </c>
      <c r="D319" s="19">
        <v>1.1299999999999999</v>
      </c>
      <c r="E319" s="20">
        <v>0</v>
      </c>
      <c r="F319" s="19">
        <v>0</v>
      </c>
      <c r="G319" s="21">
        <v>250000</v>
      </c>
      <c r="H319" s="22">
        <v>0.74</v>
      </c>
      <c r="I319" s="23">
        <v>250000</v>
      </c>
      <c r="J319" s="24">
        <v>0.94</v>
      </c>
      <c r="K319" s="25">
        <v>750000</v>
      </c>
      <c r="L319" s="26">
        <v>4.8899999999999997</v>
      </c>
      <c r="M319" s="25">
        <v>1000000</v>
      </c>
      <c r="N319" s="27">
        <v>2.38</v>
      </c>
      <c r="O319" s="23">
        <v>495000</v>
      </c>
      <c r="P319" s="24">
        <v>2.1800000000000002</v>
      </c>
      <c r="Q319" s="25">
        <v>0</v>
      </c>
      <c r="R319" s="19">
        <v>0</v>
      </c>
      <c r="S319" s="25">
        <v>495000</v>
      </c>
      <c r="T319" s="22">
        <v>1.75</v>
      </c>
      <c r="U319" s="34">
        <v>555000</v>
      </c>
      <c r="V319" s="29">
        <v>1.54</v>
      </c>
      <c r="W319" s="30">
        <v>0</v>
      </c>
      <c r="X319" s="29">
        <v>0</v>
      </c>
      <c r="Y319" s="31">
        <v>555000</v>
      </c>
      <c r="Z319" s="29">
        <v>1.27</v>
      </c>
      <c r="AA319" s="32">
        <v>263000</v>
      </c>
      <c r="AB319" s="33"/>
      <c r="AC319" s="32">
        <v>0</v>
      </c>
      <c r="AD319" s="33"/>
      <c r="AE319" s="32">
        <f t="shared" si="3"/>
        <v>263000</v>
      </c>
      <c r="AF319" s="33"/>
      <c r="AG319" s="32">
        <v>516760</v>
      </c>
      <c r="AH319" s="33"/>
      <c r="AI319" s="32">
        <v>0</v>
      </c>
      <c r="AJ319" s="33"/>
      <c r="AK319" s="32">
        <f t="shared" si="4"/>
        <v>516760</v>
      </c>
      <c r="AL319" s="33"/>
      <c r="AM319" s="32">
        <v>580318</v>
      </c>
      <c r="AN319" s="33"/>
      <c r="AO319" s="32">
        <v>0</v>
      </c>
      <c r="AP319" s="33"/>
      <c r="AQ319" s="32">
        <f t="shared" si="5"/>
        <v>580318</v>
      </c>
      <c r="AR319" s="33"/>
    </row>
    <row r="320" spans="1:44" ht="15.75" customHeight="1">
      <c r="A320" s="16">
        <v>80402</v>
      </c>
      <c r="B320" s="17" t="s">
        <v>319</v>
      </c>
      <c r="C320" s="35">
        <v>0</v>
      </c>
      <c r="D320" s="19">
        <v>0</v>
      </c>
      <c r="E320" s="20">
        <v>0</v>
      </c>
      <c r="F320" s="19">
        <v>0</v>
      </c>
      <c r="G320" s="21">
        <v>0</v>
      </c>
      <c r="H320" s="22">
        <v>0</v>
      </c>
      <c r="I320" s="23">
        <v>102500</v>
      </c>
      <c r="J320" s="24">
        <v>1.57</v>
      </c>
      <c r="K320" s="25">
        <v>0</v>
      </c>
      <c r="L320" s="26">
        <v>0</v>
      </c>
      <c r="M320" s="25">
        <v>102500</v>
      </c>
      <c r="N320" s="27">
        <v>1.26</v>
      </c>
      <c r="O320" s="23">
        <v>113720</v>
      </c>
      <c r="P320" s="24">
        <v>1.64</v>
      </c>
      <c r="Q320" s="25">
        <v>0</v>
      </c>
      <c r="R320" s="19">
        <v>0</v>
      </c>
      <c r="S320" s="25">
        <v>113720</v>
      </c>
      <c r="T320" s="22">
        <v>1.4</v>
      </c>
      <c r="U320" s="34">
        <v>70000</v>
      </c>
      <c r="V320" s="29">
        <v>1.17</v>
      </c>
      <c r="W320" s="30">
        <v>0</v>
      </c>
      <c r="X320" s="29">
        <v>0</v>
      </c>
      <c r="Y320" s="31">
        <v>70000</v>
      </c>
      <c r="Z320" s="29">
        <v>0.91</v>
      </c>
      <c r="AA320" s="32">
        <v>70000</v>
      </c>
      <c r="AB320" s="33"/>
      <c r="AC320" s="32">
        <v>0</v>
      </c>
      <c r="AD320" s="33"/>
      <c r="AE320" s="32">
        <f t="shared" si="3"/>
        <v>70000</v>
      </c>
      <c r="AF320" s="33"/>
      <c r="AG320" s="32">
        <v>130000</v>
      </c>
      <c r="AH320" s="33"/>
      <c r="AI320" s="32">
        <v>0</v>
      </c>
      <c r="AJ320" s="33"/>
      <c r="AK320" s="32">
        <f t="shared" si="4"/>
        <v>130000</v>
      </c>
      <c r="AL320" s="33"/>
      <c r="AM320" s="32"/>
      <c r="AN320" s="33"/>
      <c r="AO320" s="32">
        <v>0</v>
      </c>
      <c r="AP320" s="33"/>
      <c r="AQ320" s="32">
        <f t="shared" si="5"/>
        <v>0</v>
      </c>
      <c r="AR320" s="33"/>
    </row>
    <row r="321" spans="1:44" ht="15.75" customHeight="1">
      <c r="A321" s="16">
        <v>80501</v>
      </c>
      <c r="B321" s="17" t="s">
        <v>265</v>
      </c>
      <c r="C321" s="18">
        <v>181672</v>
      </c>
      <c r="D321" s="19">
        <v>0.91</v>
      </c>
      <c r="E321" s="20">
        <v>0</v>
      </c>
      <c r="F321" s="19">
        <v>0</v>
      </c>
      <c r="G321" s="21">
        <v>181672</v>
      </c>
      <c r="H321" s="22">
        <v>0.76</v>
      </c>
      <c r="I321" s="23">
        <v>80137</v>
      </c>
      <c r="J321" s="24">
        <v>0.42</v>
      </c>
      <c r="K321" s="25">
        <v>0</v>
      </c>
      <c r="L321" s="26">
        <v>0</v>
      </c>
      <c r="M321" s="25">
        <v>80137</v>
      </c>
      <c r="N321" s="27">
        <v>0.33</v>
      </c>
      <c r="O321" s="23">
        <v>80000</v>
      </c>
      <c r="P321" s="24">
        <v>0.34</v>
      </c>
      <c r="Q321" s="25">
        <v>0</v>
      </c>
      <c r="R321" s="19">
        <v>0</v>
      </c>
      <c r="S321" s="25">
        <v>80000</v>
      </c>
      <c r="T321" s="22">
        <v>0.28999999999999998</v>
      </c>
      <c r="U321" s="34">
        <v>480000</v>
      </c>
      <c r="V321" s="29">
        <v>2.04</v>
      </c>
      <c r="W321" s="30">
        <v>0</v>
      </c>
      <c r="X321" s="29">
        <v>0</v>
      </c>
      <c r="Y321" s="31">
        <v>480000</v>
      </c>
      <c r="Z321" s="29">
        <v>1.97</v>
      </c>
      <c r="AA321" s="32">
        <v>0</v>
      </c>
      <c r="AB321" s="33"/>
      <c r="AC321" s="32">
        <v>0</v>
      </c>
      <c r="AD321" s="33"/>
      <c r="AE321" s="32">
        <f t="shared" si="3"/>
        <v>0</v>
      </c>
      <c r="AF321" s="33"/>
      <c r="AG321" s="32">
        <v>479705</v>
      </c>
      <c r="AH321" s="33"/>
      <c r="AI321" s="32">
        <v>0</v>
      </c>
      <c r="AJ321" s="33"/>
      <c r="AK321" s="32">
        <f t="shared" si="4"/>
        <v>479705</v>
      </c>
      <c r="AL321" s="33"/>
      <c r="AM321" s="32">
        <v>479605</v>
      </c>
      <c r="AN321" s="33"/>
      <c r="AO321" s="32">
        <v>0</v>
      </c>
      <c r="AP321" s="33"/>
      <c r="AQ321" s="32">
        <f t="shared" si="5"/>
        <v>479605</v>
      </c>
      <c r="AR321" s="33"/>
    </row>
    <row r="322" spans="1:44" ht="15.75" customHeight="1">
      <c r="A322" s="16">
        <v>80601</v>
      </c>
      <c r="B322" s="17" t="s">
        <v>320</v>
      </c>
      <c r="C322" s="35">
        <v>0</v>
      </c>
      <c r="D322" s="19">
        <v>0</v>
      </c>
      <c r="E322" s="20">
        <v>0</v>
      </c>
      <c r="F322" s="19">
        <v>0</v>
      </c>
      <c r="G322" s="21">
        <v>0</v>
      </c>
      <c r="H322" s="22">
        <v>0</v>
      </c>
      <c r="I322" s="35">
        <v>0</v>
      </c>
      <c r="J322" s="19">
        <v>0</v>
      </c>
      <c r="K322" s="25">
        <v>0</v>
      </c>
      <c r="L322" s="26">
        <v>0</v>
      </c>
      <c r="M322" s="21">
        <v>0</v>
      </c>
      <c r="N322" s="22">
        <v>0</v>
      </c>
      <c r="O322" s="23">
        <v>10000</v>
      </c>
      <c r="P322" s="24">
        <v>0.24</v>
      </c>
      <c r="Q322" s="25">
        <v>0</v>
      </c>
      <c r="R322" s="19">
        <v>0</v>
      </c>
      <c r="S322" s="25">
        <v>10000</v>
      </c>
      <c r="T322" s="22">
        <v>0.19</v>
      </c>
      <c r="U322" s="28">
        <v>0</v>
      </c>
      <c r="V322" s="29">
        <v>0</v>
      </c>
      <c r="W322" s="30">
        <v>0</v>
      </c>
      <c r="X322" s="29">
        <v>0</v>
      </c>
      <c r="Y322" s="31">
        <v>0</v>
      </c>
      <c r="Z322" s="29">
        <v>0</v>
      </c>
      <c r="AA322" s="32"/>
      <c r="AB322" s="33"/>
      <c r="AC322" s="32">
        <v>0</v>
      </c>
      <c r="AD322" s="33"/>
      <c r="AE322" s="32">
        <f t="shared" si="3"/>
        <v>0</v>
      </c>
      <c r="AF322" s="33"/>
      <c r="AG322" s="32"/>
      <c r="AH322" s="33"/>
      <c r="AI322" s="32">
        <v>0</v>
      </c>
      <c r="AJ322" s="33"/>
      <c r="AK322" s="32">
        <f t="shared" si="4"/>
        <v>0</v>
      </c>
      <c r="AL322" s="33"/>
      <c r="AM322" s="32"/>
      <c r="AN322" s="33"/>
      <c r="AO322" s="32">
        <v>0</v>
      </c>
      <c r="AP322" s="33"/>
      <c r="AQ322" s="32">
        <f t="shared" si="5"/>
        <v>0</v>
      </c>
      <c r="AR322" s="33"/>
    </row>
    <row r="323" spans="1:44" ht="15.75" customHeight="1">
      <c r="A323" s="16">
        <v>80602</v>
      </c>
      <c r="B323" s="17" t="s">
        <v>321</v>
      </c>
      <c r="C323" s="35">
        <v>0</v>
      </c>
      <c r="D323" s="19">
        <v>0</v>
      </c>
      <c r="E323" s="20">
        <v>0</v>
      </c>
      <c r="F323" s="19">
        <v>0</v>
      </c>
      <c r="G323" s="21">
        <v>0</v>
      </c>
      <c r="H323" s="22">
        <v>0</v>
      </c>
      <c r="I323" s="35">
        <v>0</v>
      </c>
      <c r="J323" s="19">
        <v>0</v>
      </c>
      <c r="K323" s="25">
        <v>0</v>
      </c>
      <c r="L323" s="26">
        <v>0</v>
      </c>
      <c r="M323" s="21">
        <v>0</v>
      </c>
      <c r="N323" s="22">
        <v>0</v>
      </c>
      <c r="O323" s="35">
        <v>0</v>
      </c>
      <c r="P323" s="19">
        <v>0</v>
      </c>
      <c r="Q323" s="25">
        <v>0</v>
      </c>
      <c r="R323" s="19">
        <v>0</v>
      </c>
      <c r="S323" s="21">
        <v>0</v>
      </c>
      <c r="T323" s="22">
        <v>0</v>
      </c>
      <c r="U323" s="28">
        <v>0</v>
      </c>
      <c r="V323" s="29">
        <v>0</v>
      </c>
      <c r="W323" s="30">
        <v>0</v>
      </c>
      <c r="X323" s="29">
        <v>0</v>
      </c>
      <c r="Y323" s="31">
        <v>0</v>
      </c>
      <c r="Z323" s="29">
        <v>0</v>
      </c>
      <c r="AA323" s="32"/>
      <c r="AB323" s="33"/>
      <c r="AC323" s="32">
        <v>0</v>
      </c>
      <c r="AD323" s="33"/>
      <c r="AE323" s="32">
        <f t="shared" si="3"/>
        <v>0</v>
      </c>
      <c r="AF323" s="33"/>
      <c r="AG323" s="32"/>
      <c r="AH323" s="33"/>
      <c r="AI323" s="32">
        <v>0</v>
      </c>
      <c r="AJ323" s="33"/>
      <c r="AK323" s="32">
        <f t="shared" si="4"/>
        <v>0</v>
      </c>
      <c r="AL323" s="33"/>
      <c r="AM323" s="32"/>
      <c r="AN323" s="33"/>
      <c r="AO323" s="32">
        <v>0</v>
      </c>
      <c r="AP323" s="33"/>
      <c r="AQ323" s="32">
        <f t="shared" si="5"/>
        <v>0</v>
      </c>
      <c r="AR323" s="33"/>
    </row>
    <row r="324" spans="1:44" ht="15.75" customHeight="1">
      <c r="A324" s="16">
        <v>80701</v>
      </c>
      <c r="B324" s="17" t="s">
        <v>322</v>
      </c>
      <c r="C324" s="18">
        <v>470000</v>
      </c>
      <c r="D324" s="19">
        <v>8.27</v>
      </c>
      <c r="E324" s="20">
        <v>0</v>
      </c>
      <c r="F324" s="19">
        <v>0</v>
      </c>
      <c r="G324" s="21">
        <v>470000</v>
      </c>
      <c r="H324" s="22">
        <v>6.58</v>
      </c>
      <c r="I324" s="23">
        <v>450000</v>
      </c>
      <c r="J324" s="24">
        <v>6.16</v>
      </c>
      <c r="K324" s="25">
        <v>0</v>
      </c>
      <c r="L324" s="26">
        <v>0</v>
      </c>
      <c r="M324" s="25">
        <v>450000</v>
      </c>
      <c r="N324" s="27">
        <v>4.87</v>
      </c>
      <c r="O324" s="23">
        <v>913440</v>
      </c>
      <c r="P324" s="24">
        <v>9.66</v>
      </c>
      <c r="Q324" s="25">
        <v>0</v>
      </c>
      <c r="R324" s="19">
        <v>0</v>
      </c>
      <c r="S324" s="25">
        <v>913440</v>
      </c>
      <c r="T324" s="22">
        <v>8.4</v>
      </c>
      <c r="U324" s="34">
        <v>360000</v>
      </c>
      <c r="V324" s="29">
        <v>4.43</v>
      </c>
      <c r="W324" s="30">
        <v>0</v>
      </c>
      <c r="X324" s="29">
        <v>0</v>
      </c>
      <c r="Y324" s="31">
        <v>360000</v>
      </c>
      <c r="Z324" s="29">
        <v>2.5499999999999998</v>
      </c>
      <c r="AA324" s="32">
        <v>395984</v>
      </c>
      <c r="AB324" s="33"/>
      <c r="AC324" s="32">
        <v>0</v>
      </c>
      <c r="AD324" s="33"/>
      <c r="AE324" s="32">
        <f t="shared" si="3"/>
        <v>395984</v>
      </c>
      <c r="AF324" s="33"/>
      <c r="AG324" s="32">
        <v>456628</v>
      </c>
      <c r="AH324" s="33"/>
      <c r="AI324" s="32">
        <v>0</v>
      </c>
      <c r="AJ324" s="33"/>
      <c r="AK324" s="32">
        <f t="shared" si="4"/>
        <v>456628</v>
      </c>
      <c r="AL324" s="33"/>
      <c r="AM324" s="32">
        <v>470318</v>
      </c>
      <c r="AN324" s="33"/>
      <c r="AO324" s="32">
        <v>0</v>
      </c>
      <c r="AP324" s="33"/>
      <c r="AQ324" s="32">
        <f t="shared" si="5"/>
        <v>470318</v>
      </c>
      <c r="AR324" s="33"/>
    </row>
    <row r="325" spans="1:44" ht="15.75" customHeight="1">
      <c r="A325" s="16">
        <v>80702</v>
      </c>
      <c r="B325" s="17" t="s">
        <v>300</v>
      </c>
      <c r="C325" s="18">
        <v>174452</v>
      </c>
      <c r="D325" s="19">
        <v>3.3</v>
      </c>
      <c r="E325" s="20">
        <v>0</v>
      </c>
      <c r="F325" s="19">
        <v>0</v>
      </c>
      <c r="G325" s="21">
        <v>174452</v>
      </c>
      <c r="H325" s="22">
        <v>2.41</v>
      </c>
      <c r="I325" s="35">
        <v>0</v>
      </c>
      <c r="J325" s="19">
        <v>0</v>
      </c>
      <c r="K325" s="25">
        <v>0</v>
      </c>
      <c r="L325" s="26">
        <v>0</v>
      </c>
      <c r="M325" s="21">
        <v>0</v>
      </c>
      <c r="N325" s="22">
        <v>0</v>
      </c>
      <c r="O325" s="23">
        <v>149400</v>
      </c>
      <c r="P325" s="24">
        <v>2.5099999999999998</v>
      </c>
      <c r="Q325" s="25">
        <v>0</v>
      </c>
      <c r="R325" s="19">
        <v>0</v>
      </c>
      <c r="S325" s="25">
        <v>149400</v>
      </c>
      <c r="T325" s="22">
        <v>2.0099999999999998</v>
      </c>
      <c r="U325" s="34">
        <v>129200</v>
      </c>
      <c r="V325" s="29">
        <v>1.93</v>
      </c>
      <c r="W325" s="30">
        <v>0</v>
      </c>
      <c r="X325" s="29">
        <v>0</v>
      </c>
      <c r="Y325" s="31">
        <v>129200</v>
      </c>
      <c r="Z325" s="29">
        <v>1.93</v>
      </c>
      <c r="AA325" s="32">
        <v>140600</v>
      </c>
      <c r="AB325" s="33"/>
      <c r="AC325" s="32">
        <v>0</v>
      </c>
      <c r="AD325" s="33"/>
      <c r="AE325" s="32">
        <f t="shared" si="3"/>
        <v>140600</v>
      </c>
      <c r="AF325" s="33"/>
      <c r="AG325" s="32">
        <v>165000</v>
      </c>
      <c r="AH325" s="33"/>
      <c r="AI325" s="32">
        <v>162176</v>
      </c>
      <c r="AJ325" s="33"/>
      <c r="AK325" s="32">
        <f t="shared" si="4"/>
        <v>327176</v>
      </c>
      <c r="AL325" s="33"/>
      <c r="AM325" s="32">
        <v>200600</v>
      </c>
      <c r="AN325" s="33"/>
      <c r="AO325" s="32">
        <v>1195624</v>
      </c>
      <c r="AP325" s="33"/>
      <c r="AQ325" s="32">
        <f t="shared" si="5"/>
        <v>1396224</v>
      </c>
      <c r="AR325" s="33"/>
    </row>
    <row r="326" spans="1:44" ht="15.75" customHeight="1">
      <c r="A326" s="16">
        <v>80703</v>
      </c>
      <c r="B326" s="17" t="s">
        <v>323</v>
      </c>
      <c r="C326" s="35">
        <v>0</v>
      </c>
      <c r="D326" s="19">
        <v>0</v>
      </c>
      <c r="E326" s="20">
        <v>0</v>
      </c>
      <c r="F326" s="19">
        <v>0</v>
      </c>
      <c r="G326" s="21">
        <v>0</v>
      </c>
      <c r="H326" s="22">
        <v>0</v>
      </c>
      <c r="I326" s="35">
        <v>0</v>
      </c>
      <c r="J326" s="19">
        <v>0</v>
      </c>
      <c r="K326" s="25">
        <v>0</v>
      </c>
      <c r="L326" s="26">
        <v>0</v>
      </c>
      <c r="M326" s="21">
        <v>0</v>
      </c>
      <c r="N326" s="22">
        <v>0</v>
      </c>
      <c r="O326" s="23">
        <v>4000</v>
      </c>
      <c r="P326" s="24">
        <v>0.37</v>
      </c>
      <c r="Q326" s="25">
        <v>0</v>
      </c>
      <c r="R326" s="19">
        <v>0</v>
      </c>
      <c r="S326" s="25">
        <v>4000</v>
      </c>
      <c r="T326" s="22">
        <v>0.34</v>
      </c>
      <c r="U326" s="28">
        <v>0</v>
      </c>
      <c r="V326" s="29">
        <v>0</v>
      </c>
      <c r="W326" s="30">
        <v>0</v>
      </c>
      <c r="X326" s="29">
        <v>0</v>
      </c>
      <c r="Y326" s="31">
        <v>0</v>
      </c>
      <c r="Z326" s="29">
        <v>0</v>
      </c>
      <c r="AA326" s="32"/>
      <c r="AB326" s="33"/>
      <c r="AC326" s="32">
        <v>0</v>
      </c>
      <c r="AD326" s="33"/>
      <c r="AE326" s="32">
        <f t="shared" si="3"/>
        <v>0</v>
      </c>
      <c r="AF326" s="33"/>
      <c r="AG326" s="32"/>
      <c r="AH326" s="33"/>
      <c r="AI326" s="32">
        <v>0</v>
      </c>
      <c r="AJ326" s="33"/>
      <c r="AK326" s="32">
        <f t="shared" si="4"/>
        <v>0</v>
      </c>
      <c r="AL326" s="33"/>
      <c r="AM326" s="32">
        <v>15000</v>
      </c>
      <c r="AN326" s="33"/>
      <c r="AO326" s="32">
        <v>0</v>
      </c>
      <c r="AP326" s="33"/>
      <c r="AQ326" s="32">
        <f t="shared" si="5"/>
        <v>15000</v>
      </c>
      <c r="AR326" s="33"/>
    </row>
    <row r="327" spans="1:44" ht="15.75" customHeight="1">
      <c r="A327" s="16">
        <v>80801</v>
      </c>
      <c r="B327" s="17" t="s">
        <v>324</v>
      </c>
      <c r="C327" s="35">
        <v>0</v>
      </c>
      <c r="D327" s="19">
        <v>0</v>
      </c>
      <c r="E327" s="20">
        <v>0</v>
      </c>
      <c r="F327" s="19">
        <v>0</v>
      </c>
      <c r="G327" s="21">
        <v>0</v>
      </c>
      <c r="H327" s="22">
        <v>0</v>
      </c>
      <c r="I327" s="35">
        <v>0</v>
      </c>
      <c r="J327" s="19">
        <v>0</v>
      </c>
      <c r="K327" s="25">
        <v>0</v>
      </c>
      <c r="L327" s="26">
        <v>0</v>
      </c>
      <c r="M327" s="21">
        <v>0</v>
      </c>
      <c r="N327" s="22">
        <v>0</v>
      </c>
      <c r="O327" s="35">
        <v>0</v>
      </c>
      <c r="P327" s="19">
        <v>0</v>
      </c>
      <c r="Q327" s="25">
        <v>0</v>
      </c>
      <c r="R327" s="19">
        <v>0</v>
      </c>
      <c r="S327" s="21">
        <v>0</v>
      </c>
      <c r="T327" s="22">
        <v>0</v>
      </c>
      <c r="U327" s="34">
        <v>190000</v>
      </c>
      <c r="V327" s="29">
        <v>1.55</v>
      </c>
      <c r="W327" s="30">
        <v>0</v>
      </c>
      <c r="X327" s="29">
        <v>0</v>
      </c>
      <c r="Y327" s="31">
        <v>190000</v>
      </c>
      <c r="Z327" s="29">
        <v>1.1200000000000001</v>
      </c>
      <c r="AA327" s="32">
        <v>109500</v>
      </c>
      <c r="AB327" s="33"/>
      <c r="AC327" s="32">
        <v>0</v>
      </c>
      <c r="AD327" s="33"/>
      <c r="AE327" s="32">
        <f t="shared" si="3"/>
        <v>109500</v>
      </c>
      <c r="AF327" s="33"/>
      <c r="AG327" s="32">
        <v>132000</v>
      </c>
      <c r="AH327" s="33"/>
      <c r="AI327" s="32">
        <v>0</v>
      </c>
      <c r="AJ327" s="33"/>
      <c r="AK327" s="32">
        <f t="shared" si="4"/>
        <v>132000</v>
      </c>
      <c r="AL327" s="33"/>
      <c r="AM327" s="32">
        <v>132000</v>
      </c>
      <c r="AN327" s="33"/>
      <c r="AO327" s="32">
        <v>0</v>
      </c>
      <c r="AP327" s="33"/>
      <c r="AQ327" s="32">
        <f t="shared" si="5"/>
        <v>132000</v>
      </c>
      <c r="AR327" s="33"/>
    </row>
    <row r="328" spans="1:44" ht="15.75" customHeight="1">
      <c r="A328" s="16">
        <v>80802</v>
      </c>
      <c r="B328" s="17" t="s">
        <v>325</v>
      </c>
      <c r="C328" s="18">
        <v>21000</v>
      </c>
      <c r="D328" s="19">
        <v>0.44</v>
      </c>
      <c r="E328" s="20">
        <v>0</v>
      </c>
      <c r="F328" s="19">
        <v>0</v>
      </c>
      <c r="G328" s="21">
        <v>21000</v>
      </c>
      <c r="H328" s="22">
        <v>0.31</v>
      </c>
      <c r="I328" s="23">
        <v>36000</v>
      </c>
      <c r="J328" s="24">
        <v>0.67</v>
      </c>
      <c r="K328" s="25">
        <v>0</v>
      </c>
      <c r="L328" s="26">
        <v>0</v>
      </c>
      <c r="M328" s="25">
        <v>36000</v>
      </c>
      <c r="N328" s="27">
        <v>0.5</v>
      </c>
      <c r="O328" s="23">
        <v>34000</v>
      </c>
      <c r="P328" s="24">
        <v>0.52</v>
      </c>
      <c r="Q328" s="25">
        <v>0</v>
      </c>
      <c r="R328" s="19">
        <v>0</v>
      </c>
      <c r="S328" s="25">
        <v>34000</v>
      </c>
      <c r="T328" s="22">
        <v>0.27</v>
      </c>
      <c r="U328" s="34">
        <v>53600</v>
      </c>
      <c r="V328" s="29">
        <v>0.84</v>
      </c>
      <c r="W328" s="30">
        <v>0</v>
      </c>
      <c r="X328" s="29">
        <v>0</v>
      </c>
      <c r="Y328" s="31">
        <v>53600</v>
      </c>
      <c r="Z328" s="29">
        <v>0.81</v>
      </c>
      <c r="AA328" s="32">
        <v>121500</v>
      </c>
      <c r="AB328" s="33"/>
      <c r="AC328" s="32">
        <v>0</v>
      </c>
      <c r="AD328" s="33"/>
      <c r="AE328" s="32">
        <f t="shared" si="3"/>
        <v>121500</v>
      </c>
      <c r="AF328" s="33"/>
      <c r="AG328" s="32">
        <v>129280</v>
      </c>
      <c r="AH328" s="33"/>
      <c r="AI328" s="32">
        <v>0</v>
      </c>
      <c r="AJ328" s="33"/>
      <c r="AK328" s="32">
        <f t="shared" si="4"/>
        <v>129280</v>
      </c>
      <c r="AL328" s="33"/>
      <c r="AM328" s="32">
        <v>129240</v>
      </c>
      <c r="AN328" s="33"/>
      <c r="AO328" s="32">
        <v>0</v>
      </c>
      <c r="AP328" s="33"/>
      <c r="AQ328" s="32">
        <f t="shared" si="5"/>
        <v>129240</v>
      </c>
      <c r="AR328" s="33"/>
    </row>
    <row r="329" spans="1:44" ht="15.75" customHeight="1">
      <c r="A329" s="16">
        <v>80803</v>
      </c>
      <c r="B329" s="17" t="s">
        <v>326</v>
      </c>
      <c r="C329" s="35">
        <v>0</v>
      </c>
      <c r="D329" s="19">
        <v>0</v>
      </c>
      <c r="E329" s="20">
        <v>0</v>
      </c>
      <c r="F329" s="19">
        <v>0</v>
      </c>
      <c r="G329" s="21">
        <v>0</v>
      </c>
      <c r="H329" s="22">
        <v>0</v>
      </c>
      <c r="I329" s="35">
        <v>0</v>
      </c>
      <c r="J329" s="19">
        <v>0</v>
      </c>
      <c r="K329" s="25">
        <v>0</v>
      </c>
      <c r="L329" s="26">
        <v>0</v>
      </c>
      <c r="M329" s="21">
        <v>0</v>
      </c>
      <c r="N329" s="22">
        <v>0</v>
      </c>
      <c r="O329" s="35">
        <v>0</v>
      </c>
      <c r="P329" s="19">
        <v>0</v>
      </c>
      <c r="Q329" s="25">
        <v>0</v>
      </c>
      <c r="R329" s="19">
        <v>0</v>
      </c>
      <c r="S329" s="21">
        <v>0</v>
      </c>
      <c r="T329" s="22">
        <v>0</v>
      </c>
      <c r="U329" s="28">
        <v>0</v>
      </c>
      <c r="V329" s="29">
        <v>0</v>
      </c>
      <c r="W329" s="30">
        <v>0</v>
      </c>
      <c r="X329" s="29">
        <v>0</v>
      </c>
      <c r="Y329" s="31">
        <v>0</v>
      </c>
      <c r="Z329" s="29">
        <v>0</v>
      </c>
      <c r="AA329" s="32">
        <v>235000</v>
      </c>
      <c r="AB329" s="33"/>
      <c r="AC329" s="32">
        <v>0</v>
      </c>
      <c r="AD329" s="33"/>
      <c r="AE329" s="32">
        <f t="shared" si="3"/>
        <v>235000</v>
      </c>
      <c r="AF329" s="33"/>
      <c r="AG329" s="32">
        <v>235000</v>
      </c>
      <c r="AH329" s="33"/>
      <c r="AI329" s="32">
        <v>0</v>
      </c>
      <c r="AJ329" s="33"/>
      <c r="AK329" s="32">
        <f t="shared" si="4"/>
        <v>235000</v>
      </c>
      <c r="AL329" s="33"/>
      <c r="AM329" s="32">
        <v>245000</v>
      </c>
      <c r="AN329" s="33"/>
      <c r="AO329" s="32">
        <v>0</v>
      </c>
      <c r="AP329" s="33"/>
      <c r="AQ329" s="32">
        <f t="shared" si="5"/>
        <v>245000</v>
      </c>
      <c r="AR329" s="33"/>
    </row>
    <row r="330" spans="1:44" ht="15.75" customHeight="1">
      <c r="A330" s="16">
        <v>80901</v>
      </c>
      <c r="B330" s="17" t="s">
        <v>327</v>
      </c>
      <c r="C330" s="35">
        <v>0</v>
      </c>
      <c r="D330" s="19">
        <v>0</v>
      </c>
      <c r="E330" s="20">
        <v>0</v>
      </c>
      <c r="F330" s="19">
        <v>0</v>
      </c>
      <c r="G330" s="21">
        <v>0</v>
      </c>
      <c r="H330" s="22">
        <v>0</v>
      </c>
      <c r="I330" s="35">
        <v>0</v>
      </c>
      <c r="J330" s="19">
        <v>0</v>
      </c>
      <c r="K330" s="25">
        <v>0</v>
      </c>
      <c r="L330" s="26">
        <v>0</v>
      </c>
      <c r="M330" s="21">
        <v>0</v>
      </c>
      <c r="N330" s="22">
        <v>0</v>
      </c>
      <c r="O330" s="35">
        <v>0</v>
      </c>
      <c r="P330" s="19">
        <v>0</v>
      </c>
      <c r="Q330" s="25">
        <v>0</v>
      </c>
      <c r="R330" s="19">
        <v>0</v>
      </c>
      <c r="S330" s="21">
        <v>0</v>
      </c>
      <c r="T330" s="22">
        <v>0</v>
      </c>
      <c r="U330" s="28">
        <v>0</v>
      </c>
      <c r="V330" s="29">
        <v>0</v>
      </c>
      <c r="W330" s="30">
        <v>0</v>
      </c>
      <c r="X330" s="29">
        <v>0</v>
      </c>
      <c r="Y330" s="31">
        <v>0</v>
      </c>
      <c r="Z330" s="29">
        <v>0</v>
      </c>
      <c r="AA330" s="32"/>
      <c r="AB330" s="33"/>
      <c r="AC330" s="32">
        <v>0</v>
      </c>
      <c r="AD330" s="33"/>
      <c r="AE330" s="32">
        <f t="shared" si="3"/>
        <v>0</v>
      </c>
      <c r="AF330" s="33"/>
      <c r="AG330" s="32"/>
      <c r="AH330" s="33"/>
      <c r="AI330" s="32">
        <v>0</v>
      </c>
      <c r="AJ330" s="33"/>
      <c r="AK330" s="32">
        <f t="shared" si="4"/>
        <v>0</v>
      </c>
      <c r="AL330" s="33"/>
      <c r="AM330" s="32"/>
      <c r="AN330" s="33"/>
      <c r="AO330" s="32">
        <v>0</v>
      </c>
      <c r="AP330" s="33"/>
      <c r="AQ330" s="32">
        <f t="shared" si="5"/>
        <v>0</v>
      </c>
      <c r="AR330" s="33"/>
    </row>
    <row r="331" spans="1:44" ht="15.75" customHeight="1">
      <c r="A331" s="16">
        <v>90101</v>
      </c>
      <c r="B331" s="17" t="s">
        <v>328</v>
      </c>
      <c r="C331" s="18">
        <v>1358360</v>
      </c>
      <c r="D331" s="19">
        <v>2.62</v>
      </c>
      <c r="E331" s="20">
        <v>0</v>
      </c>
      <c r="F331" s="19">
        <v>0</v>
      </c>
      <c r="G331" s="21">
        <v>1358360</v>
      </c>
      <c r="H331" s="22">
        <v>1.19</v>
      </c>
      <c r="I331" s="23">
        <v>1358360</v>
      </c>
      <c r="J331" s="24">
        <v>2.41</v>
      </c>
      <c r="K331" s="25">
        <v>1394945</v>
      </c>
      <c r="L331" s="26">
        <v>1.0900000000000001</v>
      </c>
      <c r="M331" s="25">
        <v>2753305</v>
      </c>
      <c r="N331" s="27">
        <v>1.5</v>
      </c>
      <c r="O331" s="23">
        <v>2328674</v>
      </c>
      <c r="P331" s="24">
        <v>1.97</v>
      </c>
      <c r="Q331" s="25">
        <v>0</v>
      </c>
      <c r="R331" s="19">
        <v>0</v>
      </c>
      <c r="S331" s="25">
        <v>2328674</v>
      </c>
      <c r="T331" s="22">
        <v>1.19</v>
      </c>
      <c r="U331" s="34">
        <v>4742537</v>
      </c>
      <c r="V331" s="29">
        <v>3.27</v>
      </c>
      <c r="W331" s="30">
        <v>0</v>
      </c>
      <c r="X331" s="29">
        <v>0</v>
      </c>
      <c r="Y331" s="31">
        <v>4742537</v>
      </c>
      <c r="Z331" s="29">
        <v>3.24</v>
      </c>
      <c r="AA331" s="32">
        <v>4250000</v>
      </c>
      <c r="AB331" s="33"/>
      <c r="AC331" s="32">
        <v>0</v>
      </c>
      <c r="AD331" s="33"/>
      <c r="AE331" s="32">
        <f t="shared" si="3"/>
        <v>4250000</v>
      </c>
      <c r="AF331" s="33"/>
      <c r="AG331" s="32">
        <v>4700002</v>
      </c>
      <c r="AH331" s="33"/>
      <c r="AI331" s="32">
        <v>0</v>
      </c>
      <c r="AJ331" s="33"/>
      <c r="AK331" s="32">
        <f t="shared" si="4"/>
        <v>4700002</v>
      </c>
      <c r="AL331" s="33"/>
      <c r="AM331" s="32">
        <v>4700001</v>
      </c>
      <c r="AN331" s="33"/>
      <c r="AO331" s="32">
        <v>0</v>
      </c>
      <c r="AP331" s="33"/>
      <c r="AQ331" s="32">
        <f t="shared" si="5"/>
        <v>4700001</v>
      </c>
      <c r="AR331" s="33"/>
    </row>
    <row r="332" spans="1:44" ht="15.75" customHeight="1">
      <c r="A332" s="16">
        <v>90102</v>
      </c>
      <c r="B332" s="17" t="s">
        <v>329</v>
      </c>
      <c r="C332" s="18">
        <v>700000</v>
      </c>
      <c r="D332" s="19">
        <v>5.48</v>
      </c>
      <c r="E332" s="20">
        <v>0</v>
      </c>
      <c r="F332" s="19">
        <v>0</v>
      </c>
      <c r="G332" s="21">
        <v>700000</v>
      </c>
      <c r="H332" s="22">
        <v>3.81</v>
      </c>
      <c r="I332" s="23">
        <v>420000</v>
      </c>
      <c r="J332" s="24">
        <v>2.92</v>
      </c>
      <c r="K332" s="25">
        <v>0</v>
      </c>
      <c r="L332" s="26">
        <v>0</v>
      </c>
      <c r="M332" s="25">
        <v>420000</v>
      </c>
      <c r="N332" s="27">
        <v>2.0499999999999998</v>
      </c>
      <c r="O332" s="23">
        <v>700000</v>
      </c>
      <c r="P332" s="24">
        <v>3</v>
      </c>
      <c r="Q332" s="25">
        <v>0</v>
      </c>
      <c r="R332" s="19">
        <v>0</v>
      </c>
      <c r="S332" s="25">
        <v>700000</v>
      </c>
      <c r="T332" s="22">
        <v>2.3199999999999998</v>
      </c>
      <c r="U332" s="34">
        <v>200000</v>
      </c>
      <c r="V332" s="29">
        <v>0.9</v>
      </c>
      <c r="W332" s="30">
        <v>0</v>
      </c>
      <c r="X332" s="29">
        <v>0</v>
      </c>
      <c r="Y332" s="31">
        <v>200000</v>
      </c>
      <c r="Z332" s="29">
        <v>0.9</v>
      </c>
      <c r="AA332" s="32">
        <v>263500</v>
      </c>
      <c r="AB332" s="33"/>
      <c r="AC332" s="32">
        <v>0</v>
      </c>
      <c r="AD332" s="33"/>
      <c r="AE332" s="32">
        <f t="shared" si="3"/>
        <v>263500</v>
      </c>
      <c r="AF332" s="33"/>
      <c r="AG332" s="32">
        <v>374572</v>
      </c>
      <c r="AH332" s="33"/>
      <c r="AI332" s="32">
        <v>0</v>
      </c>
      <c r="AJ332" s="33"/>
      <c r="AK332" s="32">
        <f t="shared" si="4"/>
        <v>374572</v>
      </c>
      <c r="AL332" s="33"/>
      <c r="AM332" s="32">
        <v>374572</v>
      </c>
      <c r="AN332" s="33"/>
      <c r="AO332" s="32">
        <v>0</v>
      </c>
      <c r="AP332" s="33"/>
      <c r="AQ332" s="32">
        <f t="shared" si="5"/>
        <v>374572</v>
      </c>
      <c r="AR332" s="33"/>
    </row>
    <row r="333" spans="1:44" ht="15.75" customHeight="1">
      <c r="A333" s="16">
        <v>90103</v>
      </c>
      <c r="B333" s="17" t="s">
        <v>330</v>
      </c>
      <c r="C333" s="35">
        <v>0</v>
      </c>
      <c r="D333" s="19">
        <v>0</v>
      </c>
      <c r="E333" s="20">
        <v>0</v>
      </c>
      <c r="F333" s="19">
        <v>0</v>
      </c>
      <c r="G333" s="21">
        <v>0</v>
      </c>
      <c r="H333" s="22">
        <v>0</v>
      </c>
      <c r="I333" s="35">
        <v>0</v>
      </c>
      <c r="J333" s="19">
        <v>0</v>
      </c>
      <c r="K333" s="25">
        <v>0</v>
      </c>
      <c r="L333" s="26">
        <v>0</v>
      </c>
      <c r="M333" s="21">
        <v>0</v>
      </c>
      <c r="N333" s="22">
        <v>0</v>
      </c>
      <c r="O333" s="35">
        <v>0</v>
      </c>
      <c r="P333" s="19">
        <v>0</v>
      </c>
      <c r="Q333" s="25">
        <v>0</v>
      </c>
      <c r="R333" s="19">
        <v>0</v>
      </c>
      <c r="S333" s="21">
        <v>0</v>
      </c>
      <c r="T333" s="22">
        <v>0</v>
      </c>
      <c r="U333" s="28">
        <v>0</v>
      </c>
      <c r="V333" s="29">
        <v>0</v>
      </c>
      <c r="W333" s="30">
        <v>0</v>
      </c>
      <c r="X333" s="29">
        <v>0</v>
      </c>
      <c r="Y333" s="31">
        <v>0</v>
      </c>
      <c r="Z333" s="29">
        <v>0</v>
      </c>
      <c r="AA333" s="32"/>
      <c r="AB333" s="33"/>
      <c r="AC333" s="32">
        <v>0</v>
      </c>
      <c r="AD333" s="33"/>
      <c r="AE333" s="32">
        <f t="shared" si="3"/>
        <v>0</v>
      </c>
      <c r="AF333" s="33"/>
      <c r="AG333" s="32"/>
      <c r="AH333" s="33"/>
      <c r="AI333" s="32">
        <v>0</v>
      </c>
      <c r="AJ333" s="33"/>
      <c r="AK333" s="32">
        <f t="shared" si="4"/>
        <v>0</v>
      </c>
      <c r="AL333" s="33"/>
      <c r="AM333" s="32"/>
      <c r="AN333" s="33"/>
      <c r="AO333" s="32">
        <v>0</v>
      </c>
      <c r="AP333" s="33"/>
      <c r="AQ333" s="32">
        <f t="shared" si="5"/>
        <v>0</v>
      </c>
      <c r="AR333" s="33"/>
    </row>
    <row r="334" spans="1:44" ht="15.75" customHeight="1">
      <c r="A334" s="16">
        <v>90104</v>
      </c>
      <c r="B334" s="17" t="s">
        <v>331</v>
      </c>
      <c r="C334" s="35">
        <v>0</v>
      </c>
      <c r="D334" s="19">
        <v>0</v>
      </c>
      <c r="E334" s="20">
        <v>0</v>
      </c>
      <c r="F334" s="19">
        <v>0</v>
      </c>
      <c r="G334" s="21">
        <v>0</v>
      </c>
      <c r="H334" s="22">
        <v>0</v>
      </c>
      <c r="I334" s="35">
        <v>0</v>
      </c>
      <c r="J334" s="19">
        <v>0</v>
      </c>
      <c r="K334" s="25">
        <v>0</v>
      </c>
      <c r="L334" s="26">
        <v>0</v>
      </c>
      <c r="M334" s="21">
        <v>0</v>
      </c>
      <c r="N334" s="22">
        <v>0</v>
      </c>
      <c r="O334" s="35">
        <v>0</v>
      </c>
      <c r="P334" s="19">
        <v>0</v>
      </c>
      <c r="Q334" s="25">
        <v>0</v>
      </c>
      <c r="R334" s="19">
        <v>0</v>
      </c>
      <c r="S334" s="21">
        <v>0</v>
      </c>
      <c r="T334" s="22">
        <v>0</v>
      </c>
      <c r="U334" s="28">
        <v>0</v>
      </c>
      <c r="V334" s="29">
        <v>0</v>
      </c>
      <c r="W334" s="30">
        <v>0</v>
      </c>
      <c r="X334" s="29">
        <v>0</v>
      </c>
      <c r="Y334" s="31">
        <v>0</v>
      </c>
      <c r="Z334" s="29">
        <v>0</v>
      </c>
      <c r="AA334" s="32"/>
      <c r="AB334" s="33"/>
      <c r="AC334" s="32">
        <v>0</v>
      </c>
      <c r="AD334" s="33"/>
      <c r="AE334" s="32">
        <f t="shared" si="3"/>
        <v>0</v>
      </c>
      <c r="AF334" s="33"/>
      <c r="AG334" s="32">
        <v>149600</v>
      </c>
      <c r="AH334" s="33"/>
      <c r="AI334" s="32">
        <v>0</v>
      </c>
      <c r="AJ334" s="33"/>
      <c r="AK334" s="32">
        <f t="shared" si="4"/>
        <v>149600</v>
      </c>
      <c r="AL334" s="33"/>
      <c r="AM334" s="32">
        <v>149600</v>
      </c>
      <c r="AN334" s="33"/>
      <c r="AO334" s="32">
        <v>0</v>
      </c>
      <c r="AP334" s="33"/>
      <c r="AQ334" s="32">
        <f t="shared" si="5"/>
        <v>149600</v>
      </c>
      <c r="AR334" s="33"/>
    </row>
    <row r="335" spans="1:44" ht="15.75" customHeight="1">
      <c r="A335" s="16">
        <v>90201</v>
      </c>
      <c r="B335" s="17" t="s">
        <v>332</v>
      </c>
      <c r="C335" s="35">
        <v>0</v>
      </c>
      <c r="D335" s="19">
        <v>0</v>
      </c>
      <c r="E335" s="20">
        <v>0</v>
      </c>
      <c r="F335" s="19">
        <v>0</v>
      </c>
      <c r="G335" s="21">
        <v>0</v>
      </c>
      <c r="H335" s="22">
        <v>0</v>
      </c>
      <c r="I335" s="35">
        <v>0</v>
      </c>
      <c r="J335" s="19">
        <v>0</v>
      </c>
      <c r="K335" s="25">
        <v>0</v>
      </c>
      <c r="L335" s="26">
        <v>0</v>
      </c>
      <c r="M335" s="21">
        <v>0</v>
      </c>
      <c r="N335" s="22">
        <v>0</v>
      </c>
      <c r="O335" s="23">
        <v>35000</v>
      </c>
      <c r="P335" s="24">
        <v>0.22</v>
      </c>
      <c r="Q335" s="25">
        <v>0</v>
      </c>
      <c r="R335" s="19">
        <v>0</v>
      </c>
      <c r="S335" s="25">
        <v>35000</v>
      </c>
      <c r="T335" s="22">
        <v>0.14000000000000001</v>
      </c>
      <c r="U335" s="34">
        <v>412785</v>
      </c>
      <c r="V335" s="29">
        <v>2.56</v>
      </c>
      <c r="W335" s="30">
        <v>0</v>
      </c>
      <c r="X335" s="29">
        <v>0</v>
      </c>
      <c r="Y335" s="31">
        <v>412785</v>
      </c>
      <c r="Z335" s="29">
        <v>2.56</v>
      </c>
      <c r="AA335" s="32">
        <v>0</v>
      </c>
      <c r="AB335" s="33"/>
      <c r="AC335" s="32">
        <v>0</v>
      </c>
      <c r="AD335" s="33"/>
      <c r="AE335" s="32">
        <f t="shared" si="3"/>
        <v>0</v>
      </c>
      <c r="AF335" s="33"/>
      <c r="AG335" s="32"/>
      <c r="AH335" s="33"/>
      <c r="AI335" s="32">
        <v>0</v>
      </c>
      <c r="AJ335" s="33"/>
      <c r="AK335" s="32">
        <f t="shared" si="4"/>
        <v>0</v>
      </c>
      <c r="AL335" s="33"/>
      <c r="AM335" s="32"/>
      <c r="AN335" s="33"/>
      <c r="AO335" s="32">
        <v>0</v>
      </c>
      <c r="AP335" s="33"/>
      <c r="AQ335" s="32">
        <f t="shared" si="5"/>
        <v>0</v>
      </c>
      <c r="AR335" s="33"/>
    </row>
    <row r="336" spans="1:44" ht="15.75" customHeight="1">
      <c r="A336" s="16">
        <v>90202</v>
      </c>
      <c r="B336" s="17" t="s">
        <v>222</v>
      </c>
      <c r="C336" s="35">
        <v>0</v>
      </c>
      <c r="D336" s="19">
        <v>0</v>
      </c>
      <c r="E336" s="20">
        <v>0</v>
      </c>
      <c r="F336" s="19">
        <v>0</v>
      </c>
      <c r="G336" s="21">
        <v>0</v>
      </c>
      <c r="H336" s="22">
        <v>0</v>
      </c>
      <c r="I336" s="35">
        <v>0</v>
      </c>
      <c r="J336" s="19">
        <v>0</v>
      </c>
      <c r="K336" s="25">
        <v>0</v>
      </c>
      <c r="L336" s="26">
        <v>0</v>
      </c>
      <c r="M336" s="21">
        <v>0</v>
      </c>
      <c r="N336" s="22">
        <v>0</v>
      </c>
      <c r="O336" s="35">
        <v>0</v>
      </c>
      <c r="P336" s="19">
        <v>0</v>
      </c>
      <c r="Q336" s="25">
        <v>0</v>
      </c>
      <c r="R336" s="19">
        <v>0</v>
      </c>
      <c r="S336" s="21">
        <v>0</v>
      </c>
      <c r="T336" s="22">
        <v>0</v>
      </c>
      <c r="U336" s="28">
        <v>0</v>
      </c>
      <c r="V336" s="29">
        <v>0</v>
      </c>
      <c r="W336" s="30">
        <v>0</v>
      </c>
      <c r="X336" s="29">
        <v>0</v>
      </c>
      <c r="Y336" s="31">
        <v>0</v>
      </c>
      <c r="Z336" s="29">
        <v>0</v>
      </c>
      <c r="AA336" s="32"/>
      <c r="AB336" s="33"/>
      <c r="AC336" s="32">
        <v>0</v>
      </c>
      <c r="AD336" s="33"/>
      <c r="AE336" s="32">
        <f t="shared" si="3"/>
        <v>0</v>
      </c>
      <c r="AF336" s="33"/>
      <c r="AG336" s="32"/>
      <c r="AH336" s="33"/>
      <c r="AI336" s="32">
        <v>0</v>
      </c>
      <c r="AJ336" s="33"/>
      <c r="AK336" s="32">
        <f t="shared" si="4"/>
        <v>0</v>
      </c>
      <c r="AL336" s="33"/>
      <c r="AM336" s="32"/>
      <c r="AN336" s="33"/>
      <c r="AO336" s="32">
        <v>0</v>
      </c>
      <c r="AP336" s="33"/>
      <c r="AQ336" s="32">
        <f t="shared" si="5"/>
        <v>0</v>
      </c>
      <c r="AR336" s="33"/>
    </row>
    <row r="337" spans="1:44" ht="15.75" customHeight="1">
      <c r="A337" s="16">
        <v>90203</v>
      </c>
      <c r="B337" s="17" t="s">
        <v>333</v>
      </c>
      <c r="C337" s="18">
        <v>115217</v>
      </c>
      <c r="D337" s="19">
        <v>1.47</v>
      </c>
      <c r="E337" s="20">
        <v>0</v>
      </c>
      <c r="F337" s="19">
        <v>0</v>
      </c>
      <c r="G337" s="21">
        <v>115217</v>
      </c>
      <c r="H337" s="22">
        <v>0.76</v>
      </c>
      <c r="I337" s="23">
        <v>115217</v>
      </c>
      <c r="J337" s="24">
        <v>1.37</v>
      </c>
      <c r="K337" s="25">
        <v>0</v>
      </c>
      <c r="L337" s="26">
        <v>0</v>
      </c>
      <c r="M337" s="25">
        <v>115217</v>
      </c>
      <c r="N337" s="27">
        <v>1.29</v>
      </c>
      <c r="O337" s="23">
        <v>123000</v>
      </c>
      <c r="P337" s="24">
        <v>1.02</v>
      </c>
      <c r="Q337" s="25">
        <v>0</v>
      </c>
      <c r="R337" s="19">
        <v>0</v>
      </c>
      <c r="S337" s="25">
        <v>123000</v>
      </c>
      <c r="T337" s="22">
        <v>0.83</v>
      </c>
      <c r="U337" s="34">
        <v>88000</v>
      </c>
      <c r="V337" s="29">
        <v>0.6</v>
      </c>
      <c r="W337" s="30">
        <v>0</v>
      </c>
      <c r="X337" s="29">
        <v>0</v>
      </c>
      <c r="Y337" s="31">
        <v>88000</v>
      </c>
      <c r="Z337" s="29">
        <v>0.6</v>
      </c>
      <c r="AA337" s="32">
        <v>0</v>
      </c>
      <c r="AB337" s="33"/>
      <c r="AC337" s="32">
        <v>0</v>
      </c>
      <c r="AD337" s="33"/>
      <c r="AE337" s="32">
        <f t="shared" si="3"/>
        <v>0</v>
      </c>
      <c r="AF337" s="33"/>
      <c r="AG337" s="32">
        <v>60000</v>
      </c>
      <c r="AH337" s="33"/>
      <c r="AI337" s="32">
        <v>0</v>
      </c>
      <c r="AJ337" s="33"/>
      <c r="AK337" s="32">
        <f t="shared" si="4"/>
        <v>60000</v>
      </c>
      <c r="AL337" s="33"/>
      <c r="AM337" s="32">
        <v>25000</v>
      </c>
      <c r="AN337" s="33"/>
      <c r="AO337" s="32">
        <v>0</v>
      </c>
      <c r="AP337" s="33"/>
      <c r="AQ337" s="32">
        <f t="shared" si="5"/>
        <v>25000</v>
      </c>
      <c r="AR337" s="33"/>
    </row>
    <row r="338" spans="1:44" ht="15.75" customHeight="1">
      <c r="A338" s="16">
        <v>90301</v>
      </c>
      <c r="B338" s="17" t="s">
        <v>334</v>
      </c>
      <c r="C338" s="18">
        <v>67502</v>
      </c>
      <c r="D338" s="19">
        <v>0.59</v>
      </c>
      <c r="E338" s="20">
        <v>0</v>
      </c>
      <c r="F338" s="19">
        <v>0</v>
      </c>
      <c r="G338" s="21">
        <v>67502</v>
      </c>
      <c r="H338" s="22">
        <v>0.33</v>
      </c>
      <c r="I338" s="23">
        <v>67502</v>
      </c>
      <c r="J338" s="24">
        <v>0.35</v>
      </c>
      <c r="K338" s="25">
        <v>0</v>
      </c>
      <c r="L338" s="26">
        <v>0</v>
      </c>
      <c r="M338" s="25">
        <v>67502</v>
      </c>
      <c r="N338" s="27">
        <v>0.24</v>
      </c>
      <c r="O338" s="23">
        <v>94520</v>
      </c>
      <c r="P338" s="24">
        <v>0.54</v>
      </c>
      <c r="Q338" s="25">
        <v>0</v>
      </c>
      <c r="R338" s="19">
        <v>0</v>
      </c>
      <c r="S338" s="25">
        <v>94520</v>
      </c>
      <c r="T338" s="22">
        <v>0.31</v>
      </c>
      <c r="U338" s="34">
        <v>37690</v>
      </c>
      <c r="V338" s="29">
        <v>0.18</v>
      </c>
      <c r="W338" s="30">
        <v>0</v>
      </c>
      <c r="X338" s="29">
        <v>0</v>
      </c>
      <c r="Y338" s="31">
        <v>37690</v>
      </c>
      <c r="Z338" s="29">
        <v>0.18</v>
      </c>
      <c r="AA338" s="32"/>
      <c r="AB338" s="33"/>
      <c r="AC338" s="32">
        <v>0</v>
      </c>
      <c r="AD338" s="33"/>
      <c r="AE338" s="32">
        <f t="shared" si="3"/>
        <v>0</v>
      </c>
      <c r="AF338" s="33"/>
      <c r="AG338" s="32">
        <v>48445</v>
      </c>
      <c r="AH338" s="33"/>
      <c r="AI338" s="32">
        <v>0</v>
      </c>
      <c r="AJ338" s="33"/>
      <c r="AK338" s="32">
        <f t="shared" si="4"/>
        <v>48445</v>
      </c>
      <c r="AL338" s="33"/>
      <c r="AM338" s="32">
        <v>48471</v>
      </c>
      <c r="AN338" s="33"/>
      <c r="AO338" s="32">
        <v>0</v>
      </c>
      <c r="AP338" s="33"/>
      <c r="AQ338" s="32">
        <f t="shared" si="5"/>
        <v>48471</v>
      </c>
      <c r="AR338" s="33"/>
    </row>
    <row r="339" spans="1:44" ht="15.75" customHeight="1">
      <c r="A339" s="16">
        <v>90302</v>
      </c>
      <c r="B339" s="17" t="s">
        <v>256</v>
      </c>
      <c r="C339" s="35">
        <v>0</v>
      </c>
      <c r="D339" s="19">
        <v>0</v>
      </c>
      <c r="E339" s="20">
        <v>0</v>
      </c>
      <c r="F339" s="19">
        <v>0</v>
      </c>
      <c r="G339" s="21">
        <v>0</v>
      </c>
      <c r="H339" s="22">
        <v>0</v>
      </c>
      <c r="I339" s="23">
        <v>165217</v>
      </c>
      <c r="J339" s="24">
        <v>1.52</v>
      </c>
      <c r="K339" s="25">
        <v>0</v>
      </c>
      <c r="L339" s="26">
        <v>0</v>
      </c>
      <c r="M339" s="25">
        <v>165217</v>
      </c>
      <c r="N339" s="27">
        <v>1.48</v>
      </c>
      <c r="O339" s="23">
        <v>196840</v>
      </c>
      <c r="P339" s="24">
        <v>1.29</v>
      </c>
      <c r="Q339" s="25">
        <v>0</v>
      </c>
      <c r="R339" s="19">
        <v>0</v>
      </c>
      <c r="S339" s="25">
        <v>196840</v>
      </c>
      <c r="T339" s="22">
        <v>1.1399999999999999</v>
      </c>
      <c r="U339" s="34">
        <v>385725</v>
      </c>
      <c r="V339" s="29">
        <v>2.2000000000000002</v>
      </c>
      <c r="W339" s="30">
        <v>0</v>
      </c>
      <c r="X339" s="29">
        <v>0</v>
      </c>
      <c r="Y339" s="31">
        <v>385725</v>
      </c>
      <c r="Z339" s="29">
        <v>2.11</v>
      </c>
      <c r="AA339" s="32">
        <v>48283</v>
      </c>
      <c r="AB339" s="33"/>
      <c r="AC339" s="32">
        <v>0</v>
      </c>
      <c r="AD339" s="33"/>
      <c r="AE339" s="32">
        <f t="shared" si="3"/>
        <v>48283</v>
      </c>
      <c r="AF339" s="33"/>
      <c r="AG339" s="32">
        <v>282729</v>
      </c>
      <c r="AH339" s="33"/>
      <c r="AI339" s="32">
        <v>0</v>
      </c>
      <c r="AJ339" s="33"/>
      <c r="AK339" s="32">
        <f t="shared" si="4"/>
        <v>282729</v>
      </c>
      <c r="AL339" s="33"/>
      <c r="AM339" s="32">
        <v>258641</v>
      </c>
      <c r="AN339" s="33"/>
      <c r="AO339" s="32">
        <v>0</v>
      </c>
      <c r="AP339" s="33"/>
      <c r="AQ339" s="32">
        <f t="shared" si="5"/>
        <v>258641</v>
      </c>
      <c r="AR339" s="33"/>
    </row>
    <row r="340" spans="1:44" ht="15.75" customHeight="1">
      <c r="A340" s="16">
        <v>90303</v>
      </c>
      <c r="B340" s="17" t="s">
        <v>335</v>
      </c>
      <c r="C340" s="18">
        <v>174972</v>
      </c>
      <c r="D340" s="19">
        <v>2.87</v>
      </c>
      <c r="E340" s="20">
        <v>0</v>
      </c>
      <c r="F340" s="19">
        <v>0</v>
      </c>
      <c r="G340" s="21">
        <v>174972</v>
      </c>
      <c r="H340" s="22">
        <v>1.57</v>
      </c>
      <c r="I340" s="23">
        <v>136972</v>
      </c>
      <c r="J340" s="24">
        <v>1.98</v>
      </c>
      <c r="K340" s="25">
        <v>0</v>
      </c>
      <c r="L340" s="26">
        <v>0</v>
      </c>
      <c r="M340" s="25">
        <v>136972</v>
      </c>
      <c r="N340" s="27">
        <v>1.03</v>
      </c>
      <c r="O340" s="23">
        <v>200000</v>
      </c>
      <c r="P340" s="24">
        <v>1.25</v>
      </c>
      <c r="Q340" s="25">
        <v>0</v>
      </c>
      <c r="R340" s="19">
        <v>0</v>
      </c>
      <c r="S340" s="25">
        <v>200000</v>
      </c>
      <c r="T340" s="22">
        <v>0.71</v>
      </c>
      <c r="U340" s="34">
        <v>226600</v>
      </c>
      <c r="V340" s="29">
        <v>1.06</v>
      </c>
      <c r="W340" s="30">
        <v>0</v>
      </c>
      <c r="X340" s="29">
        <v>0</v>
      </c>
      <c r="Y340" s="31">
        <v>226600</v>
      </c>
      <c r="Z340" s="29">
        <v>1.01</v>
      </c>
      <c r="AA340" s="32">
        <v>342970</v>
      </c>
      <c r="AB340" s="33"/>
      <c r="AC340" s="32">
        <v>0</v>
      </c>
      <c r="AD340" s="33"/>
      <c r="AE340" s="32">
        <f t="shared" si="3"/>
        <v>342970</v>
      </c>
      <c r="AF340" s="33"/>
      <c r="AG340" s="32">
        <v>281469</v>
      </c>
      <c r="AH340" s="33"/>
      <c r="AI340" s="32">
        <v>0</v>
      </c>
      <c r="AJ340" s="33"/>
      <c r="AK340" s="32">
        <f t="shared" si="4"/>
        <v>281469</v>
      </c>
      <c r="AL340" s="33"/>
      <c r="AM340" s="32">
        <v>461142</v>
      </c>
      <c r="AN340" s="33"/>
      <c r="AO340" s="32">
        <v>0</v>
      </c>
      <c r="AP340" s="33"/>
      <c r="AQ340" s="32">
        <f t="shared" si="5"/>
        <v>461142</v>
      </c>
      <c r="AR340" s="33"/>
    </row>
    <row r="341" spans="1:44" ht="15.75" customHeight="1">
      <c r="A341" s="16">
        <v>90401</v>
      </c>
      <c r="B341" s="17" t="s">
        <v>276</v>
      </c>
      <c r="C341" s="18">
        <v>45745</v>
      </c>
      <c r="D341" s="19">
        <v>0.85</v>
      </c>
      <c r="E341" s="20">
        <v>0</v>
      </c>
      <c r="F341" s="19">
        <v>0</v>
      </c>
      <c r="G341" s="21">
        <v>45745</v>
      </c>
      <c r="H341" s="22">
        <v>0.78</v>
      </c>
      <c r="I341" s="35">
        <v>0</v>
      </c>
      <c r="J341" s="19">
        <v>0</v>
      </c>
      <c r="K341" s="25">
        <v>0</v>
      </c>
      <c r="L341" s="26">
        <v>0</v>
      </c>
      <c r="M341" s="21">
        <v>0</v>
      </c>
      <c r="N341" s="22">
        <v>0</v>
      </c>
      <c r="O341" s="35">
        <v>0</v>
      </c>
      <c r="P341" s="19">
        <v>0</v>
      </c>
      <c r="Q341" s="25">
        <v>0</v>
      </c>
      <c r="R341" s="19">
        <v>0</v>
      </c>
      <c r="S341" s="21">
        <v>0</v>
      </c>
      <c r="T341" s="22">
        <v>0</v>
      </c>
      <c r="U341" s="28">
        <v>0</v>
      </c>
      <c r="V341" s="29">
        <v>0</v>
      </c>
      <c r="W341" s="30">
        <v>0</v>
      </c>
      <c r="X341" s="29">
        <v>0</v>
      </c>
      <c r="Y341" s="31">
        <v>0</v>
      </c>
      <c r="Z341" s="29">
        <v>0</v>
      </c>
      <c r="AA341" s="32">
        <v>276592</v>
      </c>
      <c r="AB341" s="33"/>
      <c r="AC341" s="32">
        <v>0</v>
      </c>
      <c r="AD341" s="33"/>
      <c r="AE341" s="32">
        <f t="shared" si="3"/>
        <v>276592</v>
      </c>
      <c r="AF341" s="33"/>
      <c r="AG341" s="32"/>
      <c r="AH341" s="33"/>
      <c r="AI341" s="32">
        <v>0</v>
      </c>
      <c r="AJ341" s="33"/>
      <c r="AK341" s="32">
        <f t="shared" si="4"/>
        <v>0</v>
      </c>
      <c r="AL341" s="33"/>
      <c r="AM341" s="32"/>
      <c r="AN341" s="33"/>
      <c r="AO341" s="32">
        <v>0</v>
      </c>
      <c r="AP341" s="33"/>
      <c r="AQ341" s="32">
        <f t="shared" si="5"/>
        <v>0</v>
      </c>
      <c r="AR341" s="33"/>
    </row>
    <row r="342" spans="1:44" ht="15.75" customHeight="1">
      <c r="A342" s="16">
        <v>90402</v>
      </c>
      <c r="B342" s="17" t="s">
        <v>336</v>
      </c>
      <c r="C342" s="35">
        <v>0</v>
      </c>
      <c r="D342" s="19">
        <v>0</v>
      </c>
      <c r="E342" s="20">
        <v>0</v>
      </c>
      <c r="F342" s="19">
        <v>0</v>
      </c>
      <c r="G342" s="21">
        <v>0</v>
      </c>
      <c r="H342" s="22">
        <v>0</v>
      </c>
      <c r="I342" s="35">
        <v>0</v>
      </c>
      <c r="J342" s="19">
        <v>0</v>
      </c>
      <c r="K342" s="25">
        <v>0</v>
      </c>
      <c r="L342" s="26">
        <v>0</v>
      </c>
      <c r="M342" s="21">
        <v>0</v>
      </c>
      <c r="N342" s="22">
        <v>0</v>
      </c>
      <c r="O342" s="35">
        <v>0</v>
      </c>
      <c r="P342" s="19">
        <v>0</v>
      </c>
      <c r="Q342" s="25">
        <v>0</v>
      </c>
      <c r="R342" s="19">
        <v>0</v>
      </c>
      <c r="S342" s="21">
        <v>0</v>
      </c>
      <c r="T342" s="22">
        <v>0</v>
      </c>
      <c r="U342" s="28">
        <v>0</v>
      </c>
      <c r="V342" s="29">
        <v>0</v>
      </c>
      <c r="W342" s="30">
        <v>0</v>
      </c>
      <c r="X342" s="29">
        <v>0</v>
      </c>
      <c r="Y342" s="31">
        <v>0</v>
      </c>
      <c r="Z342" s="29">
        <v>0</v>
      </c>
      <c r="AA342" s="32"/>
      <c r="AB342" s="33"/>
      <c r="AC342" s="32">
        <v>0</v>
      </c>
      <c r="AD342" s="33"/>
      <c r="AE342" s="32">
        <f t="shared" si="3"/>
        <v>0</v>
      </c>
      <c r="AF342" s="33"/>
      <c r="AG342" s="32"/>
      <c r="AH342" s="33"/>
      <c r="AI342" s="32">
        <v>0</v>
      </c>
      <c r="AJ342" s="33"/>
      <c r="AK342" s="32">
        <f t="shared" si="4"/>
        <v>0</v>
      </c>
      <c r="AL342" s="33"/>
      <c r="AM342" s="32"/>
      <c r="AN342" s="33"/>
      <c r="AO342" s="32">
        <v>0</v>
      </c>
      <c r="AP342" s="33"/>
      <c r="AQ342" s="32">
        <f t="shared" si="5"/>
        <v>0</v>
      </c>
      <c r="AR342" s="33"/>
    </row>
    <row r="343" spans="1:44" ht="15.75" customHeight="1">
      <c r="A343" s="16">
        <v>90501</v>
      </c>
      <c r="B343" s="17" t="s">
        <v>337</v>
      </c>
      <c r="C343" s="35">
        <v>0</v>
      </c>
      <c r="D343" s="19">
        <v>0</v>
      </c>
      <c r="E343" s="20">
        <v>0</v>
      </c>
      <c r="F343" s="19">
        <v>0</v>
      </c>
      <c r="G343" s="21">
        <v>0</v>
      </c>
      <c r="H343" s="22">
        <v>0</v>
      </c>
      <c r="I343" s="35">
        <v>0</v>
      </c>
      <c r="J343" s="19">
        <v>0</v>
      </c>
      <c r="K343" s="25">
        <v>0</v>
      </c>
      <c r="L343" s="26">
        <v>0</v>
      </c>
      <c r="M343" s="21">
        <v>0</v>
      </c>
      <c r="N343" s="22">
        <v>0</v>
      </c>
      <c r="O343" s="35">
        <v>0</v>
      </c>
      <c r="P343" s="19">
        <v>0</v>
      </c>
      <c r="Q343" s="25">
        <v>0</v>
      </c>
      <c r="R343" s="19">
        <v>0</v>
      </c>
      <c r="S343" s="21">
        <v>0</v>
      </c>
      <c r="T343" s="22">
        <v>0</v>
      </c>
      <c r="U343" s="28">
        <v>0</v>
      </c>
      <c r="V343" s="29">
        <v>0</v>
      </c>
      <c r="W343" s="30">
        <v>0</v>
      </c>
      <c r="X343" s="29">
        <v>0</v>
      </c>
      <c r="Y343" s="31">
        <v>0</v>
      </c>
      <c r="Z343" s="29">
        <v>0</v>
      </c>
      <c r="AA343" s="32"/>
      <c r="AB343" s="33"/>
      <c r="AC343" s="32">
        <v>0</v>
      </c>
      <c r="AD343" s="33"/>
      <c r="AE343" s="32">
        <f t="shared" si="3"/>
        <v>0</v>
      </c>
      <c r="AF343" s="33"/>
      <c r="AG343" s="32"/>
      <c r="AH343" s="33"/>
      <c r="AI343" s="32">
        <v>0</v>
      </c>
      <c r="AJ343" s="33"/>
      <c r="AK343" s="32">
        <f t="shared" si="4"/>
        <v>0</v>
      </c>
      <c r="AL343" s="33"/>
      <c r="AM343" s="32"/>
      <c r="AN343" s="33"/>
      <c r="AO343" s="32">
        <v>0</v>
      </c>
      <c r="AP343" s="33"/>
      <c r="AQ343" s="32">
        <f t="shared" si="5"/>
        <v>0</v>
      </c>
      <c r="AR343" s="33"/>
    </row>
    <row r="344" spans="1:44" ht="15.75" customHeight="1">
      <c r="A344" s="16">
        <v>90502</v>
      </c>
      <c r="B344" s="17" t="s">
        <v>338</v>
      </c>
      <c r="C344" s="18">
        <v>59788</v>
      </c>
      <c r="D344" s="19">
        <v>1.54</v>
      </c>
      <c r="E344" s="20">
        <v>0</v>
      </c>
      <c r="F344" s="19">
        <v>0</v>
      </c>
      <c r="G344" s="21">
        <v>59788</v>
      </c>
      <c r="H344" s="22">
        <v>1.0900000000000001</v>
      </c>
      <c r="I344" s="35">
        <v>0</v>
      </c>
      <c r="J344" s="19">
        <v>0</v>
      </c>
      <c r="K344" s="25">
        <v>0</v>
      </c>
      <c r="L344" s="26">
        <v>0</v>
      </c>
      <c r="M344" s="21">
        <v>0</v>
      </c>
      <c r="N344" s="22">
        <v>0</v>
      </c>
      <c r="O344" s="35">
        <v>0</v>
      </c>
      <c r="P344" s="19">
        <v>0</v>
      </c>
      <c r="Q344" s="25">
        <v>0</v>
      </c>
      <c r="R344" s="19">
        <v>0</v>
      </c>
      <c r="S344" s="21">
        <v>0</v>
      </c>
      <c r="T344" s="22">
        <v>0</v>
      </c>
      <c r="U344" s="28">
        <v>0</v>
      </c>
      <c r="V344" s="29">
        <v>0</v>
      </c>
      <c r="W344" s="30">
        <v>0</v>
      </c>
      <c r="X344" s="29">
        <v>0</v>
      </c>
      <c r="Y344" s="31">
        <v>0</v>
      </c>
      <c r="Z344" s="29">
        <v>0</v>
      </c>
      <c r="AA344" s="32"/>
      <c r="AB344" s="33"/>
      <c r="AC344" s="32">
        <v>0</v>
      </c>
      <c r="AD344" s="33"/>
      <c r="AE344" s="32">
        <f t="shared" si="3"/>
        <v>0</v>
      </c>
      <c r="AF344" s="33"/>
      <c r="AG344" s="32"/>
      <c r="AH344" s="33"/>
      <c r="AI344" s="32">
        <v>0</v>
      </c>
      <c r="AJ344" s="33"/>
      <c r="AK344" s="32">
        <f t="shared" si="4"/>
        <v>0</v>
      </c>
      <c r="AL344" s="33"/>
      <c r="AM344" s="32"/>
      <c r="AN344" s="33"/>
      <c r="AO344" s="32">
        <v>0</v>
      </c>
      <c r="AP344" s="33"/>
      <c r="AQ344" s="32">
        <f t="shared" si="5"/>
        <v>0</v>
      </c>
      <c r="AR344" s="33"/>
    </row>
    <row r="345" spans="1:44" ht="15.75" customHeight="1">
      <c r="A345" s="16">
        <v>90503</v>
      </c>
      <c r="B345" s="17" t="s">
        <v>339</v>
      </c>
      <c r="C345" s="41">
        <v>6500</v>
      </c>
      <c r="D345" s="42">
        <v>0.34</v>
      </c>
      <c r="E345" s="43">
        <v>0</v>
      </c>
      <c r="F345" s="42">
        <v>0</v>
      </c>
      <c r="G345" s="44">
        <v>6500</v>
      </c>
      <c r="H345" s="45">
        <v>0.28999999999999998</v>
      </c>
      <c r="I345" s="46">
        <v>30000</v>
      </c>
      <c r="J345" s="47">
        <v>1.43</v>
      </c>
      <c r="K345" s="25">
        <v>0</v>
      </c>
      <c r="L345" s="48">
        <v>0</v>
      </c>
      <c r="M345" s="49">
        <v>30000</v>
      </c>
      <c r="N345" s="50">
        <v>0.97</v>
      </c>
      <c r="O345" s="46">
        <v>0</v>
      </c>
      <c r="P345" s="47">
        <v>0</v>
      </c>
      <c r="Q345" s="25">
        <v>0</v>
      </c>
      <c r="R345" s="42">
        <v>0</v>
      </c>
      <c r="S345" s="49">
        <v>0</v>
      </c>
      <c r="T345" s="45">
        <v>0</v>
      </c>
      <c r="U345" s="28">
        <v>0</v>
      </c>
      <c r="V345" s="29">
        <v>0</v>
      </c>
      <c r="W345" s="30">
        <v>0</v>
      </c>
      <c r="X345" s="29">
        <v>0</v>
      </c>
      <c r="Y345" s="31">
        <v>0</v>
      </c>
      <c r="Z345" s="29">
        <v>0</v>
      </c>
      <c r="AA345" s="32"/>
      <c r="AB345" s="33"/>
      <c r="AC345" s="32">
        <v>0</v>
      </c>
      <c r="AD345" s="33"/>
      <c r="AE345" s="32">
        <f t="shared" si="3"/>
        <v>0</v>
      </c>
      <c r="AF345" s="33"/>
      <c r="AG345" s="32"/>
      <c r="AH345" s="33"/>
      <c r="AI345" s="32">
        <v>0</v>
      </c>
      <c r="AJ345" s="33"/>
      <c r="AK345" s="32">
        <f t="shared" si="4"/>
        <v>0</v>
      </c>
      <c r="AL345" s="33"/>
      <c r="AM345" s="32"/>
      <c r="AN345" s="33"/>
      <c r="AO345" s="32">
        <v>0</v>
      </c>
      <c r="AP345" s="33"/>
      <c r="AQ345" s="32">
        <f t="shared" si="5"/>
        <v>0</v>
      </c>
      <c r="AR345" s="33"/>
    </row>
    <row r="346" spans="1:44" ht="15.75" customHeight="1">
      <c r="A346" s="51"/>
      <c r="B346" s="51"/>
      <c r="D346" s="52"/>
      <c r="F346" s="52"/>
      <c r="G346" s="53"/>
      <c r="H346" s="52"/>
      <c r="I346" s="52"/>
      <c r="J346" s="52"/>
      <c r="K346" s="52"/>
      <c r="L346" s="54"/>
      <c r="M346" s="52"/>
      <c r="N346" s="52"/>
      <c r="O346" s="52"/>
      <c r="P346" s="52"/>
      <c r="Q346" s="52"/>
      <c r="R346" s="52"/>
      <c r="S346" s="52"/>
      <c r="T346" s="52"/>
      <c r="V346" s="55"/>
      <c r="X346" s="55"/>
      <c r="Y346" s="56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</row>
    <row r="347" spans="1:44" ht="15.75" customHeight="1">
      <c r="A347" s="51"/>
      <c r="B347" s="51"/>
      <c r="D347" s="52"/>
      <c r="F347" s="52"/>
      <c r="G347" s="53"/>
      <c r="H347" s="52"/>
      <c r="I347" s="52"/>
      <c r="J347" s="52"/>
      <c r="K347" s="52"/>
      <c r="L347" s="54"/>
      <c r="M347" s="52"/>
      <c r="N347" s="52"/>
      <c r="O347" s="52"/>
      <c r="P347" s="52"/>
      <c r="Q347" s="52"/>
      <c r="R347" s="52"/>
      <c r="S347" s="52"/>
      <c r="T347" s="52"/>
      <c r="V347" s="55"/>
      <c r="X347" s="55"/>
      <c r="Y347" s="56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</row>
    <row r="348" spans="1:44" ht="15.75" customHeight="1">
      <c r="A348" s="51"/>
      <c r="B348" s="51"/>
      <c r="D348" s="52"/>
      <c r="F348" s="52"/>
      <c r="G348" s="53"/>
      <c r="H348" s="52"/>
      <c r="I348" s="52"/>
      <c r="J348" s="52"/>
      <c r="K348" s="52"/>
      <c r="L348" s="54"/>
      <c r="M348" s="52"/>
      <c r="N348" s="52"/>
      <c r="O348" s="52"/>
      <c r="P348" s="52"/>
      <c r="Q348" s="52"/>
      <c r="R348" s="52"/>
      <c r="S348" s="52"/>
      <c r="T348" s="52"/>
      <c r="V348" s="55"/>
      <c r="X348" s="55"/>
      <c r="Y348" s="56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</row>
    <row r="349" spans="1:44" ht="15.75" customHeight="1">
      <c r="A349" s="51"/>
      <c r="B349" s="51"/>
      <c r="D349" s="52"/>
      <c r="F349" s="52"/>
      <c r="G349" s="53"/>
      <c r="H349" s="52"/>
      <c r="I349" s="52"/>
      <c r="J349" s="52"/>
      <c r="K349" s="52"/>
      <c r="L349" s="54"/>
      <c r="M349" s="52"/>
      <c r="N349" s="52"/>
      <c r="O349" s="52"/>
      <c r="P349" s="52"/>
      <c r="Q349" s="52"/>
      <c r="R349" s="52"/>
      <c r="S349" s="52"/>
      <c r="T349" s="52"/>
      <c r="V349" s="55"/>
      <c r="X349" s="55"/>
      <c r="Y349" s="56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</row>
    <row r="350" spans="1:44" ht="15.75" customHeight="1">
      <c r="A350" s="51"/>
      <c r="B350" s="51"/>
      <c r="D350" s="52"/>
      <c r="F350" s="52"/>
      <c r="G350" s="53"/>
      <c r="H350" s="52"/>
      <c r="I350" s="52"/>
      <c r="J350" s="52"/>
      <c r="K350" s="52"/>
      <c r="L350" s="54"/>
      <c r="M350" s="52"/>
      <c r="N350" s="52"/>
      <c r="O350" s="52"/>
      <c r="P350" s="52"/>
      <c r="Q350" s="52"/>
      <c r="R350" s="52"/>
      <c r="S350" s="52"/>
      <c r="T350" s="52"/>
      <c r="V350" s="55"/>
      <c r="X350" s="55"/>
      <c r="Y350" s="56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</row>
    <row r="351" spans="1:44" ht="15.75" customHeight="1">
      <c r="A351" s="51"/>
      <c r="B351" s="51"/>
      <c r="D351" s="52"/>
      <c r="F351" s="52"/>
      <c r="G351" s="53"/>
      <c r="H351" s="52"/>
      <c r="I351" s="52"/>
      <c r="J351" s="52"/>
      <c r="K351" s="52"/>
      <c r="L351" s="54"/>
      <c r="M351" s="52"/>
      <c r="N351" s="52"/>
      <c r="O351" s="52"/>
      <c r="P351" s="52"/>
      <c r="Q351" s="52"/>
      <c r="R351" s="52"/>
      <c r="S351" s="52"/>
      <c r="T351" s="52"/>
      <c r="V351" s="55"/>
      <c r="X351" s="55"/>
      <c r="Y351" s="56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</row>
    <row r="352" spans="1:44" ht="15.75" customHeight="1">
      <c r="A352" s="51"/>
      <c r="B352" s="51"/>
      <c r="D352" s="52"/>
      <c r="F352" s="52"/>
      <c r="G352" s="53"/>
      <c r="H352" s="52"/>
      <c r="I352" s="52"/>
      <c r="J352" s="52"/>
      <c r="K352" s="52"/>
      <c r="L352" s="54"/>
      <c r="M352" s="52"/>
      <c r="N352" s="52"/>
      <c r="O352" s="52"/>
      <c r="P352" s="52"/>
      <c r="Q352" s="52"/>
      <c r="R352" s="52"/>
      <c r="S352" s="52"/>
      <c r="T352" s="52"/>
      <c r="V352" s="55"/>
      <c r="X352" s="55"/>
      <c r="Y352" s="56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</row>
    <row r="353" spans="1:44" ht="15.75" customHeight="1">
      <c r="A353" s="51"/>
      <c r="B353" s="51"/>
      <c r="D353" s="52"/>
      <c r="F353" s="52"/>
      <c r="G353" s="53"/>
      <c r="H353" s="52"/>
      <c r="I353" s="52"/>
      <c r="J353" s="52"/>
      <c r="K353" s="52"/>
      <c r="L353" s="54"/>
      <c r="M353" s="52"/>
      <c r="N353" s="52"/>
      <c r="O353" s="52"/>
      <c r="P353" s="52"/>
      <c r="Q353" s="52"/>
      <c r="R353" s="52"/>
      <c r="S353" s="52"/>
      <c r="T353" s="52"/>
      <c r="V353" s="55"/>
      <c r="X353" s="55"/>
      <c r="Y353" s="56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</row>
    <row r="354" spans="1:44" ht="15.75" customHeight="1">
      <c r="A354" s="51"/>
      <c r="B354" s="51"/>
      <c r="D354" s="52"/>
      <c r="F354" s="52"/>
      <c r="G354" s="53"/>
      <c r="H354" s="52"/>
      <c r="I354" s="52"/>
      <c r="J354" s="52"/>
      <c r="K354" s="52"/>
      <c r="L354" s="54"/>
      <c r="M354" s="52"/>
      <c r="N354" s="52"/>
      <c r="O354" s="52"/>
      <c r="P354" s="52"/>
      <c r="Q354" s="52"/>
      <c r="R354" s="52"/>
      <c r="S354" s="52"/>
      <c r="T354" s="52"/>
      <c r="V354" s="55"/>
      <c r="X354" s="55"/>
      <c r="Y354" s="56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</row>
    <row r="355" spans="1:44" ht="15.75" customHeight="1">
      <c r="A355" s="51"/>
      <c r="B355" s="51"/>
      <c r="D355" s="52"/>
      <c r="F355" s="52"/>
      <c r="G355" s="53"/>
      <c r="H355" s="52"/>
      <c r="I355" s="52"/>
      <c r="J355" s="52"/>
      <c r="K355" s="52"/>
      <c r="L355" s="54"/>
      <c r="M355" s="52"/>
      <c r="N355" s="52"/>
      <c r="O355" s="52"/>
      <c r="P355" s="52"/>
      <c r="Q355" s="52"/>
      <c r="R355" s="52"/>
      <c r="S355" s="52"/>
      <c r="T355" s="52"/>
      <c r="V355" s="55"/>
      <c r="X355" s="55"/>
      <c r="Y355" s="56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</row>
    <row r="356" spans="1:44" ht="15.75" customHeight="1">
      <c r="A356" s="51"/>
      <c r="B356" s="51"/>
      <c r="D356" s="52"/>
      <c r="F356" s="52"/>
      <c r="G356" s="53"/>
      <c r="H356" s="52"/>
      <c r="I356" s="52"/>
      <c r="J356" s="52"/>
      <c r="K356" s="52"/>
      <c r="L356" s="54"/>
      <c r="M356" s="52"/>
      <c r="N356" s="52"/>
      <c r="O356" s="52"/>
      <c r="P356" s="52"/>
      <c r="Q356" s="52"/>
      <c r="R356" s="52"/>
      <c r="S356" s="52"/>
      <c r="T356" s="52"/>
      <c r="V356" s="55"/>
      <c r="X356" s="55"/>
      <c r="Y356" s="56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</row>
    <row r="357" spans="1:44" ht="15.75" customHeight="1">
      <c r="A357" s="51"/>
      <c r="B357" s="51"/>
      <c r="D357" s="52"/>
      <c r="F357" s="52"/>
      <c r="G357" s="53"/>
      <c r="H357" s="52"/>
      <c r="I357" s="52"/>
      <c r="J357" s="52"/>
      <c r="K357" s="52"/>
      <c r="L357" s="54"/>
      <c r="M357" s="52"/>
      <c r="N357" s="52"/>
      <c r="O357" s="52"/>
      <c r="P357" s="52"/>
      <c r="Q357" s="52"/>
      <c r="R357" s="52"/>
      <c r="S357" s="52"/>
      <c r="T357" s="52"/>
      <c r="V357" s="55"/>
      <c r="X357" s="55"/>
      <c r="Y357" s="56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</row>
    <row r="358" spans="1:44" ht="15.75" customHeight="1">
      <c r="A358" s="51"/>
      <c r="B358" s="51"/>
      <c r="D358" s="52"/>
      <c r="F358" s="52"/>
      <c r="G358" s="53"/>
      <c r="H358" s="52"/>
      <c r="I358" s="52"/>
      <c r="J358" s="52"/>
      <c r="K358" s="52"/>
      <c r="L358" s="54"/>
      <c r="M358" s="52"/>
      <c r="N358" s="52"/>
      <c r="O358" s="52"/>
      <c r="P358" s="52"/>
      <c r="Q358" s="52"/>
      <c r="R358" s="52"/>
      <c r="S358" s="52"/>
      <c r="T358" s="52"/>
      <c r="V358" s="55"/>
      <c r="X358" s="55"/>
      <c r="Y358" s="56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</row>
    <row r="359" spans="1:44" ht="15.75" customHeight="1">
      <c r="A359" s="51"/>
      <c r="B359" s="51"/>
      <c r="D359" s="52"/>
      <c r="F359" s="52"/>
      <c r="G359" s="53"/>
      <c r="H359" s="52"/>
      <c r="I359" s="52"/>
      <c r="J359" s="52"/>
      <c r="K359" s="52"/>
      <c r="L359" s="54"/>
      <c r="M359" s="52"/>
      <c r="N359" s="52"/>
      <c r="O359" s="52"/>
      <c r="P359" s="52"/>
      <c r="Q359" s="52"/>
      <c r="R359" s="52"/>
      <c r="S359" s="52"/>
      <c r="T359" s="52"/>
      <c r="V359" s="55"/>
      <c r="X359" s="55"/>
      <c r="Y359" s="56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</row>
    <row r="360" spans="1:44" ht="15.75" customHeight="1">
      <c r="A360" s="51"/>
      <c r="B360" s="51"/>
      <c r="D360" s="52"/>
      <c r="F360" s="52"/>
      <c r="G360" s="53"/>
      <c r="H360" s="52"/>
      <c r="I360" s="52"/>
      <c r="J360" s="52"/>
      <c r="K360" s="52"/>
      <c r="L360" s="54"/>
      <c r="M360" s="52"/>
      <c r="N360" s="52"/>
      <c r="O360" s="52"/>
      <c r="P360" s="52"/>
      <c r="Q360" s="52"/>
      <c r="R360" s="52"/>
      <c r="S360" s="52"/>
      <c r="T360" s="52"/>
      <c r="V360" s="55"/>
      <c r="X360" s="55"/>
      <c r="Y360" s="56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</row>
    <row r="361" spans="1:44" ht="15.75" customHeight="1">
      <c r="A361" s="51"/>
      <c r="B361" s="51"/>
      <c r="D361" s="52"/>
      <c r="F361" s="52"/>
      <c r="G361" s="53"/>
      <c r="H361" s="52"/>
      <c r="I361" s="52"/>
      <c r="J361" s="52"/>
      <c r="K361" s="52"/>
      <c r="L361" s="54"/>
      <c r="M361" s="52"/>
      <c r="N361" s="52"/>
      <c r="O361" s="52"/>
      <c r="P361" s="52"/>
      <c r="Q361" s="52"/>
      <c r="R361" s="52"/>
      <c r="S361" s="52"/>
      <c r="T361" s="52"/>
      <c r="V361" s="55"/>
      <c r="X361" s="55"/>
      <c r="Y361" s="56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</row>
    <row r="362" spans="1:44" ht="15.75" customHeight="1">
      <c r="A362" s="51"/>
      <c r="B362" s="51"/>
      <c r="D362" s="52"/>
      <c r="F362" s="52"/>
      <c r="G362" s="53"/>
      <c r="H362" s="52"/>
      <c r="I362" s="52"/>
      <c r="J362" s="52"/>
      <c r="K362" s="52"/>
      <c r="L362" s="54"/>
      <c r="M362" s="52"/>
      <c r="N362" s="52"/>
      <c r="O362" s="52"/>
      <c r="P362" s="52"/>
      <c r="Q362" s="52"/>
      <c r="R362" s="52"/>
      <c r="S362" s="52"/>
      <c r="T362" s="52"/>
      <c r="V362" s="55"/>
      <c r="X362" s="55"/>
      <c r="Y362" s="56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</row>
    <row r="363" spans="1:44" ht="15.75" customHeight="1">
      <c r="A363" s="51"/>
      <c r="B363" s="51"/>
      <c r="D363" s="52"/>
      <c r="F363" s="52"/>
      <c r="G363" s="53"/>
      <c r="H363" s="52"/>
      <c r="I363" s="52"/>
      <c r="J363" s="52"/>
      <c r="K363" s="52"/>
      <c r="L363" s="54"/>
      <c r="M363" s="52"/>
      <c r="N363" s="52"/>
      <c r="O363" s="52"/>
      <c r="P363" s="52"/>
      <c r="Q363" s="52"/>
      <c r="R363" s="52"/>
      <c r="S363" s="52"/>
      <c r="T363" s="52"/>
      <c r="V363" s="55"/>
      <c r="X363" s="55"/>
      <c r="Y363" s="56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</row>
    <row r="364" spans="1:44" ht="15.75" customHeight="1">
      <c r="A364" s="51"/>
      <c r="B364" s="51"/>
      <c r="D364" s="52"/>
      <c r="F364" s="52"/>
      <c r="G364" s="53"/>
      <c r="H364" s="52"/>
      <c r="I364" s="52"/>
      <c r="J364" s="52"/>
      <c r="K364" s="52"/>
      <c r="L364" s="54"/>
      <c r="M364" s="52"/>
      <c r="N364" s="52"/>
      <c r="O364" s="52"/>
      <c r="P364" s="52"/>
      <c r="Q364" s="52"/>
      <c r="R364" s="52"/>
      <c r="S364" s="52"/>
      <c r="T364" s="52"/>
      <c r="V364" s="55"/>
      <c r="X364" s="55"/>
      <c r="Y364" s="56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</row>
    <row r="365" spans="1:44" ht="15.75" customHeight="1">
      <c r="A365" s="51"/>
      <c r="B365" s="51"/>
      <c r="D365" s="52"/>
      <c r="F365" s="52"/>
      <c r="G365" s="53"/>
      <c r="H365" s="52"/>
      <c r="I365" s="52"/>
      <c r="J365" s="52"/>
      <c r="K365" s="52"/>
      <c r="L365" s="54"/>
      <c r="M365" s="52"/>
      <c r="N365" s="52"/>
      <c r="O365" s="52"/>
      <c r="P365" s="52"/>
      <c r="Q365" s="52"/>
      <c r="R365" s="52"/>
      <c r="S365" s="52"/>
      <c r="T365" s="52"/>
      <c r="V365" s="55"/>
      <c r="X365" s="55"/>
      <c r="Y365" s="56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</row>
    <row r="366" spans="1:44" ht="15.75" customHeight="1">
      <c r="A366" s="51"/>
      <c r="B366" s="51"/>
      <c r="D366" s="52"/>
      <c r="F366" s="52"/>
      <c r="G366" s="53"/>
      <c r="H366" s="52"/>
      <c r="I366" s="52"/>
      <c r="J366" s="52"/>
      <c r="K366" s="52"/>
      <c r="L366" s="54"/>
      <c r="M366" s="52"/>
      <c r="N366" s="52"/>
      <c r="O366" s="52"/>
      <c r="P366" s="52"/>
      <c r="Q366" s="52"/>
      <c r="R366" s="52"/>
      <c r="S366" s="52"/>
      <c r="T366" s="52"/>
      <c r="V366" s="55"/>
      <c r="X366" s="55"/>
      <c r="Y366" s="56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</row>
    <row r="367" spans="1:44" ht="15.75" customHeight="1">
      <c r="A367" s="51"/>
      <c r="B367" s="51"/>
      <c r="D367" s="52"/>
      <c r="F367" s="52"/>
      <c r="G367" s="53"/>
      <c r="H367" s="52"/>
      <c r="I367" s="52"/>
      <c r="J367" s="52"/>
      <c r="K367" s="52"/>
      <c r="L367" s="54"/>
      <c r="M367" s="52"/>
      <c r="N367" s="52"/>
      <c r="O367" s="52"/>
      <c r="P367" s="52"/>
      <c r="Q367" s="52"/>
      <c r="R367" s="52"/>
      <c r="S367" s="52"/>
      <c r="T367" s="52"/>
      <c r="V367" s="55"/>
      <c r="X367" s="55"/>
      <c r="Y367" s="56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</row>
    <row r="368" spans="1:44" ht="15.75" customHeight="1">
      <c r="A368" s="51"/>
      <c r="B368" s="51"/>
      <c r="D368" s="52"/>
      <c r="F368" s="52"/>
      <c r="G368" s="53"/>
      <c r="H368" s="52"/>
      <c r="I368" s="52"/>
      <c r="J368" s="52"/>
      <c r="K368" s="52"/>
      <c r="L368" s="54"/>
      <c r="M368" s="52"/>
      <c r="N368" s="52"/>
      <c r="O368" s="52"/>
      <c r="P368" s="52"/>
      <c r="Q368" s="52"/>
      <c r="R368" s="52"/>
      <c r="S368" s="52"/>
      <c r="T368" s="52"/>
      <c r="V368" s="55"/>
      <c r="X368" s="55"/>
      <c r="Y368" s="56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</row>
    <row r="369" spans="1:44" ht="15.75" customHeight="1">
      <c r="A369" s="51"/>
      <c r="B369" s="51"/>
      <c r="D369" s="52"/>
      <c r="F369" s="52"/>
      <c r="G369" s="53"/>
      <c r="H369" s="52"/>
      <c r="I369" s="52"/>
      <c r="J369" s="52"/>
      <c r="K369" s="52"/>
      <c r="L369" s="54"/>
      <c r="M369" s="52"/>
      <c r="N369" s="52"/>
      <c r="O369" s="52"/>
      <c r="P369" s="52"/>
      <c r="Q369" s="52"/>
      <c r="R369" s="52"/>
      <c r="S369" s="52"/>
      <c r="T369" s="52"/>
      <c r="V369" s="55"/>
      <c r="X369" s="55"/>
      <c r="Y369" s="56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</row>
    <row r="370" spans="1:44" ht="15.75" customHeight="1">
      <c r="A370" s="51"/>
      <c r="B370" s="51"/>
      <c r="D370" s="52"/>
      <c r="F370" s="52"/>
      <c r="G370" s="53"/>
      <c r="H370" s="52"/>
      <c r="I370" s="52"/>
      <c r="J370" s="52"/>
      <c r="K370" s="52"/>
      <c r="L370" s="54"/>
      <c r="M370" s="52"/>
      <c r="N370" s="52"/>
      <c r="O370" s="52"/>
      <c r="P370" s="52"/>
      <c r="Q370" s="52"/>
      <c r="R370" s="52"/>
      <c r="S370" s="52"/>
      <c r="T370" s="52"/>
      <c r="V370" s="55"/>
      <c r="X370" s="55"/>
      <c r="Y370" s="56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</row>
    <row r="371" spans="1:44" ht="15.75" customHeight="1">
      <c r="A371" s="51"/>
      <c r="B371" s="51"/>
      <c r="D371" s="52"/>
      <c r="F371" s="52"/>
      <c r="G371" s="53"/>
      <c r="H371" s="52"/>
      <c r="I371" s="52"/>
      <c r="J371" s="52"/>
      <c r="K371" s="52"/>
      <c r="L371" s="54"/>
      <c r="M371" s="52"/>
      <c r="N371" s="52"/>
      <c r="O371" s="52"/>
      <c r="P371" s="52"/>
      <c r="Q371" s="52"/>
      <c r="R371" s="52"/>
      <c r="S371" s="52"/>
      <c r="T371" s="52"/>
      <c r="V371" s="55"/>
      <c r="X371" s="55"/>
      <c r="Y371" s="56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</row>
    <row r="372" spans="1:44" ht="15.75" customHeight="1">
      <c r="A372" s="51"/>
      <c r="B372" s="51"/>
      <c r="D372" s="52"/>
      <c r="F372" s="52"/>
      <c r="G372" s="53"/>
      <c r="H372" s="52"/>
      <c r="I372" s="52"/>
      <c r="J372" s="52"/>
      <c r="K372" s="52"/>
      <c r="L372" s="54"/>
      <c r="M372" s="52"/>
      <c r="N372" s="52"/>
      <c r="O372" s="52"/>
      <c r="P372" s="52"/>
      <c r="Q372" s="52"/>
      <c r="R372" s="52"/>
      <c r="S372" s="52"/>
      <c r="T372" s="52"/>
      <c r="V372" s="55"/>
      <c r="X372" s="55"/>
      <c r="Y372" s="56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</row>
    <row r="373" spans="1:44" ht="15.75" customHeight="1">
      <c r="A373" s="51"/>
      <c r="B373" s="51"/>
      <c r="D373" s="52"/>
      <c r="F373" s="52"/>
      <c r="G373" s="53"/>
      <c r="H373" s="52"/>
      <c r="I373" s="52"/>
      <c r="J373" s="52"/>
      <c r="K373" s="52"/>
      <c r="L373" s="54"/>
      <c r="M373" s="52"/>
      <c r="N373" s="52"/>
      <c r="O373" s="52"/>
      <c r="P373" s="52"/>
      <c r="Q373" s="52"/>
      <c r="R373" s="52"/>
      <c r="S373" s="52"/>
      <c r="T373" s="52"/>
      <c r="V373" s="55"/>
      <c r="X373" s="55"/>
      <c r="Y373" s="56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</row>
    <row r="374" spans="1:44" ht="15.75" customHeight="1">
      <c r="A374" s="51"/>
      <c r="B374" s="51"/>
      <c r="D374" s="52"/>
      <c r="F374" s="52"/>
      <c r="G374" s="53"/>
      <c r="H374" s="52"/>
      <c r="I374" s="52"/>
      <c r="J374" s="52"/>
      <c r="K374" s="52"/>
      <c r="L374" s="54"/>
      <c r="M374" s="52"/>
      <c r="N374" s="52"/>
      <c r="O374" s="52"/>
      <c r="P374" s="52"/>
      <c r="Q374" s="52"/>
      <c r="R374" s="52"/>
      <c r="S374" s="52"/>
      <c r="T374" s="52"/>
      <c r="V374" s="55"/>
      <c r="X374" s="55"/>
      <c r="Y374" s="56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</row>
    <row r="375" spans="1:44" ht="15.75" customHeight="1">
      <c r="A375" s="51"/>
      <c r="B375" s="51"/>
      <c r="D375" s="52"/>
      <c r="F375" s="52"/>
      <c r="G375" s="53"/>
      <c r="H375" s="52"/>
      <c r="I375" s="52"/>
      <c r="J375" s="52"/>
      <c r="K375" s="52"/>
      <c r="L375" s="54"/>
      <c r="M375" s="52"/>
      <c r="N375" s="52"/>
      <c r="O375" s="52"/>
      <c r="P375" s="52"/>
      <c r="Q375" s="52"/>
      <c r="R375" s="52"/>
      <c r="S375" s="52"/>
      <c r="T375" s="52"/>
      <c r="V375" s="55"/>
      <c r="X375" s="55"/>
      <c r="Y375" s="56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</row>
    <row r="376" spans="1:44" ht="15.75" customHeight="1">
      <c r="A376" s="51"/>
      <c r="B376" s="51"/>
      <c r="D376" s="52"/>
      <c r="F376" s="52"/>
      <c r="G376" s="53"/>
      <c r="H376" s="52"/>
      <c r="I376" s="52"/>
      <c r="J376" s="52"/>
      <c r="K376" s="52"/>
      <c r="L376" s="54"/>
      <c r="M376" s="52"/>
      <c r="N376" s="52"/>
      <c r="O376" s="52"/>
      <c r="P376" s="52"/>
      <c r="Q376" s="52"/>
      <c r="R376" s="52"/>
      <c r="S376" s="52"/>
      <c r="T376" s="52"/>
      <c r="V376" s="55"/>
      <c r="X376" s="55"/>
      <c r="Y376" s="56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</row>
    <row r="377" spans="1:44" ht="15.75" customHeight="1">
      <c r="A377" s="51"/>
      <c r="B377" s="51"/>
      <c r="D377" s="52"/>
      <c r="F377" s="52"/>
      <c r="G377" s="53"/>
      <c r="H377" s="52"/>
      <c r="I377" s="52"/>
      <c r="J377" s="52"/>
      <c r="K377" s="52"/>
      <c r="L377" s="54"/>
      <c r="M377" s="52"/>
      <c r="N377" s="52"/>
      <c r="O377" s="52"/>
      <c r="P377" s="52"/>
      <c r="Q377" s="52"/>
      <c r="R377" s="52"/>
      <c r="S377" s="52"/>
      <c r="T377" s="52"/>
      <c r="V377" s="55"/>
      <c r="X377" s="55"/>
      <c r="Y377" s="56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</row>
    <row r="378" spans="1:44" ht="15.75" customHeight="1">
      <c r="A378" s="51"/>
      <c r="B378" s="51"/>
      <c r="D378" s="52"/>
      <c r="F378" s="52"/>
      <c r="G378" s="53"/>
      <c r="H378" s="52"/>
      <c r="I378" s="52"/>
      <c r="J378" s="52"/>
      <c r="K378" s="52"/>
      <c r="L378" s="54"/>
      <c r="M378" s="52"/>
      <c r="N378" s="52"/>
      <c r="O378" s="52"/>
      <c r="P378" s="52"/>
      <c r="Q378" s="52"/>
      <c r="R378" s="52"/>
      <c r="S378" s="52"/>
      <c r="T378" s="52"/>
      <c r="V378" s="55"/>
      <c r="X378" s="55"/>
      <c r="Y378" s="56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</row>
    <row r="379" spans="1:44" ht="15.75" customHeight="1">
      <c r="A379" s="51"/>
      <c r="B379" s="51"/>
      <c r="D379" s="52"/>
      <c r="F379" s="52"/>
      <c r="G379" s="53"/>
      <c r="H379" s="52"/>
      <c r="I379" s="52"/>
      <c r="J379" s="52"/>
      <c r="K379" s="52"/>
      <c r="L379" s="54"/>
      <c r="M379" s="52"/>
      <c r="N379" s="52"/>
      <c r="O379" s="52"/>
      <c r="P379" s="52"/>
      <c r="Q379" s="52"/>
      <c r="R379" s="52"/>
      <c r="S379" s="52"/>
      <c r="T379" s="52"/>
      <c r="V379" s="55"/>
      <c r="X379" s="55"/>
      <c r="Y379" s="56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</row>
    <row r="380" spans="1:44" ht="15.75" customHeight="1">
      <c r="A380" s="51"/>
      <c r="B380" s="51"/>
      <c r="D380" s="52"/>
      <c r="F380" s="52"/>
      <c r="G380" s="53"/>
      <c r="H380" s="52"/>
      <c r="I380" s="52"/>
      <c r="J380" s="52"/>
      <c r="K380" s="52"/>
      <c r="L380" s="54"/>
      <c r="M380" s="52"/>
      <c r="N380" s="52"/>
      <c r="O380" s="52"/>
      <c r="P380" s="52"/>
      <c r="Q380" s="52"/>
      <c r="R380" s="52"/>
      <c r="S380" s="52"/>
      <c r="T380" s="52"/>
      <c r="V380" s="55"/>
      <c r="X380" s="55"/>
      <c r="Y380" s="56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</row>
    <row r="381" spans="1:44" ht="15.75" customHeight="1">
      <c r="A381" s="51"/>
      <c r="B381" s="51"/>
      <c r="D381" s="52"/>
      <c r="F381" s="52"/>
      <c r="G381" s="53"/>
      <c r="H381" s="52"/>
      <c r="I381" s="52"/>
      <c r="J381" s="52"/>
      <c r="K381" s="52"/>
      <c r="L381" s="54"/>
      <c r="M381" s="52"/>
      <c r="N381" s="52"/>
      <c r="O381" s="52"/>
      <c r="P381" s="52"/>
      <c r="Q381" s="52"/>
      <c r="R381" s="52"/>
      <c r="S381" s="52"/>
      <c r="T381" s="52"/>
      <c r="V381" s="55"/>
      <c r="X381" s="55"/>
      <c r="Y381" s="56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</row>
    <row r="382" spans="1:44" ht="15.75" customHeight="1">
      <c r="A382" s="51"/>
      <c r="B382" s="51"/>
      <c r="D382" s="52"/>
      <c r="F382" s="52"/>
      <c r="G382" s="53"/>
      <c r="H382" s="52"/>
      <c r="I382" s="52"/>
      <c r="J382" s="52"/>
      <c r="K382" s="52"/>
      <c r="L382" s="54"/>
      <c r="M382" s="52"/>
      <c r="N382" s="52"/>
      <c r="O382" s="52"/>
      <c r="P382" s="52"/>
      <c r="Q382" s="52"/>
      <c r="R382" s="52"/>
      <c r="S382" s="52"/>
      <c r="T382" s="52"/>
      <c r="V382" s="55"/>
      <c r="X382" s="55"/>
      <c r="Y382" s="56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</row>
    <row r="383" spans="1:44" ht="15.75" customHeight="1">
      <c r="A383" s="51"/>
      <c r="B383" s="51"/>
      <c r="D383" s="52"/>
      <c r="F383" s="52"/>
      <c r="G383" s="53"/>
      <c r="H383" s="52"/>
      <c r="I383" s="52"/>
      <c r="J383" s="52"/>
      <c r="K383" s="52"/>
      <c r="L383" s="54"/>
      <c r="M383" s="52"/>
      <c r="N383" s="52"/>
      <c r="O383" s="52"/>
      <c r="P383" s="52"/>
      <c r="Q383" s="52"/>
      <c r="R383" s="52"/>
      <c r="S383" s="52"/>
      <c r="T383" s="52"/>
      <c r="V383" s="55"/>
      <c r="X383" s="55"/>
      <c r="Y383" s="56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</row>
    <row r="384" spans="1:44" ht="15.75" customHeight="1">
      <c r="A384" s="51"/>
      <c r="B384" s="51"/>
      <c r="D384" s="52"/>
      <c r="F384" s="52"/>
      <c r="G384" s="53"/>
      <c r="H384" s="52"/>
      <c r="I384" s="52"/>
      <c r="J384" s="52"/>
      <c r="K384" s="52"/>
      <c r="L384" s="54"/>
      <c r="M384" s="52"/>
      <c r="N384" s="52"/>
      <c r="O384" s="52"/>
      <c r="P384" s="52"/>
      <c r="Q384" s="52"/>
      <c r="R384" s="52"/>
      <c r="S384" s="52"/>
      <c r="T384" s="52"/>
      <c r="V384" s="55"/>
      <c r="X384" s="55"/>
      <c r="Y384" s="56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</row>
    <row r="385" spans="1:44" ht="15.75" customHeight="1">
      <c r="A385" s="51"/>
      <c r="B385" s="51"/>
      <c r="D385" s="52"/>
      <c r="F385" s="52"/>
      <c r="G385" s="53"/>
      <c r="H385" s="52"/>
      <c r="I385" s="52"/>
      <c r="J385" s="52"/>
      <c r="K385" s="52"/>
      <c r="L385" s="54"/>
      <c r="M385" s="52"/>
      <c r="N385" s="52"/>
      <c r="O385" s="52"/>
      <c r="P385" s="52"/>
      <c r="Q385" s="52"/>
      <c r="R385" s="52"/>
      <c r="S385" s="52"/>
      <c r="T385" s="52"/>
      <c r="V385" s="55"/>
      <c r="X385" s="55"/>
      <c r="Y385" s="56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</row>
    <row r="386" spans="1:44" ht="15.75" customHeight="1">
      <c r="A386" s="51"/>
      <c r="B386" s="51"/>
      <c r="D386" s="52"/>
      <c r="F386" s="52"/>
      <c r="G386" s="53"/>
      <c r="H386" s="52"/>
      <c r="I386" s="52"/>
      <c r="J386" s="52"/>
      <c r="K386" s="52"/>
      <c r="L386" s="54"/>
      <c r="M386" s="52"/>
      <c r="N386" s="52"/>
      <c r="O386" s="52"/>
      <c r="P386" s="52"/>
      <c r="Q386" s="52"/>
      <c r="R386" s="52"/>
      <c r="S386" s="52"/>
      <c r="T386" s="52"/>
      <c r="V386" s="55"/>
      <c r="X386" s="55"/>
      <c r="Y386" s="56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</row>
    <row r="387" spans="1:44" ht="15.75" customHeight="1">
      <c r="A387" s="51"/>
      <c r="B387" s="51"/>
      <c r="D387" s="52"/>
      <c r="F387" s="52"/>
      <c r="G387" s="53"/>
      <c r="H387" s="52"/>
      <c r="I387" s="52"/>
      <c r="J387" s="52"/>
      <c r="K387" s="52"/>
      <c r="L387" s="54"/>
      <c r="M387" s="52"/>
      <c r="N387" s="52"/>
      <c r="O387" s="52"/>
      <c r="P387" s="52"/>
      <c r="Q387" s="52"/>
      <c r="R387" s="52"/>
      <c r="S387" s="52"/>
      <c r="T387" s="52"/>
      <c r="V387" s="55"/>
      <c r="X387" s="55"/>
      <c r="Y387" s="56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</row>
    <row r="388" spans="1:44" ht="15.75" customHeight="1">
      <c r="A388" s="51"/>
      <c r="B388" s="51"/>
      <c r="D388" s="52"/>
      <c r="F388" s="52"/>
      <c r="G388" s="53"/>
      <c r="H388" s="52"/>
      <c r="I388" s="52"/>
      <c r="J388" s="52"/>
      <c r="K388" s="52"/>
      <c r="L388" s="54"/>
      <c r="M388" s="52"/>
      <c r="N388" s="52"/>
      <c r="O388" s="52"/>
      <c r="P388" s="52"/>
      <c r="Q388" s="52"/>
      <c r="R388" s="52"/>
      <c r="S388" s="52"/>
      <c r="T388" s="52"/>
      <c r="V388" s="55"/>
      <c r="X388" s="55"/>
      <c r="Y388" s="56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</row>
    <row r="389" spans="1:44" ht="15.75" customHeight="1">
      <c r="A389" s="51"/>
      <c r="B389" s="51"/>
      <c r="D389" s="52"/>
      <c r="F389" s="52"/>
      <c r="G389" s="53"/>
      <c r="H389" s="52"/>
      <c r="I389" s="52"/>
      <c r="J389" s="52"/>
      <c r="K389" s="52"/>
      <c r="L389" s="54"/>
      <c r="M389" s="52"/>
      <c r="N389" s="52"/>
      <c r="O389" s="52"/>
      <c r="P389" s="52"/>
      <c r="Q389" s="52"/>
      <c r="R389" s="52"/>
      <c r="S389" s="52"/>
      <c r="T389" s="52"/>
      <c r="V389" s="55"/>
      <c r="X389" s="55"/>
      <c r="Y389" s="56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</row>
    <row r="390" spans="1:44" ht="15.75" customHeight="1">
      <c r="A390" s="51"/>
      <c r="B390" s="51"/>
      <c r="D390" s="52"/>
      <c r="F390" s="52"/>
      <c r="G390" s="53"/>
      <c r="H390" s="52"/>
      <c r="I390" s="52"/>
      <c r="J390" s="52"/>
      <c r="K390" s="52"/>
      <c r="L390" s="54"/>
      <c r="M390" s="52"/>
      <c r="N390" s="52"/>
      <c r="O390" s="52"/>
      <c r="P390" s="52"/>
      <c r="Q390" s="52"/>
      <c r="R390" s="52"/>
      <c r="S390" s="52"/>
      <c r="T390" s="52"/>
      <c r="V390" s="55"/>
      <c r="X390" s="55"/>
      <c r="Y390" s="56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</row>
    <row r="391" spans="1:44" ht="15.75" customHeight="1">
      <c r="A391" s="51"/>
      <c r="B391" s="51"/>
      <c r="D391" s="52"/>
      <c r="F391" s="52"/>
      <c r="G391" s="53"/>
      <c r="H391" s="52"/>
      <c r="I391" s="52"/>
      <c r="J391" s="52"/>
      <c r="K391" s="52"/>
      <c r="L391" s="54"/>
      <c r="M391" s="52"/>
      <c r="N391" s="52"/>
      <c r="O391" s="52"/>
      <c r="P391" s="52"/>
      <c r="Q391" s="52"/>
      <c r="R391" s="52"/>
      <c r="S391" s="52"/>
      <c r="T391" s="52"/>
      <c r="V391" s="55"/>
      <c r="X391" s="55"/>
      <c r="Y391" s="56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</row>
    <row r="392" spans="1:44" ht="15.75" customHeight="1">
      <c r="A392" s="51"/>
      <c r="B392" s="51"/>
      <c r="D392" s="52"/>
      <c r="F392" s="52"/>
      <c r="G392" s="53"/>
      <c r="H392" s="52"/>
      <c r="I392" s="52"/>
      <c r="J392" s="52"/>
      <c r="K392" s="52"/>
      <c r="L392" s="54"/>
      <c r="M392" s="52"/>
      <c r="N392" s="52"/>
      <c r="O392" s="52"/>
      <c r="P392" s="52"/>
      <c r="Q392" s="52"/>
      <c r="R392" s="52"/>
      <c r="S392" s="52"/>
      <c r="T392" s="52"/>
      <c r="V392" s="55"/>
      <c r="X392" s="55"/>
      <c r="Y392" s="56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</row>
    <row r="393" spans="1:44" ht="15.75" customHeight="1">
      <c r="A393" s="51"/>
      <c r="B393" s="51"/>
      <c r="D393" s="52"/>
      <c r="F393" s="52"/>
      <c r="G393" s="53"/>
      <c r="H393" s="52"/>
      <c r="I393" s="52"/>
      <c r="J393" s="52"/>
      <c r="K393" s="52"/>
      <c r="L393" s="54"/>
      <c r="M393" s="52"/>
      <c r="N393" s="52"/>
      <c r="O393" s="52"/>
      <c r="P393" s="52"/>
      <c r="Q393" s="52"/>
      <c r="R393" s="52"/>
      <c r="S393" s="52"/>
      <c r="T393" s="52"/>
      <c r="V393" s="55"/>
      <c r="X393" s="55"/>
      <c r="Y393" s="56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</row>
    <row r="394" spans="1:44" ht="15.75" customHeight="1">
      <c r="A394" s="51"/>
      <c r="B394" s="51"/>
      <c r="D394" s="52"/>
      <c r="F394" s="52"/>
      <c r="G394" s="53"/>
      <c r="H394" s="52"/>
      <c r="I394" s="52"/>
      <c r="J394" s="52"/>
      <c r="K394" s="52"/>
      <c r="L394" s="54"/>
      <c r="M394" s="52"/>
      <c r="N394" s="52"/>
      <c r="O394" s="52"/>
      <c r="P394" s="52"/>
      <c r="Q394" s="52"/>
      <c r="R394" s="52"/>
      <c r="S394" s="52"/>
      <c r="T394" s="52"/>
      <c r="V394" s="55"/>
      <c r="X394" s="55"/>
      <c r="Y394" s="56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</row>
    <row r="395" spans="1:44" ht="15.75" customHeight="1">
      <c r="A395" s="51"/>
      <c r="B395" s="51"/>
      <c r="D395" s="52"/>
      <c r="F395" s="52"/>
      <c r="G395" s="53"/>
      <c r="H395" s="52"/>
      <c r="I395" s="52"/>
      <c r="J395" s="52"/>
      <c r="K395" s="52"/>
      <c r="L395" s="54"/>
      <c r="M395" s="52"/>
      <c r="N395" s="52"/>
      <c r="O395" s="52"/>
      <c r="P395" s="52"/>
      <c r="Q395" s="52"/>
      <c r="R395" s="52"/>
      <c r="S395" s="52"/>
      <c r="T395" s="52"/>
      <c r="V395" s="55"/>
      <c r="X395" s="55"/>
      <c r="Y395" s="56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</row>
    <row r="396" spans="1:44" ht="15.75" customHeight="1">
      <c r="A396" s="51"/>
      <c r="B396" s="51"/>
      <c r="D396" s="52"/>
      <c r="F396" s="52"/>
      <c r="G396" s="53"/>
      <c r="H396" s="52"/>
      <c r="I396" s="52"/>
      <c r="J396" s="52"/>
      <c r="K396" s="52"/>
      <c r="L396" s="54"/>
      <c r="M396" s="52"/>
      <c r="N396" s="52"/>
      <c r="O396" s="52"/>
      <c r="P396" s="52"/>
      <c r="Q396" s="52"/>
      <c r="R396" s="52"/>
      <c r="S396" s="52"/>
      <c r="T396" s="52"/>
      <c r="V396" s="55"/>
      <c r="X396" s="55"/>
      <c r="Y396" s="56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</row>
    <row r="397" spans="1:44" ht="15.75" customHeight="1">
      <c r="A397" s="51"/>
      <c r="B397" s="51"/>
      <c r="D397" s="52"/>
      <c r="F397" s="52"/>
      <c r="G397" s="53"/>
      <c r="H397" s="52"/>
      <c r="I397" s="52"/>
      <c r="J397" s="52"/>
      <c r="K397" s="52"/>
      <c r="L397" s="54"/>
      <c r="M397" s="52"/>
      <c r="N397" s="52"/>
      <c r="O397" s="52"/>
      <c r="P397" s="52"/>
      <c r="Q397" s="52"/>
      <c r="R397" s="52"/>
      <c r="S397" s="52"/>
      <c r="T397" s="52"/>
      <c r="V397" s="55"/>
      <c r="X397" s="55"/>
      <c r="Y397" s="56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</row>
    <row r="398" spans="1:44" ht="15.75" customHeight="1">
      <c r="A398" s="51"/>
      <c r="B398" s="51"/>
      <c r="D398" s="52"/>
      <c r="F398" s="52"/>
      <c r="G398" s="53"/>
      <c r="H398" s="52"/>
      <c r="I398" s="52"/>
      <c r="J398" s="52"/>
      <c r="K398" s="52"/>
      <c r="L398" s="54"/>
      <c r="M398" s="52"/>
      <c r="N398" s="52"/>
      <c r="O398" s="52"/>
      <c r="P398" s="52"/>
      <c r="Q398" s="52"/>
      <c r="R398" s="52"/>
      <c r="S398" s="52"/>
      <c r="T398" s="52"/>
      <c r="V398" s="55"/>
      <c r="X398" s="55"/>
      <c r="Y398" s="56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</row>
    <row r="399" spans="1:44" ht="15.75" customHeight="1">
      <c r="A399" s="51"/>
      <c r="B399" s="51"/>
      <c r="D399" s="52"/>
      <c r="F399" s="52"/>
      <c r="G399" s="53"/>
      <c r="H399" s="52"/>
      <c r="I399" s="52"/>
      <c r="J399" s="52"/>
      <c r="K399" s="52"/>
      <c r="L399" s="54"/>
      <c r="M399" s="52"/>
      <c r="N399" s="52"/>
      <c r="O399" s="52"/>
      <c r="P399" s="52"/>
      <c r="Q399" s="52"/>
      <c r="R399" s="52"/>
      <c r="S399" s="52"/>
      <c r="T399" s="52"/>
      <c r="V399" s="55"/>
      <c r="X399" s="55"/>
      <c r="Y399" s="56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</row>
    <row r="400" spans="1:44" ht="15.75" customHeight="1">
      <c r="A400" s="51"/>
      <c r="B400" s="51"/>
      <c r="D400" s="52"/>
      <c r="F400" s="52"/>
      <c r="G400" s="53"/>
      <c r="H400" s="52"/>
      <c r="I400" s="52"/>
      <c r="J400" s="52"/>
      <c r="K400" s="52"/>
      <c r="L400" s="54"/>
      <c r="M400" s="52"/>
      <c r="N400" s="52"/>
      <c r="O400" s="52"/>
      <c r="P400" s="52"/>
      <c r="Q400" s="52"/>
      <c r="R400" s="52"/>
      <c r="S400" s="52"/>
      <c r="T400" s="52"/>
      <c r="V400" s="55"/>
      <c r="X400" s="55"/>
      <c r="Y400" s="56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</row>
    <row r="401" spans="1:44" ht="15.75" customHeight="1">
      <c r="A401" s="51"/>
      <c r="B401" s="51"/>
      <c r="D401" s="52"/>
      <c r="F401" s="52"/>
      <c r="G401" s="53"/>
      <c r="H401" s="52"/>
      <c r="I401" s="52"/>
      <c r="J401" s="52"/>
      <c r="K401" s="52"/>
      <c r="L401" s="54"/>
      <c r="M401" s="52"/>
      <c r="N401" s="52"/>
      <c r="O401" s="52"/>
      <c r="P401" s="52"/>
      <c r="Q401" s="52"/>
      <c r="R401" s="52"/>
      <c r="S401" s="52"/>
      <c r="T401" s="52"/>
      <c r="V401" s="55"/>
      <c r="X401" s="55"/>
      <c r="Y401" s="56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</row>
    <row r="402" spans="1:44" ht="15.75" customHeight="1">
      <c r="A402" s="51"/>
      <c r="B402" s="51"/>
      <c r="D402" s="52"/>
      <c r="F402" s="52"/>
      <c r="G402" s="53"/>
      <c r="H402" s="52"/>
      <c r="I402" s="52"/>
      <c r="J402" s="52"/>
      <c r="K402" s="52"/>
      <c r="L402" s="54"/>
      <c r="M402" s="52"/>
      <c r="N402" s="52"/>
      <c r="O402" s="52"/>
      <c r="P402" s="52"/>
      <c r="Q402" s="52"/>
      <c r="R402" s="52"/>
      <c r="S402" s="52"/>
      <c r="T402" s="52"/>
      <c r="V402" s="55"/>
      <c r="X402" s="55"/>
      <c r="Y402" s="56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</row>
    <row r="403" spans="1:44" ht="15.75" customHeight="1">
      <c r="A403" s="51"/>
      <c r="B403" s="51"/>
      <c r="D403" s="52"/>
      <c r="F403" s="52"/>
      <c r="G403" s="53"/>
      <c r="H403" s="52"/>
      <c r="I403" s="52"/>
      <c r="J403" s="52"/>
      <c r="K403" s="52"/>
      <c r="L403" s="54"/>
      <c r="M403" s="52"/>
      <c r="N403" s="52"/>
      <c r="O403" s="52"/>
      <c r="P403" s="52"/>
      <c r="Q403" s="52"/>
      <c r="R403" s="52"/>
      <c r="S403" s="52"/>
      <c r="T403" s="52"/>
      <c r="V403" s="55"/>
      <c r="X403" s="55"/>
      <c r="Y403" s="56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</row>
    <row r="404" spans="1:44" ht="15.75" customHeight="1">
      <c r="A404" s="51"/>
      <c r="B404" s="51"/>
      <c r="D404" s="52"/>
      <c r="F404" s="52"/>
      <c r="G404" s="53"/>
      <c r="H404" s="52"/>
      <c r="I404" s="52"/>
      <c r="J404" s="52"/>
      <c r="K404" s="52"/>
      <c r="L404" s="54"/>
      <c r="M404" s="52"/>
      <c r="N404" s="52"/>
      <c r="O404" s="52"/>
      <c r="P404" s="52"/>
      <c r="Q404" s="52"/>
      <c r="R404" s="52"/>
      <c r="S404" s="52"/>
      <c r="T404" s="52"/>
      <c r="V404" s="55"/>
      <c r="X404" s="55"/>
      <c r="Y404" s="56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</row>
    <row r="405" spans="1:44" ht="15.75" customHeight="1">
      <c r="A405" s="51"/>
      <c r="B405" s="51"/>
      <c r="D405" s="52"/>
      <c r="F405" s="52"/>
      <c r="G405" s="53"/>
      <c r="H405" s="52"/>
      <c r="I405" s="52"/>
      <c r="J405" s="52"/>
      <c r="K405" s="52"/>
      <c r="L405" s="54"/>
      <c r="M405" s="52"/>
      <c r="N405" s="52"/>
      <c r="O405" s="52"/>
      <c r="P405" s="52"/>
      <c r="Q405" s="52"/>
      <c r="R405" s="52"/>
      <c r="S405" s="52"/>
      <c r="T405" s="52"/>
      <c r="V405" s="55"/>
      <c r="X405" s="55"/>
      <c r="Y405" s="56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</row>
    <row r="406" spans="1:44" ht="15.75" customHeight="1">
      <c r="A406" s="51"/>
      <c r="B406" s="51"/>
      <c r="D406" s="52"/>
      <c r="F406" s="52"/>
      <c r="G406" s="53"/>
      <c r="H406" s="52"/>
      <c r="I406" s="52"/>
      <c r="J406" s="52"/>
      <c r="K406" s="52"/>
      <c r="L406" s="54"/>
      <c r="M406" s="52"/>
      <c r="N406" s="52"/>
      <c r="O406" s="52"/>
      <c r="P406" s="52"/>
      <c r="Q406" s="52"/>
      <c r="R406" s="52"/>
      <c r="S406" s="52"/>
      <c r="T406" s="52"/>
      <c r="V406" s="55"/>
      <c r="X406" s="55"/>
      <c r="Y406" s="56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</row>
    <row r="407" spans="1:44" ht="15.75" customHeight="1">
      <c r="A407" s="51"/>
      <c r="B407" s="51"/>
      <c r="D407" s="52"/>
      <c r="F407" s="52"/>
      <c r="G407" s="53"/>
      <c r="H407" s="52"/>
      <c r="I407" s="52"/>
      <c r="J407" s="52"/>
      <c r="K407" s="52"/>
      <c r="L407" s="54"/>
      <c r="M407" s="52"/>
      <c r="N407" s="52"/>
      <c r="O407" s="52"/>
      <c r="P407" s="52"/>
      <c r="Q407" s="52"/>
      <c r="R407" s="52"/>
      <c r="S407" s="52"/>
      <c r="T407" s="52"/>
      <c r="V407" s="55"/>
      <c r="X407" s="55"/>
      <c r="Y407" s="56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</row>
    <row r="408" spans="1:44" ht="15.75" customHeight="1">
      <c r="A408" s="51"/>
      <c r="B408" s="51"/>
      <c r="D408" s="52"/>
      <c r="F408" s="52"/>
      <c r="G408" s="53"/>
      <c r="H408" s="52"/>
      <c r="I408" s="52"/>
      <c r="J408" s="52"/>
      <c r="K408" s="52"/>
      <c r="L408" s="54"/>
      <c r="M408" s="52"/>
      <c r="N408" s="52"/>
      <c r="O408" s="52"/>
      <c r="P408" s="52"/>
      <c r="Q408" s="52"/>
      <c r="R408" s="52"/>
      <c r="S408" s="52"/>
      <c r="T408" s="52"/>
      <c r="V408" s="55"/>
      <c r="X408" s="55"/>
      <c r="Y408" s="56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</row>
    <row r="409" spans="1:44" ht="15.75" customHeight="1">
      <c r="A409" s="51"/>
      <c r="B409" s="51"/>
      <c r="D409" s="52"/>
      <c r="F409" s="52"/>
      <c r="G409" s="53"/>
      <c r="H409" s="52"/>
      <c r="I409" s="52"/>
      <c r="J409" s="52"/>
      <c r="K409" s="52"/>
      <c r="L409" s="54"/>
      <c r="M409" s="52"/>
      <c r="N409" s="52"/>
      <c r="O409" s="52"/>
      <c r="P409" s="52"/>
      <c r="Q409" s="52"/>
      <c r="R409" s="52"/>
      <c r="S409" s="52"/>
      <c r="T409" s="52"/>
      <c r="V409" s="55"/>
      <c r="X409" s="55"/>
      <c r="Y409" s="56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</row>
    <row r="410" spans="1:44" ht="15.75" customHeight="1">
      <c r="A410" s="51"/>
      <c r="B410" s="51"/>
      <c r="D410" s="52"/>
      <c r="F410" s="52"/>
      <c r="G410" s="53"/>
      <c r="H410" s="52"/>
      <c r="I410" s="52"/>
      <c r="J410" s="52"/>
      <c r="K410" s="52"/>
      <c r="L410" s="54"/>
      <c r="M410" s="52"/>
      <c r="N410" s="52"/>
      <c r="O410" s="52"/>
      <c r="P410" s="52"/>
      <c r="Q410" s="52"/>
      <c r="R410" s="52"/>
      <c r="S410" s="52"/>
      <c r="T410" s="52"/>
      <c r="V410" s="55"/>
      <c r="X410" s="55"/>
      <c r="Y410" s="56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</row>
    <row r="411" spans="1:44" ht="15.75" customHeight="1">
      <c r="A411" s="51"/>
      <c r="B411" s="51"/>
      <c r="D411" s="52"/>
      <c r="F411" s="52"/>
      <c r="G411" s="53"/>
      <c r="H411" s="52"/>
      <c r="I411" s="52"/>
      <c r="J411" s="52"/>
      <c r="K411" s="52"/>
      <c r="L411" s="54"/>
      <c r="M411" s="52"/>
      <c r="N411" s="52"/>
      <c r="O411" s="52"/>
      <c r="P411" s="52"/>
      <c r="Q411" s="52"/>
      <c r="R411" s="52"/>
      <c r="S411" s="52"/>
      <c r="T411" s="52"/>
      <c r="V411" s="55"/>
      <c r="X411" s="55"/>
      <c r="Y411" s="56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</row>
    <row r="412" spans="1:44" ht="15.75" customHeight="1">
      <c r="A412" s="51"/>
      <c r="B412" s="51"/>
      <c r="D412" s="52"/>
      <c r="F412" s="52"/>
      <c r="G412" s="53"/>
      <c r="H412" s="52"/>
      <c r="I412" s="52"/>
      <c r="J412" s="52"/>
      <c r="K412" s="52"/>
      <c r="L412" s="54"/>
      <c r="M412" s="52"/>
      <c r="N412" s="52"/>
      <c r="O412" s="52"/>
      <c r="P412" s="52"/>
      <c r="Q412" s="52"/>
      <c r="R412" s="52"/>
      <c r="S412" s="52"/>
      <c r="T412" s="52"/>
      <c r="V412" s="55"/>
      <c r="X412" s="55"/>
      <c r="Y412" s="56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</row>
    <row r="413" spans="1:44" ht="15.75" customHeight="1">
      <c r="A413" s="51"/>
      <c r="B413" s="51"/>
      <c r="D413" s="52"/>
      <c r="F413" s="52"/>
      <c r="G413" s="53"/>
      <c r="H413" s="52"/>
      <c r="I413" s="52"/>
      <c r="J413" s="52"/>
      <c r="K413" s="52"/>
      <c r="L413" s="54"/>
      <c r="M413" s="52"/>
      <c r="N413" s="52"/>
      <c r="O413" s="52"/>
      <c r="P413" s="52"/>
      <c r="Q413" s="52"/>
      <c r="R413" s="52"/>
      <c r="S413" s="52"/>
      <c r="T413" s="52"/>
      <c r="V413" s="55"/>
      <c r="X413" s="55"/>
      <c r="Y413" s="56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</row>
    <row r="414" spans="1:44" ht="15.75" customHeight="1">
      <c r="A414" s="51"/>
      <c r="B414" s="51"/>
      <c r="D414" s="52"/>
      <c r="F414" s="52"/>
      <c r="G414" s="53"/>
      <c r="H414" s="52"/>
      <c r="I414" s="52"/>
      <c r="J414" s="52"/>
      <c r="K414" s="52"/>
      <c r="L414" s="54"/>
      <c r="M414" s="52"/>
      <c r="N414" s="52"/>
      <c r="O414" s="52"/>
      <c r="P414" s="52"/>
      <c r="Q414" s="52"/>
      <c r="R414" s="52"/>
      <c r="S414" s="52"/>
      <c r="T414" s="52"/>
      <c r="V414" s="55"/>
      <c r="X414" s="55"/>
      <c r="Y414" s="56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</row>
    <row r="415" spans="1:44" ht="15.75" customHeight="1">
      <c r="A415" s="51"/>
      <c r="B415" s="51"/>
      <c r="D415" s="52"/>
      <c r="F415" s="52"/>
      <c r="G415" s="53"/>
      <c r="H415" s="52"/>
      <c r="I415" s="52"/>
      <c r="J415" s="52"/>
      <c r="K415" s="52"/>
      <c r="L415" s="54"/>
      <c r="M415" s="52"/>
      <c r="N415" s="52"/>
      <c r="O415" s="52"/>
      <c r="P415" s="52"/>
      <c r="Q415" s="52"/>
      <c r="R415" s="52"/>
      <c r="S415" s="52"/>
      <c r="T415" s="52"/>
      <c r="V415" s="55"/>
      <c r="X415" s="55"/>
      <c r="Y415" s="56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</row>
    <row r="416" spans="1:44" ht="15.75" customHeight="1">
      <c r="A416" s="51"/>
      <c r="B416" s="51"/>
      <c r="D416" s="52"/>
      <c r="F416" s="52"/>
      <c r="G416" s="53"/>
      <c r="H416" s="52"/>
      <c r="I416" s="52"/>
      <c r="J416" s="52"/>
      <c r="K416" s="52"/>
      <c r="L416" s="54"/>
      <c r="M416" s="52"/>
      <c r="N416" s="52"/>
      <c r="O416" s="52"/>
      <c r="P416" s="52"/>
      <c r="Q416" s="52"/>
      <c r="R416" s="52"/>
      <c r="S416" s="52"/>
      <c r="T416" s="52"/>
      <c r="V416" s="55"/>
      <c r="X416" s="55"/>
      <c r="Y416" s="56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</row>
    <row r="417" spans="1:44" ht="15.75" customHeight="1">
      <c r="A417" s="51"/>
      <c r="B417" s="51"/>
      <c r="D417" s="52"/>
      <c r="F417" s="52"/>
      <c r="G417" s="53"/>
      <c r="H417" s="52"/>
      <c r="I417" s="52"/>
      <c r="J417" s="52"/>
      <c r="K417" s="52"/>
      <c r="L417" s="54"/>
      <c r="M417" s="52"/>
      <c r="N417" s="52"/>
      <c r="O417" s="52"/>
      <c r="P417" s="52"/>
      <c r="Q417" s="52"/>
      <c r="R417" s="52"/>
      <c r="S417" s="52"/>
      <c r="T417" s="52"/>
      <c r="V417" s="55"/>
      <c r="X417" s="55"/>
      <c r="Y417" s="56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</row>
    <row r="418" spans="1:44" ht="15.75" customHeight="1">
      <c r="A418" s="51"/>
      <c r="B418" s="51"/>
      <c r="D418" s="52"/>
      <c r="F418" s="52"/>
      <c r="G418" s="53"/>
      <c r="H418" s="52"/>
      <c r="I418" s="52"/>
      <c r="J418" s="52"/>
      <c r="K418" s="52"/>
      <c r="L418" s="54"/>
      <c r="M418" s="52"/>
      <c r="N418" s="52"/>
      <c r="O418" s="52"/>
      <c r="P418" s="52"/>
      <c r="Q418" s="52"/>
      <c r="R418" s="52"/>
      <c r="S418" s="52"/>
      <c r="T418" s="52"/>
      <c r="V418" s="55"/>
      <c r="X418" s="55"/>
      <c r="Y418" s="56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</row>
    <row r="419" spans="1:44" ht="15.75" customHeight="1">
      <c r="A419" s="51"/>
      <c r="B419" s="51"/>
      <c r="D419" s="52"/>
      <c r="F419" s="52"/>
      <c r="G419" s="53"/>
      <c r="H419" s="52"/>
      <c r="I419" s="52"/>
      <c r="J419" s="52"/>
      <c r="K419" s="52"/>
      <c r="L419" s="54"/>
      <c r="M419" s="52"/>
      <c r="N419" s="52"/>
      <c r="O419" s="52"/>
      <c r="P419" s="52"/>
      <c r="Q419" s="52"/>
      <c r="R419" s="52"/>
      <c r="S419" s="52"/>
      <c r="T419" s="52"/>
      <c r="V419" s="55"/>
      <c r="X419" s="55"/>
      <c r="Y419" s="56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</row>
    <row r="420" spans="1:44" ht="15.75" customHeight="1">
      <c r="A420" s="51"/>
      <c r="B420" s="51"/>
      <c r="D420" s="52"/>
      <c r="F420" s="52"/>
      <c r="G420" s="53"/>
      <c r="H420" s="52"/>
      <c r="I420" s="52"/>
      <c r="J420" s="52"/>
      <c r="K420" s="52"/>
      <c r="L420" s="54"/>
      <c r="M420" s="52"/>
      <c r="N420" s="52"/>
      <c r="O420" s="52"/>
      <c r="P420" s="52"/>
      <c r="Q420" s="52"/>
      <c r="R420" s="52"/>
      <c r="S420" s="52"/>
      <c r="T420" s="52"/>
      <c r="V420" s="55"/>
      <c r="X420" s="55"/>
      <c r="Y420" s="56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</row>
    <row r="421" spans="1:44" ht="15.75" customHeight="1">
      <c r="A421" s="51"/>
      <c r="B421" s="51"/>
      <c r="D421" s="52"/>
      <c r="F421" s="52"/>
      <c r="G421" s="53"/>
      <c r="H421" s="52"/>
      <c r="I421" s="52"/>
      <c r="J421" s="52"/>
      <c r="K421" s="52"/>
      <c r="L421" s="54"/>
      <c r="M421" s="52"/>
      <c r="N421" s="52"/>
      <c r="O421" s="52"/>
      <c r="P421" s="52"/>
      <c r="Q421" s="52"/>
      <c r="R421" s="52"/>
      <c r="S421" s="52"/>
      <c r="T421" s="52"/>
      <c r="V421" s="55"/>
      <c r="X421" s="55"/>
      <c r="Y421" s="56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</row>
    <row r="422" spans="1:44" ht="15.75" customHeight="1">
      <c r="A422" s="51"/>
      <c r="B422" s="51"/>
      <c r="D422" s="52"/>
      <c r="F422" s="52"/>
      <c r="G422" s="53"/>
      <c r="H422" s="52"/>
      <c r="I422" s="52"/>
      <c r="J422" s="52"/>
      <c r="K422" s="52"/>
      <c r="L422" s="54"/>
      <c r="M422" s="52"/>
      <c r="N422" s="52"/>
      <c r="O422" s="52"/>
      <c r="P422" s="52"/>
      <c r="Q422" s="52"/>
      <c r="R422" s="52"/>
      <c r="S422" s="52"/>
      <c r="T422" s="52"/>
      <c r="V422" s="55"/>
      <c r="X422" s="55"/>
      <c r="Y422" s="56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</row>
    <row r="423" spans="1:44" ht="15.75" customHeight="1">
      <c r="A423" s="51"/>
      <c r="B423" s="51"/>
      <c r="D423" s="52"/>
      <c r="F423" s="52"/>
      <c r="G423" s="53"/>
      <c r="H423" s="52"/>
      <c r="I423" s="52"/>
      <c r="J423" s="52"/>
      <c r="K423" s="52"/>
      <c r="L423" s="54"/>
      <c r="M423" s="52"/>
      <c r="N423" s="52"/>
      <c r="O423" s="52"/>
      <c r="P423" s="52"/>
      <c r="Q423" s="52"/>
      <c r="R423" s="52"/>
      <c r="S423" s="52"/>
      <c r="T423" s="52"/>
      <c r="V423" s="55"/>
      <c r="X423" s="55"/>
      <c r="Y423" s="56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</row>
    <row r="424" spans="1:44" ht="15.75" customHeight="1">
      <c r="A424" s="51"/>
      <c r="B424" s="51"/>
      <c r="D424" s="52"/>
      <c r="F424" s="52"/>
      <c r="G424" s="53"/>
      <c r="H424" s="52"/>
      <c r="I424" s="52"/>
      <c r="J424" s="52"/>
      <c r="K424" s="52"/>
      <c r="L424" s="54"/>
      <c r="M424" s="52"/>
      <c r="N424" s="52"/>
      <c r="O424" s="52"/>
      <c r="P424" s="52"/>
      <c r="Q424" s="52"/>
      <c r="R424" s="52"/>
      <c r="S424" s="52"/>
      <c r="T424" s="52"/>
      <c r="V424" s="55"/>
      <c r="X424" s="55"/>
      <c r="Y424" s="56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</row>
    <row r="425" spans="1:44" ht="15.75" customHeight="1">
      <c r="A425" s="51"/>
      <c r="B425" s="51"/>
      <c r="D425" s="52"/>
      <c r="F425" s="52"/>
      <c r="G425" s="53"/>
      <c r="H425" s="52"/>
      <c r="I425" s="52"/>
      <c r="J425" s="52"/>
      <c r="K425" s="52"/>
      <c r="L425" s="54"/>
      <c r="M425" s="52"/>
      <c r="N425" s="52"/>
      <c r="O425" s="52"/>
      <c r="P425" s="52"/>
      <c r="Q425" s="52"/>
      <c r="R425" s="52"/>
      <c r="S425" s="52"/>
      <c r="T425" s="52"/>
      <c r="V425" s="55"/>
      <c r="X425" s="55"/>
      <c r="Y425" s="56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</row>
    <row r="426" spans="1:44" ht="15.75" customHeight="1">
      <c r="A426" s="51"/>
      <c r="B426" s="51"/>
      <c r="D426" s="52"/>
      <c r="F426" s="52"/>
      <c r="G426" s="53"/>
      <c r="H426" s="52"/>
      <c r="I426" s="52"/>
      <c r="J426" s="52"/>
      <c r="K426" s="52"/>
      <c r="L426" s="54"/>
      <c r="M426" s="52"/>
      <c r="N426" s="52"/>
      <c r="O426" s="52"/>
      <c r="P426" s="52"/>
      <c r="Q426" s="52"/>
      <c r="R426" s="52"/>
      <c r="S426" s="52"/>
      <c r="T426" s="52"/>
      <c r="V426" s="55"/>
      <c r="X426" s="55"/>
      <c r="Y426" s="56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</row>
    <row r="427" spans="1:44" ht="15.75" customHeight="1">
      <c r="A427" s="51"/>
      <c r="B427" s="51"/>
      <c r="D427" s="52"/>
      <c r="F427" s="52"/>
      <c r="G427" s="53"/>
      <c r="H427" s="52"/>
      <c r="I427" s="52"/>
      <c r="J427" s="52"/>
      <c r="K427" s="52"/>
      <c r="L427" s="54"/>
      <c r="M427" s="52"/>
      <c r="N427" s="52"/>
      <c r="O427" s="52"/>
      <c r="P427" s="52"/>
      <c r="Q427" s="52"/>
      <c r="R427" s="52"/>
      <c r="S427" s="52"/>
      <c r="T427" s="52"/>
      <c r="V427" s="55"/>
      <c r="X427" s="55"/>
      <c r="Y427" s="56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</row>
    <row r="428" spans="1:44" ht="15.75" customHeight="1">
      <c r="A428" s="51"/>
      <c r="B428" s="51"/>
      <c r="D428" s="52"/>
      <c r="F428" s="52"/>
      <c r="G428" s="53"/>
      <c r="H428" s="52"/>
      <c r="I428" s="52"/>
      <c r="J428" s="52"/>
      <c r="K428" s="52"/>
      <c r="L428" s="54"/>
      <c r="M428" s="52"/>
      <c r="N428" s="52"/>
      <c r="O428" s="52"/>
      <c r="P428" s="52"/>
      <c r="Q428" s="52"/>
      <c r="R428" s="52"/>
      <c r="S428" s="52"/>
      <c r="T428" s="52"/>
      <c r="V428" s="55"/>
      <c r="X428" s="55"/>
      <c r="Y428" s="56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</row>
    <row r="429" spans="1:44" ht="15.75" customHeight="1">
      <c r="A429" s="51"/>
      <c r="B429" s="51"/>
      <c r="D429" s="52"/>
      <c r="F429" s="52"/>
      <c r="G429" s="53"/>
      <c r="H429" s="52"/>
      <c r="I429" s="52"/>
      <c r="J429" s="52"/>
      <c r="K429" s="52"/>
      <c r="L429" s="54"/>
      <c r="M429" s="52"/>
      <c r="N429" s="52"/>
      <c r="O429" s="52"/>
      <c r="P429" s="52"/>
      <c r="Q429" s="52"/>
      <c r="R429" s="52"/>
      <c r="S429" s="52"/>
      <c r="T429" s="52"/>
      <c r="V429" s="55"/>
      <c r="X429" s="55"/>
      <c r="Y429" s="56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</row>
    <row r="430" spans="1:44" ht="15.75" customHeight="1">
      <c r="A430" s="51"/>
      <c r="B430" s="51"/>
      <c r="D430" s="52"/>
      <c r="F430" s="52"/>
      <c r="G430" s="53"/>
      <c r="H430" s="52"/>
      <c r="I430" s="52"/>
      <c r="J430" s="52"/>
      <c r="K430" s="52"/>
      <c r="L430" s="54"/>
      <c r="M430" s="52"/>
      <c r="N430" s="52"/>
      <c r="O430" s="52"/>
      <c r="P430" s="52"/>
      <c r="Q430" s="52"/>
      <c r="R430" s="52"/>
      <c r="S430" s="52"/>
      <c r="T430" s="52"/>
      <c r="V430" s="55"/>
      <c r="X430" s="55"/>
      <c r="Y430" s="56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</row>
    <row r="431" spans="1:44" ht="15.75" customHeight="1">
      <c r="A431" s="51"/>
      <c r="B431" s="51"/>
      <c r="D431" s="52"/>
      <c r="F431" s="52"/>
      <c r="G431" s="53"/>
      <c r="H431" s="52"/>
      <c r="I431" s="52"/>
      <c r="J431" s="52"/>
      <c r="K431" s="52"/>
      <c r="L431" s="54"/>
      <c r="M431" s="52"/>
      <c r="N431" s="52"/>
      <c r="O431" s="52"/>
      <c r="P431" s="52"/>
      <c r="Q431" s="52"/>
      <c r="R431" s="52"/>
      <c r="S431" s="52"/>
      <c r="T431" s="52"/>
      <c r="V431" s="55"/>
      <c r="X431" s="55"/>
      <c r="Y431" s="56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</row>
    <row r="432" spans="1:44" ht="15.75" customHeight="1">
      <c r="A432" s="51"/>
      <c r="B432" s="51"/>
      <c r="D432" s="52"/>
      <c r="F432" s="52"/>
      <c r="G432" s="53"/>
      <c r="H432" s="52"/>
      <c r="I432" s="52"/>
      <c r="J432" s="52"/>
      <c r="K432" s="52"/>
      <c r="L432" s="54"/>
      <c r="M432" s="52"/>
      <c r="N432" s="52"/>
      <c r="O432" s="52"/>
      <c r="P432" s="52"/>
      <c r="Q432" s="52"/>
      <c r="R432" s="52"/>
      <c r="S432" s="52"/>
      <c r="T432" s="52"/>
      <c r="V432" s="55"/>
      <c r="X432" s="55"/>
      <c r="Y432" s="56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</row>
    <row r="433" spans="1:44" ht="15.75" customHeight="1">
      <c r="A433" s="51"/>
      <c r="B433" s="51"/>
      <c r="D433" s="52"/>
      <c r="F433" s="52"/>
      <c r="G433" s="53"/>
      <c r="H433" s="52"/>
      <c r="I433" s="52"/>
      <c r="J433" s="52"/>
      <c r="K433" s="52"/>
      <c r="L433" s="54"/>
      <c r="M433" s="52"/>
      <c r="N433" s="52"/>
      <c r="O433" s="52"/>
      <c r="P433" s="52"/>
      <c r="Q433" s="52"/>
      <c r="R433" s="52"/>
      <c r="S433" s="52"/>
      <c r="T433" s="52"/>
      <c r="V433" s="55"/>
      <c r="X433" s="55"/>
      <c r="Y433" s="56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</row>
    <row r="434" spans="1:44" ht="15.75" customHeight="1">
      <c r="A434" s="51"/>
      <c r="B434" s="51"/>
      <c r="D434" s="52"/>
      <c r="F434" s="52"/>
      <c r="G434" s="53"/>
      <c r="H434" s="52"/>
      <c r="I434" s="52"/>
      <c r="J434" s="52"/>
      <c r="K434" s="52"/>
      <c r="L434" s="54"/>
      <c r="M434" s="52"/>
      <c r="N434" s="52"/>
      <c r="O434" s="52"/>
      <c r="P434" s="52"/>
      <c r="Q434" s="52"/>
      <c r="R434" s="52"/>
      <c r="S434" s="52"/>
      <c r="T434" s="52"/>
      <c r="V434" s="55"/>
      <c r="X434" s="55"/>
      <c r="Y434" s="56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</row>
    <row r="435" spans="1:44" ht="15.75" customHeight="1">
      <c r="A435" s="51"/>
      <c r="B435" s="51"/>
      <c r="D435" s="52"/>
      <c r="F435" s="52"/>
      <c r="G435" s="53"/>
      <c r="H435" s="52"/>
      <c r="I435" s="52"/>
      <c r="J435" s="52"/>
      <c r="K435" s="52"/>
      <c r="L435" s="54"/>
      <c r="M435" s="52"/>
      <c r="N435" s="52"/>
      <c r="O435" s="52"/>
      <c r="P435" s="52"/>
      <c r="Q435" s="52"/>
      <c r="R435" s="52"/>
      <c r="S435" s="52"/>
      <c r="T435" s="52"/>
      <c r="V435" s="55"/>
      <c r="X435" s="55"/>
      <c r="Y435" s="56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</row>
    <row r="436" spans="1:44" ht="15.75" customHeight="1">
      <c r="A436" s="51"/>
      <c r="B436" s="51"/>
      <c r="D436" s="52"/>
      <c r="F436" s="52"/>
      <c r="G436" s="53"/>
      <c r="H436" s="52"/>
      <c r="I436" s="52"/>
      <c r="J436" s="52"/>
      <c r="K436" s="52"/>
      <c r="L436" s="54"/>
      <c r="M436" s="52"/>
      <c r="N436" s="52"/>
      <c r="O436" s="52"/>
      <c r="P436" s="52"/>
      <c r="Q436" s="52"/>
      <c r="R436" s="52"/>
      <c r="S436" s="52"/>
      <c r="T436" s="52"/>
      <c r="V436" s="55"/>
      <c r="X436" s="55"/>
      <c r="Y436" s="56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</row>
    <row r="437" spans="1:44" ht="15.75" customHeight="1">
      <c r="A437" s="51"/>
      <c r="B437" s="51"/>
      <c r="D437" s="52"/>
      <c r="F437" s="52"/>
      <c r="G437" s="53"/>
      <c r="H437" s="52"/>
      <c r="I437" s="52"/>
      <c r="J437" s="52"/>
      <c r="K437" s="52"/>
      <c r="L437" s="54"/>
      <c r="M437" s="52"/>
      <c r="N437" s="52"/>
      <c r="O437" s="52"/>
      <c r="P437" s="52"/>
      <c r="Q437" s="52"/>
      <c r="R437" s="52"/>
      <c r="S437" s="52"/>
      <c r="T437" s="52"/>
      <c r="V437" s="55"/>
      <c r="X437" s="55"/>
      <c r="Y437" s="56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</row>
    <row r="438" spans="1:44" ht="15.75" customHeight="1">
      <c r="A438" s="51"/>
      <c r="B438" s="51"/>
      <c r="D438" s="52"/>
      <c r="F438" s="52"/>
      <c r="G438" s="53"/>
      <c r="H438" s="52"/>
      <c r="I438" s="52"/>
      <c r="J438" s="52"/>
      <c r="K438" s="52"/>
      <c r="L438" s="54"/>
      <c r="M438" s="52"/>
      <c r="N438" s="52"/>
      <c r="O438" s="52"/>
      <c r="P438" s="52"/>
      <c r="Q438" s="52"/>
      <c r="R438" s="52"/>
      <c r="S438" s="52"/>
      <c r="T438" s="52"/>
      <c r="V438" s="55"/>
      <c r="X438" s="55"/>
      <c r="Y438" s="56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</row>
    <row r="439" spans="1:44" ht="15.75" customHeight="1">
      <c r="A439" s="51"/>
      <c r="B439" s="51"/>
      <c r="D439" s="52"/>
      <c r="F439" s="52"/>
      <c r="G439" s="53"/>
      <c r="H439" s="52"/>
      <c r="I439" s="52"/>
      <c r="J439" s="52"/>
      <c r="K439" s="52"/>
      <c r="L439" s="54"/>
      <c r="M439" s="52"/>
      <c r="N439" s="52"/>
      <c r="O439" s="52"/>
      <c r="P439" s="52"/>
      <c r="Q439" s="52"/>
      <c r="R439" s="52"/>
      <c r="S439" s="52"/>
      <c r="T439" s="52"/>
      <c r="V439" s="55"/>
      <c r="X439" s="55"/>
      <c r="Y439" s="56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</row>
    <row r="440" spans="1:44" ht="15.75" customHeight="1">
      <c r="A440" s="51"/>
      <c r="B440" s="51"/>
      <c r="D440" s="52"/>
      <c r="F440" s="52"/>
      <c r="G440" s="53"/>
      <c r="H440" s="52"/>
      <c r="I440" s="52"/>
      <c r="J440" s="52"/>
      <c r="K440" s="52"/>
      <c r="L440" s="54"/>
      <c r="M440" s="52"/>
      <c r="N440" s="52"/>
      <c r="O440" s="52"/>
      <c r="P440" s="52"/>
      <c r="Q440" s="52"/>
      <c r="R440" s="52"/>
      <c r="S440" s="52"/>
      <c r="T440" s="52"/>
      <c r="V440" s="55"/>
      <c r="X440" s="55"/>
      <c r="Y440" s="56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</row>
    <row r="441" spans="1:44" ht="15.75" customHeight="1">
      <c r="A441" s="51"/>
      <c r="B441" s="51"/>
      <c r="D441" s="52"/>
      <c r="F441" s="52"/>
      <c r="G441" s="53"/>
      <c r="H441" s="52"/>
      <c r="I441" s="52"/>
      <c r="J441" s="52"/>
      <c r="K441" s="52"/>
      <c r="L441" s="54"/>
      <c r="M441" s="52"/>
      <c r="N441" s="52"/>
      <c r="O441" s="52"/>
      <c r="P441" s="52"/>
      <c r="Q441" s="52"/>
      <c r="R441" s="52"/>
      <c r="S441" s="52"/>
      <c r="T441" s="52"/>
      <c r="V441" s="55"/>
      <c r="X441" s="55"/>
      <c r="Y441" s="56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</row>
    <row r="442" spans="1:44" ht="15.75" customHeight="1">
      <c r="A442" s="51"/>
      <c r="B442" s="51"/>
      <c r="D442" s="52"/>
      <c r="F442" s="52"/>
      <c r="G442" s="53"/>
      <c r="H442" s="52"/>
      <c r="I442" s="52"/>
      <c r="J442" s="52"/>
      <c r="K442" s="52"/>
      <c r="L442" s="54"/>
      <c r="M442" s="52"/>
      <c r="N442" s="52"/>
      <c r="O442" s="52"/>
      <c r="P442" s="52"/>
      <c r="Q442" s="52"/>
      <c r="R442" s="52"/>
      <c r="S442" s="52"/>
      <c r="T442" s="52"/>
      <c r="V442" s="55"/>
      <c r="X442" s="55"/>
      <c r="Y442" s="56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</row>
    <row r="443" spans="1:44" ht="15.75" customHeight="1">
      <c r="A443" s="51"/>
      <c r="B443" s="51"/>
      <c r="D443" s="52"/>
      <c r="F443" s="52"/>
      <c r="G443" s="53"/>
      <c r="H443" s="52"/>
      <c r="I443" s="52"/>
      <c r="J443" s="52"/>
      <c r="K443" s="52"/>
      <c r="L443" s="54"/>
      <c r="M443" s="52"/>
      <c r="N443" s="52"/>
      <c r="O443" s="52"/>
      <c r="P443" s="52"/>
      <c r="Q443" s="52"/>
      <c r="R443" s="52"/>
      <c r="S443" s="52"/>
      <c r="T443" s="52"/>
      <c r="V443" s="55"/>
      <c r="X443" s="55"/>
      <c r="Y443" s="56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</row>
    <row r="444" spans="1:44" ht="15.75" customHeight="1">
      <c r="A444" s="51"/>
      <c r="B444" s="51"/>
      <c r="D444" s="52"/>
      <c r="F444" s="52"/>
      <c r="G444" s="53"/>
      <c r="H444" s="52"/>
      <c r="I444" s="52"/>
      <c r="J444" s="52"/>
      <c r="K444" s="52"/>
      <c r="L444" s="54"/>
      <c r="M444" s="52"/>
      <c r="N444" s="52"/>
      <c r="O444" s="52"/>
      <c r="P444" s="52"/>
      <c r="Q444" s="52"/>
      <c r="R444" s="52"/>
      <c r="S444" s="52"/>
      <c r="T444" s="52"/>
      <c r="V444" s="55"/>
      <c r="X444" s="55"/>
      <c r="Y444" s="56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</row>
    <row r="445" spans="1:44" ht="15.75" customHeight="1">
      <c r="A445" s="51"/>
      <c r="B445" s="51"/>
      <c r="D445" s="52"/>
      <c r="F445" s="52"/>
      <c r="G445" s="53"/>
      <c r="H445" s="52"/>
      <c r="I445" s="52"/>
      <c r="J445" s="52"/>
      <c r="K445" s="52"/>
      <c r="L445" s="54"/>
      <c r="M445" s="52"/>
      <c r="N445" s="52"/>
      <c r="O445" s="52"/>
      <c r="P445" s="52"/>
      <c r="Q445" s="52"/>
      <c r="R445" s="52"/>
      <c r="S445" s="52"/>
      <c r="T445" s="52"/>
      <c r="V445" s="55"/>
      <c r="X445" s="55"/>
      <c r="Y445" s="56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</row>
    <row r="446" spans="1:44" ht="15.75" customHeight="1">
      <c r="A446" s="51"/>
      <c r="B446" s="51"/>
      <c r="D446" s="52"/>
      <c r="F446" s="52"/>
      <c r="G446" s="53"/>
      <c r="H446" s="52"/>
      <c r="I446" s="52"/>
      <c r="J446" s="52"/>
      <c r="K446" s="52"/>
      <c r="L446" s="54"/>
      <c r="M446" s="52"/>
      <c r="N446" s="52"/>
      <c r="O446" s="52"/>
      <c r="P446" s="52"/>
      <c r="Q446" s="52"/>
      <c r="R446" s="52"/>
      <c r="S446" s="52"/>
      <c r="T446" s="52"/>
      <c r="V446" s="55"/>
      <c r="X446" s="55"/>
      <c r="Y446" s="56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</row>
    <row r="447" spans="1:44" ht="15.75" customHeight="1">
      <c r="A447" s="51"/>
      <c r="B447" s="51"/>
      <c r="D447" s="52"/>
      <c r="F447" s="52"/>
      <c r="G447" s="53"/>
      <c r="H447" s="52"/>
      <c r="I447" s="52"/>
      <c r="J447" s="52"/>
      <c r="K447" s="52"/>
      <c r="L447" s="54"/>
      <c r="M447" s="52"/>
      <c r="N447" s="52"/>
      <c r="O447" s="52"/>
      <c r="P447" s="52"/>
      <c r="Q447" s="52"/>
      <c r="R447" s="52"/>
      <c r="S447" s="52"/>
      <c r="T447" s="52"/>
      <c r="V447" s="55"/>
      <c r="X447" s="55"/>
      <c r="Y447" s="56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</row>
    <row r="448" spans="1:44" ht="15.75" customHeight="1">
      <c r="A448" s="51"/>
      <c r="B448" s="51"/>
      <c r="D448" s="52"/>
      <c r="F448" s="52"/>
      <c r="G448" s="53"/>
      <c r="H448" s="52"/>
      <c r="I448" s="52"/>
      <c r="J448" s="52"/>
      <c r="K448" s="52"/>
      <c r="L448" s="54"/>
      <c r="M448" s="52"/>
      <c r="N448" s="52"/>
      <c r="O448" s="52"/>
      <c r="P448" s="52"/>
      <c r="Q448" s="52"/>
      <c r="R448" s="52"/>
      <c r="S448" s="52"/>
      <c r="T448" s="52"/>
      <c r="V448" s="55"/>
      <c r="X448" s="55"/>
      <c r="Y448" s="56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</row>
    <row r="449" spans="1:44" ht="15.75" customHeight="1">
      <c r="A449" s="51"/>
      <c r="B449" s="51"/>
      <c r="D449" s="52"/>
      <c r="F449" s="52"/>
      <c r="G449" s="53"/>
      <c r="H449" s="52"/>
      <c r="I449" s="52"/>
      <c r="J449" s="52"/>
      <c r="K449" s="52"/>
      <c r="L449" s="54"/>
      <c r="M449" s="52"/>
      <c r="N449" s="52"/>
      <c r="O449" s="52"/>
      <c r="P449" s="52"/>
      <c r="Q449" s="52"/>
      <c r="R449" s="52"/>
      <c r="S449" s="52"/>
      <c r="T449" s="52"/>
      <c r="V449" s="55"/>
      <c r="X449" s="55"/>
      <c r="Y449" s="56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</row>
    <row r="450" spans="1:44" ht="15.75" customHeight="1">
      <c r="A450" s="51"/>
      <c r="B450" s="51"/>
      <c r="D450" s="52"/>
      <c r="F450" s="52"/>
      <c r="G450" s="53"/>
      <c r="H450" s="52"/>
      <c r="I450" s="52"/>
      <c r="J450" s="52"/>
      <c r="K450" s="52"/>
      <c r="L450" s="54"/>
      <c r="M450" s="52"/>
      <c r="N450" s="52"/>
      <c r="O450" s="52"/>
      <c r="P450" s="52"/>
      <c r="Q450" s="52"/>
      <c r="R450" s="52"/>
      <c r="S450" s="52"/>
      <c r="T450" s="52"/>
      <c r="V450" s="55"/>
      <c r="X450" s="55"/>
      <c r="Y450" s="56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</row>
    <row r="451" spans="1:44" ht="15.75" customHeight="1">
      <c r="A451" s="51"/>
      <c r="B451" s="51"/>
      <c r="D451" s="52"/>
      <c r="F451" s="52"/>
      <c r="G451" s="53"/>
      <c r="H451" s="52"/>
      <c r="I451" s="52"/>
      <c r="J451" s="52"/>
      <c r="K451" s="52"/>
      <c r="L451" s="54"/>
      <c r="M451" s="52"/>
      <c r="N451" s="52"/>
      <c r="O451" s="52"/>
      <c r="P451" s="52"/>
      <c r="Q451" s="52"/>
      <c r="R451" s="52"/>
      <c r="S451" s="52"/>
      <c r="T451" s="52"/>
      <c r="V451" s="55"/>
      <c r="X451" s="55"/>
      <c r="Y451" s="56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</row>
    <row r="452" spans="1:44" ht="15.75" customHeight="1">
      <c r="A452" s="51"/>
      <c r="B452" s="51"/>
      <c r="D452" s="52"/>
      <c r="F452" s="52"/>
      <c r="G452" s="53"/>
      <c r="H452" s="52"/>
      <c r="I452" s="52"/>
      <c r="J452" s="52"/>
      <c r="K452" s="52"/>
      <c r="L452" s="54"/>
      <c r="M452" s="52"/>
      <c r="N452" s="52"/>
      <c r="O452" s="52"/>
      <c r="P452" s="52"/>
      <c r="Q452" s="52"/>
      <c r="R452" s="52"/>
      <c r="S452" s="52"/>
      <c r="T452" s="52"/>
      <c r="V452" s="55"/>
      <c r="X452" s="55"/>
      <c r="Y452" s="56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</row>
    <row r="453" spans="1:44" ht="15.75" customHeight="1">
      <c r="A453" s="51"/>
      <c r="B453" s="51"/>
      <c r="D453" s="52"/>
      <c r="F453" s="52"/>
      <c r="G453" s="53"/>
      <c r="H453" s="52"/>
      <c r="I453" s="52"/>
      <c r="J453" s="52"/>
      <c r="K453" s="52"/>
      <c r="L453" s="54"/>
      <c r="M453" s="52"/>
      <c r="N453" s="52"/>
      <c r="O453" s="52"/>
      <c r="P453" s="52"/>
      <c r="Q453" s="52"/>
      <c r="R453" s="52"/>
      <c r="S453" s="52"/>
      <c r="T453" s="52"/>
      <c r="V453" s="55"/>
      <c r="X453" s="55"/>
      <c r="Y453" s="56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</row>
    <row r="454" spans="1:44" ht="15.75" customHeight="1">
      <c r="A454" s="51"/>
      <c r="B454" s="51"/>
      <c r="D454" s="52"/>
      <c r="F454" s="52"/>
      <c r="G454" s="53"/>
      <c r="H454" s="52"/>
      <c r="I454" s="52"/>
      <c r="J454" s="52"/>
      <c r="K454" s="52"/>
      <c r="L454" s="54"/>
      <c r="M454" s="52"/>
      <c r="N454" s="52"/>
      <c r="O454" s="52"/>
      <c r="P454" s="52"/>
      <c r="Q454" s="52"/>
      <c r="R454" s="52"/>
      <c r="S454" s="52"/>
      <c r="T454" s="52"/>
      <c r="V454" s="55"/>
      <c r="X454" s="55"/>
      <c r="Y454" s="56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</row>
    <row r="455" spans="1:44" ht="15.75" customHeight="1">
      <c r="A455" s="51"/>
      <c r="B455" s="51"/>
      <c r="D455" s="52"/>
      <c r="F455" s="52"/>
      <c r="G455" s="53"/>
      <c r="H455" s="52"/>
      <c r="I455" s="52"/>
      <c r="J455" s="52"/>
      <c r="K455" s="52"/>
      <c r="L455" s="54"/>
      <c r="M455" s="52"/>
      <c r="N455" s="52"/>
      <c r="O455" s="52"/>
      <c r="P455" s="52"/>
      <c r="Q455" s="52"/>
      <c r="R455" s="52"/>
      <c r="S455" s="52"/>
      <c r="T455" s="52"/>
      <c r="V455" s="55"/>
      <c r="X455" s="55"/>
      <c r="Y455" s="56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</row>
    <row r="456" spans="1:44" ht="15.75" customHeight="1">
      <c r="A456" s="51"/>
      <c r="B456" s="51"/>
      <c r="D456" s="52"/>
      <c r="F456" s="52"/>
      <c r="G456" s="53"/>
      <c r="H456" s="52"/>
      <c r="I456" s="52"/>
      <c r="J456" s="52"/>
      <c r="K456" s="52"/>
      <c r="L456" s="54"/>
      <c r="M456" s="52"/>
      <c r="N456" s="52"/>
      <c r="O456" s="52"/>
      <c r="P456" s="52"/>
      <c r="Q456" s="52"/>
      <c r="R456" s="52"/>
      <c r="S456" s="52"/>
      <c r="T456" s="52"/>
      <c r="V456" s="55"/>
      <c r="X456" s="55"/>
      <c r="Y456" s="56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</row>
    <row r="457" spans="1:44" ht="15.75" customHeight="1">
      <c r="A457" s="51"/>
      <c r="B457" s="51"/>
      <c r="D457" s="52"/>
      <c r="F457" s="52"/>
      <c r="G457" s="53"/>
      <c r="H457" s="52"/>
      <c r="I457" s="52"/>
      <c r="J457" s="52"/>
      <c r="K457" s="52"/>
      <c r="L457" s="54"/>
      <c r="M457" s="52"/>
      <c r="N457" s="52"/>
      <c r="O457" s="52"/>
      <c r="P457" s="52"/>
      <c r="Q457" s="52"/>
      <c r="R457" s="52"/>
      <c r="S457" s="52"/>
      <c r="T457" s="52"/>
      <c r="V457" s="55"/>
      <c r="X457" s="55"/>
      <c r="Y457" s="56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</row>
    <row r="458" spans="1:44" ht="15.75" customHeight="1">
      <c r="A458" s="51"/>
      <c r="B458" s="51"/>
      <c r="D458" s="52"/>
      <c r="F458" s="52"/>
      <c r="G458" s="53"/>
      <c r="H458" s="52"/>
      <c r="I458" s="52"/>
      <c r="J458" s="52"/>
      <c r="K458" s="52"/>
      <c r="L458" s="54"/>
      <c r="M458" s="52"/>
      <c r="N458" s="52"/>
      <c r="O458" s="52"/>
      <c r="P458" s="52"/>
      <c r="Q458" s="52"/>
      <c r="R458" s="52"/>
      <c r="S458" s="52"/>
      <c r="T458" s="52"/>
      <c r="V458" s="55"/>
      <c r="X458" s="55"/>
      <c r="Y458" s="56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</row>
    <row r="459" spans="1:44" ht="15.75" customHeight="1">
      <c r="A459" s="51"/>
      <c r="B459" s="51"/>
      <c r="D459" s="52"/>
      <c r="F459" s="52"/>
      <c r="G459" s="53"/>
      <c r="H459" s="52"/>
      <c r="I459" s="52"/>
      <c r="J459" s="52"/>
      <c r="K459" s="52"/>
      <c r="L459" s="54"/>
      <c r="M459" s="52"/>
      <c r="N459" s="52"/>
      <c r="O459" s="52"/>
      <c r="P459" s="52"/>
      <c r="Q459" s="52"/>
      <c r="R459" s="52"/>
      <c r="S459" s="52"/>
      <c r="T459" s="52"/>
      <c r="V459" s="55"/>
      <c r="X459" s="55"/>
      <c r="Y459" s="56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</row>
    <row r="460" spans="1:44" ht="15.75" customHeight="1">
      <c r="A460" s="51"/>
      <c r="B460" s="51"/>
      <c r="D460" s="52"/>
      <c r="F460" s="52"/>
      <c r="G460" s="53"/>
      <c r="H460" s="52"/>
      <c r="I460" s="52"/>
      <c r="J460" s="52"/>
      <c r="K460" s="52"/>
      <c r="L460" s="54"/>
      <c r="M460" s="52"/>
      <c r="N460" s="52"/>
      <c r="O460" s="52"/>
      <c r="P460" s="52"/>
      <c r="Q460" s="52"/>
      <c r="R460" s="52"/>
      <c r="S460" s="52"/>
      <c r="T460" s="52"/>
      <c r="V460" s="55"/>
      <c r="X460" s="55"/>
      <c r="Y460" s="56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</row>
    <row r="461" spans="1:44" ht="15.75" customHeight="1">
      <c r="A461" s="51"/>
      <c r="B461" s="51"/>
      <c r="D461" s="52"/>
      <c r="F461" s="52"/>
      <c r="G461" s="53"/>
      <c r="H461" s="52"/>
      <c r="I461" s="52"/>
      <c r="J461" s="52"/>
      <c r="K461" s="52"/>
      <c r="L461" s="54"/>
      <c r="M461" s="52"/>
      <c r="N461" s="52"/>
      <c r="O461" s="52"/>
      <c r="P461" s="52"/>
      <c r="Q461" s="52"/>
      <c r="R461" s="52"/>
      <c r="S461" s="52"/>
      <c r="T461" s="52"/>
      <c r="V461" s="55"/>
      <c r="X461" s="55"/>
      <c r="Y461" s="56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</row>
    <row r="462" spans="1:44" ht="15.75" customHeight="1">
      <c r="A462" s="51"/>
      <c r="B462" s="51"/>
      <c r="D462" s="52"/>
      <c r="F462" s="52"/>
      <c r="G462" s="53"/>
      <c r="H462" s="52"/>
      <c r="I462" s="52"/>
      <c r="J462" s="52"/>
      <c r="K462" s="52"/>
      <c r="L462" s="54"/>
      <c r="M462" s="52"/>
      <c r="N462" s="52"/>
      <c r="O462" s="52"/>
      <c r="P462" s="52"/>
      <c r="Q462" s="52"/>
      <c r="R462" s="52"/>
      <c r="S462" s="52"/>
      <c r="T462" s="52"/>
      <c r="V462" s="55"/>
      <c r="X462" s="55"/>
      <c r="Y462" s="56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</row>
    <row r="463" spans="1:44" ht="15.75" customHeight="1">
      <c r="A463" s="51"/>
      <c r="B463" s="51"/>
      <c r="D463" s="52"/>
      <c r="F463" s="52"/>
      <c r="G463" s="53"/>
      <c r="H463" s="52"/>
      <c r="I463" s="52"/>
      <c r="J463" s="52"/>
      <c r="K463" s="52"/>
      <c r="L463" s="54"/>
      <c r="M463" s="52"/>
      <c r="N463" s="52"/>
      <c r="O463" s="52"/>
      <c r="P463" s="52"/>
      <c r="Q463" s="52"/>
      <c r="R463" s="52"/>
      <c r="S463" s="52"/>
      <c r="T463" s="52"/>
      <c r="V463" s="55"/>
      <c r="X463" s="55"/>
      <c r="Y463" s="56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</row>
    <row r="464" spans="1:44" ht="15.75" customHeight="1">
      <c r="A464" s="51"/>
      <c r="B464" s="51"/>
      <c r="D464" s="52"/>
      <c r="F464" s="52"/>
      <c r="G464" s="53"/>
      <c r="H464" s="52"/>
      <c r="I464" s="52"/>
      <c r="J464" s="52"/>
      <c r="K464" s="52"/>
      <c r="L464" s="54"/>
      <c r="M464" s="52"/>
      <c r="N464" s="52"/>
      <c r="O464" s="52"/>
      <c r="P464" s="52"/>
      <c r="Q464" s="52"/>
      <c r="R464" s="52"/>
      <c r="S464" s="52"/>
      <c r="T464" s="52"/>
      <c r="V464" s="55"/>
      <c r="X464" s="55"/>
      <c r="Y464" s="56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</row>
    <row r="465" spans="1:44" ht="15.75" customHeight="1">
      <c r="A465" s="51"/>
      <c r="B465" s="51"/>
      <c r="D465" s="52"/>
      <c r="F465" s="52"/>
      <c r="G465" s="53"/>
      <c r="H465" s="52"/>
      <c r="I465" s="52"/>
      <c r="J465" s="52"/>
      <c r="K465" s="52"/>
      <c r="L465" s="54"/>
      <c r="M465" s="52"/>
      <c r="N465" s="52"/>
      <c r="O465" s="52"/>
      <c r="P465" s="52"/>
      <c r="Q465" s="52"/>
      <c r="R465" s="52"/>
      <c r="S465" s="52"/>
      <c r="T465" s="52"/>
      <c r="V465" s="55"/>
      <c r="X465" s="55"/>
      <c r="Y465" s="56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</row>
    <row r="466" spans="1:44" ht="15.75" customHeight="1">
      <c r="A466" s="51"/>
      <c r="B466" s="51"/>
      <c r="D466" s="52"/>
      <c r="F466" s="52"/>
      <c r="G466" s="53"/>
      <c r="H466" s="52"/>
      <c r="I466" s="52"/>
      <c r="J466" s="52"/>
      <c r="K466" s="52"/>
      <c r="L466" s="54"/>
      <c r="M466" s="52"/>
      <c r="N466" s="52"/>
      <c r="O466" s="52"/>
      <c r="P466" s="52"/>
      <c r="Q466" s="52"/>
      <c r="R466" s="52"/>
      <c r="S466" s="52"/>
      <c r="T466" s="52"/>
      <c r="V466" s="55"/>
      <c r="X466" s="55"/>
      <c r="Y466" s="56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</row>
    <row r="467" spans="1:44" ht="15.75" customHeight="1">
      <c r="A467" s="51"/>
      <c r="B467" s="51"/>
      <c r="D467" s="52"/>
      <c r="F467" s="52"/>
      <c r="G467" s="53"/>
      <c r="H467" s="52"/>
      <c r="I467" s="52"/>
      <c r="J467" s="52"/>
      <c r="K467" s="52"/>
      <c r="L467" s="54"/>
      <c r="M467" s="52"/>
      <c r="N467" s="52"/>
      <c r="O467" s="52"/>
      <c r="P467" s="52"/>
      <c r="Q467" s="52"/>
      <c r="R467" s="52"/>
      <c r="S467" s="52"/>
      <c r="T467" s="52"/>
      <c r="V467" s="55"/>
      <c r="X467" s="55"/>
      <c r="Y467" s="56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</row>
    <row r="468" spans="1:44" ht="15.75" customHeight="1">
      <c r="A468" s="51"/>
      <c r="B468" s="51"/>
      <c r="D468" s="52"/>
      <c r="F468" s="52"/>
      <c r="G468" s="53"/>
      <c r="H468" s="52"/>
      <c r="I468" s="52"/>
      <c r="J468" s="52"/>
      <c r="K468" s="52"/>
      <c r="L468" s="54"/>
      <c r="M468" s="52"/>
      <c r="N468" s="52"/>
      <c r="O468" s="52"/>
      <c r="P468" s="52"/>
      <c r="Q468" s="52"/>
      <c r="R468" s="52"/>
      <c r="S468" s="52"/>
      <c r="T468" s="52"/>
      <c r="V468" s="55"/>
      <c r="X468" s="55"/>
      <c r="Y468" s="56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</row>
    <row r="469" spans="1:44" ht="15.75" customHeight="1">
      <c r="A469" s="51"/>
      <c r="B469" s="51"/>
      <c r="D469" s="52"/>
      <c r="F469" s="52"/>
      <c r="G469" s="53"/>
      <c r="H469" s="52"/>
      <c r="I469" s="52"/>
      <c r="J469" s="52"/>
      <c r="K469" s="52"/>
      <c r="L469" s="54"/>
      <c r="M469" s="52"/>
      <c r="N469" s="52"/>
      <c r="O469" s="52"/>
      <c r="P469" s="52"/>
      <c r="Q469" s="52"/>
      <c r="R469" s="52"/>
      <c r="S469" s="52"/>
      <c r="T469" s="52"/>
      <c r="V469" s="55"/>
      <c r="X469" s="55"/>
      <c r="Y469" s="56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</row>
    <row r="470" spans="1:44" ht="15.75" customHeight="1">
      <c r="A470" s="51"/>
      <c r="B470" s="51"/>
      <c r="D470" s="52"/>
      <c r="F470" s="52"/>
      <c r="G470" s="53"/>
      <c r="H470" s="52"/>
      <c r="I470" s="52"/>
      <c r="J470" s="52"/>
      <c r="K470" s="52"/>
      <c r="L470" s="54"/>
      <c r="M470" s="52"/>
      <c r="N470" s="52"/>
      <c r="O470" s="52"/>
      <c r="P470" s="52"/>
      <c r="Q470" s="52"/>
      <c r="R470" s="52"/>
      <c r="S470" s="52"/>
      <c r="T470" s="52"/>
      <c r="V470" s="55"/>
      <c r="X470" s="55"/>
      <c r="Y470" s="56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</row>
    <row r="471" spans="1:44" ht="15.75" customHeight="1">
      <c r="A471" s="51"/>
      <c r="B471" s="51"/>
      <c r="D471" s="52"/>
      <c r="F471" s="52"/>
      <c r="G471" s="53"/>
      <c r="H471" s="52"/>
      <c r="I471" s="52"/>
      <c r="J471" s="52"/>
      <c r="K471" s="52"/>
      <c r="L471" s="54"/>
      <c r="M471" s="52"/>
      <c r="N471" s="52"/>
      <c r="O471" s="52"/>
      <c r="P471" s="52"/>
      <c r="Q471" s="52"/>
      <c r="R471" s="52"/>
      <c r="S471" s="52"/>
      <c r="T471" s="52"/>
      <c r="V471" s="55"/>
      <c r="X471" s="55"/>
      <c r="Y471" s="56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</row>
    <row r="472" spans="1:44" ht="15.75" customHeight="1">
      <c r="A472" s="51"/>
      <c r="B472" s="51"/>
      <c r="D472" s="52"/>
      <c r="F472" s="52"/>
      <c r="G472" s="53"/>
      <c r="H472" s="52"/>
      <c r="I472" s="52"/>
      <c r="J472" s="52"/>
      <c r="K472" s="52"/>
      <c r="L472" s="54"/>
      <c r="M472" s="52"/>
      <c r="N472" s="52"/>
      <c r="O472" s="52"/>
      <c r="P472" s="52"/>
      <c r="Q472" s="52"/>
      <c r="R472" s="52"/>
      <c r="S472" s="52"/>
      <c r="T472" s="52"/>
      <c r="V472" s="55"/>
      <c r="X472" s="55"/>
      <c r="Y472" s="56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</row>
    <row r="473" spans="1:44" ht="15.75" customHeight="1">
      <c r="A473" s="51"/>
      <c r="B473" s="51"/>
      <c r="D473" s="52"/>
      <c r="F473" s="52"/>
      <c r="G473" s="53"/>
      <c r="H473" s="52"/>
      <c r="I473" s="52"/>
      <c r="J473" s="52"/>
      <c r="K473" s="52"/>
      <c r="L473" s="54"/>
      <c r="M473" s="52"/>
      <c r="N473" s="52"/>
      <c r="O473" s="52"/>
      <c r="P473" s="52"/>
      <c r="Q473" s="52"/>
      <c r="R473" s="52"/>
      <c r="S473" s="52"/>
      <c r="T473" s="52"/>
      <c r="V473" s="55"/>
      <c r="X473" s="55"/>
      <c r="Y473" s="56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</row>
    <row r="474" spans="1:44" ht="15.75" customHeight="1">
      <c r="A474" s="51"/>
      <c r="B474" s="51"/>
      <c r="D474" s="52"/>
      <c r="F474" s="52"/>
      <c r="G474" s="53"/>
      <c r="H474" s="52"/>
      <c r="I474" s="52"/>
      <c r="J474" s="52"/>
      <c r="K474" s="52"/>
      <c r="L474" s="54"/>
      <c r="M474" s="52"/>
      <c r="N474" s="52"/>
      <c r="O474" s="52"/>
      <c r="P474" s="52"/>
      <c r="Q474" s="52"/>
      <c r="R474" s="52"/>
      <c r="S474" s="52"/>
      <c r="T474" s="52"/>
      <c r="V474" s="55"/>
      <c r="X474" s="55"/>
      <c r="Y474" s="56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</row>
    <row r="475" spans="1:44" ht="15.75" customHeight="1">
      <c r="A475" s="51"/>
      <c r="B475" s="51"/>
      <c r="D475" s="52"/>
      <c r="F475" s="52"/>
      <c r="G475" s="53"/>
      <c r="H475" s="52"/>
      <c r="I475" s="52"/>
      <c r="J475" s="52"/>
      <c r="K475" s="52"/>
      <c r="L475" s="54"/>
      <c r="M475" s="52"/>
      <c r="N475" s="52"/>
      <c r="O475" s="52"/>
      <c r="P475" s="52"/>
      <c r="Q475" s="52"/>
      <c r="R475" s="52"/>
      <c r="S475" s="52"/>
      <c r="T475" s="52"/>
      <c r="V475" s="55"/>
      <c r="X475" s="55"/>
      <c r="Y475" s="56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</row>
    <row r="476" spans="1:44" ht="15.75" customHeight="1">
      <c r="A476" s="51"/>
      <c r="B476" s="51"/>
      <c r="D476" s="52"/>
      <c r="F476" s="52"/>
      <c r="G476" s="53"/>
      <c r="H476" s="52"/>
      <c r="I476" s="52"/>
      <c r="J476" s="52"/>
      <c r="K476" s="52"/>
      <c r="L476" s="54"/>
      <c r="M476" s="52"/>
      <c r="N476" s="52"/>
      <c r="O476" s="52"/>
      <c r="P476" s="52"/>
      <c r="Q476" s="52"/>
      <c r="R476" s="52"/>
      <c r="S476" s="52"/>
      <c r="T476" s="52"/>
      <c r="V476" s="55"/>
      <c r="X476" s="55"/>
      <c r="Y476" s="56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</row>
    <row r="477" spans="1:44" ht="15.75" customHeight="1">
      <c r="A477" s="51"/>
      <c r="B477" s="51"/>
      <c r="D477" s="52"/>
      <c r="F477" s="52"/>
      <c r="G477" s="53"/>
      <c r="H477" s="52"/>
      <c r="I477" s="52"/>
      <c r="J477" s="52"/>
      <c r="K477" s="52"/>
      <c r="L477" s="54"/>
      <c r="M477" s="52"/>
      <c r="N477" s="52"/>
      <c r="O477" s="52"/>
      <c r="P477" s="52"/>
      <c r="Q477" s="52"/>
      <c r="R477" s="52"/>
      <c r="S477" s="52"/>
      <c r="T477" s="52"/>
      <c r="V477" s="55"/>
      <c r="X477" s="55"/>
      <c r="Y477" s="56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</row>
    <row r="478" spans="1:44" ht="15.75" customHeight="1">
      <c r="A478" s="51"/>
      <c r="B478" s="51"/>
      <c r="D478" s="52"/>
      <c r="F478" s="52"/>
      <c r="G478" s="53"/>
      <c r="H478" s="52"/>
      <c r="I478" s="52"/>
      <c r="J478" s="52"/>
      <c r="K478" s="52"/>
      <c r="L478" s="54"/>
      <c r="M478" s="52"/>
      <c r="N478" s="52"/>
      <c r="O478" s="52"/>
      <c r="P478" s="52"/>
      <c r="Q478" s="52"/>
      <c r="R478" s="52"/>
      <c r="S478" s="52"/>
      <c r="T478" s="52"/>
      <c r="V478" s="55"/>
      <c r="X478" s="55"/>
      <c r="Y478" s="56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</row>
    <row r="479" spans="1:44" ht="15.75" customHeight="1">
      <c r="A479" s="51"/>
      <c r="B479" s="51"/>
      <c r="D479" s="52"/>
      <c r="F479" s="52"/>
      <c r="G479" s="53"/>
      <c r="H479" s="52"/>
      <c r="I479" s="52"/>
      <c r="J479" s="52"/>
      <c r="K479" s="52"/>
      <c r="L479" s="54"/>
      <c r="M479" s="52"/>
      <c r="N479" s="52"/>
      <c r="O479" s="52"/>
      <c r="P479" s="52"/>
      <c r="Q479" s="52"/>
      <c r="R479" s="52"/>
      <c r="S479" s="52"/>
      <c r="T479" s="52"/>
      <c r="V479" s="55"/>
      <c r="X479" s="55"/>
      <c r="Y479" s="56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</row>
    <row r="480" spans="1:44" ht="15.75" customHeight="1">
      <c r="A480" s="51"/>
      <c r="B480" s="51"/>
      <c r="D480" s="52"/>
      <c r="F480" s="52"/>
      <c r="G480" s="53"/>
      <c r="H480" s="52"/>
      <c r="I480" s="52"/>
      <c r="J480" s="52"/>
      <c r="K480" s="52"/>
      <c r="L480" s="54"/>
      <c r="M480" s="52"/>
      <c r="N480" s="52"/>
      <c r="O480" s="52"/>
      <c r="P480" s="52"/>
      <c r="Q480" s="52"/>
      <c r="R480" s="52"/>
      <c r="S480" s="52"/>
      <c r="T480" s="52"/>
      <c r="V480" s="55"/>
      <c r="X480" s="55"/>
      <c r="Y480" s="56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</row>
    <row r="481" spans="1:44" ht="15.75" customHeight="1">
      <c r="A481" s="51"/>
      <c r="B481" s="51"/>
      <c r="D481" s="52"/>
      <c r="F481" s="52"/>
      <c r="G481" s="53"/>
      <c r="H481" s="52"/>
      <c r="I481" s="52"/>
      <c r="J481" s="52"/>
      <c r="K481" s="52"/>
      <c r="L481" s="54"/>
      <c r="M481" s="52"/>
      <c r="N481" s="52"/>
      <c r="O481" s="52"/>
      <c r="P481" s="52"/>
      <c r="Q481" s="52"/>
      <c r="R481" s="52"/>
      <c r="S481" s="52"/>
      <c r="T481" s="52"/>
      <c r="V481" s="55"/>
      <c r="X481" s="55"/>
      <c r="Y481" s="56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</row>
    <row r="482" spans="1:44" ht="15.75" customHeight="1">
      <c r="A482" s="51"/>
      <c r="B482" s="51"/>
      <c r="D482" s="52"/>
      <c r="F482" s="52"/>
      <c r="G482" s="53"/>
      <c r="H482" s="52"/>
      <c r="I482" s="52"/>
      <c r="J482" s="52"/>
      <c r="K482" s="52"/>
      <c r="L482" s="54"/>
      <c r="M482" s="52"/>
      <c r="N482" s="52"/>
      <c r="O482" s="52"/>
      <c r="P482" s="52"/>
      <c r="Q482" s="52"/>
      <c r="R482" s="52"/>
      <c r="S482" s="52"/>
      <c r="T482" s="52"/>
      <c r="V482" s="55"/>
      <c r="X482" s="55"/>
      <c r="Y482" s="56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</row>
    <row r="483" spans="1:44" ht="15.75" customHeight="1">
      <c r="A483" s="51"/>
      <c r="B483" s="51"/>
      <c r="D483" s="52"/>
      <c r="F483" s="52"/>
      <c r="G483" s="53"/>
      <c r="H483" s="52"/>
      <c r="I483" s="52"/>
      <c r="J483" s="52"/>
      <c r="K483" s="52"/>
      <c r="L483" s="54"/>
      <c r="M483" s="52"/>
      <c r="N483" s="52"/>
      <c r="O483" s="52"/>
      <c r="P483" s="52"/>
      <c r="Q483" s="52"/>
      <c r="R483" s="52"/>
      <c r="S483" s="52"/>
      <c r="T483" s="52"/>
      <c r="V483" s="55"/>
      <c r="X483" s="55"/>
      <c r="Y483" s="56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</row>
    <row r="484" spans="1:44" ht="15.75" customHeight="1">
      <c r="A484" s="51"/>
      <c r="B484" s="51"/>
      <c r="D484" s="52"/>
      <c r="F484" s="52"/>
      <c r="G484" s="53"/>
      <c r="H484" s="52"/>
      <c r="I484" s="52"/>
      <c r="J484" s="52"/>
      <c r="K484" s="52"/>
      <c r="L484" s="54"/>
      <c r="M484" s="52"/>
      <c r="N484" s="52"/>
      <c r="O484" s="52"/>
      <c r="P484" s="52"/>
      <c r="Q484" s="52"/>
      <c r="R484" s="52"/>
      <c r="S484" s="52"/>
      <c r="T484" s="52"/>
      <c r="V484" s="55"/>
      <c r="X484" s="55"/>
      <c r="Y484" s="56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</row>
    <row r="485" spans="1:44" ht="15.75" customHeight="1">
      <c r="A485" s="51"/>
      <c r="B485" s="51"/>
      <c r="D485" s="52"/>
      <c r="F485" s="52"/>
      <c r="G485" s="53"/>
      <c r="H485" s="52"/>
      <c r="I485" s="52"/>
      <c r="J485" s="52"/>
      <c r="K485" s="52"/>
      <c r="L485" s="54"/>
      <c r="M485" s="52"/>
      <c r="N485" s="52"/>
      <c r="O485" s="52"/>
      <c r="P485" s="52"/>
      <c r="Q485" s="52"/>
      <c r="R485" s="52"/>
      <c r="S485" s="52"/>
      <c r="T485" s="52"/>
      <c r="V485" s="55"/>
      <c r="X485" s="55"/>
      <c r="Y485" s="56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</row>
    <row r="486" spans="1:44" ht="15.75" customHeight="1">
      <c r="A486" s="51"/>
      <c r="B486" s="51"/>
      <c r="D486" s="52"/>
      <c r="F486" s="52"/>
      <c r="G486" s="53"/>
      <c r="H486" s="52"/>
      <c r="I486" s="52"/>
      <c r="J486" s="52"/>
      <c r="K486" s="52"/>
      <c r="L486" s="54"/>
      <c r="M486" s="52"/>
      <c r="N486" s="52"/>
      <c r="O486" s="52"/>
      <c r="P486" s="52"/>
      <c r="Q486" s="52"/>
      <c r="R486" s="52"/>
      <c r="S486" s="52"/>
      <c r="T486" s="52"/>
      <c r="V486" s="55"/>
      <c r="X486" s="55"/>
      <c r="Y486" s="56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</row>
    <row r="487" spans="1:44" ht="15.75" customHeight="1">
      <c r="A487" s="51"/>
      <c r="B487" s="51"/>
      <c r="D487" s="52"/>
      <c r="F487" s="52"/>
      <c r="G487" s="53"/>
      <c r="H487" s="52"/>
      <c r="I487" s="52"/>
      <c r="J487" s="52"/>
      <c r="K487" s="52"/>
      <c r="L487" s="54"/>
      <c r="M487" s="52"/>
      <c r="N487" s="52"/>
      <c r="O487" s="52"/>
      <c r="P487" s="52"/>
      <c r="Q487" s="52"/>
      <c r="R487" s="52"/>
      <c r="S487" s="52"/>
      <c r="T487" s="52"/>
      <c r="V487" s="55"/>
      <c r="X487" s="55"/>
      <c r="Y487" s="56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</row>
    <row r="488" spans="1:44" ht="15.75" customHeight="1">
      <c r="A488" s="51"/>
      <c r="B488" s="51"/>
      <c r="D488" s="52"/>
      <c r="F488" s="52"/>
      <c r="G488" s="53"/>
      <c r="H488" s="52"/>
      <c r="I488" s="52"/>
      <c r="J488" s="52"/>
      <c r="K488" s="52"/>
      <c r="L488" s="54"/>
      <c r="M488" s="52"/>
      <c r="N488" s="52"/>
      <c r="O488" s="52"/>
      <c r="P488" s="52"/>
      <c r="Q488" s="52"/>
      <c r="R488" s="52"/>
      <c r="S488" s="52"/>
      <c r="T488" s="52"/>
      <c r="V488" s="55"/>
      <c r="X488" s="55"/>
      <c r="Y488" s="56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</row>
    <row r="489" spans="1:44" ht="15.75" customHeight="1">
      <c r="A489" s="51"/>
      <c r="B489" s="51"/>
      <c r="D489" s="52"/>
      <c r="F489" s="52"/>
      <c r="G489" s="53"/>
      <c r="H489" s="52"/>
      <c r="I489" s="52"/>
      <c r="J489" s="52"/>
      <c r="K489" s="52"/>
      <c r="L489" s="54"/>
      <c r="M489" s="52"/>
      <c r="N489" s="52"/>
      <c r="O489" s="52"/>
      <c r="P489" s="52"/>
      <c r="Q489" s="52"/>
      <c r="R489" s="52"/>
      <c r="S489" s="52"/>
      <c r="T489" s="52"/>
      <c r="V489" s="55"/>
      <c r="X489" s="55"/>
      <c r="Y489" s="56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</row>
    <row r="490" spans="1:44" ht="15.75" customHeight="1">
      <c r="A490" s="51"/>
      <c r="B490" s="51"/>
      <c r="D490" s="52"/>
      <c r="F490" s="52"/>
      <c r="G490" s="53"/>
      <c r="H490" s="52"/>
      <c r="I490" s="52"/>
      <c r="J490" s="52"/>
      <c r="K490" s="52"/>
      <c r="L490" s="54"/>
      <c r="M490" s="52"/>
      <c r="N490" s="52"/>
      <c r="O490" s="52"/>
      <c r="P490" s="52"/>
      <c r="Q490" s="52"/>
      <c r="R490" s="52"/>
      <c r="S490" s="52"/>
      <c r="T490" s="52"/>
      <c r="V490" s="55"/>
      <c r="X490" s="55"/>
      <c r="Y490" s="56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</row>
    <row r="491" spans="1:44" ht="15.75" customHeight="1">
      <c r="A491" s="51"/>
      <c r="B491" s="51"/>
      <c r="D491" s="52"/>
      <c r="F491" s="52"/>
      <c r="G491" s="53"/>
      <c r="H491" s="52"/>
      <c r="I491" s="52"/>
      <c r="J491" s="52"/>
      <c r="K491" s="52"/>
      <c r="L491" s="54"/>
      <c r="M491" s="52"/>
      <c r="N491" s="52"/>
      <c r="O491" s="52"/>
      <c r="P491" s="52"/>
      <c r="Q491" s="52"/>
      <c r="R491" s="52"/>
      <c r="S491" s="52"/>
      <c r="T491" s="52"/>
      <c r="V491" s="55"/>
      <c r="X491" s="55"/>
      <c r="Y491" s="56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</row>
    <row r="492" spans="1:44" ht="15.75" customHeight="1">
      <c r="A492" s="51"/>
      <c r="B492" s="51"/>
      <c r="D492" s="52"/>
      <c r="F492" s="52"/>
      <c r="G492" s="53"/>
      <c r="H492" s="52"/>
      <c r="I492" s="52"/>
      <c r="J492" s="52"/>
      <c r="K492" s="52"/>
      <c r="L492" s="54"/>
      <c r="M492" s="52"/>
      <c r="N492" s="52"/>
      <c r="O492" s="52"/>
      <c r="P492" s="52"/>
      <c r="Q492" s="52"/>
      <c r="R492" s="52"/>
      <c r="S492" s="52"/>
      <c r="T492" s="52"/>
      <c r="V492" s="55"/>
      <c r="X492" s="55"/>
      <c r="Y492" s="56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</row>
    <row r="493" spans="1:44" ht="15.75" customHeight="1">
      <c r="A493" s="51"/>
      <c r="B493" s="51"/>
      <c r="D493" s="52"/>
      <c r="F493" s="52"/>
      <c r="G493" s="53"/>
      <c r="H493" s="52"/>
      <c r="I493" s="52"/>
      <c r="J493" s="52"/>
      <c r="K493" s="52"/>
      <c r="L493" s="54"/>
      <c r="M493" s="52"/>
      <c r="N493" s="52"/>
      <c r="O493" s="52"/>
      <c r="P493" s="52"/>
      <c r="Q493" s="52"/>
      <c r="R493" s="52"/>
      <c r="S493" s="52"/>
      <c r="T493" s="52"/>
      <c r="V493" s="55"/>
      <c r="X493" s="55"/>
      <c r="Y493" s="56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</row>
    <row r="494" spans="1:44" ht="15.75" customHeight="1">
      <c r="A494" s="51"/>
      <c r="B494" s="51"/>
      <c r="D494" s="52"/>
      <c r="F494" s="52"/>
      <c r="G494" s="53"/>
      <c r="H494" s="52"/>
      <c r="I494" s="52"/>
      <c r="J494" s="52"/>
      <c r="K494" s="52"/>
      <c r="L494" s="54"/>
      <c r="M494" s="52"/>
      <c r="N494" s="52"/>
      <c r="O494" s="52"/>
      <c r="P494" s="52"/>
      <c r="Q494" s="52"/>
      <c r="R494" s="52"/>
      <c r="S494" s="52"/>
      <c r="T494" s="52"/>
      <c r="V494" s="55"/>
      <c r="X494" s="55"/>
      <c r="Y494" s="56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</row>
    <row r="495" spans="1:44" ht="15.75" customHeight="1">
      <c r="A495" s="51"/>
      <c r="B495" s="51"/>
      <c r="D495" s="52"/>
      <c r="F495" s="52"/>
      <c r="G495" s="53"/>
      <c r="H495" s="52"/>
      <c r="I495" s="52"/>
      <c r="J495" s="52"/>
      <c r="K495" s="52"/>
      <c r="L495" s="54"/>
      <c r="M495" s="52"/>
      <c r="N495" s="52"/>
      <c r="O495" s="52"/>
      <c r="P495" s="52"/>
      <c r="Q495" s="52"/>
      <c r="R495" s="52"/>
      <c r="S495" s="52"/>
      <c r="T495" s="52"/>
      <c r="V495" s="55"/>
      <c r="X495" s="55"/>
      <c r="Y495" s="56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</row>
    <row r="496" spans="1:44" ht="15.75" customHeight="1">
      <c r="A496" s="51"/>
      <c r="B496" s="51"/>
      <c r="D496" s="52"/>
      <c r="F496" s="52"/>
      <c r="G496" s="53"/>
      <c r="H496" s="52"/>
      <c r="I496" s="52"/>
      <c r="J496" s="52"/>
      <c r="K496" s="52"/>
      <c r="L496" s="54"/>
      <c r="M496" s="52"/>
      <c r="N496" s="52"/>
      <c r="O496" s="52"/>
      <c r="P496" s="52"/>
      <c r="Q496" s="52"/>
      <c r="R496" s="52"/>
      <c r="S496" s="52"/>
      <c r="T496" s="52"/>
      <c r="V496" s="55"/>
      <c r="X496" s="55"/>
      <c r="Y496" s="56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</row>
    <row r="497" spans="1:44" ht="15.75" customHeight="1">
      <c r="A497" s="51"/>
      <c r="B497" s="51"/>
      <c r="D497" s="52"/>
      <c r="F497" s="52"/>
      <c r="G497" s="53"/>
      <c r="H497" s="52"/>
      <c r="I497" s="52"/>
      <c r="J497" s="52"/>
      <c r="K497" s="52"/>
      <c r="L497" s="54"/>
      <c r="M497" s="52"/>
      <c r="N497" s="52"/>
      <c r="O497" s="52"/>
      <c r="P497" s="52"/>
      <c r="Q497" s="52"/>
      <c r="R497" s="52"/>
      <c r="S497" s="52"/>
      <c r="T497" s="52"/>
      <c r="V497" s="55"/>
      <c r="X497" s="55"/>
      <c r="Y497" s="56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</row>
    <row r="498" spans="1:44" ht="15.75" customHeight="1">
      <c r="A498" s="51"/>
      <c r="B498" s="51"/>
      <c r="D498" s="52"/>
      <c r="F498" s="52"/>
      <c r="G498" s="53"/>
      <c r="H498" s="52"/>
      <c r="I498" s="52"/>
      <c r="J498" s="52"/>
      <c r="K498" s="52"/>
      <c r="L498" s="54"/>
      <c r="M498" s="52"/>
      <c r="N498" s="52"/>
      <c r="O498" s="52"/>
      <c r="P498" s="52"/>
      <c r="Q498" s="52"/>
      <c r="R498" s="52"/>
      <c r="S498" s="52"/>
      <c r="T498" s="52"/>
      <c r="V498" s="55"/>
      <c r="X498" s="55"/>
      <c r="Y498" s="56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</row>
    <row r="499" spans="1:44" ht="15.75" customHeight="1">
      <c r="A499" s="51"/>
      <c r="B499" s="51"/>
      <c r="D499" s="52"/>
      <c r="F499" s="52"/>
      <c r="G499" s="53"/>
      <c r="H499" s="52"/>
      <c r="I499" s="52"/>
      <c r="J499" s="52"/>
      <c r="K499" s="52"/>
      <c r="L499" s="54"/>
      <c r="M499" s="52"/>
      <c r="N499" s="52"/>
      <c r="O499" s="52"/>
      <c r="P499" s="52"/>
      <c r="Q499" s="52"/>
      <c r="R499" s="52"/>
      <c r="S499" s="52"/>
      <c r="T499" s="52"/>
      <c r="V499" s="55"/>
      <c r="X499" s="55"/>
      <c r="Y499" s="56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</row>
    <row r="500" spans="1:44" ht="15.75" customHeight="1">
      <c r="A500" s="51"/>
      <c r="B500" s="51"/>
      <c r="D500" s="52"/>
      <c r="F500" s="52"/>
      <c r="G500" s="53"/>
      <c r="H500" s="52"/>
      <c r="I500" s="52"/>
      <c r="J500" s="52"/>
      <c r="K500" s="52"/>
      <c r="L500" s="54"/>
      <c r="M500" s="52"/>
      <c r="N500" s="52"/>
      <c r="O500" s="52"/>
      <c r="P500" s="52"/>
      <c r="Q500" s="52"/>
      <c r="R500" s="52"/>
      <c r="S500" s="52"/>
      <c r="T500" s="52"/>
      <c r="V500" s="55"/>
      <c r="X500" s="55"/>
      <c r="Y500" s="56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</row>
    <row r="501" spans="1:44" ht="15.75" customHeight="1">
      <c r="A501" s="51"/>
      <c r="B501" s="51"/>
      <c r="D501" s="52"/>
      <c r="F501" s="52"/>
      <c r="G501" s="53"/>
      <c r="H501" s="52"/>
      <c r="I501" s="52"/>
      <c r="J501" s="52"/>
      <c r="K501" s="52"/>
      <c r="L501" s="54"/>
      <c r="M501" s="52"/>
      <c r="N501" s="52"/>
      <c r="O501" s="52"/>
      <c r="P501" s="52"/>
      <c r="Q501" s="52"/>
      <c r="R501" s="52"/>
      <c r="S501" s="52"/>
      <c r="T501" s="52"/>
      <c r="V501" s="55"/>
      <c r="X501" s="55"/>
      <c r="Y501" s="56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</row>
    <row r="502" spans="1:44" ht="15.75" customHeight="1">
      <c r="A502" s="51"/>
      <c r="B502" s="51"/>
      <c r="D502" s="52"/>
      <c r="F502" s="52"/>
      <c r="G502" s="53"/>
      <c r="H502" s="52"/>
      <c r="I502" s="52"/>
      <c r="J502" s="52"/>
      <c r="K502" s="52"/>
      <c r="L502" s="54"/>
      <c r="M502" s="52"/>
      <c r="N502" s="52"/>
      <c r="O502" s="52"/>
      <c r="P502" s="52"/>
      <c r="Q502" s="52"/>
      <c r="R502" s="52"/>
      <c r="S502" s="52"/>
      <c r="T502" s="52"/>
      <c r="V502" s="55"/>
      <c r="X502" s="55"/>
      <c r="Y502" s="56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</row>
    <row r="503" spans="1:44" ht="15.75" customHeight="1">
      <c r="A503" s="51"/>
      <c r="B503" s="51"/>
      <c r="D503" s="52"/>
      <c r="F503" s="52"/>
      <c r="G503" s="53"/>
      <c r="H503" s="52"/>
      <c r="I503" s="52"/>
      <c r="J503" s="52"/>
      <c r="K503" s="52"/>
      <c r="L503" s="54"/>
      <c r="M503" s="52"/>
      <c r="N503" s="52"/>
      <c r="O503" s="52"/>
      <c r="P503" s="52"/>
      <c r="Q503" s="52"/>
      <c r="R503" s="52"/>
      <c r="S503" s="52"/>
      <c r="T503" s="52"/>
      <c r="V503" s="55"/>
      <c r="X503" s="55"/>
      <c r="Y503" s="56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</row>
    <row r="504" spans="1:44" ht="15.75" customHeight="1">
      <c r="A504" s="51"/>
      <c r="B504" s="51"/>
      <c r="D504" s="52"/>
      <c r="F504" s="52"/>
      <c r="G504" s="53"/>
      <c r="H504" s="52"/>
      <c r="I504" s="52"/>
      <c r="J504" s="52"/>
      <c r="K504" s="52"/>
      <c r="L504" s="54"/>
      <c r="M504" s="52"/>
      <c r="N504" s="52"/>
      <c r="O504" s="52"/>
      <c r="P504" s="52"/>
      <c r="Q504" s="52"/>
      <c r="R504" s="52"/>
      <c r="S504" s="52"/>
      <c r="T504" s="52"/>
      <c r="V504" s="55"/>
      <c r="X504" s="55"/>
      <c r="Y504" s="56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</row>
    <row r="505" spans="1:44" ht="15.75" customHeight="1">
      <c r="A505" s="51"/>
      <c r="B505" s="51"/>
      <c r="D505" s="52"/>
      <c r="F505" s="52"/>
      <c r="G505" s="53"/>
      <c r="H505" s="52"/>
      <c r="I505" s="52"/>
      <c r="J505" s="52"/>
      <c r="K505" s="52"/>
      <c r="L505" s="54"/>
      <c r="M505" s="52"/>
      <c r="N505" s="52"/>
      <c r="O505" s="52"/>
      <c r="P505" s="52"/>
      <c r="Q505" s="52"/>
      <c r="R505" s="52"/>
      <c r="S505" s="52"/>
      <c r="T505" s="52"/>
      <c r="V505" s="55"/>
      <c r="X505" s="55"/>
      <c r="Y505" s="56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</row>
    <row r="506" spans="1:44" ht="15.75" customHeight="1">
      <c r="A506" s="51"/>
      <c r="B506" s="51"/>
      <c r="D506" s="52"/>
      <c r="F506" s="52"/>
      <c r="G506" s="53"/>
      <c r="H506" s="52"/>
      <c r="I506" s="52"/>
      <c r="J506" s="52"/>
      <c r="K506" s="52"/>
      <c r="L506" s="54"/>
      <c r="M506" s="52"/>
      <c r="N506" s="52"/>
      <c r="O506" s="52"/>
      <c r="P506" s="52"/>
      <c r="Q506" s="52"/>
      <c r="R506" s="52"/>
      <c r="S506" s="52"/>
      <c r="T506" s="52"/>
      <c r="V506" s="55"/>
      <c r="X506" s="55"/>
      <c r="Y506" s="56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</row>
    <row r="507" spans="1:44" ht="15.75" customHeight="1">
      <c r="A507" s="51"/>
      <c r="B507" s="51"/>
      <c r="D507" s="52"/>
      <c r="F507" s="52"/>
      <c r="G507" s="53"/>
      <c r="H507" s="52"/>
      <c r="I507" s="52"/>
      <c r="J507" s="52"/>
      <c r="K507" s="52"/>
      <c r="L507" s="54"/>
      <c r="M507" s="52"/>
      <c r="N507" s="52"/>
      <c r="O507" s="52"/>
      <c r="P507" s="52"/>
      <c r="Q507" s="52"/>
      <c r="R507" s="52"/>
      <c r="S507" s="52"/>
      <c r="T507" s="52"/>
      <c r="V507" s="55"/>
      <c r="X507" s="55"/>
      <c r="Y507" s="56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</row>
    <row r="508" spans="1:44" ht="15.75" customHeight="1">
      <c r="A508" s="51"/>
      <c r="B508" s="51"/>
      <c r="D508" s="52"/>
      <c r="F508" s="52"/>
      <c r="G508" s="53"/>
      <c r="H508" s="52"/>
      <c r="I508" s="52"/>
      <c r="J508" s="52"/>
      <c r="K508" s="52"/>
      <c r="L508" s="54"/>
      <c r="M508" s="52"/>
      <c r="N508" s="52"/>
      <c r="O508" s="52"/>
      <c r="P508" s="52"/>
      <c r="Q508" s="52"/>
      <c r="R508" s="52"/>
      <c r="S508" s="52"/>
      <c r="T508" s="52"/>
      <c r="V508" s="55"/>
      <c r="X508" s="55"/>
      <c r="Y508" s="56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</row>
    <row r="509" spans="1:44" ht="15.75" customHeight="1">
      <c r="A509" s="51"/>
      <c r="B509" s="51"/>
      <c r="D509" s="52"/>
      <c r="F509" s="52"/>
      <c r="G509" s="53"/>
      <c r="H509" s="52"/>
      <c r="I509" s="52"/>
      <c r="J509" s="52"/>
      <c r="K509" s="52"/>
      <c r="L509" s="54"/>
      <c r="M509" s="52"/>
      <c r="N509" s="52"/>
      <c r="O509" s="52"/>
      <c r="P509" s="52"/>
      <c r="Q509" s="52"/>
      <c r="R509" s="52"/>
      <c r="S509" s="52"/>
      <c r="T509" s="52"/>
      <c r="V509" s="55"/>
      <c r="X509" s="55"/>
      <c r="Y509" s="56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</row>
    <row r="510" spans="1:44" ht="15.75" customHeight="1">
      <c r="A510" s="51"/>
      <c r="B510" s="51"/>
      <c r="D510" s="52"/>
      <c r="F510" s="52"/>
      <c r="G510" s="53"/>
      <c r="H510" s="52"/>
      <c r="I510" s="52"/>
      <c r="J510" s="52"/>
      <c r="K510" s="52"/>
      <c r="L510" s="54"/>
      <c r="M510" s="52"/>
      <c r="N510" s="52"/>
      <c r="O510" s="52"/>
      <c r="P510" s="52"/>
      <c r="Q510" s="52"/>
      <c r="R510" s="52"/>
      <c r="S510" s="52"/>
      <c r="T510" s="52"/>
      <c r="V510" s="55"/>
      <c r="X510" s="55"/>
      <c r="Y510" s="56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</row>
    <row r="511" spans="1:44" ht="15.75" customHeight="1">
      <c r="A511" s="51"/>
      <c r="B511" s="51"/>
      <c r="D511" s="52"/>
      <c r="F511" s="52"/>
      <c r="G511" s="53"/>
      <c r="H511" s="52"/>
      <c r="I511" s="52"/>
      <c r="J511" s="52"/>
      <c r="K511" s="52"/>
      <c r="L511" s="54"/>
      <c r="M511" s="52"/>
      <c r="N511" s="52"/>
      <c r="O511" s="52"/>
      <c r="P511" s="52"/>
      <c r="Q511" s="52"/>
      <c r="R511" s="52"/>
      <c r="S511" s="52"/>
      <c r="T511" s="52"/>
      <c r="V511" s="55"/>
      <c r="X511" s="55"/>
      <c r="Y511" s="56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</row>
    <row r="512" spans="1:44" ht="15.75" customHeight="1">
      <c r="A512" s="51"/>
      <c r="B512" s="51"/>
      <c r="D512" s="52"/>
      <c r="F512" s="52"/>
      <c r="G512" s="53"/>
      <c r="H512" s="52"/>
      <c r="I512" s="52"/>
      <c r="J512" s="52"/>
      <c r="K512" s="52"/>
      <c r="L512" s="54"/>
      <c r="M512" s="52"/>
      <c r="N512" s="52"/>
      <c r="O512" s="52"/>
      <c r="P512" s="52"/>
      <c r="Q512" s="52"/>
      <c r="R512" s="52"/>
      <c r="S512" s="52"/>
      <c r="T512" s="52"/>
      <c r="V512" s="55"/>
      <c r="X512" s="55"/>
      <c r="Y512" s="56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</row>
    <row r="513" spans="1:44" ht="15.75" customHeight="1">
      <c r="A513" s="51"/>
      <c r="B513" s="51"/>
      <c r="D513" s="52"/>
      <c r="F513" s="52"/>
      <c r="G513" s="53"/>
      <c r="H513" s="52"/>
      <c r="I513" s="52"/>
      <c r="J513" s="52"/>
      <c r="K513" s="52"/>
      <c r="L513" s="54"/>
      <c r="M513" s="52"/>
      <c r="N513" s="52"/>
      <c r="O513" s="52"/>
      <c r="P513" s="52"/>
      <c r="Q513" s="52"/>
      <c r="R513" s="52"/>
      <c r="S513" s="52"/>
      <c r="T513" s="52"/>
      <c r="V513" s="55"/>
      <c r="X513" s="55"/>
      <c r="Y513" s="56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</row>
    <row r="514" spans="1:44" ht="15.75" customHeight="1">
      <c r="A514" s="51"/>
      <c r="B514" s="51"/>
      <c r="D514" s="52"/>
      <c r="F514" s="52"/>
      <c r="G514" s="53"/>
      <c r="H514" s="52"/>
      <c r="I514" s="52"/>
      <c r="J514" s="52"/>
      <c r="K514" s="52"/>
      <c r="L514" s="54"/>
      <c r="M514" s="52"/>
      <c r="N514" s="52"/>
      <c r="O514" s="52"/>
      <c r="P514" s="52"/>
      <c r="Q514" s="52"/>
      <c r="R514" s="52"/>
      <c r="S514" s="52"/>
      <c r="T514" s="52"/>
      <c r="V514" s="55"/>
      <c r="X514" s="55"/>
      <c r="Y514" s="56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</row>
    <row r="515" spans="1:44" ht="15.75" customHeight="1">
      <c r="A515" s="51"/>
      <c r="B515" s="51"/>
      <c r="D515" s="52"/>
      <c r="F515" s="52"/>
      <c r="G515" s="53"/>
      <c r="H515" s="52"/>
      <c r="I515" s="52"/>
      <c r="J515" s="52"/>
      <c r="K515" s="52"/>
      <c r="L515" s="54"/>
      <c r="M515" s="52"/>
      <c r="N515" s="52"/>
      <c r="O515" s="52"/>
      <c r="P515" s="52"/>
      <c r="Q515" s="52"/>
      <c r="R515" s="52"/>
      <c r="S515" s="52"/>
      <c r="T515" s="52"/>
      <c r="V515" s="55"/>
      <c r="X515" s="55"/>
      <c r="Y515" s="56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</row>
    <row r="516" spans="1:44" ht="15.75" customHeight="1">
      <c r="A516" s="51"/>
      <c r="B516" s="51"/>
      <c r="D516" s="52"/>
      <c r="F516" s="52"/>
      <c r="G516" s="53"/>
      <c r="H516" s="52"/>
      <c r="I516" s="52"/>
      <c r="J516" s="52"/>
      <c r="K516" s="52"/>
      <c r="L516" s="54"/>
      <c r="M516" s="52"/>
      <c r="N516" s="52"/>
      <c r="O516" s="52"/>
      <c r="P516" s="52"/>
      <c r="Q516" s="52"/>
      <c r="R516" s="52"/>
      <c r="S516" s="52"/>
      <c r="T516" s="52"/>
      <c r="V516" s="55"/>
      <c r="X516" s="55"/>
      <c r="Y516" s="56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</row>
    <row r="517" spans="1:44" ht="15.75" customHeight="1">
      <c r="A517" s="51"/>
      <c r="B517" s="51"/>
      <c r="D517" s="52"/>
      <c r="F517" s="52"/>
      <c r="G517" s="53"/>
      <c r="H517" s="52"/>
      <c r="I517" s="52"/>
      <c r="J517" s="52"/>
      <c r="K517" s="52"/>
      <c r="L517" s="54"/>
      <c r="M517" s="52"/>
      <c r="N517" s="52"/>
      <c r="O517" s="52"/>
      <c r="P517" s="52"/>
      <c r="Q517" s="52"/>
      <c r="R517" s="52"/>
      <c r="S517" s="52"/>
      <c r="T517" s="52"/>
      <c r="V517" s="55"/>
      <c r="X517" s="55"/>
      <c r="Y517" s="56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</row>
    <row r="518" spans="1:44" ht="15.75" customHeight="1">
      <c r="A518" s="51"/>
      <c r="B518" s="51"/>
      <c r="D518" s="52"/>
      <c r="F518" s="52"/>
      <c r="G518" s="53"/>
      <c r="H518" s="52"/>
      <c r="I518" s="52"/>
      <c r="J518" s="52"/>
      <c r="K518" s="52"/>
      <c r="L518" s="54"/>
      <c r="M518" s="52"/>
      <c r="N518" s="52"/>
      <c r="O518" s="52"/>
      <c r="P518" s="52"/>
      <c r="Q518" s="52"/>
      <c r="R518" s="52"/>
      <c r="S518" s="52"/>
      <c r="T518" s="52"/>
      <c r="V518" s="55"/>
      <c r="X518" s="55"/>
      <c r="Y518" s="56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</row>
    <row r="519" spans="1:44" ht="15.75" customHeight="1">
      <c r="A519" s="51"/>
      <c r="B519" s="51"/>
      <c r="D519" s="52"/>
      <c r="F519" s="52"/>
      <c r="G519" s="53"/>
      <c r="H519" s="52"/>
      <c r="I519" s="52"/>
      <c r="J519" s="52"/>
      <c r="K519" s="52"/>
      <c r="L519" s="54"/>
      <c r="M519" s="52"/>
      <c r="N519" s="52"/>
      <c r="O519" s="52"/>
      <c r="P519" s="52"/>
      <c r="Q519" s="52"/>
      <c r="R519" s="52"/>
      <c r="S519" s="52"/>
      <c r="T519" s="52"/>
      <c r="V519" s="55"/>
      <c r="X519" s="55"/>
      <c r="Y519" s="56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</row>
    <row r="520" spans="1:44" ht="15.75" customHeight="1">
      <c r="A520" s="51"/>
      <c r="B520" s="51"/>
      <c r="D520" s="52"/>
      <c r="F520" s="52"/>
      <c r="G520" s="53"/>
      <c r="H520" s="52"/>
      <c r="I520" s="52"/>
      <c r="J520" s="52"/>
      <c r="K520" s="52"/>
      <c r="L520" s="54"/>
      <c r="M520" s="52"/>
      <c r="N520" s="52"/>
      <c r="O520" s="52"/>
      <c r="P520" s="52"/>
      <c r="Q520" s="52"/>
      <c r="R520" s="52"/>
      <c r="S520" s="52"/>
      <c r="T520" s="52"/>
      <c r="V520" s="55"/>
      <c r="X520" s="55"/>
      <c r="Y520" s="56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</row>
    <row r="521" spans="1:44" ht="15.75" customHeight="1">
      <c r="A521" s="51"/>
      <c r="B521" s="51"/>
      <c r="D521" s="52"/>
      <c r="F521" s="52"/>
      <c r="G521" s="53"/>
      <c r="H521" s="52"/>
      <c r="I521" s="52"/>
      <c r="J521" s="52"/>
      <c r="K521" s="52"/>
      <c r="L521" s="54"/>
      <c r="M521" s="52"/>
      <c r="N521" s="52"/>
      <c r="O521" s="52"/>
      <c r="P521" s="52"/>
      <c r="Q521" s="52"/>
      <c r="R521" s="52"/>
      <c r="S521" s="52"/>
      <c r="T521" s="52"/>
      <c r="V521" s="55"/>
      <c r="X521" s="55"/>
      <c r="Y521" s="56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</row>
    <row r="522" spans="1:44" ht="15.75" customHeight="1">
      <c r="A522" s="51"/>
      <c r="B522" s="51"/>
      <c r="D522" s="52"/>
      <c r="F522" s="52"/>
      <c r="G522" s="53"/>
      <c r="H522" s="52"/>
      <c r="I522" s="52"/>
      <c r="J522" s="52"/>
      <c r="K522" s="52"/>
      <c r="L522" s="54"/>
      <c r="M522" s="52"/>
      <c r="N522" s="52"/>
      <c r="O522" s="52"/>
      <c r="P522" s="52"/>
      <c r="Q522" s="52"/>
      <c r="R522" s="52"/>
      <c r="S522" s="52"/>
      <c r="T522" s="52"/>
      <c r="V522" s="55"/>
      <c r="X522" s="55"/>
      <c r="Y522" s="56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</row>
    <row r="523" spans="1:44" ht="15.75" customHeight="1">
      <c r="A523" s="51"/>
      <c r="B523" s="51"/>
      <c r="D523" s="52"/>
      <c r="F523" s="52"/>
      <c r="G523" s="53"/>
      <c r="H523" s="52"/>
      <c r="I523" s="52"/>
      <c r="J523" s="52"/>
      <c r="K523" s="52"/>
      <c r="L523" s="54"/>
      <c r="M523" s="52"/>
      <c r="N523" s="52"/>
      <c r="O523" s="52"/>
      <c r="P523" s="52"/>
      <c r="Q523" s="52"/>
      <c r="R523" s="52"/>
      <c r="S523" s="52"/>
      <c r="T523" s="52"/>
      <c r="V523" s="55"/>
      <c r="X523" s="55"/>
      <c r="Y523" s="56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</row>
    <row r="524" spans="1:44" ht="15.75" customHeight="1">
      <c r="A524" s="51"/>
      <c r="B524" s="51"/>
      <c r="D524" s="52"/>
      <c r="F524" s="52"/>
      <c r="G524" s="53"/>
      <c r="H524" s="52"/>
      <c r="I524" s="52"/>
      <c r="J524" s="52"/>
      <c r="K524" s="52"/>
      <c r="L524" s="54"/>
      <c r="M524" s="52"/>
      <c r="N524" s="52"/>
      <c r="O524" s="52"/>
      <c r="P524" s="52"/>
      <c r="Q524" s="52"/>
      <c r="R524" s="52"/>
      <c r="S524" s="52"/>
      <c r="T524" s="52"/>
      <c r="V524" s="55"/>
      <c r="X524" s="55"/>
      <c r="Y524" s="56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</row>
    <row r="525" spans="1:44" ht="15.75" customHeight="1">
      <c r="A525" s="51"/>
      <c r="B525" s="51"/>
      <c r="D525" s="52"/>
      <c r="F525" s="52"/>
      <c r="G525" s="53"/>
      <c r="H525" s="52"/>
      <c r="I525" s="52"/>
      <c r="J525" s="52"/>
      <c r="K525" s="52"/>
      <c r="L525" s="54"/>
      <c r="M525" s="52"/>
      <c r="N525" s="52"/>
      <c r="O525" s="52"/>
      <c r="P525" s="52"/>
      <c r="Q525" s="52"/>
      <c r="R525" s="52"/>
      <c r="S525" s="52"/>
      <c r="T525" s="52"/>
      <c r="V525" s="55"/>
      <c r="X525" s="55"/>
      <c r="Y525" s="56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</row>
    <row r="526" spans="1:44" ht="15.75" customHeight="1">
      <c r="A526" s="51"/>
      <c r="B526" s="51"/>
      <c r="D526" s="52"/>
      <c r="F526" s="52"/>
      <c r="G526" s="53"/>
      <c r="H526" s="52"/>
      <c r="I526" s="52"/>
      <c r="J526" s="52"/>
      <c r="K526" s="52"/>
      <c r="L526" s="54"/>
      <c r="M526" s="52"/>
      <c r="N526" s="52"/>
      <c r="O526" s="52"/>
      <c r="P526" s="52"/>
      <c r="Q526" s="52"/>
      <c r="R526" s="52"/>
      <c r="S526" s="52"/>
      <c r="T526" s="52"/>
      <c r="V526" s="55"/>
      <c r="X526" s="55"/>
      <c r="Y526" s="56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</row>
    <row r="527" spans="1:44" ht="15.75" customHeight="1">
      <c r="A527" s="51"/>
      <c r="B527" s="51"/>
      <c r="D527" s="52"/>
      <c r="F527" s="52"/>
      <c r="G527" s="53"/>
      <c r="H527" s="52"/>
      <c r="I527" s="52"/>
      <c r="J527" s="52"/>
      <c r="K527" s="52"/>
      <c r="L527" s="54"/>
      <c r="M527" s="52"/>
      <c r="N527" s="52"/>
      <c r="O527" s="52"/>
      <c r="P527" s="52"/>
      <c r="Q527" s="52"/>
      <c r="R527" s="52"/>
      <c r="S527" s="52"/>
      <c r="T527" s="52"/>
      <c r="V527" s="55"/>
      <c r="X527" s="55"/>
      <c r="Y527" s="56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</row>
    <row r="528" spans="1:44" ht="15.75" customHeight="1">
      <c r="A528" s="51"/>
      <c r="B528" s="51"/>
      <c r="D528" s="52"/>
      <c r="F528" s="52"/>
      <c r="G528" s="53"/>
      <c r="H528" s="52"/>
      <c r="I528" s="52"/>
      <c r="J528" s="52"/>
      <c r="K528" s="52"/>
      <c r="L528" s="54"/>
      <c r="M528" s="52"/>
      <c r="N528" s="52"/>
      <c r="O528" s="52"/>
      <c r="P528" s="52"/>
      <c r="Q528" s="52"/>
      <c r="R528" s="52"/>
      <c r="S528" s="52"/>
      <c r="T528" s="52"/>
      <c r="V528" s="55"/>
      <c r="X528" s="55"/>
      <c r="Y528" s="56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</row>
    <row r="529" spans="1:44" ht="15.75" customHeight="1">
      <c r="A529" s="51"/>
      <c r="B529" s="51"/>
      <c r="D529" s="52"/>
      <c r="F529" s="52"/>
      <c r="G529" s="53"/>
      <c r="H529" s="52"/>
      <c r="I529" s="52"/>
      <c r="J529" s="52"/>
      <c r="K529" s="52"/>
      <c r="L529" s="54"/>
      <c r="M529" s="52"/>
      <c r="N529" s="52"/>
      <c r="O529" s="52"/>
      <c r="P529" s="52"/>
      <c r="Q529" s="52"/>
      <c r="R529" s="52"/>
      <c r="S529" s="52"/>
      <c r="T529" s="52"/>
      <c r="V529" s="55"/>
      <c r="X529" s="55"/>
      <c r="Y529" s="56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</row>
    <row r="530" spans="1:44" ht="15.75" customHeight="1">
      <c r="A530" s="51"/>
      <c r="B530" s="51"/>
      <c r="D530" s="52"/>
      <c r="F530" s="52"/>
      <c r="G530" s="53"/>
      <c r="H530" s="52"/>
      <c r="I530" s="52"/>
      <c r="J530" s="52"/>
      <c r="K530" s="52"/>
      <c r="L530" s="54"/>
      <c r="M530" s="52"/>
      <c r="N530" s="52"/>
      <c r="O530" s="52"/>
      <c r="P530" s="52"/>
      <c r="Q530" s="52"/>
      <c r="R530" s="52"/>
      <c r="S530" s="52"/>
      <c r="T530" s="52"/>
      <c r="V530" s="55"/>
      <c r="X530" s="55"/>
      <c r="Y530" s="56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</row>
    <row r="531" spans="1:44" ht="15.75" customHeight="1">
      <c r="A531" s="51"/>
      <c r="B531" s="51"/>
      <c r="D531" s="52"/>
      <c r="F531" s="52"/>
      <c r="G531" s="53"/>
      <c r="H531" s="52"/>
      <c r="I531" s="52"/>
      <c r="J531" s="52"/>
      <c r="K531" s="52"/>
      <c r="L531" s="54"/>
      <c r="M531" s="52"/>
      <c r="N531" s="52"/>
      <c r="O531" s="52"/>
      <c r="P531" s="52"/>
      <c r="Q531" s="52"/>
      <c r="R531" s="52"/>
      <c r="S531" s="52"/>
      <c r="T531" s="52"/>
      <c r="V531" s="55"/>
      <c r="X531" s="55"/>
      <c r="Y531" s="56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</row>
    <row r="532" spans="1:44" ht="15.75" customHeight="1">
      <c r="A532" s="51"/>
      <c r="B532" s="51"/>
      <c r="D532" s="52"/>
      <c r="F532" s="52"/>
      <c r="G532" s="53"/>
      <c r="H532" s="52"/>
      <c r="I532" s="52"/>
      <c r="J532" s="52"/>
      <c r="K532" s="52"/>
      <c r="L532" s="54"/>
      <c r="M532" s="52"/>
      <c r="N532" s="52"/>
      <c r="O532" s="52"/>
      <c r="P532" s="52"/>
      <c r="Q532" s="52"/>
      <c r="R532" s="52"/>
      <c r="S532" s="52"/>
      <c r="T532" s="52"/>
      <c r="V532" s="55"/>
      <c r="X532" s="55"/>
      <c r="Y532" s="56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</row>
    <row r="533" spans="1:44" ht="15.75" customHeight="1">
      <c r="A533" s="51"/>
      <c r="B533" s="51"/>
      <c r="D533" s="52"/>
      <c r="F533" s="52"/>
      <c r="G533" s="53"/>
      <c r="H533" s="52"/>
      <c r="I533" s="52"/>
      <c r="J533" s="52"/>
      <c r="K533" s="52"/>
      <c r="L533" s="54"/>
      <c r="M533" s="52"/>
      <c r="N533" s="52"/>
      <c r="O533" s="52"/>
      <c r="P533" s="52"/>
      <c r="Q533" s="52"/>
      <c r="R533" s="52"/>
      <c r="S533" s="52"/>
      <c r="T533" s="52"/>
      <c r="V533" s="55"/>
      <c r="X533" s="55"/>
      <c r="Y533" s="56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</row>
    <row r="534" spans="1:44" ht="15.75" customHeight="1">
      <c r="A534" s="51"/>
      <c r="B534" s="51"/>
      <c r="D534" s="52"/>
      <c r="F534" s="52"/>
      <c r="G534" s="53"/>
      <c r="H534" s="52"/>
      <c r="I534" s="52"/>
      <c r="J534" s="52"/>
      <c r="K534" s="52"/>
      <c r="L534" s="54"/>
      <c r="M534" s="52"/>
      <c r="N534" s="52"/>
      <c r="O534" s="52"/>
      <c r="P534" s="52"/>
      <c r="Q534" s="52"/>
      <c r="R534" s="52"/>
      <c r="S534" s="52"/>
      <c r="T534" s="52"/>
      <c r="V534" s="55"/>
      <c r="X534" s="55"/>
      <c r="Y534" s="56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</row>
    <row r="535" spans="1:44" ht="15.75" customHeight="1">
      <c r="A535" s="51"/>
      <c r="B535" s="51"/>
      <c r="D535" s="52"/>
      <c r="F535" s="52"/>
      <c r="G535" s="53"/>
      <c r="H535" s="52"/>
      <c r="I535" s="52"/>
      <c r="J535" s="52"/>
      <c r="K535" s="52"/>
      <c r="L535" s="54"/>
      <c r="M535" s="52"/>
      <c r="N535" s="52"/>
      <c r="O535" s="52"/>
      <c r="P535" s="52"/>
      <c r="Q535" s="52"/>
      <c r="R535" s="52"/>
      <c r="S535" s="52"/>
      <c r="T535" s="52"/>
      <c r="V535" s="55"/>
      <c r="X535" s="55"/>
      <c r="Y535" s="56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</row>
    <row r="536" spans="1:44" ht="15.75" customHeight="1">
      <c r="A536" s="51"/>
      <c r="B536" s="51"/>
      <c r="D536" s="52"/>
      <c r="F536" s="52"/>
      <c r="G536" s="53"/>
      <c r="H536" s="52"/>
      <c r="I536" s="52"/>
      <c r="J536" s="52"/>
      <c r="K536" s="52"/>
      <c r="L536" s="54"/>
      <c r="M536" s="52"/>
      <c r="N536" s="52"/>
      <c r="O536" s="52"/>
      <c r="P536" s="52"/>
      <c r="Q536" s="52"/>
      <c r="R536" s="52"/>
      <c r="S536" s="52"/>
      <c r="T536" s="52"/>
      <c r="V536" s="55"/>
      <c r="X536" s="55"/>
      <c r="Y536" s="56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</row>
    <row r="537" spans="1:44" ht="15.75" customHeight="1">
      <c r="A537" s="51"/>
      <c r="B537" s="51"/>
      <c r="D537" s="52"/>
      <c r="F537" s="52"/>
      <c r="G537" s="53"/>
      <c r="H537" s="52"/>
      <c r="I537" s="52"/>
      <c r="J537" s="52"/>
      <c r="K537" s="52"/>
      <c r="L537" s="54"/>
      <c r="M537" s="52"/>
      <c r="N537" s="52"/>
      <c r="O537" s="52"/>
      <c r="P537" s="52"/>
      <c r="Q537" s="52"/>
      <c r="R537" s="52"/>
      <c r="S537" s="52"/>
      <c r="T537" s="52"/>
      <c r="V537" s="55"/>
      <c r="X537" s="55"/>
      <c r="Y537" s="56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</row>
    <row r="538" spans="1:44" ht="15.75" customHeight="1">
      <c r="A538" s="51"/>
      <c r="B538" s="51"/>
      <c r="D538" s="52"/>
      <c r="F538" s="52"/>
      <c r="G538" s="53"/>
      <c r="H538" s="52"/>
      <c r="I538" s="52"/>
      <c r="J538" s="52"/>
      <c r="K538" s="52"/>
      <c r="L538" s="54"/>
      <c r="M538" s="52"/>
      <c r="N538" s="52"/>
      <c r="O538" s="52"/>
      <c r="P538" s="52"/>
      <c r="Q538" s="52"/>
      <c r="R538" s="52"/>
      <c r="S538" s="52"/>
      <c r="T538" s="52"/>
      <c r="V538" s="55"/>
      <c r="X538" s="55"/>
      <c r="Y538" s="56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</row>
    <row r="539" spans="1:44" ht="15.75" customHeight="1">
      <c r="A539" s="51"/>
      <c r="B539" s="51"/>
      <c r="D539" s="52"/>
      <c r="F539" s="52"/>
      <c r="G539" s="53"/>
      <c r="H539" s="52"/>
      <c r="I539" s="52"/>
      <c r="J539" s="52"/>
      <c r="K539" s="52"/>
      <c r="L539" s="54"/>
      <c r="M539" s="52"/>
      <c r="N539" s="52"/>
      <c r="O539" s="52"/>
      <c r="P539" s="52"/>
      <c r="Q539" s="52"/>
      <c r="R539" s="52"/>
      <c r="S539" s="52"/>
      <c r="T539" s="52"/>
      <c r="V539" s="55"/>
      <c r="X539" s="55"/>
      <c r="Y539" s="56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</row>
    <row r="540" spans="1:44" ht="15.75" customHeight="1">
      <c r="A540" s="51"/>
      <c r="B540" s="51"/>
      <c r="D540" s="52"/>
      <c r="F540" s="52"/>
      <c r="G540" s="53"/>
      <c r="H540" s="52"/>
      <c r="I540" s="52"/>
      <c r="J540" s="52"/>
      <c r="K540" s="52"/>
      <c r="L540" s="54"/>
      <c r="M540" s="52"/>
      <c r="N540" s="52"/>
      <c r="O540" s="52"/>
      <c r="P540" s="52"/>
      <c r="Q540" s="52"/>
      <c r="R540" s="52"/>
      <c r="S540" s="52"/>
      <c r="T540" s="52"/>
      <c r="V540" s="55"/>
      <c r="X540" s="55"/>
      <c r="Y540" s="56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</row>
    <row r="541" spans="1:44" ht="15.75" customHeight="1">
      <c r="A541" s="51"/>
      <c r="B541" s="51"/>
      <c r="D541" s="52"/>
      <c r="F541" s="52"/>
      <c r="G541" s="53"/>
      <c r="H541" s="52"/>
      <c r="I541" s="52"/>
      <c r="J541" s="52"/>
      <c r="K541" s="52"/>
      <c r="L541" s="54"/>
      <c r="M541" s="52"/>
      <c r="N541" s="52"/>
      <c r="O541" s="52"/>
      <c r="P541" s="52"/>
      <c r="Q541" s="52"/>
      <c r="R541" s="52"/>
      <c r="S541" s="52"/>
      <c r="T541" s="52"/>
      <c r="V541" s="55"/>
      <c r="X541" s="55"/>
      <c r="Y541" s="56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</row>
    <row r="542" spans="1:44" ht="15.75" customHeight="1">
      <c r="A542" s="51"/>
      <c r="B542" s="51"/>
      <c r="D542" s="52"/>
      <c r="F542" s="52"/>
      <c r="G542" s="53"/>
      <c r="H542" s="52"/>
      <c r="I542" s="52"/>
      <c r="J542" s="52"/>
      <c r="K542" s="52"/>
      <c r="L542" s="54"/>
      <c r="M542" s="52"/>
      <c r="N542" s="52"/>
      <c r="O542" s="52"/>
      <c r="P542" s="52"/>
      <c r="Q542" s="52"/>
      <c r="R542" s="52"/>
      <c r="S542" s="52"/>
      <c r="T542" s="52"/>
      <c r="V542" s="55"/>
      <c r="X542" s="55"/>
      <c r="Y542" s="56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</row>
    <row r="543" spans="1:44" ht="15.75" customHeight="1">
      <c r="A543" s="51"/>
      <c r="B543" s="51"/>
      <c r="D543" s="52"/>
      <c r="F543" s="52"/>
      <c r="G543" s="53"/>
      <c r="H543" s="52"/>
      <c r="I543" s="52"/>
      <c r="J543" s="52"/>
      <c r="K543" s="52"/>
      <c r="L543" s="54"/>
      <c r="M543" s="52"/>
      <c r="N543" s="52"/>
      <c r="O543" s="52"/>
      <c r="P543" s="52"/>
      <c r="Q543" s="52"/>
      <c r="R543" s="52"/>
      <c r="S543" s="52"/>
      <c r="T543" s="52"/>
      <c r="V543" s="55"/>
      <c r="X543" s="55"/>
      <c r="Y543" s="56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</row>
    <row r="544" spans="1:44" ht="15.75" customHeight="1">
      <c r="A544" s="51"/>
      <c r="B544" s="51"/>
      <c r="D544" s="52"/>
      <c r="F544" s="52"/>
      <c r="G544" s="53"/>
      <c r="H544" s="52"/>
      <c r="I544" s="52"/>
      <c r="J544" s="52"/>
      <c r="K544" s="52"/>
      <c r="L544" s="54"/>
      <c r="M544" s="52"/>
      <c r="N544" s="52"/>
      <c r="O544" s="52"/>
      <c r="P544" s="52"/>
      <c r="Q544" s="52"/>
      <c r="R544" s="52"/>
      <c r="S544" s="52"/>
      <c r="T544" s="52"/>
      <c r="V544" s="55"/>
      <c r="X544" s="55"/>
      <c r="Y544" s="56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</row>
    <row r="545" spans="1:44" ht="15.75" customHeight="1">
      <c r="A545" s="51"/>
      <c r="B545" s="51"/>
      <c r="D545" s="52"/>
      <c r="F545" s="52"/>
      <c r="G545" s="53"/>
      <c r="H545" s="52"/>
      <c r="I545" s="52"/>
      <c r="J545" s="52"/>
      <c r="K545" s="52"/>
      <c r="L545" s="54"/>
      <c r="M545" s="52"/>
      <c r="N545" s="52"/>
      <c r="O545" s="52"/>
      <c r="P545" s="52"/>
      <c r="Q545" s="52"/>
      <c r="R545" s="52"/>
      <c r="S545" s="52"/>
      <c r="T545" s="52"/>
      <c r="V545" s="55"/>
      <c r="X545" s="55"/>
      <c r="Y545" s="56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</row>
  </sheetData>
  <mergeCells count="9">
    <mergeCell ref="AG1:AL1"/>
    <mergeCell ref="AM1:AR1"/>
    <mergeCell ref="A1:A2"/>
    <mergeCell ref="B1:B2"/>
    <mergeCell ref="C1:H1"/>
    <mergeCell ref="I1:N1"/>
    <mergeCell ref="O1:T1"/>
    <mergeCell ref="U1:Z1"/>
    <mergeCell ref="AA1:AF1"/>
  </mergeCells>
  <hyperlinks>
    <hyperlink ref="AS1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W550"/>
  <sheetViews>
    <sheetView workbookViewId="0">
      <pane xSplit="2" ySplit="1" topLeftCell="AJ2" activePane="bottomRight" state="frozen"/>
      <selection pane="topRight" activeCell="C1" sqref="C1"/>
      <selection pane="bottomLeft" activeCell="A2" sqref="A2"/>
      <selection pane="bottomRight" activeCell="AR12" sqref="AR12"/>
    </sheetView>
  </sheetViews>
  <sheetFormatPr baseColWidth="10" defaultColWidth="12.6640625" defaultRowHeight="15" customHeight="1"/>
  <cols>
    <col min="1" max="1" width="7.6640625" customWidth="1"/>
    <col min="2" max="2" width="22.21875" customWidth="1"/>
    <col min="3" max="22" width="10.6640625" customWidth="1"/>
    <col min="42" max="42" width="18.21875" customWidth="1"/>
  </cols>
  <sheetData>
    <row r="1" spans="1:49" ht="38.4" customHeight="1">
      <c r="A1" s="57" t="s">
        <v>0</v>
      </c>
      <c r="B1" s="57" t="s">
        <v>1</v>
      </c>
      <c r="C1" s="57" t="s">
        <v>340</v>
      </c>
      <c r="D1" s="57" t="s">
        <v>341</v>
      </c>
      <c r="E1" s="58" t="s">
        <v>393</v>
      </c>
      <c r="F1" s="57" t="s">
        <v>343</v>
      </c>
      <c r="G1" s="57" t="s">
        <v>344</v>
      </c>
      <c r="H1" s="58" t="s">
        <v>394</v>
      </c>
      <c r="I1" s="57" t="s">
        <v>346</v>
      </c>
      <c r="J1" s="57" t="s">
        <v>347</v>
      </c>
      <c r="K1" s="58" t="s">
        <v>395</v>
      </c>
      <c r="L1" s="59" t="s">
        <v>349</v>
      </c>
      <c r="M1" s="60" t="s">
        <v>396</v>
      </c>
      <c r="N1" s="57" t="s">
        <v>351</v>
      </c>
      <c r="O1" s="57" t="s">
        <v>352</v>
      </c>
      <c r="P1" s="61" t="s">
        <v>353</v>
      </c>
      <c r="Q1" s="57" t="s">
        <v>354</v>
      </c>
      <c r="R1" s="57" t="s">
        <v>355</v>
      </c>
      <c r="S1" s="61" t="s">
        <v>356</v>
      </c>
      <c r="T1" s="57" t="s">
        <v>357</v>
      </c>
      <c r="U1" s="57" t="s">
        <v>358</v>
      </c>
      <c r="V1" s="61" t="s">
        <v>359</v>
      </c>
      <c r="W1" s="59" t="s">
        <v>360</v>
      </c>
      <c r="X1" s="60" t="s">
        <v>361</v>
      </c>
      <c r="Y1" s="62"/>
      <c r="Z1" s="57" t="s">
        <v>362</v>
      </c>
      <c r="AA1" s="57" t="s">
        <v>363</v>
      </c>
      <c r="AB1" s="57" t="s">
        <v>340</v>
      </c>
      <c r="AC1" s="57" t="s">
        <v>341</v>
      </c>
      <c r="AD1" s="58" t="s">
        <v>342</v>
      </c>
      <c r="AE1" s="57" t="s">
        <v>343</v>
      </c>
      <c r="AF1" s="57" t="s">
        <v>344</v>
      </c>
      <c r="AG1" s="58" t="s">
        <v>345</v>
      </c>
      <c r="AH1" s="57" t="s">
        <v>346</v>
      </c>
      <c r="AI1" s="57" t="s">
        <v>347</v>
      </c>
      <c r="AJ1" s="58" t="s">
        <v>348</v>
      </c>
      <c r="AK1" s="59" t="s">
        <v>349</v>
      </c>
      <c r="AL1" s="60" t="s">
        <v>350</v>
      </c>
      <c r="AM1" s="57" t="s">
        <v>351</v>
      </c>
      <c r="AN1" s="57" t="s">
        <v>352</v>
      </c>
      <c r="AO1" s="58" t="s">
        <v>353</v>
      </c>
      <c r="AP1" s="57" t="s">
        <v>354</v>
      </c>
      <c r="AQ1" s="57" t="s">
        <v>355</v>
      </c>
      <c r="AR1" s="58" t="s">
        <v>356</v>
      </c>
      <c r="AS1" s="57" t="s">
        <v>357</v>
      </c>
      <c r="AT1" s="57" t="s">
        <v>358</v>
      </c>
      <c r="AU1" s="58" t="s">
        <v>359</v>
      </c>
      <c r="AV1" s="59" t="s">
        <v>360</v>
      </c>
      <c r="AW1" s="60" t="s">
        <v>361</v>
      </c>
    </row>
    <row r="2" spans="1:49" ht="15.75" customHeight="1">
      <c r="A2" s="16">
        <v>10101</v>
      </c>
      <c r="B2" s="63" t="s">
        <v>8</v>
      </c>
      <c r="C2" s="64">
        <v>1650000</v>
      </c>
      <c r="D2" s="64">
        <v>261622</v>
      </c>
      <c r="E2" s="65">
        <f t="shared" ref="E2:E256" si="0">C2/D2</f>
        <v>6.306809060400119</v>
      </c>
      <c r="F2" s="64">
        <v>1800000</v>
      </c>
      <c r="G2" s="64">
        <v>264549</v>
      </c>
      <c r="H2" s="65">
        <f t="shared" ref="H2:H256" si="1">F2/G2</f>
        <v>6.8040325232754615</v>
      </c>
      <c r="I2" s="64">
        <v>2300000</v>
      </c>
      <c r="J2" s="64">
        <v>267476</v>
      </c>
      <c r="K2" s="65">
        <f t="shared" ref="K2:K256" si="2">I2/J2</f>
        <v>8.598902331424128</v>
      </c>
      <c r="L2" s="66">
        <f t="shared" ref="L2:L256" si="3">(E2+H2+K2)/3</f>
        <v>7.2365813050332362</v>
      </c>
      <c r="M2" s="67">
        <f>(C2+F2+I2)/3</f>
        <v>1916666.6666666667</v>
      </c>
      <c r="N2" s="64">
        <v>0</v>
      </c>
      <c r="O2" s="64">
        <v>290892</v>
      </c>
      <c r="P2" s="68">
        <f t="shared" ref="P2:P256" si="4">N2/O2</f>
        <v>0</v>
      </c>
      <c r="Q2" s="69">
        <v>1500000</v>
      </c>
      <c r="R2" s="64">
        <v>293819</v>
      </c>
      <c r="S2" s="68">
        <f t="shared" ref="S2:S256" si="5">Q2/R2</f>
        <v>5.1051838036342101</v>
      </c>
      <c r="T2" s="64">
        <v>224028</v>
      </c>
      <c r="U2" s="64">
        <v>296746</v>
      </c>
      <c r="V2" s="68">
        <f t="shared" ref="V2:V256" si="6">T2/U2</f>
        <v>0.7549486766460205</v>
      </c>
      <c r="W2" s="70">
        <f t="shared" ref="W2:W256" si="7">(P2+S2+V2)/3</f>
        <v>1.9533774934267436</v>
      </c>
      <c r="X2" s="71">
        <f t="shared" ref="X2:X256" si="8">(N2+Q2+T2)/3</f>
        <v>574676</v>
      </c>
      <c r="Z2" s="63">
        <v>1</v>
      </c>
      <c r="AA2" s="63" t="s">
        <v>364</v>
      </c>
      <c r="AB2" s="64">
        <f t="shared" ref="AB2:AC2" si="9">SUM(C2:C30)</f>
        <v>3234180</v>
      </c>
      <c r="AC2" s="64">
        <f t="shared" si="9"/>
        <v>580923</v>
      </c>
      <c r="AD2" s="65">
        <f t="shared" ref="AD2:AD12" si="10">AB2/AC2</f>
        <v>5.5673127075361108</v>
      </c>
      <c r="AE2" s="64">
        <f t="shared" ref="AE2:AF2" si="11">SUM(F2:F30)</f>
        <v>3600965</v>
      </c>
      <c r="AF2" s="64">
        <f t="shared" si="11"/>
        <v>583015.00000000012</v>
      </c>
      <c r="AG2" s="65">
        <f t="shared" ref="AG2:AG12" si="12">AE2/AF2</f>
        <v>6.1764534360179404</v>
      </c>
      <c r="AH2" s="64">
        <f t="shared" ref="AH2:AI2" si="13">SUM(I2:I30)</f>
        <v>4460667</v>
      </c>
      <c r="AI2" s="64">
        <f t="shared" si="13"/>
        <v>585106.99999999988</v>
      </c>
      <c r="AJ2" s="65">
        <f t="shared" ref="AJ2:AJ12" si="14">AH2/AI2</f>
        <v>7.6236773786674927</v>
      </c>
      <c r="AK2" s="65">
        <f t="shared" ref="AK2:AK12" si="15">(AD2+AG2+AJ2)/3</f>
        <v>6.4558145074071804</v>
      </c>
      <c r="AL2" s="69">
        <f t="shared" ref="AL2:AL12" si="16">(AB2+AE2+AH2)/3</f>
        <v>3765270.6666666665</v>
      </c>
      <c r="AM2" s="64">
        <f t="shared" ref="AM2:AN2" si="17">SUM(N2:N30)</f>
        <v>2189587</v>
      </c>
      <c r="AN2" s="64">
        <f t="shared" si="17"/>
        <v>601843.00000000012</v>
      </c>
      <c r="AO2" s="65">
        <f t="shared" ref="AO2:AO12" si="18">AM2/AN2</f>
        <v>3.6381365239771828</v>
      </c>
      <c r="AP2" s="69">
        <f t="shared" ref="AP2:AQ2" si="19">SUM(Q2:Q30)</f>
        <v>3989008</v>
      </c>
      <c r="AQ2" s="64">
        <f t="shared" si="19"/>
        <v>603934.99999999988</v>
      </c>
      <c r="AR2" s="65">
        <f t="shared" ref="AR2:AR12" si="20">AP2/AQ2</f>
        <v>6.6050286868619983</v>
      </c>
      <c r="AS2" s="64">
        <f t="shared" ref="AS2:AT2" si="21">SUM(T2:T30)</f>
        <v>2471880</v>
      </c>
      <c r="AT2" s="64">
        <f t="shared" si="21"/>
        <v>606027</v>
      </c>
      <c r="AU2" s="65">
        <f t="shared" ref="AU2:AU12" si="22">AS2/AT2</f>
        <v>4.0788281710220833</v>
      </c>
      <c r="AV2" s="65">
        <f t="shared" ref="AV2:AV12" si="23">(AO2+AR2+AU2)/3</f>
        <v>4.7739977939537548</v>
      </c>
      <c r="AW2" s="69">
        <f t="shared" ref="AW2:AW12" si="24">(AM2+AP2+AS2)/3</f>
        <v>2883491.6666666665</v>
      </c>
    </row>
    <row r="3" spans="1:49" ht="15.75" customHeight="1">
      <c r="A3" s="16">
        <v>10102</v>
      </c>
      <c r="B3" s="63" t="s">
        <v>9</v>
      </c>
      <c r="C3" s="64">
        <v>66506</v>
      </c>
      <c r="D3" s="64">
        <v>9461</v>
      </c>
      <c r="E3" s="65">
        <f t="shared" si="0"/>
        <v>7.0294894831413171</v>
      </c>
      <c r="F3" s="64">
        <v>70000</v>
      </c>
      <c r="G3" s="64">
        <v>9443.9166666666661</v>
      </c>
      <c r="H3" s="65">
        <f t="shared" si="1"/>
        <v>7.4121789158805935</v>
      </c>
      <c r="I3" s="64">
        <v>82200</v>
      </c>
      <c r="J3" s="64">
        <v>9426.8333333333339</v>
      </c>
      <c r="K3" s="65">
        <f t="shared" si="2"/>
        <v>8.7197892540796662</v>
      </c>
      <c r="L3" s="66">
        <f t="shared" si="3"/>
        <v>7.7204858843671929</v>
      </c>
      <c r="M3" s="67">
        <f t="shared" ref="M3:M256" si="25">(C3+F3+I3)/3</f>
        <v>72902</v>
      </c>
      <c r="N3" s="64">
        <v>45000</v>
      </c>
      <c r="O3" s="64">
        <v>9290.1666666666661</v>
      </c>
      <c r="P3" s="68">
        <f t="shared" si="4"/>
        <v>4.8438312911501411</v>
      </c>
      <c r="Q3" s="69">
        <v>50000</v>
      </c>
      <c r="R3" s="64">
        <v>9273.0833333333339</v>
      </c>
      <c r="S3" s="68">
        <f t="shared" si="5"/>
        <v>5.3919498189203514</v>
      </c>
      <c r="T3" s="64">
        <v>50000</v>
      </c>
      <c r="U3" s="64">
        <v>9256</v>
      </c>
      <c r="V3" s="68">
        <f t="shared" si="6"/>
        <v>5.4019014693171998</v>
      </c>
      <c r="W3" s="70">
        <f t="shared" si="7"/>
        <v>5.2125608597958974</v>
      </c>
      <c r="X3" s="71">
        <f t="shared" si="8"/>
        <v>48333.333333333336</v>
      </c>
      <c r="Z3" s="63">
        <v>2</v>
      </c>
      <c r="AA3" s="63" t="s">
        <v>365</v>
      </c>
      <c r="AB3" s="64">
        <f t="shared" ref="AB3:AC3" si="26">SUM(C31:C117)</f>
        <v>103351631</v>
      </c>
      <c r="AC3" s="64">
        <f t="shared" si="26"/>
        <v>2719344</v>
      </c>
      <c r="AD3" s="65">
        <f t="shared" si="10"/>
        <v>38.006089336251684</v>
      </c>
      <c r="AE3" s="64">
        <f t="shared" ref="AE3:AF3" si="27">SUM(F31:F117)</f>
        <v>54272414</v>
      </c>
      <c r="AF3" s="64">
        <f t="shared" si="27"/>
        <v>2745308.4166666688</v>
      </c>
      <c r="AG3" s="65">
        <f t="shared" si="12"/>
        <v>19.769150041763659</v>
      </c>
      <c r="AH3" s="64">
        <f t="shared" ref="AH3:AI3" si="28">SUM(I31:I117)</f>
        <v>133943223</v>
      </c>
      <c r="AI3" s="64">
        <f t="shared" si="28"/>
        <v>2771272.8333333312</v>
      </c>
      <c r="AJ3" s="65">
        <f t="shared" si="14"/>
        <v>48.332744935434938</v>
      </c>
      <c r="AK3" s="65">
        <f t="shared" si="15"/>
        <v>35.369328104483429</v>
      </c>
      <c r="AL3" s="69">
        <f t="shared" si="16"/>
        <v>97189089.333333328</v>
      </c>
      <c r="AM3" s="64">
        <f t="shared" ref="AM3:AN3" si="29">SUM(N31:N117)</f>
        <v>436597891</v>
      </c>
      <c r="AN3" s="64">
        <f t="shared" si="29"/>
        <v>2978988.1666666688</v>
      </c>
      <c r="AO3" s="65">
        <f t="shared" si="18"/>
        <v>146.55912228363434</v>
      </c>
      <c r="AP3" s="69">
        <f t="shared" ref="AP3:AQ3" si="30">SUM(Q31:Q117)</f>
        <v>406586321</v>
      </c>
      <c r="AQ3" s="64">
        <f t="shared" si="30"/>
        <v>3004952.5833333312</v>
      </c>
      <c r="AR3" s="65">
        <f t="shared" si="20"/>
        <v>135.30540323833739</v>
      </c>
      <c r="AS3" s="64">
        <f t="shared" ref="AS3:AT3" si="31">SUM(T31:T117)</f>
        <v>353265452</v>
      </c>
      <c r="AT3" s="64">
        <f t="shared" si="31"/>
        <v>3030917</v>
      </c>
      <c r="AU3" s="65">
        <f t="shared" si="22"/>
        <v>116.55398415726989</v>
      </c>
      <c r="AV3" s="65">
        <f t="shared" si="23"/>
        <v>132.80616989308052</v>
      </c>
      <c r="AW3" s="69">
        <f t="shared" si="24"/>
        <v>398816554.66666669</v>
      </c>
    </row>
    <row r="4" spans="1:49" ht="15.75" customHeight="1">
      <c r="A4" s="16">
        <v>10103</v>
      </c>
      <c r="B4" s="63" t="s">
        <v>10</v>
      </c>
      <c r="C4" s="64">
        <v>30000</v>
      </c>
      <c r="D4" s="64">
        <v>16532</v>
      </c>
      <c r="E4" s="65">
        <f t="shared" si="0"/>
        <v>1.8146624727800629</v>
      </c>
      <c r="F4" s="64">
        <v>18000</v>
      </c>
      <c r="G4" s="64">
        <v>16291.75</v>
      </c>
      <c r="H4" s="65">
        <f t="shared" si="1"/>
        <v>1.1048536836128715</v>
      </c>
      <c r="I4" s="64">
        <v>20000</v>
      </c>
      <c r="J4" s="64">
        <v>16051.5</v>
      </c>
      <c r="K4" s="65">
        <f t="shared" si="2"/>
        <v>1.2459894713889668</v>
      </c>
      <c r="L4" s="66">
        <f t="shared" si="3"/>
        <v>1.3885018759273002</v>
      </c>
      <c r="M4" s="67">
        <f t="shared" si="25"/>
        <v>22666.666666666668</v>
      </c>
      <c r="N4" s="64">
        <v>17000</v>
      </c>
      <c r="O4" s="64">
        <v>14129.5</v>
      </c>
      <c r="P4" s="68">
        <f t="shared" si="4"/>
        <v>1.2031565165080151</v>
      </c>
      <c r="Q4" s="69">
        <v>17000</v>
      </c>
      <c r="R4" s="64">
        <v>13889.25</v>
      </c>
      <c r="S4" s="68">
        <f t="shared" si="5"/>
        <v>1.2239681768274024</v>
      </c>
      <c r="T4" s="64">
        <v>17000</v>
      </c>
      <c r="U4" s="64">
        <v>13649</v>
      </c>
      <c r="V4" s="68">
        <f t="shared" si="6"/>
        <v>1.2455124917576379</v>
      </c>
      <c r="W4" s="70">
        <f t="shared" si="7"/>
        <v>1.2242123950310184</v>
      </c>
      <c r="X4" s="71">
        <f t="shared" si="8"/>
        <v>17000</v>
      </c>
      <c r="Z4" s="63">
        <v>3</v>
      </c>
      <c r="AA4" s="63" t="s">
        <v>124</v>
      </c>
      <c r="AB4" s="64">
        <f t="shared" ref="AB4:AC4" si="32">SUM(C118:C165)</f>
        <v>40634213</v>
      </c>
      <c r="AC4" s="64">
        <f t="shared" si="32"/>
        <v>1762761</v>
      </c>
      <c r="AD4" s="65">
        <f t="shared" si="10"/>
        <v>23.051459046348313</v>
      </c>
      <c r="AE4" s="64">
        <f t="shared" ref="AE4:AF4" si="33">SUM(F118:F165)</f>
        <v>53500882</v>
      </c>
      <c r="AF4" s="64">
        <f t="shared" si="33"/>
        <v>1783893.9999999998</v>
      </c>
      <c r="AG4" s="65">
        <f t="shared" si="12"/>
        <v>29.991065612642906</v>
      </c>
      <c r="AH4" s="64">
        <f t="shared" ref="AH4:AI4" si="34">SUM(I118:I165)</f>
        <v>460900</v>
      </c>
      <c r="AI4" s="64">
        <f t="shared" si="34"/>
        <v>1805027.0000000002</v>
      </c>
      <c r="AJ4" s="65">
        <f t="shared" si="14"/>
        <v>0.25534244086099539</v>
      </c>
      <c r="AK4" s="65">
        <f t="shared" si="15"/>
        <v>17.765955699950737</v>
      </c>
      <c r="AL4" s="69">
        <f t="shared" si="16"/>
        <v>31531998.333333332</v>
      </c>
      <c r="AM4" s="64">
        <f t="shared" ref="AM4:AN4" si="35">SUM(N118:N165)</f>
        <v>186252787</v>
      </c>
      <c r="AN4" s="64">
        <f t="shared" si="35"/>
        <v>1974090.9999999998</v>
      </c>
      <c r="AO4" s="65">
        <f t="shared" si="18"/>
        <v>94.348632864442436</v>
      </c>
      <c r="AP4" s="69">
        <f t="shared" ref="AP4:AQ4" si="36">SUM(Q118:Q165)</f>
        <v>200992801</v>
      </c>
      <c r="AQ4" s="64">
        <f t="shared" si="36"/>
        <v>1995224.0000000002</v>
      </c>
      <c r="AR4" s="65">
        <f t="shared" si="20"/>
        <v>100.73696036134288</v>
      </c>
      <c r="AS4" s="64">
        <f t="shared" ref="AS4:AT4" si="37">SUM(T118:T165)</f>
        <v>186063431</v>
      </c>
      <c r="AT4" s="64">
        <f t="shared" si="37"/>
        <v>2016357</v>
      </c>
      <c r="AU4" s="65">
        <f t="shared" si="22"/>
        <v>92.277027827909436</v>
      </c>
      <c r="AV4" s="65">
        <f t="shared" si="23"/>
        <v>95.787540351231584</v>
      </c>
      <c r="AW4" s="69">
        <f t="shared" si="24"/>
        <v>191103006.33333334</v>
      </c>
    </row>
    <row r="5" spans="1:49" ht="15.75" customHeight="1">
      <c r="A5" s="16">
        <v>10201</v>
      </c>
      <c r="B5" s="63" t="s">
        <v>11</v>
      </c>
      <c r="C5" s="64">
        <v>56700</v>
      </c>
      <c r="D5" s="64">
        <v>10652</v>
      </c>
      <c r="E5" s="65">
        <f t="shared" si="0"/>
        <v>5.3229440480660912</v>
      </c>
      <c r="F5" s="64">
        <v>62700</v>
      </c>
      <c r="G5" s="64">
        <v>10422.916666666666</v>
      </c>
      <c r="H5" s="65">
        <f t="shared" si="1"/>
        <v>6.0155906456126331</v>
      </c>
      <c r="I5" s="64">
        <v>59800</v>
      </c>
      <c r="J5" s="64">
        <v>10193.833333333334</v>
      </c>
      <c r="K5" s="65">
        <f t="shared" si="2"/>
        <v>5.8662917123097298</v>
      </c>
      <c r="L5" s="66">
        <f t="shared" si="3"/>
        <v>5.7349421353294856</v>
      </c>
      <c r="M5" s="67">
        <f t="shared" si="25"/>
        <v>59733.333333333336</v>
      </c>
      <c r="N5" s="64">
        <v>10000</v>
      </c>
      <c r="O5" s="64">
        <v>8361.1666666666661</v>
      </c>
      <c r="P5" s="68">
        <f t="shared" si="4"/>
        <v>1.196005342157195</v>
      </c>
      <c r="Q5" s="69">
        <v>10000</v>
      </c>
      <c r="R5" s="64">
        <v>8132.083333333333</v>
      </c>
      <c r="S5" s="68">
        <f t="shared" si="5"/>
        <v>1.2296971870676847</v>
      </c>
      <c r="T5" s="64">
        <v>5000</v>
      </c>
      <c r="U5" s="64">
        <v>7903</v>
      </c>
      <c r="V5" s="68">
        <f t="shared" si="6"/>
        <v>0.63267113754270532</v>
      </c>
      <c r="W5" s="70">
        <f t="shared" si="7"/>
        <v>1.0194578889225283</v>
      </c>
      <c r="X5" s="71">
        <f t="shared" si="8"/>
        <v>8333.3333333333339</v>
      </c>
      <c r="Z5" s="63">
        <v>4</v>
      </c>
      <c r="AA5" s="63" t="s">
        <v>172</v>
      </c>
      <c r="AB5" s="64">
        <f t="shared" ref="AB5:AC5" si="38">SUM(C166:C200)</f>
        <v>700355</v>
      </c>
      <c r="AC5" s="64">
        <f t="shared" si="38"/>
        <v>494587</v>
      </c>
      <c r="AD5" s="65">
        <f t="shared" si="10"/>
        <v>1.4160400495767176</v>
      </c>
      <c r="AE5" s="64">
        <f t="shared" ref="AE5:AF5" si="39">SUM(F166:F200)</f>
        <v>1307000</v>
      </c>
      <c r="AF5" s="64">
        <f t="shared" si="39"/>
        <v>500994.00000000006</v>
      </c>
      <c r="AG5" s="65">
        <f t="shared" si="12"/>
        <v>2.6088136784073259</v>
      </c>
      <c r="AH5" s="64">
        <f t="shared" ref="AH5:AI5" si="40">SUM(I166:I200)</f>
        <v>0</v>
      </c>
      <c r="AI5" s="64">
        <f t="shared" si="40"/>
        <v>507400.99999999994</v>
      </c>
      <c r="AJ5" s="65">
        <f t="shared" si="14"/>
        <v>0</v>
      </c>
      <c r="AK5" s="65">
        <f t="shared" si="15"/>
        <v>1.3416179093280143</v>
      </c>
      <c r="AL5" s="69">
        <f t="shared" si="16"/>
        <v>669118.33333333337</v>
      </c>
      <c r="AM5" s="64">
        <f t="shared" ref="AM5:AN5" si="41">SUM(N166:N200)</f>
        <v>5173688</v>
      </c>
      <c r="AN5" s="64">
        <f t="shared" si="41"/>
        <v>558657</v>
      </c>
      <c r="AO5" s="65">
        <f t="shared" si="18"/>
        <v>9.2609382859249951</v>
      </c>
      <c r="AP5" s="69">
        <f t="shared" ref="AP5:AQ5" si="42">SUM(Q166:Q200)</f>
        <v>5151981</v>
      </c>
      <c r="AQ5" s="64">
        <f t="shared" si="42"/>
        <v>565064</v>
      </c>
      <c r="AR5" s="65">
        <f t="shared" si="20"/>
        <v>9.1175176617161942</v>
      </c>
      <c r="AS5" s="64">
        <f t="shared" ref="AS5:AT5" si="43">SUM(T166:T200)</f>
        <v>6121042</v>
      </c>
      <c r="AT5" s="64">
        <f t="shared" si="43"/>
        <v>571471</v>
      </c>
      <c r="AU5" s="65">
        <f t="shared" si="22"/>
        <v>10.711028206155692</v>
      </c>
      <c r="AV5" s="65">
        <f t="shared" si="23"/>
        <v>9.6964947179322944</v>
      </c>
      <c r="AW5" s="69">
        <f t="shared" si="24"/>
        <v>5482237</v>
      </c>
    </row>
    <row r="6" spans="1:49" ht="15.75" customHeight="1">
      <c r="A6" s="16">
        <v>10202</v>
      </c>
      <c r="B6" s="63" t="s">
        <v>12</v>
      </c>
      <c r="C6" s="64">
        <v>0</v>
      </c>
      <c r="D6" s="64">
        <v>14261</v>
      </c>
      <c r="E6" s="65">
        <f t="shared" si="0"/>
        <v>0</v>
      </c>
      <c r="F6" s="64">
        <v>0</v>
      </c>
      <c r="G6" s="64">
        <v>14473.583333333334</v>
      </c>
      <c r="H6" s="65">
        <f t="shared" si="1"/>
        <v>0</v>
      </c>
      <c r="I6" s="64">
        <v>0</v>
      </c>
      <c r="J6" s="64">
        <v>14686.166666666666</v>
      </c>
      <c r="K6" s="65">
        <f t="shared" si="2"/>
        <v>0</v>
      </c>
      <c r="L6" s="66">
        <f t="shared" si="3"/>
        <v>0</v>
      </c>
      <c r="M6" s="67">
        <f t="shared" si="25"/>
        <v>0</v>
      </c>
      <c r="N6" s="64">
        <v>0</v>
      </c>
      <c r="O6" s="64">
        <v>16386.833333333332</v>
      </c>
      <c r="P6" s="68">
        <f t="shared" si="4"/>
        <v>0</v>
      </c>
      <c r="Q6" s="69">
        <v>0</v>
      </c>
      <c r="R6" s="64">
        <v>16599.416666666668</v>
      </c>
      <c r="S6" s="68">
        <f t="shared" si="5"/>
        <v>0</v>
      </c>
      <c r="T6" s="64">
        <v>0</v>
      </c>
      <c r="U6" s="64">
        <v>16812</v>
      </c>
      <c r="V6" s="68">
        <f t="shared" si="6"/>
        <v>0</v>
      </c>
      <c r="W6" s="70">
        <f t="shared" si="7"/>
        <v>0</v>
      </c>
      <c r="X6" s="71">
        <f t="shared" si="8"/>
        <v>0</v>
      </c>
      <c r="Z6" s="63">
        <v>5</v>
      </c>
      <c r="AA6" s="63" t="s">
        <v>206</v>
      </c>
      <c r="AB6" s="64">
        <f t="shared" ref="AB6:AC6" si="44">SUM(C201:C242)</f>
        <v>2117294</v>
      </c>
      <c r="AC6" s="64">
        <f t="shared" si="44"/>
        <v>828517</v>
      </c>
      <c r="AD6" s="65">
        <f t="shared" si="10"/>
        <v>2.5555226989910889</v>
      </c>
      <c r="AE6" s="64">
        <f t="shared" ref="AE6:AF6" si="45">SUM(F201:F242)</f>
        <v>3586822</v>
      </c>
      <c r="AF6" s="64">
        <f t="shared" si="45"/>
        <v>831248.25</v>
      </c>
      <c r="AG6" s="65">
        <f t="shared" si="12"/>
        <v>4.3149829187610322</v>
      </c>
      <c r="AH6" s="64">
        <f t="shared" ref="AH6:AI6" si="46">SUM(I201:I242)</f>
        <v>0</v>
      </c>
      <c r="AI6" s="64">
        <f t="shared" si="46"/>
        <v>833979.5</v>
      </c>
      <c r="AJ6" s="65">
        <f t="shared" si="14"/>
        <v>0</v>
      </c>
      <c r="AK6" s="65">
        <f t="shared" si="15"/>
        <v>2.2901685392507072</v>
      </c>
      <c r="AL6" s="69">
        <f t="shared" si="16"/>
        <v>1901372</v>
      </c>
      <c r="AM6" s="64">
        <f t="shared" ref="AM6:AN6" si="47">SUM(N201:N242)</f>
        <v>17407483</v>
      </c>
      <c r="AN6" s="64">
        <f t="shared" si="47"/>
        <v>855829.49999999988</v>
      </c>
      <c r="AO6" s="65">
        <f t="shared" si="18"/>
        <v>20.339895972270181</v>
      </c>
      <c r="AP6" s="69">
        <f t="shared" ref="AP6:AQ6" si="48">SUM(Q201:Q242)</f>
        <v>17810303</v>
      </c>
      <c r="AQ6" s="64">
        <f t="shared" si="48"/>
        <v>858560.75000000012</v>
      </c>
      <c r="AR6" s="65">
        <f t="shared" si="20"/>
        <v>20.744371321423671</v>
      </c>
      <c r="AS6" s="64">
        <f t="shared" ref="AS6:AT6" si="49">SUM(T201:T242)</f>
        <v>20778295</v>
      </c>
      <c r="AT6" s="64">
        <f t="shared" si="49"/>
        <v>861292</v>
      </c>
      <c r="AU6" s="65">
        <f t="shared" si="22"/>
        <v>24.124565188112744</v>
      </c>
      <c r="AV6" s="65">
        <f t="shared" si="23"/>
        <v>21.736277493935532</v>
      </c>
      <c r="AW6" s="69">
        <f t="shared" si="24"/>
        <v>18665360.333333332</v>
      </c>
    </row>
    <row r="7" spans="1:49" ht="15.75" customHeight="1">
      <c r="A7" s="16">
        <v>10301</v>
      </c>
      <c r="B7" s="63" t="s">
        <v>13</v>
      </c>
      <c r="C7" s="64">
        <v>31166</v>
      </c>
      <c r="D7" s="64">
        <v>11362</v>
      </c>
      <c r="E7" s="65">
        <f t="shared" si="0"/>
        <v>2.7430029924309101</v>
      </c>
      <c r="F7" s="64">
        <v>66600</v>
      </c>
      <c r="G7" s="64">
        <v>11556.333333333334</v>
      </c>
      <c r="H7" s="65">
        <f t="shared" si="1"/>
        <v>5.7630736392742792</v>
      </c>
      <c r="I7" s="64">
        <v>99200</v>
      </c>
      <c r="J7" s="64">
        <v>11750.666666666666</v>
      </c>
      <c r="K7" s="65">
        <f t="shared" si="2"/>
        <v>8.4420742085555442</v>
      </c>
      <c r="L7" s="66">
        <f t="shared" si="3"/>
        <v>5.6493836134202446</v>
      </c>
      <c r="M7" s="67">
        <f t="shared" si="25"/>
        <v>65655.333333333328</v>
      </c>
      <c r="N7" s="64">
        <v>72200</v>
      </c>
      <c r="O7" s="64">
        <v>13305.333333333334</v>
      </c>
      <c r="P7" s="68">
        <f t="shared" si="4"/>
        <v>5.426395430403848</v>
      </c>
      <c r="Q7" s="69">
        <v>103200</v>
      </c>
      <c r="R7" s="64">
        <v>13499.666666666668</v>
      </c>
      <c r="S7" s="68">
        <f t="shared" si="5"/>
        <v>7.644633200819773</v>
      </c>
      <c r="T7" s="64">
        <v>68450</v>
      </c>
      <c r="U7" s="64">
        <v>13694</v>
      </c>
      <c r="V7" s="68">
        <f t="shared" si="6"/>
        <v>4.998539506353147</v>
      </c>
      <c r="W7" s="70">
        <f t="shared" si="7"/>
        <v>6.0231893791922557</v>
      </c>
      <c r="X7" s="71">
        <f t="shared" si="8"/>
        <v>81283.333333333328</v>
      </c>
      <c r="Z7" s="63">
        <v>6</v>
      </c>
      <c r="AA7" s="63" t="s">
        <v>248</v>
      </c>
      <c r="AB7" s="64">
        <f t="shared" ref="AB7:AC7" si="50">SUM(C243:C253)</f>
        <v>19135065</v>
      </c>
      <c r="AC7" s="64">
        <f t="shared" si="50"/>
        <v>483518</v>
      </c>
      <c r="AD7" s="65">
        <f t="shared" si="10"/>
        <v>39.574669402173235</v>
      </c>
      <c r="AE7" s="64">
        <f t="shared" ref="AE7:AF7" si="51">SUM(F243:F253)</f>
        <v>23267020</v>
      </c>
      <c r="AF7" s="64">
        <f t="shared" si="51"/>
        <v>487742.33333333331</v>
      </c>
      <c r="AG7" s="65">
        <f t="shared" si="12"/>
        <v>47.703507384705176</v>
      </c>
      <c r="AH7" s="64">
        <f t="shared" ref="AH7:AI7" si="52">SUM(I243:I253)</f>
        <v>295857</v>
      </c>
      <c r="AI7" s="64">
        <f t="shared" si="52"/>
        <v>491966.66666666669</v>
      </c>
      <c r="AJ7" s="65">
        <f t="shared" si="14"/>
        <v>0.60137610949251297</v>
      </c>
      <c r="AK7" s="65">
        <f t="shared" si="15"/>
        <v>29.293184298790312</v>
      </c>
      <c r="AL7" s="69">
        <f t="shared" si="16"/>
        <v>14232647.333333334</v>
      </c>
      <c r="AM7" s="64">
        <f t="shared" ref="AM7:AN7" si="53">SUM(N243:N253)</f>
        <v>36737645</v>
      </c>
      <c r="AN7" s="64">
        <f t="shared" si="53"/>
        <v>525761.33333333337</v>
      </c>
      <c r="AO7" s="65">
        <f t="shared" si="18"/>
        <v>69.875136627265604</v>
      </c>
      <c r="AP7" s="69">
        <f t="shared" ref="AP7:AQ7" si="54">SUM(Q243:Q253)</f>
        <v>38037785</v>
      </c>
      <c r="AQ7" s="64">
        <f t="shared" si="54"/>
        <v>529985.66666666663</v>
      </c>
      <c r="AR7" s="65">
        <f t="shared" si="20"/>
        <v>71.771346646481646</v>
      </c>
      <c r="AS7" s="64">
        <f t="shared" ref="AS7:AT7" si="55">SUM(T243:T253)</f>
        <v>38535389</v>
      </c>
      <c r="AT7" s="64">
        <f t="shared" si="55"/>
        <v>534210</v>
      </c>
      <c r="AU7" s="65">
        <f t="shared" si="22"/>
        <v>72.135282005203948</v>
      </c>
      <c r="AV7" s="65">
        <f t="shared" si="23"/>
        <v>71.260588426317071</v>
      </c>
      <c r="AW7" s="69">
        <f t="shared" si="24"/>
        <v>37770273</v>
      </c>
    </row>
    <row r="8" spans="1:49" ht="15.75" customHeight="1">
      <c r="A8" s="16">
        <v>10302</v>
      </c>
      <c r="B8" s="63" t="s">
        <v>14</v>
      </c>
      <c r="C8" s="64">
        <v>0</v>
      </c>
      <c r="D8" s="64">
        <v>12385</v>
      </c>
      <c r="E8" s="65">
        <f t="shared" si="0"/>
        <v>0</v>
      </c>
      <c r="F8" s="64">
        <v>0</v>
      </c>
      <c r="G8" s="64">
        <v>12397.833333333334</v>
      </c>
      <c r="H8" s="65">
        <f t="shared" si="1"/>
        <v>0</v>
      </c>
      <c r="I8" s="64">
        <v>0</v>
      </c>
      <c r="J8" s="64">
        <v>12410.666666666666</v>
      </c>
      <c r="K8" s="65">
        <f t="shared" si="2"/>
        <v>0</v>
      </c>
      <c r="L8" s="66">
        <f t="shared" si="3"/>
        <v>0</v>
      </c>
      <c r="M8" s="67">
        <f t="shared" si="25"/>
        <v>0</v>
      </c>
      <c r="N8" s="64">
        <v>0</v>
      </c>
      <c r="O8" s="64">
        <v>12513.333333333334</v>
      </c>
      <c r="P8" s="68">
        <f t="shared" si="4"/>
        <v>0</v>
      </c>
      <c r="Q8" s="69">
        <v>0</v>
      </c>
      <c r="R8" s="64">
        <v>12526.166666666666</v>
      </c>
      <c r="S8" s="68">
        <f t="shared" si="5"/>
        <v>0</v>
      </c>
      <c r="T8" s="64">
        <v>0</v>
      </c>
      <c r="U8" s="64">
        <v>12539</v>
      </c>
      <c r="V8" s="68">
        <f t="shared" si="6"/>
        <v>0</v>
      </c>
      <c r="W8" s="70">
        <f t="shared" si="7"/>
        <v>0</v>
      </c>
      <c r="X8" s="71">
        <f t="shared" si="8"/>
        <v>0</v>
      </c>
      <c r="Z8" s="63">
        <v>7</v>
      </c>
      <c r="AA8" s="63" t="s">
        <v>366</v>
      </c>
      <c r="AB8" s="64">
        <f t="shared" ref="AB8:AC8" si="56">SUM(C254:C309)</f>
        <v>113999702</v>
      </c>
      <c r="AC8" s="64">
        <f t="shared" si="56"/>
        <v>2657762</v>
      </c>
      <c r="AD8" s="65">
        <f t="shared" si="10"/>
        <v>42.893119097947825</v>
      </c>
      <c r="AE8" s="64">
        <f t="shared" ref="AE8:AF8" si="57">SUM(F254:F309)</f>
        <v>249231805</v>
      </c>
      <c r="AF8" s="64">
        <f t="shared" si="57"/>
        <v>2696498.916666667</v>
      </c>
      <c r="AG8" s="65">
        <f t="shared" si="12"/>
        <v>92.427926990637573</v>
      </c>
      <c r="AH8" s="64">
        <f t="shared" ref="AH8:AI8" si="58">SUM(I254:I309)</f>
        <v>3368000</v>
      </c>
      <c r="AI8" s="64">
        <f t="shared" si="58"/>
        <v>2735235.8333333326</v>
      </c>
      <c r="AJ8" s="65">
        <f t="shared" si="14"/>
        <v>1.2313380656086026</v>
      </c>
      <c r="AK8" s="65">
        <f t="shared" si="15"/>
        <v>45.517461384731341</v>
      </c>
      <c r="AL8" s="69">
        <f t="shared" si="16"/>
        <v>122199835.66666667</v>
      </c>
      <c r="AM8" s="64">
        <f t="shared" ref="AM8:AN8" si="59">SUM(N254:N309)</f>
        <v>318140954</v>
      </c>
      <c r="AN8" s="64">
        <f t="shared" si="59"/>
        <v>3045131.1666666679</v>
      </c>
      <c r="AO8" s="65">
        <f t="shared" si="18"/>
        <v>104.47528746298664</v>
      </c>
      <c r="AP8" s="69">
        <f t="shared" ref="AP8:AQ8" si="60">SUM(Q254:Q309)</f>
        <v>376290258</v>
      </c>
      <c r="AQ8" s="64">
        <f t="shared" si="60"/>
        <v>3083868.0833333321</v>
      </c>
      <c r="AR8" s="65">
        <f t="shared" si="20"/>
        <v>122.01892163729339</v>
      </c>
      <c r="AS8" s="64">
        <f t="shared" ref="AS8:AT8" si="61">SUM(T254:T309)</f>
        <v>417932420</v>
      </c>
      <c r="AT8" s="64">
        <f t="shared" si="61"/>
        <v>3122605</v>
      </c>
      <c r="AU8" s="65">
        <f t="shared" si="22"/>
        <v>133.84095010415982</v>
      </c>
      <c r="AV8" s="65">
        <f t="shared" si="23"/>
        <v>120.11171973481328</v>
      </c>
      <c r="AW8" s="69">
        <f t="shared" si="24"/>
        <v>370787877.33333331</v>
      </c>
    </row>
    <row r="9" spans="1:49" ht="15.75" customHeight="1">
      <c r="A9" s="16">
        <v>10303</v>
      </c>
      <c r="B9" s="63" t="s">
        <v>15</v>
      </c>
      <c r="C9" s="64">
        <v>50000</v>
      </c>
      <c r="D9" s="64">
        <v>8068</v>
      </c>
      <c r="E9" s="65">
        <f t="shared" si="0"/>
        <v>6.1973227565691618</v>
      </c>
      <c r="F9" s="64">
        <v>60001</v>
      </c>
      <c r="G9" s="64">
        <v>8150.25</v>
      </c>
      <c r="H9" s="65">
        <f t="shared" si="1"/>
        <v>7.3618600656421584</v>
      </c>
      <c r="I9" s="64">
        <v>60000</v>
      </c>
      <c r="J9" s="64">
        <v>8232.5</v>
      </c>
      <c r="K9" s="65">
        <f t="shared" si="2"/>
        <v>7.2881870634679622</v>
      </c>
      <c r="L9" s="66">
        <f t="shared" si="3"/>
        <v>6.9491232952264275</v>
      </c>
      <c r="M9" s="67">
        <f t="shared" si="25"/>
        <v>56667</v>
      </c>
      <c r="N9" s="64">
        <v>40000</v>
      </c>
      <c r="O9" s="64">
        <v>8890.5</v>
      </c>
      <c r="P9" s="68">
        <f t="shared" si="4"/>
        <v>4.4991845228052414</v>
      </c>
      <c r="Q9" s="69">
        <v>40000</v>
      </c>
      <c r="R9" s="64">
        <v>8972.75</v>
      </c>
      <c r="S9" s="68">
        <f t="shared" si="5"/>
        <v>4.4579421024769443</v>
      </c>
      <c r="T9" s="64">
        <v>40000</v>
      </c>
      <c r="U9" s="64">
        <v>9055</v>
      </c>
      <c r="V9" s="68">
        <f t="shared" si="6"/>
        <v>4.417448923246825</v>
      </c>
      <c r="W9" s="70">
        <f t="shared" si="7"/>
        <v>4.45819184950967</v>
      </c>
      <c r="X9" s="71">
        <f t="shared" si="8"/>
        <v>40000</v>
      </c>
      <c r="Z9" s="63">
        <v>8</v>
      </c>
      <c r="AA9" s="63" t="s">
        <v>367</v>
      </c>
      <c r="AB9" s="64">
        <f t="shared" ref="AB9:AC9" si="62">SUM(C310:C329)</f>
        <v>14794152</v>
      </c>
      <c r="AC9" s="64">
        <f t="shared" si="62"/>
        <v>422008</v>
      </c>
      <c r="AD9" s="65">
        <f t="shared" si="10"/>
        <v>35.05656764800667</v>
      </c>
      <c r="AE9" s="64">
        <f t="shared" ref="AE9:AF9" si="63">SUM(F310:F329)</f>
        <v>15965770</v>
      </c>
      <c r="AF9" s="64">
        <f t="shared" si="63"/>
        <v>427529.00000000006</v>
      </c>
      <c r="AG9" s="65">
        <f t="shared" si="12"/>
        <v>37.344297112008768</v>
      </c>
      <c r="AH9" s="64">
        <f t="shared" ref="AH9:AI9" si="64">SUM(I310:I329)</f>
        <v>0</v>
      </c>
      <c r="AI9" s="64">
        <f t="shared" si="64"/>
        <v>433049.99999999994</v>
      </c>
      <c r="AJ9" s="65">
        <f t="shared" si="14"/>
        <v>0</v>
      </c>
      <c r="AK9" s="65">
        <f t="shared" si="15"/>
        <v>24.133621586671811</v>
      </c>
      <c r="AL9" s="69">
        <f t="shared" si="16"/>
        <v>10253307.333333334</v>
      </c>
      <c r="AM9" s="64">
        <f t="shared" ref="AM9:AN9" si="65">SUM(N310:N329)</f>
        <v>13366094</v>
      </c>
      <c r="AN9" s="64">
        <f t="shared" si="65"/>
        <v>477218.00000000006</v>
      </c>
      <c r="AO9" s="65">
        <f t="shared" si="18"/>
        <v>28.008360958723262</v>
      </c>
      <c r="AP9" s="69">
        <f t="shared" ref="AP9:AQ9" si="66">SUM(Q310:Q329)</f>
        <v>26129166</v>
      </c>
      <c r="AQ9" s="64">
        <f t="shared" si="66"/>
        <v>482738.99999999994</v>
      </c>
      <c r="AR9" s="65">
        <f t="shared" si="20"/>
        <v>54.126900871899728</v>
      </c>
      <c r="AS9" s="64">
        <f t="shared" ref="AS9:AT9" si="67">SUM(T310:T329)</f>
        <v>27526119</v>
      </c>
      <c r="AT9" s="64">
        <f t="shared" si="67"/>
        <v>488260</v>
      </c>
      <c r="AU9" s="65">
        <f t="shared" si="22"/>
        <v>56.375945193134804</v>
      </c>
      <c r="AV9" s="65">
        <f t="shared" si="23"/>
        <v>46.170402341252604</v>
      </c>
      <c r="AW9" s="69">
        <f t="shared" si="24"/>
        <v>22340459.666666668</v>
      </c>
    </row>
    <row r="10" spans="1:49" ht="15.75" customHeight="1">
      <c r="A10" s="16">
        <v>10304</v>
      </c>
      <c r="B10" s="63" t="s">
        <v>16</v>
      </c>
      <c r="C10" s="64">
        <v>30000</v>
      </c>
      <c r="D10" s="64">
        <v>7774</v>
      </c>
      <c r="E10" s="65">
        <f t="shared" si="0"/>
        <v>3.8590172369436582</v>
      </c>
      <c r="F10" s="64">
        <v>40000</v>
      </c>
      <c r="G10" s="64">
        <v>7889.083333333333</v>
      </c>
      <c r="H10" s="65">
        <f t="shared" si="1"/>
        <v>5.0702975630882339</v>
      </c>
      <c r="I10" s="64">
        <v>39000</v>
      </c>
      <c r="J10" s="64">
        <v>8004.166666666667</v>
      </c>
      <c r="K10" s="65">
        <f t="shared" si="2"/>
        <v>4.8724622592399793</v>
      </c>
      <c r="L10" s="66">
        <f t="shared" si="3"/>
        <v>4.6005923530906241</v>
      </c>
      <c r="M10" s="67">
        <f t="shared" si="25"/>
        <v>36333.333333333336</v>
      </c>
      <c r="N10" s="64">
        <v>54488</v>
      </c>
      <c r="O10" s="64">
        <v>8924.8333333333339</v>
      </c>
      <c r="P10" s="68">
        <f t="shared" si="4"/>
        <v>6.1052120487777541</v>
      </c>
      <c r="Q10" s="69">
        <v>4488</v>
      </c>
      <c r="R10" s="64">
        <v>9039.9166666666661</v>
      </c>
      <c r="S10" s="68">
        <f t="shared" si="5"/>
        <v>0.49646475354676944</v>
      </c>
      <c r="T10" s="64">
        <v>4888</v>
      </c>
      <c r="U10" s="64">
        <v>9155</v>
      </c>
      <c r="V10" s="68">
        <f t="shared" si="6"/>
        <v>0.53391589295466957</v>
      </c>
      <c r="W10" s="70">
        <f t="shared" si="7"/>
        <v>2.3785308984263978</v>
      </c>
      <c r="X10" s="71">
        <f t="shared" si="8"/>
        <v>21288</v>
      </c>
      <c r="Z10" s="63">
        <v>9</v>
      </c>
      <c r="AA10" s="63" t="s">
        <v>368</v>
      </c>
      <c r="AB10" s="64">
        <f t="shared" ref="AB10:AC10" si="68">SUM(C330:C344)</f>
        <v>2528084</v>
      </c>
      <c r="AC10" s="64">
        <f t="shared" si="68"/>
        <v>110436</v>
      </c>
      <c r="AD10" s="65">
        <f t="shared" si="10"/>
        <v>22.891846861530659</v>
      </c>
      <c r="AE10" s="64">
        <f t="shared" ref="AE10:AF10" si="69">SUM(F330:F344)</f>
        <v>3688213</v>
      </c>
      <c r="AF10" s="64">
        <f t="shared" si="69"/>
        <v>112415.83333333336</v>
      </c>
      <c r="AG10" s="65">
        <f t="shared" si="12"/>
        <v>32.808661294746436</v>
      </c>
      <c r="AH10" s="64">
        <f t="shared" ref="AH10:AI10" si="70">SUM(I330:I344)</f>
        <v>0</v>
      </c>
      <c r="AI10" s="64">
        <f t="shared" si="70"/>
        <v>114395.66666666664</v>
      </c>
      <c r="AJ10" s="65">
        <f t="shared" si="14"/>
        <v>0</v>
      </c>
      <c r="AK10" s="65">
        <f t="shared" si="15"/>
        <v>18.566836052092366</v>
      </c>
      <c r="AL10" s="69">
        <f t="shared" si="16"/>
        <v>2072099</v>
      </c>
      <c r="AM10" s="64">
        <f t="shared" ref="AM10:AN10" si="71">SUM(N330:N344)</f>
        <v>5181345</v>
      </c>
      <c r="AN10" s="64">
        <f t="shared" si="71"/>
        <v>130234.33333333336</v>
      </c>
      <c r="AO10" s="65">
        <f t="shared" si="18"/>
        <v>39.784785374056504</v>
      </c>
      <c r="AP10" s="69">
        <f t="shared" ref="AP10:AQ10" si="72">SUM(Q330:Q344)</f>
        <v>5896817</v>
      </c>
      <c r="AQ10" s="64">
        <f t="shared" si="72"/>
        <v>132214.16666666666</v>
      </c>
      <c r="AR10" s="65">
        <f t="shared" si="20"/>
        <v>44.600492887171704</v>
      </c>
      <c r="AS10" s="64">
        <f t="shared" ref="AS10:AT10" si="73">SUM(T330:T344)</f>
        <v>6017427</v>
      </c>
      <c r="AT10" s="64">
        <f t="shared" si="73"/>
        <v>134194</v>
      </c>
      <c r="AU10" s="65">
        <f t="shared" si="22"/>
        <v>44.841252216939651</v>
      </c>
      <c r="AV10" s="65">
        <f t="shared" si="23"/>
        <v>43.075510159389289</v>
      </c>
      <c r="AW10" s="69">
        <f t="shared" si="24"/>
        <v>5698529.666666667</v>
      </c>
    </row>
    <row r="11" spans="1:49" ht="15.75" customHeight="1">
      <c r="A11" s="16">
        <v>10401</v>
      </c>
      <c r="B11" s="63" t="s">
        <v>17</v>
      </c>
      <c r="C11" s="64">
        <v>100000</v>
      </c>
      <c r="D11" s="64">
        <v>10383</v>
      </c>
      <c r="E11" s="65">
        <f t="shared" si="0"/>
        <v>9.6311278050659741</v>
      </c>
      <c r="F11" s="64">
        <v>76600</v>
      </c>
      <c r="G11" s="64">
        <v>10283.75</v>
      </c>
      <c r="H11" s="65">
        <f t="shared" si="1"/>
        <v>7.4486447064543579</v>
      </c>
      <c r="I11" s="64">
        <v>137000</v>
      </c>
      <c r="J11" s="64">
        <v>10184.5</v>
      </c>
      <c r="K11" s="65">
        <f t="shared" si="2"/>
        <v>13.45181403112573</v>
      </c>
      <c r="L11" s="66">
        <f t="shared" si="3"/>
        <v>10.177195514215354</v>
      </c>
      <c r="M11" s="67">
        <f t="shared" si="25"/>
        <v>104533.33333333333</v>
      </c>
      <c r="N11" s="64">
        <v>59900</v>
      </c>
      <c r="O11" s="64">
        <v>9390.5</v>
      </c>
      <c r="P11" s="68">
        <f t="shared" si="4"/>
        <v>6.3787870720408923</v>
      </c>
      <c r="Q11" s="69">
        <v>46720</v>
      </c>
      <c r="R11" s="64">
        <v>9291.25</v>
      </c>
      <c r="S11" s="68">
        <f t="shared" si="5"/>
        <v>5.0283869231804115</v>
      </c>
      <c r="T11" s="64">
        <v>49500</v>
      </c>
      <c r="U11" s="64">
        <v>9192</v>
      </c>
      <c r="V11" s="68">
        <f t="shared" si="6"/>
        <v>5.3851174934725847</v>
      </c>
      <c r="W11" s="70">
        <f t="shared" si="7"/>
        <v>5.5974304962312962</v>
      </c>
      <c r="X11" s="71">
        <f t="shared" si="8"/>
        <v>52040</v>
      </c>
      <c r="AA11" s="63" t="s">
        <v>369</v>
      </c>
      <c r="AB11" s="64">
        <f t="shared" ref="AB11:AC11" si="74">SUM(AB2:AB10)</f>
        <v>300494676</v>
      </c>
      <c r="AC11" s="64">
        <f t="shared" si="74"/>
        <v>10059856</v>
      </c>
      <c r="AD11" s="65">
        <f t="shared" si="10"/>
        <v>29.870673695528048</v>
      </c>
      <c r="AE11" s="64">
        <f t="shared" ref="AE11:AF11" si="75">SUM(AE2:AE10)</f>
        <v>408420891</v>
      </c>
      <c r="AF11" s="64">
        <f t="shared" si="75"/>
        <v>10168645.750000002</v>
      </c>
      <c r="AG11" s="65">
        <f t="shared" si="12"/>
        <v>40.164728031753874</v>
      </c>
      <c r="AH11" s="64">
        <f t="shared" ref="AH11:AI11" si="76">SUM(AH2:AH10)</f>
        <v>142528647</v>
      </c>
      <c r="AI11" s="64">
        <f t="shared" si="76"/>
        <v>10277435.499999996</v>
      </c>
      <c r="AJ11" s="65">
        <f t="shared" si="14"/>
        <v>13.868113986217676</v>
      </c>
      <c r="AK11" s="65">
        <f t="shared" si="15"/>
        <v>27.967838571166535</v>
      </c>
      <c r="AL11" s="69">
        <f t="shared" si="16"/>
        <v>283814738</v>
      </c>
      <c r="AM11" s="64">
        <f t="shared" ref="AM11:AN11" si="77">SUM(AM2:AM10)</f>
        <v>1021047474</v>
      </c>
      <c r="AN11" s="64">
        <f t="shared" si="77"/>
        <v>11147753.500000004</v>
      </c>
      <c r="AO11" s="65">
        <f t="shared" si="18"/>
        <v>91.592218468052749</v>
      </c>
      <c r="AP11" s="69">
        <f t="shared" ref="AP11:AQ11" si="78">SUM(AP2:AP10)</f>
        <v>1080884440</v>
      </c>
      <c r="AQ11" s="64">
        <f t="shared" si="78"/>
        <v>11256543.249999996</v>
      </c>
      <c r="AR11" s="65">
        <f>AP11/AQ11</f>
        <v>96.022767913231291</v>
      </c>
      <c r="AS11" s="64">
        <f t="shared" ref="AS11:AT11" si="79">SUM(AS2:AS10)</f>
        <v>1058711455</v>
      </c>
      <c r="AT11" s="64">
        <f t="shared" si="79"/>
        <v>11365333</v>
      </c>
      <c r="AU11" s="65">
        <f t="shared" si="22"/>
        <v>93.152699969283788</v>
      </c>
      <c r="AV11" s="65">
        <f t="shared" si="23"/>
        <v>93.589228783522614</v>
      </c>
      <c r="AW11" s="69">
        <f t="shared" si="24"/>
        <v>1053547789.6666666</v>
      </c>
    </row>
    <row r="12" spans="1:49" ht="15.75" customHeight="1">
      <c r="A12" s="16">
        <v>10402</v>
      </c>
      <c r="B12" s="63" t="s">
        <v>18</v>
      </c>
      <c r="C12" s="64">
        <v>71160</v>
      </c>
      <c r="D12" s="64">
        <v>8494</v>
      </c>
      <c r="E12" s="65">
        <f t="shared" si="0"/>
        <v>8.3776783611961392</v>
      </c>
      <c r="F12" s="64">
        <v>60000</v>
      </c>
      <c r="G12" s="64">
        <v>8495.25</v>
      </c>
      <c r="H12" s="65">
        <f t="shared" si="1"/>
        <v>7.0627703716782912</v>
      </c>
      <c r="I12" s="64">
        <v>55285</v>
      </c>
      <c r="J12" s="64">
        <v>8496.5</v>
      </c>
      <c r="K12" s="65">
        <f t="shared" si="2"/>
        <v>6.5067969163773318</v>
      </c>
      <c r="L12" s="66">
        <f t="shared" si="3"/>
        <v>7.3157485497505874</v>
      </c>
      <c r="M12" s="67">
        <f t="shared" si="25"/>
        <v>62148.333333333336</v>
      </c>
      <c r="N12" s="64">
        <v>13916</v>
      </c>
      <c r="O12" s="64">
        <v>8506.5</v>
      </c>
      <c r="P12" s="68">
        <f t="shared" si="4"/>
        <v>1.6359254687591842</v>
      </c>
      <c r="Q12" s="69">
        <v>24660</v>
      </c>
      <c r="R12" s="64">
        <v>8507.75</v>
      </c>
      <c r="S12" s="68">
        <f t="shared" si="5"/>
        <v>2.8985336898709999</v>
      </c>
      <c r="T12" s="64">
        <v>23160</v>
      </c>
      <c r="U12" s="64">
        <v>8509</v>
      </c>
      <c r="V12" s="68">
        <f t="shared" si="6"/>
        <v>2.7218239511105886</v>
      </c>
      <c r="W12" s="70">
        <f t="shared" si="7"/>
        <v>2.4187610365802574</v>
      </c>
      <c r="X12" s="71">
        <f t="shared" si="8"/>
        <v>20578.666666666668</v>
      </c>
      <c r="AA12" s="51" t="s">
        <v>370</v>
      </c>
      <c r="AB12" s="56">
        <f t="shared" ref="AB12:AC12" si="80">SUM(C246:C248)</f>
        <v>5755200</v>
      </c>
      <c r="AC12" s="56">
        <f t="shared" si="80"/>
        <v>147478</v>
      </c>
      <c r="AD12" s="65">
        <f t="shared" si="10"/>
        <v>39.024125632297697</v>
      </c>
      <c r="AE12" s="56">
        <f t="shared" ref="AE12:AF12" si="81">SUM(F246:F248)</f>
        <v>7324100</v>
      </c>
      <c r="AF12" s="56">
        <f t="shared" si="81"/>
        <v>148460.16666666666</v>
      </c>
      <c r="AG12" s="65">
        <f t="shared" si="12"/>
        <v>49.333771909636816</v>
      </c>
      <c r="AH12" s="56">
        <f t="shared" ref="AH12:AI12" si="82">SUM(I246:I248)</f>
        <v>50000</v>
      </c>
      <c r="AI12" s="56">
        <f t="shared" si="82"/>
        <v>149442.33333333334</v>
      </c>
      <c r="AJ12" s="65">
        <f t="shared" si="14"/>
        <v>0.33457721707592891</v>
      </c>
      <c r="AK12" s="65">
        <f t="shared" si="15"/>
        <v>29.56415825300348</v>
      </c>
      <c r="AL12" s="69">
        <f t="shared" si="16"/>
        <v>4376433.333333333</v>
      </c>
      <c r="AM12" s="56">
        <f t="shared" ref="AM12:AN12" si="83">SUM(N246:N248)</f>
        <v>11449052</v>
      </c>
      <c r="AN12" s="56">
        <f t="shared" si="83"/>
        <v>157299.66666666666</v>
      </c>
      <c r="AO12" s="65">
        <f t="shared" si="18"/>
        <v>72.784973055675053</v>
      </c>
      <c r="AP12" s="55">
        <f t="shared" ref="AP12:AQ12" si="84">SUM(Q246:Q248)</f>
        <v>12353364</v>
      </c>
      <c r="AQ12" s="56">
        <f t="shared" si="84"/>
        <v>158281.83333333334</v>
      </c>
      <c r="AR12" s="65">
        <f t="shared" si="20"/>
        <v>78.046632009780012</v>
      </c>
      <c r="AS12" s="56">
        <f t="shared" ref="AS12:AT12" si="85">SUM(T246:T248)</f>
        <v>10156645</v>
      </c>
      <c r="AT12" s="56">
        <f t="shared" si="85"/>
        <v>159264</v>
      </c>
      <c r="AU12" s="65">
        <f t="shared" si="22"/>
        <v>63.772384217400038</v>
      </c>
      <c r="AV12" s="65">
        <f t="shared" si="23"/>
        <v>71.534663094285023</v>
      </c>
      <c r="AW12" s="69">
        <f t="shared" si="24"/>
        <v>11319687</v>
      </c>
    </row>
    <row r="13" spans="1:49" ht="15.75" customHeight="1">
      <c r="A13" s="16">
        <v>10403</v>
      </c>
      <c r="B13" s="63" t="s">
        <v>19</v>
      </c>
      <c r="C13" s="64">
        <v>0</v>
      </c>
      <c r="D13" s="64">
        <v>7312</v>
      </c>
      <c r="E13" s="65">
        <f t="shared" si="0"/>
        <v>0</v>
      </c>
      <c r="F13" s="64">
        <v>0</v>
      </c>
      <c r="G13" s="64">
        <v>7281.166666666667</v>
      </c>
      <c r="H13" s="65">
        <f t="shared" si="1"/>
        <v>0</v>
      </c>
      <c r="I13" s="64">
        <v>0</v>
      </c>
      <c r="J13" s="64">
        <v>7250.333333333333</v>
      </c>
      <c r="K13" s="65">
        <f t="shared" si="2"/>
        <v>0</v>
      </c>
      <c r="L13" s="66">
        <f t="shared" si="3"/>
        <v>0</v>
      </c>
      <c r="M13" s="67">
        <f t="shared" si="25"/>
        <v>0</v>
      </c>
      <c r="N13" s="64">
        <v>0</v>
      </c>
      <c r="O13" s="64">
        <v>7003.666666666667</v>
      </c>
      <c r="P13" s="68">
        <f t="shared" si="4"/>
        <v>0</v>
      </c>
      <c r="Q13" s="69">
        <v>0</v>
      </c>
      <c r="R13" s="64">
        <v>6972.833333333333</v>
      </c>
      <c r="S13" s="68">
        <f t="shared" si="5"/>
        <v>0</v>
      </c>
      <c r="T13" s="64">
        <v>0</v>
      </c>
      <c r="U13" s="64">
        <v>6942</v>
      </c>
      <c r="V13" s="68">
        <f t="shared" si="6"/>
        <v>0</v>
      </c>
      <c r="W13" s="70">
        <f t="shared" si="7"/>
        <v>0</v>
      </c>
      <c r="X13" s="71">
        <f t="shared" si="8"/>
        <v>0</v>
      </c>
      <c r="AD13" s="52"/>
      <c r="AG13" s="52"/>
      <c r="AJ13" s="52"/>
      <c r="AK13" s="52"/>
      <c r="AL13" s="55"/>
      <c r="AO13" s="52"/>
      <c r="AR13" s="52"/>
      <c r="AU13" s="52"/>
      <c r="AV13" s="52"/>
      <c r="AW13" s="55"/>
    </row>
    <row r="14" spans="1:49" ht="15.75" customHeight="1">
      <c r="A14" s="16">
        <v>10404</v>
      </c>
      <c r="B14" s="63" t="s">
        <v>20</v>
      </c>
      <c r="C14" s="64">
        <v>13000</v>
      </c>
      <c r="D14" s="64">
        <v>4902</v>
      </c>
      <c r="E14" s="65">
        <f t="shared" si="0"/>
        <v>2.6519787841697267</v>
      </c>
      <c r="F14" s="64">
        <v>13000</v>
      </c>
      <c r="G14" s="64">
        <v>4807.5</v>
      </c>
      <c r="H14" s="65">
        <f t="shared" si="1"/>
        <v>2.704108164326573</v>
      </c>
      <c r="I14" s="64">
        <v>13000</v>
      </c>
      <c r="J14" s="64">
        <v>4713</v>
      </c>
      <c r="K14" s="65">
        <f t="shared" si="2"/>
        <v>2.7583280288563548</v>
      </c>
      <c r="L14" s="66">
        <f t="shared" si="3"/>
        <v>2.7048049924508848</v>
      </c>
      <c r="M14" s="67">
        <f t="shared" si="25"/>
        <v>13000</v>
      </c>
      <c r="N14" s="64">
        <v>89300</v>
      </c>
      <c r="O14" s="64">
        <v>3957</v>
      </c>
      <c r="P14" s="68">
        <f t="shared" si="4"/>
        <v>22.56760171847359</v>
      </c>
      <c r="Q14" s="69">
        <v>89300</v>
      </c>
      <c r="R14" s="64">
        <v>3862.5</v>
      </c>
      <c r="S14" s="68">
        <f t="shared" si="5"/>
        <v>23.119741100323626</v>
      </c>
      <c r="T14" s="64">
        <v>66500</v>
      </c>
      <c r="U14" s="64">
        <v>3768</v>
      </c>
      <c r="V14" s="68">
        <f t="shared" si="6"/>
        <v>17.648619957537154</v>
      </c>
      <c r="W14" s="70">
        <f t="shared" si="7"/>
        <v>21.111987592111458</v>
      </c>
      <c r="X14" s="71">
        <f t="shared" si="8"/>
        <v>81700</v>
      </c>
      <c r="AD14" s="52"/>
      <c r="AG14" s="52"/>
      <c r="AJ14" s="52"/>
      <c r="AK14" s="52"/>
      <c r="AL14" s="55"/>
      <c r="AO14" s="52"/>
      <c r="AR14" s="52"/>
      <c r="AU14" s="52"/>
      <c r="AV14" s="52"/>
      <c r="AW14" s="55"/>
    </row>
    <row r="15" spans="1:49" ht="15.75" customHeight="1">
      <c r="A15" s="16">
        <v>10405</v>
      </c>
      <c r="B15" s="63" t="s">
        <v>21</v>
      </c>
      <c r="C15" s="64">
        <v>30000</v>
      </c>
      <c r="D15" s="64">
        <v>4465</v>
      </c>
      <c r="E15" s="65">
        <f t="shared" si="0"/>
        <v>6.718924972004479</v>
      </c>
      <c r="F15" s="64">
        <v>30000</v>
      </c>
      <c r="G15" s="64">
        <v>4564.083333333333</v>
      </c>
      <c r="H15" s="65">
        <f t="shared" si="1"/>
        <v>6.5730614033486097</v>
      </c>
      <c r="I15" s="64">
        <v>33000</v>
      </c>
      <c r="J15" s="64">
        <v>4663.166666666667</v>
      </c>
      <c r="K15" s="65">
        <f t="shared" si="2"/>
        <v>7.0767361235212123</v>
      </c>
      <c r="L15" s="66">
        <f t="shared" si="3"/>
        <v>6.789574166291434</v>
      </c>
      <c r="M15" s="67">
        <f t="shared" si="25"/>
        <v>31000</v>
      </c>
      <c r="N15" s="64">
        <v>16000</v>
      </c>
      <c r="O15" s="64">
        <v>5455.833333333333</v>
      </c>
      <c r="P15" s="68">
        <f t="shared" si="4"/>
        <v>2.9326409042309458</v>
      </c>
      <c r="Q15" s="69">
        <v>16000</v>
      </c>
      <c r="R15" s="64">
        <v>5554.9166666666661</v>
      </c>
      <c r="S15" s="68">
        <f t="shared" si="5"/>
        <v>2.8803312380923809</v>
      </c>
      <c r="T15" s="64">
        <v>17000</v>
      </c>
      <c r="U15" s="64">
        <v>5654</v>
      </c>
      <c r="V15" s="68">
        <f t="shared" si="6"/>
        <v>3.0067209055535904</v>
      </c>
      <c r="W15" s="70">
        <f t="shared" si="7"/>
        <v>2.9398976826256393</v>
      </c>
      <c r="X15" s="71">
        <f t="shared" si="8"/>
        <v>16333.333333333334</v>
      </c>
      <c r="AD15" s="52"/>
      <c r="AG15" s="52"/>
      <c r="AJ15" s="52"/>
      <c r="AK15" s="52"/>
      <c r="AL15" s="55"/>
      <c r="AO15" s="52"/>
      <c r="AR15" s="52"/>
      <c r="AU15" s="52"/>
      <c r="AV15" s="52"/>
      <c r="AW15" s="55"/>
    </row>
    <row r="16" spans="1:49" ht="15.75" customHeight="1">
      <c r="A16" s="16">
        <v>10501</v>
      </c>
      <c r="B16" s="63" t="s">
        <v>22</v>
      </c>
      <c r="C16" s="64">
        <v>300000</v>
      </c>
      <c r="D16" s="64">
        <v>24303</v>
      </c>
      <c r="E16" s="65">
        <f t="shared" si="0"/>
        <v>12.344155042587335</v>
      </c>
      <c r="F16" s="64">
        <v>300000</v>
      </c>
      <c r="G16" s="64">
        <v>24323.25</v>
      </c>
      <c r="H16" s="65">
        <f t="shared" si="1"/>
        <v>12.333878079615182</v>
      </c>
      <c r="I16" s="64">
        <v>450000</v>
      </c>
      <c r="J16" s="64">
        <v>24343.5</v>
      </c>
      <c r="K16" s="65">
        <f t="shared" si="2"/>
        <v>18.485427321461582</v>
      </c>
      <c r="L16" s="66">
        <f t="shared" si="3"/>
        <v>14.387820147888034</v>
      </c>
      <c r="M16" s="67">
        <f t="shared" si="25"/>
        <v>350000</v>
      </c>
      <c r="N16" s="64">
        <v>450000</v>
      </c>
      <c r="O16" s="64">
        <v>24505.5</v>
      </c>
      <c r="P16" s="68">
        <f t="shared" si="4"/>
        <v>18.36322458223664</v>
      </c>
      <c r="Q16" s="69">
        <v>505505</v>
      </c>
      <c r="R16" s="64">
        <v>24525.75</v>
      </c>
      <c r="S16" s="68">
        <f t="shared" si="5"/>
        <v>20.611194356951369</v>
      </c>
      <c r="T16" s="64">
        <v>456772</v>
      </c>
      <c r="U16" s="64">
        <v>24546</v>
      </c>
      <c r="V16" s="68">
        <f t="shared" si="6"/>
        <v>18.608816100382956</v>
      </c>
      <c r="W16" s="70">
        <f t="shared" si="7"/>
        <v>19.194411679856987</v>
      </c>
      <c r="X16" s="71">
        <f t="shared" si="8"/>
        <v>470759</v>
      </c>
      <c r="AD16" s="52"/>
      <c r="AG16" s="52"/>
      <c r="AJ16" s="52"/>
      <c r="AK16" s="52"/>
      <c r="AL16" s="55"/>
      <c r="AO16" s="52"/>
      <c r="AR16" s="52"/>
      <c r="AU16" s="52"/>
      <c r="AV16" s="52"/>
      <c r="AW16" s="55"/>
    </row>
    <row r="17" spans="1:49" ht="15.75" customHeight="1">
      <c r="A17" s="16">
        <v>10502</v>
      </c>
      <c r="B17" s="63" t="s">
        <v>23</v>
      </c>
      <c r="C17" s="64">
        <v>60000</v>
      </c>
      <c r="D17" s="64">
        <v>8349</v>
      </c>
      <c r="E17" s="65">
        <f t="shared" si="0"/>
        <v>7.186489399928135</v>
      </c>
      <c r="F17" s="64">
        <v>66000</v>
      </c>
      <c r="G17" s="64">
        <v>8253.25</v>
      </c>
      <c r="H17" s="65">
        <f t="shared" si="1"/>
        <v>7.9968497258655677</v>
      </c>
      <c r="I17" s="64">
        <v>120000</v>
      </c>
      <c r="J17" s="64">
        <v>8157.5</v>
      </c>
      <c r="K17" s="65">
        <f t="shared" si="2"/>
        <v>14.710389212381244</v>
      </c>
      <c r="L17" s="66">
        <f t="shared" si="3"/>
        <v>9.9645761127249823</v>
      </c>
      <c r="M17" s="67">
        <f t="shared" si="25"/>
        <v>82000</v>
      </c>
      <c r="N17" s="64">
        <v>150000</v>
      </c>
      <c r="O17" s="64">
        <v>7391.5</v>
      </c>
      <c r="P17" s="68">
        <f t="shared" si="4"/>
        <v>20.293580464046538</v>
      </c>
      <c r="Q17" s="69">
        <v>60000</v>
      </c>
      <c r="R17" s="64">
        <v>7295.75</v>
      </c>
      <c r="S17" s="68">
        <f t="shared" si="5"/>
        <v>8.223966007607169</v>
      </c>
      <c r="T17" s="64">
        <v>100000</v>
      </c>
      <c r="U17" s="64">
        <v>7200</v>
      </c>
      <c r="V17" s="68">
        <f t="shared" si="6"/>
        <v>13.888888888888889</v>
      </c>
      <c r="W17" s="70">
        <f t="shared" si="7"/>
        <v>14.135478453514201</v>
      </c>
      <c r="X17" s="71">
        <f t="shared" si="8"/>
        <v>103333.33333333333</v>
      </c>
      <c r="AD17" s="52"/>
      <c r="AG17" s="52"/>
      <c r="AJ17" s="52"/>
      <c r="AK17" s="52"/>
      <c r="AL17" s="55"/>
      <c r="AO17" s="52"/>
      <c r="AR17" s="52"/>
      <c r="AU17" s="52"/>
      <c r="AV17" s="52"/>
      <c r="AW17" s="55"/>
    </row>
    <row r="18" spans="1:49" ht="15.75" customHeight="1">
      <c r="A18" s="16">
        <v>10601</v>
      </c>
      <c r="B18" s="63" t="s">
        <v>24</v>
      </c>
      <c r="C18" s="64">
        <v>53857</v>
      </c>
      <c r="D18" s="64">
        <v>16944</v>
      </c>
      <c r="E18" s="65">
        <f t="shared" si="0"/>
        <v>3.1785292728989614</v>
      </c>
      <c r="F18" s="64">
        <v>54032</v>
      </c>
      <c r="G18" s="64">
        <v>16642.25</v>
      </c>
      <c r="H18" s="65">
        <f t="shared" si="1"/>
        <v>3.2466763808980157</v>
      </c>
      <c r="I18" s="64">
        <v>51032</v>
      </c>
      <c r="J18" s="64">
        <v>16340.5</v>
      </c>
      <c r="K18" s="65">
        <f t="shared" si="2"/>
        <v>3.1230378507389616</v>
      </c>
      <c r="L18" s="66">
        <f t="shared" si="3"/>
        <v>3.1827478348453133</v>
      </c>
      <c r="M18" s="67">
        <f t="shared" si="25"/>
        <v>52973.666666666664</v>
      </c>
      <c r="N18" s="64">
        <v>150000</v>
      </c>
      <c r="O18" s="64">
        <v>13926.5</v>
      </c>
      <c r="P18" s="68">
        <f t="shared" si="4"/>
        <v>10.770832585358848</v>
      </c>
      <c r="Q18" s="69">
        <v>134000</v>
      </c>
      <c r="R18" s="64">
        <v>13624.75</v>
      </c>
      <c r="S18" s="68">
        <f t="shared" si="5"/>
        <v>9.8350428448228406</v>
      </c>
      <c r="T18" s="64">
        <v>80000</v>
      </c>
      <c r="U18" s="64">
        <v>13323</v>
      </c>
      <c r="V18" s="68">
        <f t="shared" si="6"/>
        <v>6.0046536065450722</v>
      </c>
      <c r="W18" s="70">
        <f t="shared" si="7"/>
        <v>8.8701763455755884</v>
      </c>
      <c r="X18" s="71">
        <f t="shared" si="8"/>
        <v>121333.33333333333</v>
      </c>
      <c r="AD18" s="52"/>
      <c r="AG18" s="52"/>
      <c r="AJ18" s="52"/>
      <c r="AK18" s="52"/>
      <c r="AL18" s="55"/>
      <c r="AO18" s="52"/>
      <c r="AR18" s="52"/>
      <c r="AU18" s="52"/>
      <c r="AV18" s="52"/>
      <c r="AW18" s="55"/>
    </row>
    <row r="19" spans="1:49" ht="15.75" customHeight="1">
      <c r="A19" s="16">
        <v>10602</v>
      </c>
      <c r="B19" s="63" t="s">
        <v>25</v>
      </c>
      <c r="C19" s="64">
        <v>3000</v>
      </c>
      <c r="D19" s="64">
        <v>10111</v>
      </c>
      <c r="E19" s="65">
        <f t="shared" si="0"/>
        <v>0.29670655721491446</v>
      </c>
      <c r="F19" s="64">
        <v>7680</v>
      </c>
      <c r="G19" s="64">
        <v>9975.0833333333339</v>
      </c>
      <c r="H19" s="65">
        <f t="shared" si="1"/>
        <v>0.76991837996340873</v>
      </c>
      <c r="I19" s="64">
        <v>7680</v>
      </c>
      <c r="J19" s="64">
        <v>9839.1666666666661</v>
      </c>
      <c r="K19" s="65">
        <f t="shared" si="2"/>
        <v>0.78055390869822994</v>
      </c>
      <c r="L19" s="66">
        <f t="shared" si="3"/>
        <v>0.61572628195885104</v>
      </c>
      <c r="M19" s="67">
        <f t="shared" si="25"/>
        <v>6120</v>
      </c>
      <c r="N19" s="64">
        <v>6000</v>
      </c>
      <c r="O19" s="64">
        <v>8751.8333333333339</v>
      </c>
      <c r="P19" s="68">
        <f t="shared" si="4"/>
        <v>0.68557064234160459</v>
      </c>
      <c r="Q19" s="69">
        <v>6000</v>
      </c>
      <c r="R19" s="64">
        <v>8615.9166666666661</v>
      </c>
      <c r="S19" s="68">
        <f t="shared" si="5"/>
        <v>0.69638556547475128</v>
      </c>
      <c r="T19" s="64">
        <v>6000</v>
      </c>
      <c r="U19" s="64">
        <v>8480</v>
      </c>
      <c r="V19" s="68">
        <f t="shared" si="6"/>
        <v>0.70754716981132071</v>
      </c>
      <c r="W19" s="70">
        <f t="shared" si="7"/>
        <v>0.69650112587589208</v>
      </c>
      <c r="X19" s="71">
        <f t="shared" si="8"/>
        <v>6000</v>
      </c>
      <c r="AD19" s="52"/>
      <c r="AG19" s="52"/>
      <c r="AJ19" s="52"/>
      <c r="AK19" s="52"/>
      <c r="AL19" s="55"/>
      <c r="AO19" s="52"/>
      <c r="AR19" s="52"/>
      <c r="AU19" s="52"/>
      <c r="AV19" s="52"/>
      <c r="AW19" s="55"/>
    </row>
    <row r="20" spans="1:49" ht="15.75" customHeight="1">
      <c r="A20" s="16">
        <v>10701</v>
      </c>
      <c r="B20" s="63" t="s">
        <v>26</v>
      </c>
      <c r="C20" s="64">
        <v>140000</v>
      </c>
      <c r="D20" s="64">
        <v>15644</v>
      </c>
      <c r="E20" s="65">
        <f t="shared" si="0"/>
        <v>8.9491178726668377</v>
      </c>
      <c r="F20" s="64">
        <v>183800</v>
      </c>
      <c r="G20" s="64">
        <v>15566.416666666666</v>
      </c>
      <c r="H20" s="65">
        <f t="shared" si="1"/>
        <v>11.807470141383428</v>
      </c>
      <c r="I20" s="64">
        <v>200000</v>
      </c>
      <c r="J20" s="64">
        <v>15488.833333333334</v>
      </c>
      <c r="K20" s="65">
        <f t="shared" si="2"/>
        <v>12.912528380661335</v>
      </c>
      <c r="L20" s="66">
        <f t="shared" si="3"/>
        <v>11.2230387982372</v>
      </c>
      <c r="M20" s="67">
        <f t="shared" si="25"/>
        <v>174600</v>
      </c>
      <c r="N20" s="64">
        <v>259089</v>
      </c>
      <c r="O20" s="64">
        <v>14868.166666666666</v>
      </c>
      <c r="P20" s="68">
        <f t="shared" si="4"/>
        <v>17.425753006983602</v>
      </c>
      <c r="Q20" s="69">
        <v>268168</v>
      </c>
      <c r="R20" s="64">
        <v>14790.583333333334</v>
      </c>
      <c r="S20" s="68">
        <f t="shared" si="5"/>
        <v>18.130995509530276</v>
      </c>
      <c r="T20" s="64">
        <v>254890</v>
      </c>
      <c r="U20" s="64">
        <v>14713</v>
      </c>
      <c r="V20" s="68">
        <f t="shared" si="6"/>
        <v>17.324135118602598</v>
      </c>
      <c r="W20" s="70">
        <f t="shared" si="7"/>
        <v>17.626961211705492</v>
      </c>
      <c r="X20" s="71">
        <f t="shared" si="8"/>
        <v>260715.66666666666</v>
      </c>
      <c r="AD20" s="52"/>
      <c r="AG20" s="52"/>
      <c r="AJ20" s="52"/>
      <c r="AK20" s="52"/>
      <c r="AL20" s="55"/>
      <c r="AO20" s="52"/>
      <c r="AR20" s="52"/>
      <c r="AU20" s="52"/>
      <c r="AV20" s="52"/>
      <c r="AW20" s="55"/>
    </row>
    <row r="21" spans="1:49" ht="15.75" customHeight="1">
      <c r="A21" s="16">
        <v>10702</v>
      </c>
      <c r="B21" s="63" t="s">
        <v>27</v>
      </c>
      <c r="C21" s="64">
        <v>5500</v>
      </c>
      <c r="D21" s="64">
        <v>32520</v>
      </c>
      <c r="E21" s="65">
        <f t="shared" si="0"/>
        <v>0.16912669126691268</v>
      </c>
      <c r="F21" s="64">
        <v>50000</v>
      </c>
      <c r="G21" s="64">
        <v>32036.25</v>
      </c>
      <c r="H21" s="65">
        <f t="shared" si="1"/>
        <v>1.5607319833001678</v>
      </c>
      <c r="I21" s="64">
        <v>10000</v>
      </c>
      <c r="J21" s="64">
        <v>31552.5</v>
      </c>
      <c r="K21" s="65">
        <f t="shared" si="2"/>
        <v>0.31693209729815386</v>
      </c>
      <c r="L21" s="66">
        <f t="shared" si="3"/>
        <v>0.6822635906217448</v>
      </c>
      <c r="M21" s="67">
        <f t="shared" si="25"/>
        <v>21833.333333333332</v>
      </c>
      <c r="N21" s="64">
        <v>70000</v>
      </c>
      <c r="O21" s="64">
        <v>27682.5</v>
      </c>
      <c r="P21" s="68">
        <f t="shared" si="4"/>
        <v>2.5286733495890905</v>
      </c>
      <c r="Q21" s="69">
        <v>70000</v>
      </c>
      <c r="R21" s="64">
        <v>27198.75</v>
      </c>
      <c r="S21" s="68">
        <f t="shared" si="5"/>
        <v>2.5736476860149824</v>
      </c>
      <c r="T21" s="64">
        <v>70000</v>
      </c>
      <c r="U21" s="64">
        <v>26715</v>
      </c>
      <c r="V21" s="68">
        <f t="shared" si="6"/>
        <v>2.620250795433277</v>
      </c>
      <c r="W21" s="70">
        <f t="shared" si="7"/>
        <v>2.574190610345783</v>
      </c>
      <c r="X21" s="71">
        <f t="shared" si="8"/>
        <v>70000</v>
      </c>
      <c r="AD21" s="52"/>
      <c r="AG21" s="52"/>
      <c r="AJ21" s="52"/>
      <c r="AK21" s="52"/>
      <c r="AL21" s="55"/>
      <c r="AO21" s="52"/>
      <c r="AR21" s="52"/>
      <c r="AU21" s="52"/>
      <c r="AV21" s="52"/>
      <c r="AW21" s="55"/>
    </row>
    <row r="22" spans="1:49" ht="15.75" customHeight="1">
      <c r="A22" s="16">
        <v>10703</v>
      </c>
      <c r="B22" s="63" t="s">
        <v>28</v>
      </c>
      <c r="C22" s="64">
        <v>49090</v>
      </c>
      <c r="D22" s="64">
        <v>13056</v>
      </c>
      <c r="E22" s="65">
        <f t="shared" si="0"/>
        <v>3.7599571078431371</v>
      </c>
      <c r="F22" s="64">
        <v>60150</v>
      </c>
      <c r="G22" s="64">
        <v>13341.666666666666</v>
      </c>
      <c r="H22" s="65">
        <f t="shared" si="1"/>
        <v>4.5084322298563402</v>
      </c>
      <c r="I22" s="64">
        <v>66750</v>
      </c>
      <c r="J22" s="64">
        <v>13627.333333333334</v>
      </c>
      <c r="K22" s="65">
        <f t="shared" si="2"/>
        <v>4.8982437258451146</v>
      </c>
      <c r="L22" s="66">
        <f t="shared" si="3"/>
        <v>4.3888776878481979</v>
      </c>
      <c r="M22" s="67">
        <f t="shared" si="25"/>
        <v>58663.333333333336</v>
      </c>
      <c r="N22" s="64">
        <v>63000</v>
      </c>
      <c r="O22" s="64">
        <v>15912.666666666668</v>
      </c>
      <c r="P22" s="68">
        <f t="shared" si="4"/>
        <v>3.9591101428631275</v>
      </c>
      <c r="Q22" s="69">
        <v>83880</v>
      </c>
      <c r="R22" s="64">
        <v>16198.333333333334</v>
      </c>
      <c r="S22" s="68">
        <f t="shared" si="5"/>
        <v>5.1783105257742568</v>
      </c>
      <c r="T22" s="64">
        <v>83880</v>
      </c>
      <c r="U22" s="64">
        <v>16484</v>
      </c>
      <c r="V22" s="68">
        <f t="shared" si="6"/>
        <v>5.0885707352584326</v>
      </c>
      <c r="W22" s="70">
        <f t="shared" si="7"/>
        <v>4.7419971346319389</v>
      </c>
      <c r="X22" s="71">
        <f t="shared" si="8"/>
        <v>76920</v>
      </c>
      <c r="AD22" s="52"/>
      <c r="AG22" s="52"/>
      <c r="AJ22" s="52"/>
      <c r="AK22" s="52"/>
      <c r="AL22" s="55"/>
      <c r="AO22" s="52"/>
      <c r="AR22" s="52"/>
      <c r="AU22" s="52"/>
      <c r="AV22" s="52"/>
      <c r="AW22" s="55"/>
    </row>
    <row r="23" spans="1:49" ht="15.75" customHeight="1">
      <c r="A23" s="16">
        <v>10704</v>
      </c>
      <c r="B23" s="63" t="s">
        <v>29</v>
      </c>
      <c r="C23" s="64">
        <v>80876</v>
      </c>
      <c r="D23" s="64">
        <v>16150</v>
      </c>
      <c r="E23" s="65">
        <f t="shared" si="0"/>
        <v>5.0078018575851395</v>
      </c>
      <c r="F23" s="64">
        <v>115256</v>
      </c>
      <c r="G23" s="64">
        <v>15994.333333333334</v>
      </c>
      <c r="H23" s="65">
        <f t="shared" si="1"/>
        <v>7.2060521434674776</v>
      </c>
      <c r="I23" s="64">
        <v>125792</v>
      </c>
      <c r="J23" s="64">
        <v>15838.666666666666</v>
      </c>
      <c r="K23" s="65">
        <f t="shared" si="2"/>
        <v>7.9420826668911531</v>
      </c>
      <c r="L23" s="66">
        <f t="shared" si="3"/>
        <v>6.718645555981257</v>
      </c>
      <c r="M23" s="67">
        <f t="shared" si="25"/>
        <v>107308</v>
      </c>
      <c r="N23" s="64">
        <v>216400</v>
      </c>
      <c r="O23" s="64">
        <v>14593.333333333334</v>
      </c>
      <c r="P23" s="68">
        <f t="shared" si="4"/>
        <v>14.828688899040657</v>
      </c>
      <c r="Q23" s="69">
        <v>250400</v>
      </c>
      <c r="R23" s="64">
        <v>14437.666666666666</v>
      </c>
      <c r="S23" s="68">
        <f t="shared" si="5"/>
        <v>17.343522729896335</v>
      </c>
      <c r="T23" s="64">
        <v>250000</v>
      </c>
      <c r="U23" s="64">
        <v>14282</v>
      </c>
      <c r="V23" s="68">
        <f t="shared" si="6"/>
        <v>17.504551183307662</v>
      </c>
      <c r="W23" s="70">
        <f t="shared" si="7"/>
        <v>16.558920937414886</v>
      </c>
      <c r="X23" s="71">
        <f t="shared" si="8"/>
        <v>238933.33333333334</v>
      </c>
      <c r="AD23" s="52"/>
      <c r="AG23" s="52"/>
      <c r="AJ23" s="52"/>
      <c r="AK23" s="52"/>
      <c r="AL23" s="55"/>
      <c r="AO23" s="52"/>
      <c r="AR23" s="52"/>
      <c r="AU23" s="52"/>
      <c r="AV23" s="52"/>
      <c r="AW23" s="55"/>
    </row>
    <row r="24" spans="1:49" ht="15.75" customHeight="1">
      <c r="A24" s="16">
        <v>10801</v>
      </c>
      <c r="B24" s="63" t="s">
        <v>30</v>
      </c>
      <c r="C24" s="64">
        <v>161734</v>
      </c>
      <c r="D24" s="64">
        <v>11161</v>
      </c>
      <c r="E24" s="65">
        <f t="shared" si="0"/>
        <v>14.490995430516978</v>
      </c>
      <c r="F24" s="64">
        <v>145000</v>
      </c>
      <c r="G24" s="64">
        <v>10989.833333333334</v>
      </c>
      <c r="H24" s="65">
        <f t="shared" si="1"/>
        <v>13.194012648053503</v>
      </c>
      <c r="I24" s="64">
        <v>155173</v>
      </c>
      <c r="J24" s="64">
        <v>10818.666666666666</v>
      </c>
      <c r="K24" s="65">
        <f t="shared" si="2"/>
        <v>14.343079861966972</v>
      </c>
      <c r="L24" s="66">
        <f t="shared" si="3"/>
        <v>14.009362646845817</v>
      </c>
      <c r="M24" s="67">
        <f t="shared" si="25"/>
        <v>153969</v>
      </c>
      <c r="N24" s="64">
        <v>70000</v>
      </c>
      <c r="O24" s="64">
        <v>9449.3333333333339</v>
      </c>
      <c r="P24" s="68">
        <f t="shared" si="4"/>
        <v>7.4079300126993077</v>
      </c>
      <c r="Q24" s="69">
        <v>70000</v>
      </c>
      <c r="R24" s="64">
        <v>9278.1666666666661</v>
      </c>
      <c r="S24" s="68">
        <f t="shared" si="5"/>
        <v>7.5445939391762025</v>
      </c>
      <c r="T24" s="64">
        <v>80295</v>
      </c>
      <c r="U24" s="64">
        <v>9107</v>
      </c>
      <c r="V24" s="68">
        <f t="shared" si="6"/>
        <v>8.8168441857911493</v>
      </c>
      <c r="W24" s="70">
        <f t="shared" si="7"/>
        <v>7.9231227125555534</v>
      </c>
      <c r="X24" s="71">
        <f t="shared" si="8"/>
        <v>73431.666666666672</v>
      </c>
      <c r="AD24" s="52"/>
      <c r="AG24" s="52"/>
      <c r="AJ24" s="52"/>
      <c r="AK24" s="52"/>
      <c r="AL24" s="55"/>
      <c r="AO24" s="52"/>
      <c r="AR24" s="52"/>
      <c r="AU24" s="52"/>
      <c r="AV24" s="52"/>
      <c r="AW24" s="55"/>
    </row>
    <row r="25" spans="1:49" ht="15.75" customHeight="1">
      <c r="A25" s="16">
        <v>10901</v>
      </c>
      <c r="B25" s="63" t="s">
        <v>31</v>
      </c>
      <c r="C25" s="64">
        <v>15996</v>
      </c>
      <c r="D25" s="64">
        <v>3514</v>
      </c>
      <c r="E25" s="65">
        <f t="shared" si="0"/>
        <v>4.5520774046670462</v>
      </c>
      <c r="F25" s="64">
        <v>16000</v>
      </c>
      <c r="G25" s="64">
        <v>3669.0833333333335</v>
      </c>
      <c r="H25" s="65">
        <f t="shared" si="1"/>
        <v>4.3607622248972264</v>
      </c>
      <c r="I25" s="64">
        <v>40704</v>
      </c>
      <c r="J25" s="64">
        <v>3824.1666666666665</v>
      </c>
      <c r="K25" s="65">
        <f t="shared" si="2"/>
        <v>10.643887557202005</v>
      </c>
      <c r="L25" s="66">
        <f t="shared" si="3"/>
        <v>6.5189090622554255</v>
      </c>
      <c r="M25" s="67">
        <f t="shared" si="25"/>
        <v>24233.333333333332</v>
      </c>
      <c r="N25" s="64">
        <v>53600</v>
      </c>
      <c r="O25" s="64">
        <v>5064.8333333333339</v>
      </c>
      <c r="P25" s="68">
        <f t="shared" si="4"/>
        <v>10.582776662608179</v>
      </c>
      <c r="Q25" s="69">
        <v>56800</v>
      </c>
      <c r="R25" s="64">
        <v>5219.916666666667</v>
      </c>
      <c r="S25" s="68">
        <f t="shared" si="5"/>
        <v>10.881399766918372</v>
      </c>
      <c r="T25" s="64">
        <v>56800</v>
      </c>
      <c r="U25" s="64">
        <v>5375</v>
      </c>
      <c r="V25" s="68">
        <f t="shared" si="6"/>
        <v>10.567441860465117</v>
      </c>
      <c r="W25" s="70">
        <f t="shared" si="7"/>
        <v>10.677206096663889</v>
      </c>
      <c r="X25" s="71">
        <f t="shared" si="8"/>
        <v>55733.333333333336</v>
      </c>
      <c r="AD25" s="52"/>
      <c r="AG25" s="52"/>
      <c r="AJ25" s="52"/>
      <c r="AK25" s="52"/>
      <c r="AL25" s="55"/>
      <c r="AO25" s="52"/>
      <c r="AR25" s="52"/>
      <c r="AU25" s="52"/>
      <c r="AV25" s="52"/>
      <c r="AW25" s="55"/>
    </row>
    <row r="26" spans="1:49" ht="15.75" customHeight="1">
      <c r="A26" s="16">
        <v>10902</v>
      </c>
      <c r="B26" s="63" t="s">
        <v>32</v>
      </c>
      <c r="C26" s="64">
        <v>116995</v>
      </c>
      <c r="D26" s="64">
        <v>17731</v>
      </c>
      <c r="E26" s="65">
        <f t="shared" si="0"/>
        <v>6.5983306074107499</v>
      </c>
      <c r="F26" s="64">
        <v>170546</v>
      </c>
      <c r="G26" s="64">
        <v>17490.75</v>
      </c>
      <c r="H26" s="65">
        <f t="shared" si="1"/>
        <v>9.7506396238011526</v>
      </c>
      <c r="I26" s="64">
        <v>189451</v>
      </c>
      <c r="J26" s="64">
        <v>17250.5</v>
      </c>
      <c r="K26" s="65">
        <f t="shared" si="2"/>
        <v>10.982348337729341</v>
      </c>
      <c r="L26" s="66">
        <f t="shared" si="3"/>
        <v>9.110439522980414</v>
      </c>
      <c r="M26" s="67">
        <f t="shared" si="25"/>
        <v>158997.33333333334</v>
      </c>
      <c r="N26" s="64">
        <v>101794</v>
      </c>
      <c r="O26" s="64">
        <v>15328.5</v>
      </c>
      <c r="P26" s="68">
        <f t="shared" si="4"/>
        <v>6.6408324363114462</v>
      </c>
      <c r="Q26" s="69">
        <v>372607</v>
      </c>
      <c r="R26" s="64">
        <v>15088.25</v>
      </c>
      <c r="S26" s="68">
        <f t="shared" si="5"/>
        <v>24.695176710354083</v>
      </c>
      <c r="T26" s="64">
        <v>263007</v>
      </c>
      <c r="U26" s="64">
        <v>14848</v>
      </c>
      <c r="V26" s="68">
        <f t="shared" si="6"/>
        <v>17.713294719827587</v>
      </c>
      <c r="W26" s="70">
        <f t="shared" si="7"/>
        <v>16.349767955497708</v>
      </c>
      <c r="X26" s="71">
        <f t="shared" si="8"/>
        <v>245802.66666666666</v>
      </c>
      <c r="AD26" s="52"/>
      <c r="AG26" s="52"/>
      <c r="AJ26" s="52"/>
      <c r="AK26" s="52"/>
      <c r="AL26" s="55"/>
      <c r="AO26" s="52"/>
      <c r="AR26" s="52"/>
      <c r="AU26" s="52"/>
      <c r="AV26" s="52"/>
      <c r="AW26" s="55"/>
    </row>
    <row r="27" spans="1:49" ht="15.75" customHeight="1">
      <c r="A27" s="16">
        <v>10903</v>
      </c>
      <c r="B27" s="63" t="s">
        <v>33</v>
      </c>
      <c r="C27" s="64">
        <v>0</v>
      </c>
      <c r="D27" s="64">
        <v>4088</v>
      </c>
      <c r="E27" s="65">
        <f t="shared" si="0"/>
        <v>0</v>
      </c>
      <c r="F27" s="64">
        <v>15000</v>
      </c>
      <c r="G27" s="64">
        <v>4165.333333333333</v>
      </c>
      <c r="H27" s="65">
        <f t="shared" si="1"/>
        <v>3.6011523687580027</v>
      </c>
      <c r="I27" s="64">
        <v>15000</v>
      </c>
      <c r="J27" s="64">
        <v>4242.666666666667</v>
      </c>
      <c r="K27" s="65">
        <f t="shared" si="2"/>
        <v>3.5355122564424888</v>
      </c>
      <c r="L27" s="66">
        <f t="shared" si="3"/>
        <v>2.3788882084001641</v>
      </c>
      <c r="M27" s="67">
        <f t="shared" si="25"/>
        <v>10000</v>
      </c>
      <c r="N27" s="64">
        <v>14400</v>
      </c>
      <c r="O27" s="64">
        <v>4861.333333333333</v>
      </c>
      <c r="P27" s="68">
        <f t="shared" si="4"/>
        <v>2.9621503017004938</v>
      </c>
      <c r="Q27" s="69">
        <v>16245</v>
      </c>
      <c r="R27" s="64">
        <v>4938.666666666667</v>
      </c>
      <c r="S27" s="68">
        <f t="shared" si="5"/>
        <v>3.2893493520518358</v>
      </c>
      <c r="T27" s="64">
        <v>21000</v>
      </c>
      <c r="U27" s="64">
        <v>5016</v>
      </c>
      <c r="V27" s="68">
        <f t="shared" si="6"/>
        <v>4.1866028708133971</v>
      </c>
      <c r="W27" s="70">
        <f t="shared" si="7"/>
        <v>3.4793675081885755</v>
      </c>
      <c r="X27" s="71">
        <f t="shared" si="8"/>
        <v>17215</v>
      </c>
      <c r="AD27" s="52"/>
      <c r="AG27" s="52"/>
      <c r="AJ27" s="52"/>
      <c r="AK27" s="52"/>
      <c r="AL27" s="55"/>
      <c r="AO27" s="52"/>
      <c r="AR27" s="52"/>
      <c r="AU27" s="52"/>
      <c r="AV27" s="52"/>
      <c r="AW27" s="55"/>
    </row>
    <row r="28" spans="1:49" ht="15.75" customHeight="1">
      <c r="A28" s="16">
        <v>11001</v>
      </c>
      <c r="B28" s="63" t="s">
        <v>34</v>
      </c>
      <c r="C28" s="64">
        <v>29000</v>
      </c>
      <c r="D28" s="64">
        <v>9720</v>
      </c>
      <c r="E28" s="65">
        <f t="shared" si="0"/>
        <v>2.9835390946502058</v>
      </c>
      <c r="F28" s="64">
        <v>29000</v>
      </c>
      <c r="G28" s="64">
        <v>10016.833333333334</v>
      </c>
      <c r="H28" s="65">
        <f t="shared" si="1"/>
        <v>2.8951265369960564</v>
      </c>
      <c r="I28" s="64">
        <v>29000</v>
      </c>
      <c r="J28" s="64">
        <v>10313.666666666666</v>
      </c>
      <c r="K28" s="65">
        <f t="shared" si="2"/>
        <v>2.8118031091432081</v>
      </c>
      <c r="L28" s="66">
        <f t="shared" si="3"/>
        <v>2.8968229135964898</v>
      </c>
      <c r="M28" s="67">
        <f t="shared" si="25"/>
        <v>29000</v>
      </c>
      <c r="N28" s="64">
        <v>92500</v>
      </c>
      <c r="O28" s="64">
        <v>12688.333333333332</v>
      </c>
      <c r="P28" s="68">
        <f t="shared" si="4"/>
        <v>7.2901615657428094</v>
      </c>
      <c r="Q28" s="69">
        <v>92500</v>
      </c>
      <c r="R28" s="64">
        <v>12985.166666666666</v>
      </c>
      <c r="S28" s="68">
        <f t="shared" si="5"/>
        <v>7.1235127260592215</v>
      </c>
      <c r="T28" s="64">
        <v>98500</v>
      </c>
      <c r="U28" s="64">
        <v>13282</v>
      </c>
      <c r="V28" s="68">
        <f t="shared" si="6"/>
        <v>7.4160517994277972</v>
      </c>
      <c r="W28" s="70">
        <f t="shared" si="7"/>
        <v>7.2765753637432766</v>
      </c>
      <c r="X28" s="71">
        <f t="shared" si="8"/>
        <v>94500</v>
      </c>
      <c r="AD28" s="52"/>
      <c r="AG28" s="52"/>
      <c r="AJ28" s="52"/>
      <c r="AK28" s="52"/>
      <c r="AL28" s="55"/>
      <c r="AO28" s="52"/>
      <c r="AR28" s="52"/>
      <c r="AU28" s="52"/>
      <c r="AV28" s="52"/>
      <c r="AW28" s="55"/>
    </row>
    <row r="29" spans="1:49" ht="15.75" customHeight="1">
      <c r="A29" s="16">
        <v>11002</v>
      </c>
      <c r="B29" s="63" t="s">
        <v>35</v>
      </c>
      <c r="C29" s="64">
        <v>21600</v>
      </c>
      <c r="D29" s="64">
        <v>2541</v>
      </c>
      <c r="E29" s="65">
        <f t="shared" si="0"/>
        <v>8.5005903187721366</v>
      </c>
      <c r="F29" s="64">
        <v>21600</v>
      </c>
      <c r="G29" s="64">
        <v>2541.5</v>
      </c>
      <c r="H29" s="65">
        <f t="shared" si="1"/>
        <v>8.4989179618335626</v>
      </c>
      <c r="I29" s="64">
        <v>21600</v>
      </c>
      <c r="J29" s="64">
        <v>2542</v>
      </c>
      <c r="K29" s="65">
        <f t="shared" si="2"/>
        <v>8.4972462627852092</v>
      </c>
      <c r="L29" s="66">
        <f t="shared" si="3"/>
        <v>8.4989181811303016</v>
      </c>
      <c r="M29" s="67">
        <f t="shared" si="25"/>
        <v>21600</v>
      </c>
      <c r="N29" s="64">
        <v>15000</v>
      </c>
      <c r="O29" s="64">
        <v>2546</v>
      </c>
      <c r="P29" s="68">
        <f t="shared" si="4"/>
        <v>5.8915946582875094</v>
      </c>
      <c r="Q29" s="69">
        <v>15000</v>
      </c>
      <c r="R29" s="64">
        <v>2546.5</v>
      </c>
      <c r="S29" s="68">
        <f t="shared" si="5"/>
        <v>5.8904378558806201</v>
      </c>
      <c r="T29" s="64">
        <v>15000</v>
      </c>
      <c r="U29" s="64">
        <v>2547</v>
      </c>
      <c r="V29" s="68">
        <f t="shared" si="6"/>
        <v>5.8892815076560661</v>
      </c>
      <c r="W29" s="70">
        <f t="shared" si="7"/>
        <v>5.8904380072747315</v>
      </c>
      <c r="X29" s="71">
        <f t="shared" si="8"/>
        <v>15000</v>
      </c>
      <c r="AD29" s="52"/>
      <c r="AG29" s="52"/>
      <c r="AJ29" s="52"/>
      <c r="AK29" s="52"/>
      <c r="AL29" s="55"/>
      <c r="AO29" s="52"/>
      <c r="AR29" s="52"/>
      <c r="AU29" s="52"/>
      <c r="AV29" s="52"/>
      <c r="AW29" s="55"/>
    </row>
    <row r="30" spans="1:49" ht="15.75" customHeight="1">
      <c r="A30" s="16">
        <v>11003</v>
      </c>
      <c r="B30" s="63" t="s">
        <v>36</v>
      </c>
      <c r="C30" s="64">
        <v>68000</v>
      </c>
      <c r="D30" s="64">
        <v>7418</v>
      </c>
      <c r="E30" s="65">
        <f t="shared" si="0"/>
        <v>9.1668913453761114</v>
      </c>
      <c r="F30" s="64">
        <v>70000</v>
      </c>
      <c r="G30" s="64">
        <v>7402.75</v>
      </c>
      <c r="H30" s="65">
        <f t="shared" si="1"/>
        <v>9.4559454256863997</v>
      </c>
      <c r="I30" s="64">
        <v>80000</v>
      </c>
      <c r="J30" s="64">
        <v>7387.5</v>
      </c>
      <c r="K30" s="65">
        <f t="shared" si="2"/>
        <v>10.829103214890017</v>
      </c>
      <c r="L30" s="66">
        <f t="shared" si="3"/>
        <v>9.8173133286508421</v>
      </c>
      <c r="M30" s="67">
        <f t="shared" si="25"/>
        <v>72666.666666666672</v>
      </c>
      <c r="N30" s="64">
        <v>60000</v>
      </c>
      <c r="O30" s="64">
        <v>7265.5</v>
      </c>
      <c r="P30" s="68">
        <f t="shared" si="4"/>
        <v>8.2582065928015957</v>
      </c>
      <c r="Q30" s="69">
        <v>86535</v>
      </c>
      <c r="R30" s="64">
        <v>7250.25</v>
      </c>
      <c r="S30" s="68">
        <f t="shared" si="5"/>
        <v>11.935450501706837</v>
      </c>
      <c r="T30" s="64">
        <v>70210</v>
      </c>
      <c r="U30" s="64">
        <v>7235</v>
      </c>
      <c r="V30" s="68">
        <f t="shared" si="6"/>
        <v>9.7042156185210775</v>
      </c>
      <c r="W30" s="70">
        <f t="shared" si="7"/>
        <v>9.9659575710098363</v>
      </c>
      <c r="X30" s="71">
        <f t="shared" si="8"/>
        <v>72248.333333333328</v>
      </c>
      <c r="AD30" s="52"/>
      <c r="AG30" s="52"/>
      <c r="AJ30" s="52"/>
      <c r="AK30" s="52"/>
      <c r="AL30" s="55"/>
      <c r="AO30" s="52"/>
      <c r="AR30" s="52"/>
      <c r="AU30" s="52"/>
      <c r="AV30" s="52"/>
      <c r="AW30" s="55"/>
    </row>
    <row r="31" spans="1:49" ht="15.75" customHeight="1">
      <c r="A31" s="16">
        <v>20101</v>
      </c>
      <c r="B31" s="63" t="s">
        <v>37</v>
      </c>
      <c r="C31" s="64">
        <v>77987987</v>
      </c>
      <c r="D31" s="64">
        <v>766468</v>
      </c>
      <c r="E31" s="65">
        <f t="shared" si="0"/>
        <v>101.74982778145989</v>
      </c>
      <c r="F31" s="64">
        <v>47580000</v>
      </c>
      <c r="G31" s="64">
        <v>765714.91666666663</v>
      </c>
      <c r="H31" s="65">
        <f t="shared" si="1"/>
        <v>62.138008499464391</v>
      </c>
      <c r="I31" s="64">
        <v>68115002</v>
      </c>
      <c r="J31" s="64">
        <v>764961.83333333337</v>
      </c>
      <c r="K31" s="65">
        <f t="shared" si="2"/>
        <v>89.043660783947601</v>
      </c>
      <c r="L31" s="66">
        <f t="shared" si="3"/>
        <v>84.310499021623954</v>
      </c>
      <c r="M31" s="67">
        <f t="shared" si="25"/>
        <v>64560996.333333336</v>
      </c>
      <c r="N31" s="64">
        <v>243147870</v>
      </c>
      <c r="O31" s="64">
        <v>758937.16666666663</v>
      </c>
      <c r="P31" s="68">
        <f t="shared" si="4"/>
        <v>320.37944731041637</v>
      </c>
      <c r="Q31" s="69">
        <v>220555391</v>
      </c>
      <c r="R31" s="64">
        <v>758184.08333333337</v>
      </c>
      <c r="S31" s="68">
        <f t="shared" si="5"/>
        <v>290.8995267090479</v>
      </c>
      <c r="T31" s="64">
        <v>190631493</v>
      </c>
      <c r="U31" s="64">
        <v>757431</v>
      </c>
      <c r="V31" s="68">
        <f t="shared" si="6"/>
        <v>251.68166209199254</v>
      </c>
      <c r="W31" s="70">
        <f t="shared" si="7"/>
        <v>287.65354537048557</v>
      </c>
      <c r="X31" s="71">
        <f t="shared" si="8"/>
        <v>218111584.66666666</v>
      </c>
      <c r="AD31" s="52"/>
      <c r="AG31" s="52"/>
      <c r="AJ31" s="52"/>
      <c r="AK31" s="52"/>
      <c r="AL31" s="55"/>
      <c r="AO31" s="52"/>
      <c r="AR31" s="52"/>
      <c r="AU31" s="52"/>
      <c r="AV31" s="52"/>
      <c r="AW31" s="55"/>
    </row>
    <row r="32" spans="1:49" ht="15.75" customHeight="1">
      <c r="A32" s="16">
        <v>20102</v>
      </c>
      <c r="B32" s="63" t="s">
        <v>38</v>
      </c>
      <c r="C32" s="64">
        <v>0</v>
      </c>
      <c r="D32" s="64">
        <v>16622</v>
      </c>
      <c r="E32" s="65">
        <f t="shared" si="0"/>
        <v>0</v>
      </c>
      <c r="F32" s="64">
        <v>10000</v>
      </c>
      <c r="G32" s="64">
        <v>17047.583333333332</v>
      </c>
      <c r="H32" s="65">
        <f t="shared" si="1"/>
        <v>0.58659340766775359</v>
      </c>
      <c r="I32" s="64">
        <v>10000</v>
      </c>
      <c r="J32" s="64">
        <v>17473.166666666668</v>
      </c>
      <c r="K32" s="65">
        <f t="shared" si="2"/>
        <v>0.57230610746001009</v>
      </c>
      <c r="L32" s="66">
        <f t="shared" si="3"/>
        <v>0.38629983837592125</v>
      </c>
      <c r="M32" s="67">
        <f t="shared" si="25"/>
        <v>6666.666666666667</v>
      </c>
      <c r="N32" s="64">
        <v>27000</v>
      </c>
      <c r="O32" s="64">
        <v>20877.833333333332</v>
      </c>
      <c r="P32" s="68">
        <f t="shared" si="4"/>
        <v>1.2932376443915796</v>
      </c>
      <c r="Q32" s="69">
        <v>50000</v>
      </c>
      <c r="R32" s="64">
        <v>21303.416666666664</v>
      </c>
      <c r="S32" s="68">
        <f t="shared" si="5"/>
        <v>2.3470413587804777</v>
      </c>
      <c r="T32" s="64">
        <v>50000</v>
      </c>
      <c r="U32" s="64">
        <v>21729</v>
      </c>
      <c r="V32" s="68">
        <f t="shared" si="6"/>
        <v>2.3010722996916564</v>
      </c>
      <c r="W32" s="70">
        <f t="shared" si="7"/>
        <v>1.9804504342879046</v>
      </c>
      <c r="X32" s="71">
        <f t="shared" si="8"/>
        <v>42333.333333333336</v>
      </c>
      <c r="AD32" s="52"/>
      <c r="AG32" s="52"/>
      <c r="AJ32" s="52"/>
      <c r="AK32" s="52"/>
      <c r="AL32" s="55"/>
      <c r="AO32" s="52"/>
      <c r="AR32" s="52"/>
      <c r="AU32" s="52"/>
      <c r="AV32" s="52"/>
      <c r="AW32" s="55"/>
    </row>
    <row r="33" spans="1:49" ht="15.75" customHeight="1">
      <c r="A33" s="16">
        <v>20103</v>
      </c>
      <c r="B33" s="63" t="s">
        <v>39</v>
      </c>
      <c r="C33" s="64">
        <v>50000</v>
      </c>
      <c r="D33" s="64">
        <v>15834</v>
      </c>
      <c r="E33" s="65">
        <f t="shared" si="0"/>
        <v>3.1577617784514338</v>
      </c>
      <c r="F33" s="64">
        <v>50000</v>
      </c>
      <c r="G33" s="64">
        <v>16218.333333333334</v>
      </c>
      <c r="H33" s="65">
        <f t="shared" si="1"/>
        <v>3.0829308395848321</v>
      </c>
      <c r="I33" s="64">
        <v>100000</v>
      </c>
      <c r="J33" s="64">
        <v>16602.666666666668</v>
      </c>
      <c r="K33" s="65">
        <f t="shared" si="2"/>
        <v>6.0231288146482491</v>
      </c>
      <c r="L33" s="66">
        <f t="shared" si="3"/>
        <v>4.0879404775615056</v>
      </c>
      <c r="M33" s="67">
        <f t="shared" si="25"/>
        <v>66666.666666666672</v>
      </c>
      <c r="N33" s="64">
        <v>274600</v>
      </c>
      <c r="O33" s="64">
        <v>19677.333333333332</v>
      </c>
      <c r="P33" s="68">
        <f t="shared" si="4"/>
        <v>13.955142973302616</v>
      </c>
      <c r="Q33" s="69">
        <v>274600</v>
      </c>
      <c r="R33" s="64">
        <v>20061.666666666664</v>
      </c>
      <c r="S33" s="68">
        <f t="shared" si="5"/>
        <v>13.687795962449117</v>
      </c>
      <c r="T33" s="64">
        <v>274600</v>
      </c>
      <c r="U33" s="64">
        <v>20446</v>
      </c>
      <c r="V33" s="68">
        <f t="shared" si="6"/>
        <v>13.430499853272034</v>
      </c>
      <c r="W33" s="70">
        <f t="shared" si="7"/>
        <v>13.691146263007923</v>
      </c>
      <c r="X33" s="71">
        <f t="shared" si="8"/>
        <v>274600</v>
      </c>
      <c r="AD33" s="52"/>
      <c r="AG33" s="52"/>
      <c r="AJ33" s="52"/>
      <c r="AK33" s="52"/>
      <c r="AL33" s="55"/>
      <c r="AO33" s="52"/>
      <c r="AR33" s="52"/>
      <c r="AU33" s="52"/>
      <c r="AV33" s="52"/>
      <c r="AW33" s="55"/>
    </row>
    <row r="34" spans="1:49" ht="15.75" customHeight="1">
      <c r="A34" s="16">
        <v>20104</v>
      </c>
      <c r="B34" s="63" t="s">
        <v>40</v>
      </c>
      <c r="C34" s="64">
        <v>288800</v>
      </c>
      <c r="D34" s="64">
        <v>22431</v>
      </c>
      <c r="E34" s="65">
        <f t="shared" si="0"/>
        <v>12.875039008515001</v>
      </c>
      <c r="F34" s="64">
        <v>130000</v>
      </c>
      <c r="G34" s="64">
        <v>24410.75</v>
      </c>
      <c r="H34" s="65">
        <f t="shared" si="1"/>
        <v>5.3255225669018769</v>
      </c>
      <c r="I34" s="64">
        <v>548640</v>
      </c>
      <c r="J34" s="64">
        <v>26390.5</v>
      </c>
      <c r="K34" s="65">
        <f t="shared" si="2"/>
        <v>20.789299179629033</v>
      </c>
      <c r="L34" s="66">
        <f t="shared" si="3"/>
        <v>12.99662025168197</v>
      </c>
      <c r="M34" s="67">
        <f t="shared" si="25"/>
        <v>322480</v>
      </c>
      <c r="N34" s="64">
        <v>1153098</v>
      </c>
      <c r="O34" s="64">
        <v>42228.5</v>
      </c>
      <c r="P34" s="68">
        <f t="shared" si="4"/>
        <v>27.306155795256757</v>
      </c>
      <c r="Q34" s="69">
        <v>1203098</v>
      </c>
      <c r="R34" s="64">
        <v>44208.25</v>
      </c>
      <c r="S34" s="68">
        <f t="shared" si="5"/>
        <v>27.214332166507383</v>
      </c>
      <c r="T34" s="64">
        <v>1415154</v>
      </c>
      <c r="U34" s="64">
        <v>46188</v>
      </c>
      <c r="V34" s="68">
        <f t="shared" si="6"/>
        <v>30.638997142114835</v>
      </c>
      <c r="W34" s="70">
        <f t="shared" si="7"/>
        <v>28.386495034626325</v>
      </c>
      <c r="X34" s="71">
        <f t="shared" si="8"/>
        <v>1257116.6666666667</v>
      </c>
      <c r="AD34" s="52"/>
      <c r="AG34" s="52"/>
      <c r="AJ34" s="52"/>
      <c r="AK34" s="52"/>
      <c r="AL34" s="55"/>
      <c r="AO34" s="52"/>
      <c r="AR34" s="52"/>
      <c r="AU34" s="52"/>
      <c r="AV34" s="52"/>
      <c r="AW34" s="55"/>
    </row>
    <row r="35" spans="1:49" ht="15.75" customHeight="1">
      <c r="A35" s="16">
        <v>20105</v>
      </c>
      <c r="B35" s="63" t="s">
        <v>41</v>
      </c>
      <c r="C35" s="64">
        <v>17878130</v>
      </c>
      <c r="D35" s="64">
        <v>848452</v>
      </c>
      <c r="E35" s="65">
        <f t="shared" si="0"/>
        <v>21.071468981156272</v>
      </c>
      <c r="F35" s="64">
        <v>0</v>
      </c>
      <c r="G35" s="64">
        <v>851566.41666666663</v>
      </c>
      <c r="H35" s="65">
        <f t="shared" si="1"/>
        <v>0</v>
      </c>
      <c r="I35" s="64">
        <v>61402847</v>
      </c>
      <c r="J35" s="64">
        <v>854680.83333333337</v>
      </c>
      <c r="K35" s="65">
        <f t="shared" si="2"/>
        <v>71.843013912600895</v>
      </c>
      <c r="L35" s="66">
        <f t="shared" si="3"/>
        <v>30.971494297919055</v>
      </c>
      <c r="M35" s="67">
        <f t="shared" si="25"/>
        <v>26426992.333333332</v>
      </c>
      <c r="N35" s="64">
        <v>177793295</v>
      </c>
      <c r="O35" s="64">
        <v>879596.16666666663</v>
      </c>
      <c r="P35" s="68">
        <f t="shared" si="4"/>
        <v>202.13059326277951</v>
      </c>
      <c r="Q35" s="69">
        <v>168328939</v>
      </c>
      <c r="R35" s="64">
        <v>882710.58333333337</v>
      </c>
      <c r="S35" s="68">
        <f t="shared" si="5"/>
        <v>190.69550334872878</v>
      </c>
      <c r="T35" s="64">
        <v>140413597</v>
      </c>
      <c r="U35" s="64">
        <v>885825</v>
      </c>
      <c r="V35" s="68">
        <f t="shared" si="6"/>
        <v>158.51166652555528</v>
      </c>
      <c r="W35" s="70">
        <f t="shared" si="7"/>
        <v>183.77925437902118</v>
      </c>
      <c r="X35" s="71">
        <f t="shared" si="8"/>
        <v>162178610.33333334</v>
      </c>
      <c r="AD35" s="52"/>
      <c r="AG35" s="52"/>
      <c r="AJ35" s="52"/>
      <c r="AK35" s="52"/>
      <c r="AL35" s="55"/>
      <c r="AO35" s="52"/>
      <c r="AR35" s="52"/>
      <c r="AU35" s="52"/>
      <c r="AV35" s="52"/>
      <c r="AW35" s="55"/>
    </row>
    <row r="36" spans="1:49" ht="15.75" customHeight="1">
      <c r="A36" s="16">
        <v>20201</v>
      </c>
      <c r="B36" s="63" t="s">
        <v>42</v>
      </c>
      <c r="C36" s="64">
        <v>211366</v>
      </c>
      <c r="D36" s="64">
        <v>46058</v>
      </c>
      <c r="E36" s="65">
        <f t="shared" si="0"/>
        <v>4.5891267532241953</v>
      </c>
      <c r="F36" s="64">
        <v>62926</v>
      </c>
      <c r="G36" s="64">
        <v>46157.916666666664</v>
      </c>
      <c r="H36" s="65">
        <f t="shared" si="1"/>
        <v>1.3632764332590113</v>
      </c>
      <c r="I36" s="64">
        <v>1374086</v>
      </c>
      <c r="J36" s="64">
        <v>46257.833333333336</v>
      </c>
      <c r="K36" s="65">
        <f t="shared" si="2"/>
        <v>29.704936461211972</v>
      </c>
      <c r="L36" s="66">
        <f t="shared" si="3"/>
        <v>11.88577988256506</v>
      </c>
      <c r="M36" s="67">
        <f t="shared" si="25"/>
        <v>549459.33333333337</v>
      </c>
      <c r="N36" s="64">
        <v>776802</v>
      </c>
      <c r="O36" s="64">
        <v>47057.166666666664</v>
      </c>
      <c r="P36" s="68">
        <f t="shared" si="4"/>
        <v>16.507623705917979</v>
      </c>
      <c r="Q36" s="69">
        <v>829620</v>
      </c>
      <c r="R36" s="64">
        <v>47157.083333333336</v>
      </c>
      <c r="S36" s="68">
        <f t="shared" si="5"/>
        <v>17.592691094480326</v>
      </c>
      <c r="T36" s="64">
        <v>829620</v>
      </c>
      <c r="U36" s="64">
        <v>47257</v>
      </c>
      <c r="V36" s="68">
        <f t="shared" si="6"/>
        <v>17.555494424106481</v>
      </c>
      <c r="W36" s="70">
        <f t="shared" si="7"/>
        <v>17.218603074834931</v>
      </c>
      <c r="X36" s="71">
        <f t="shared" si="8"/>
        <v>812014</v>
      </c>
      <c r="AD36" s="52"/>
      <c r="AG36" s="52"/>
      <c r="AJ36" s="52"/>
      <c r="AK36" s="52"/>
      <c r="AL36" s="55"/>
      <c r="AO36" s="52"/>
      <c r="AR36" s="52"/>
      <c r="AU36" s="52"/>
      <c r="AV36" s="52"/>
      <c r="AW36" s="55"/>
    </row>
    <row r="37" spans="1:49" ht="15.75" customHeight="1">
      <c r="A37" s="16">
        <v>20202</v>
      </c>
      <c r="B37" s="63" t="s">
        <v>43</v>
      </c>
      <c r="C37" s="64">
        <v>5000</v>
      </c>
      <c r="D37" s="64">
        <v>13136</v>
      </c>
      <c r="E37" s="65">
        <f t="shared" si="0"/>
        <v>0.38063337393422653</v>
      </c>
      <c r="F37" s="64">
        <v>10000</v>
      </c>
      <c r="G37" s="64">
        <v>13454.083333333334</v>
      </c>
      <c r="H37" s="65">
        <f t="shared" si="1"/>
        <v>0.74326877218192744</v>
      </c>
      <c r="I37" s="64">
        <v>10000</v>
      </c>
      <c r="J37" s="64">
        <v>13772.166666666666</v>
      </c>
      <c r="K37" s="65">
        <f t="shared" si="2"/>
        <v>0.72610216257427418</v>
      </c>
      <c r="L37" s="66">
        <f t="shared" si="3"/>
        <v>0.6166681028968094</v>
      </c>
      <c r="M37" s="67">
        <f t="shared" si="25"/>
        <v>8333.3333333333339</v>
      </c>
      <c r="N37" s="64">
        <v>22500</v>
      </c>
      <c r="O37" s="64">
        <v>16316.833333333332</v>
      </c>
      <c r="P37" s="68">
        <f t="shared" si="4"/>
        <v>1.3789440353009674</v>
      </c>
      <c r="Q37" s="69">
        <v>0</v>
      </c>
      <c r="R37" s="64">
        <v>16634.916666666668</v>
      </c>
      <c r="S37" s="68">
        <f t="shared" si="5"/>
        <v>0</v>
      </c>
      <c r="T37" s="64">
        <v>60000</v>
      </c>
      <c r="U37" s="64">
        <v>16953</v>
      </c>
      <c r="V37" s="68">
        <f t="shared" si="6"/>
        <v>3.5391966023712618</v>
      </c>
      <c r="W37" s="70">
        <f t="shared" si="7"/>
        <v>1.6393802125574097</v>
      </c>
      <c r="X37" s="71">
        <f t="shared" si="8"/>
        <v>27500</v>
      </c>
      <c r="AD37" s="52"/>
      <c r="AG37" s="52"/>
      <c r="AJ37" s="52"/>
      <c r="AK37" s="52"/>
      <c r="AL37" s="55"/>
      <c r="AO37" s="52"/>
      <c r="AR37" s="52"/>
      <c r="AU37" s="52"/>
      <c r="AV37" s="52"/>
      <c r="AW37" s="55"/>
    </row>
    <row r="38" spans="1:49" ht="15.75" customHeight="1">
      <c r="A38" s="16">
        <v>20203</v>
      </c>
      <c r="B38" s="63" t="s">
        <v>44</v>
      </c>
      <c r="C38" s="64">
        <v>0</v>
      </c>
      <c r="D38" s="64">
        <v>5003</v>
      </c>
      <c r="E38" s="65">
        <f t="shared" si="0"/>
        <v>0</v>
      </c>
      <c r="F38" s="64">
        <v>0</v>
      </c>
      <c r="G38" s="64">
        <v>5188.25</v>
      </c>
      <c r="H38" s="65">
        <f t="shared" si="1"/>
        <v>0</v>
      </c>
      <c r="I38" s="64">
        <v>70000</v>
      </c>
      <c r="J38" s="64">
        <v>5373.5</v>
      </c>
      <c r="K38" s="65">
        <f t="shared" si="2"/>
        <v>13.026891225458268</v>
      </c>
      <c r="L38" s="66">
        <f t="shared" si="3"/>
        <v>4.3422970751527563</v>
      </c>
      <c r="M38" s="67">
        <f t="shared" si="25"/>
        <v>23333.333333333332</v>
      </c>
      <c r="N38" s="64">
        <v>40000</v>
      </c>
      <c r="O38" s="64">
        <v>6855.5</v>
      </c>
      <c r="P38" s="68">
        <f t="shared" si="4"/>
        <v>5.8347312376923641</v>
      </c>
      <c r="Q38" s="69">
        <v>35000</v>
      </c>
      <c r="R38" s="64">
        <v>7040.75</v>
      </c>
      <c r="S38" s="68">
        <f t="shared" si="5"/>
        <v>4.9710613215921597</v>
      </c>
      <c r="T38" s="64">
        <v>35000</v>
      </c>
      <c r="U38" s="64">
        <v>7226</v>
      </c>
      <c r="V38" s="68">
        <f t="shared" si="6"/>
        <v>4.843620260171603</v>
      </c>
      <c r="W38" s="70">
        <f t="shared" si="7"/>
        <v>5.2164709398187084</v>
      </c>
      <c r="X38" s="71">
        <f t="shared" si="8"/>
        <v>36666.666666666664</v>
      </c>
      <c r="AD38" s="52"/>
      <c r="AG38" s="52"/>
      <c r="AJ38" s="52"/>
      <c r="AK38" s="52"/>
      <c r="AL38" s="55"/>
      <c r="AO38" s="52"/>
      <c r="AR38" s="52"/>
      <c r="AU38" s="52"/>
      <c r="AV38" s="52"/>
      <c r="AW38" s="55"/>
    </row>
    <row r="39" spans="1:49" ht="15.75" customHeight="1">
      <c r="A39" s="16">
        <v>20204</v>
      </c>
      <c r="B39" s="63" t="s">
        <v>45</v>
      </c>
      <c r="C39" s="64">
        <v>39584</v>
      </c>
      <c r="D39" s="64">
        <v>7948</v>
      </c>
      <c r="E39" s="65">
        <f t="shared" si="0"/>
        <v>4.9803724207347759</v>
      </c>
      <c r="F39" s="64">
        <v>24294</v>
      </c>
      <c r="G39" s="64">
        <v>8008.916666666667</v>
      </c>
      <c r="H39" s="65">
        <f t="shared" si="1"/>
        <v>3.0333690574047676</v>
      </c>
      <c r="I39" s="64">
        <v>32000</v>
      </c>
      <c r="J39" s="64">
        <v>8069.833333333333</v>
      </c>
      <c r="K39" s="65">
        <f t="shared" si="2"/>
        <v>3.9653854891674758</v>
      </c>
      <c r="L39" s="66">
        <f t="shared" si="3"/>
        <v>3.9930423224356733</v>
      </c>
      <c r="M39" s="67">
        <f t="shared" si="25"/>
        <v>31959.333333333332</v>
      </c>
      <c r="N39" s="64">
        <v>60000</v>
      </c>
      <c r="O39" s="64">
        <v>8557.1666666666661</v>
      </c>
      <c r="P39" s="68">
        <f t="shared" si="4"/>
        <v>7.0116666342052474</v>
      </c>
      <c r="Q39" s="69">
        <v>60000</v>
      </c>
      <c r="R39" s="64">
        <v>8618.0833333333339</v>
      </c>
      <c r="S39" s="68">
        <f t="shared" si="5"/>
        <v>6.9621048763742897</v>
      </c>
      <c r="T39" s="64">
        <v>60000</v>
      </c>
      <c r="U39" s="64">
        <v>8679</v>
      </c>
      <c r="V39" s="68">
        <f t="shared" si="6"/>
        <v>6.9132388524023503</v>
      </c>
      <c r="W39" s="70">
        <f t="shared" si="7"/>
        <v>6.9623367876606288</v>
      </c>
      <c r="X39" s="71">
        <f t="shared" si="8"/>
        <v>60000</v>
      </c>
      <c r="AD39" s="52"/>
      <c r="AG39" s="52"/>
      <c r="AJ39" s="52"/>
      <c r="AK39" s="52"/>
      <c r="AL39" s="55"/>
      <c r="AO39" s="52"/>
      <c r="AR39" s="52"/>
      <c r="AU39" s="52"/>
      <c r="AV39" s="52"/>
      <c r="AW39" s="55"/>
    </row>
    <row r="40" spans="1:49" ht="15.75" customHeight="1">
      <c r="A40" s="16">
        <v>20205</v>
      </c>
      <c r="B40" s="63" t="s">
        <v>46</v>
      </c>
      <c r="C40" s="64">
        <v>0</v>
      </c>
      <c r="D40" s="64">
        <v>8562</v>
      </c>
      <c r="E40" s="65">
        <f t="shared" si="0"/>
        <v>0</v>
      </c>
      <c r="F40" s="64">
        <v>0</v>
      </c>
      <c r="G40" s="64">
        <v>8622.4166666666661</v>
      </c>
      <c r="H40" s="65">
        <f t="shared" si="1"/>
        <v>0</v>
      </c>
      <c r="I40" s="64">
        <v>50000</v>
      </c>
      <c r="J40" s="64">
        <v>8682.8333333333339</v>
      </c>
      <c r="K40" s="65">
        <f t="shared" si="2"/>
        <v>5.758488972493617</v>
      </c>
      <c r="L40" s="66">
        <f t="shared" si="3"/>
        <v>1.9194963241645391</v>
      </c>
      <c r="M40" s="67">
        <f t="shared" si="25"/>
        <v>16666.666666666668</v>
      </c>
      <c r="N40" s="64">
        <v>105600</v>
      </c>
      <c r="O40" s="64">
        <v>9166.1666666666661</v>
      </c>
      <c r="P40" s="68">
        <f t="shared" si="4"/>
        <v>11.520628397912613</v>
      </c>
      <c r="Q40" s="69">
        <v>105600</v>
      </c>
      <c r="R40" s="64">
        <v>9226.5833333333339</v>
      </c>
      <c r="S40" s="68">
        <f t="shared" si="5"/>
        <v>11.445190075777418</v>
      </c>
      <c r="T40" s="64">
        <v>105600</v>
      </c>
      <c r="U40" s="64">
        <v>9287</v>
      </c>
      <c r="V40" s="68">
        <f t="shared" si="6"/>
        <v>11.370733283083881</v>
      </c>
      <c r="W40" s="70">
        <f t="shared" si="7"/>
        <v>11.445517252257972</v>
      </c>
      <c r="X40" s="71">
        <f t="shared" si="8"/>
        <v>105600</v>
      </c>
      <c r="AD40" s="52"/>
      <c r="AG40" s="52"/>
      <c r="AJ40" s="52"/>
      <c r="AK40" s="52"/>
      <c r="AL40" s="55"/>
      <c r="AO40" s="52"/>
      <c r="AR40" s="52"/>
      <c r="AU40" s="52"/>
      <c r="AV40" s="52"/>
      <c r="AW40" s="55"/>
    </row>
    <row r="41" spans="1:49" ht="15.75" customHeight="1">
      <c r="A41" s="16">
        <v>20206</v>
      </c>
      <c r="B41" s="63" t="s">
        <v>47</v>
      </c>
      <c r="C41" s="64">
        <v>0</v>
      </c>
      <c r="D41" s="64">
        <v>3927</v>
      </c>
      <c r="E41" s="65">
        <f t="shared" si="0"/>
        <v>0</v>
      </c>
      <c r="F41" s="64">
        <v>0</v>
      </c>
      <c r="G41" s="64">
        <v>4026.25</v>
      </c>
      <c r="H41" s="65">
        <f t="shared" si="1"/>
        <v>0</v>
      </c>
      <c r="I41" s="64">
        <v>9460</v>
      </c>
      <c r="J41" s="64">
        <v>4125.5</v>
      </c>
      <c r="K41" s="65">
        <f t="shared" si="2"/>
        <v>2.2930553872257908</v>
      </c>
      <c r="L41" s="66">
        <f t="shared" si="3"/>
        <v>0.76435179574193024</v>
      </c>
      <c r="M41" s="67">
        <f t="shared" si="25"/>
        <v>3153.3333333333335</v>
      </c>
      <c r="N41" s="64">
        <v>10000</v>
      </c>
      <c r="O41" s="64">
        <v>4919.5</v>
      </c>
      <c r="P41" s="68">
        <f t="shared" si="4"/>
        <v>2.032726903140563</v>
      </c>
      <c r="Q41" s="69">
        <v>5000</v>
      </c>
      <c r="R41" s="64">
        <v>5018.75</v>
      </c>
      <c r="S41" s="68">
        <f t="shared" si="5"/>
        <v>0.99626400996264008</v>
      </c>
      <c r="T41" s="64">
        <v>20000</v>
      </c>
      <c r="U41" s="64">
        <v>5118</v>
      </c>
      <c r="V41" s="68">
        <f t="shared" si="6"/>
        <v>3.9077764751856194</v>
      </c>
      <c r="W41" s="70">
        <f t="shared" si="7"/>
        <v>2.3122557960962742</v>
      </c>
      <c r="X41" s="71">
        <f t="shared" si="8"/>
        <v>11666.666666666666</v>
      </c>
      <c r="AD41" s="52"/>
      <c r="AG41" s="52"/>
      <c r="AJ41" s="52"/>
      <c r="AK41" s="52"/>
      <c r="AL41" s="55"/>
      <c r="AO41" s="52"/>
      <c r="AR41" s="52"/>
      <c r="AU41" s="52"/>
      <c r="AV41" s="52"/>
      <c r="AW41" s="55"/>
    </row>
    <row r="42" spans="1:49" ht="15.75" customHeight="1">
      <c r="A42" s="16">
        <v>20301</v>
      </c>
      <c r="B42" s="63" t="s">
        <v>48</v>
      </c>
      <c r="C42" s="64">
        <v>10000</v>
      </c>
      <c r="D42" s="64">
        <v>10647</v>
      </c>
      <c r="E42" s="65">
        <f t="shared" si="0"/>
        <v>0.93923170846247772</v>
      </c>
      <c r="F42" s="64">
        <v>15000</v>
      </c>
      <c r="G42" s="64">
        <v>10889</v>
      </c>
      <c r="H42" s="65">
        <f t="shared" si="1"/>
        <v>1.3775369639085315</v>
      </c>
      <c r="I42" s="64">
        <v>0</v>
      </c>
      <c r="J42" s="64">
        <v>11131</v>
      </c>
      <c r="K42" s="65">
        <f t="shared" si="2"/>
        <v>0</v>
      </c>
      <c r="L42" s="66">
        <f t="shared" si="3"/>
        <v>0.77225622412366979</v>
      </c>
      <c r="M42" s="67">
        <f t="shared" si="25"/>
        <v>8333.3333333333339</v>
      </c>
      <c r="N42" s="64">
        <v>10000</v>
      </c>
      <c r="O42" s="64">
        <v>13067</v>
      </c>
      <c r="P42" s="68">
        <f t="shared" si="4"/>
        <v>0.76528659983163694</v>
      </c>
      <c r="Q42" s="69">
        <v>70000</v>
      </c>
      <c r="R42" s="64">
        <v>13309</v>
      </c>
      <c r="S42" s="68">
        <f t="shared" si="5"/>
        <v>5.2595987677511458</v>
      </c>
      <c r="T42" s="64">
        <v>67000</v>
      </c>
      <c r="U42" s="64">
        <v>13551</v>
      </c>
      <c r="V42" s="68">
        <f t="shared" si="6"/>
        <v>4.9442845546454137</v>
      </c>
      <c r="W42" s="70">
        <f t="shared" si="7"/>
        <v>3.6563899740760655</v>
      </c>
      <c r="X42" s="71">
        <f t="shared" si="8"/>
        <v>49000</v>
      </c>
      <c r="AD42" s="52"/>
      <c r="AG42" s="52"/>
      <c r="AJ42" s="52"/>
      <c r="AK42" s="52"/>
      <c r="AL42" s="55"/>
      <c r="AO42" s="52"/>
      <c r="AR42" s="52"/>
      <c r="AU42" s="52"/>
      <c r="AV42" s="52"/>
      <c r="AW42" s="55"/>
    </row>
    <row r="43" spans="1:49" ht="15.75" customHeight="1">
      <c r="A43" s="16">
        <v>20302</v>
      </c>
      <c r="B43" s="63" t="s">
        <v>49</v>
      </c>
      <c r="C43" s="64">
        <v>0</v>
      </c>
      <c r="D43" s="64">
        <v>14687</v>
      </c>
      <c r="E43" s="65">
        <f t="shared" si="0"/>
        <v>0</v>
      </c>
      <c r="F43" s="64">
        <v>0</v>
      </c>
      <c r="G43" s="64">
        <v>14760.583333333334</v>
      </c>
      <c r="H43" s="65">
        <f t="shared" si="1"/>
        <v>0</v>
      </c>
      <c r="I43" s="64">
        <v>0</v>
      </c>
      <c r="J43" s="64">
        <v>14834.166666666666</v>
      </c>
      <c r="K43" s="65">
        <f t="shared" si="2"/>
        <v>0</v>
      </c>
      <c r="L43" s="66">
        <f t="shared" si="3"/>
        <v>0</v>
      </c>
      <c r="M43" s="67">
        <f t="shared" si="25"/>
        <v>0</v>
      </c>
      <c r="N43" s="64">
        <v>30000</v>
      </c>
      <c r="O43" s="64">
        <v>15422.833333333334</v>
      </c>
      <c r="P43" s="68">
        <f t="shared" si="4"/>
        <v>1.9451678787944282</v>
      </c>
      <c r="Q43" s="69">
        <v>30000</v>
      </c>
      <c r="R43" s="64">
        <v>15496.416666666666</v>
      </c>
      <c r="S43" s="68">
        <f t="shared" si="5"/>
        <v>1.9359314250068564</v>
      </c>
      <c r="T43" s="64">
        <v>15000</v>
      </c>
      <c r="U43" s="64">
        <v>15570</v>
      </c>
      <c r="V43" s="68">
        <f t="shared" si="6"/>
        <v>0.96339113680154143</v>
      </c>
      <c r="W43" s="70">
        <f t="shared" si="7"/>
        <v>1.6148301468676085</v>
      </c>
      <c r="X43" s="71">
        <f t="shared" si="8"/>
        <v>25000</v>
      </c>
      <c r="AD43" s="52"/>
      <c r="AG43" s="52"/>
      <c r="AJ43" s="52"/>
      <c r="AK43" s="52"/>
      <c r="AL43" s="55"/>
      <c r="AO43" s="52"/>
      <c r="AR43" s="52"/>
      <c r="AU43" s="52"/>
      <c r="AV43" s="52"/>
      <c r="AW43" s="55"/>
    </row>
    <row r="44" spans="1:49" ht="15.75" customHeight="1">
      <c r="A44" s="16">
        <v>20303</v>
      </c>
      <c r="B44" s="63" t="s">
        <v>50</v>
      </c>
      <c r="C44" s="64">
        <v>0</v>
      </c>
      <c r="D44" s="64">
        <v>9879</v>
      </c>
      <c r="E44" s="65">
        <f t="shared" si="0"/>
        <v>0</v>
      </c>
      <c r="F44" s="64">
        <v>0</v>
      </c>
      <c r="G44" s="64">
        <v>10074</v>
      </c>
      <c r="H44" s="65">
        <f t="shared" si="1"/>
        <v>0</v>
      </c>
      <c r="I44" s="64">
        <v>0</v>
      </c>
      <c r="J44" s="64">
        <v>10269</v>
      </c>
      <c r="K44" s="65">
        <f t="shared" si="2"/>
        <v>0</v>
      </c>
      <c r="L44" s="66">
        <f t="shared" si="3"/>
        <v>0</v>
      </c>
      <c r="M44" s="67">
        <f t="shared" si="25"/>
        <v>0</v>
      </c>
      <c r="N44" s="64">
        <v>5000</v>
      </c>
      <c r="O44" s="64">
        <v>11829</v>
      </c>
      <c r="P44" s="68">
        <f t="shared" si="4"/>
        <v>0.42268999915462002</v>
      </c>
      <c r="Q44" s="69">
        <v>0</v>
      </c>
      <c r="R44" s="64">
        <v>12024</v>
      </c>
      <c r="S44" s="68">
        <f t="shared" si="5"/>
        <v>0</v>
      </c>
      <c r="T44" s="64">
        <v>0</v>
      </c>
      <c r="U44" s="64">
        <v>12219</v>
      </c>
      <c r="V44" s="68">
        <f t="shared" si="6"/>
        <v>0</v>
      </c>
      <c r="W44" s="70">
        <f t="shared" si="7"/>
        <v>0.14089666638487333</v>
      </c>
      <c r="X44" s="71">
        <f t="shared" si="8"/>
        <v>1666.6666666666667</v>
      </c>
      <c r="AD44" s="52"/>
      <c r="AG44" s="52"/>
      <c r="AJ44" s="52"/>
      <c r="AK44" s="52"/>
      <c r="AL44" s="55"/>
      <c r="AO44" s="52"/>
      <c r="AR44" s="52"/>
      <c r="AU44" s="52"/>
      <c r="AV44" s="52"/>
      <c r="AW44" s="55"/>
    </row>
    <row r="45" spans="1:49" ht="15.75" customHeight="1">
      <c r="A45" s="16">
        <v>20304</v>
      </c>
      <c r="B45" s="63" t="s">
        <v>51</v>
      </c>
      <c r="C45" s="64">
        <v>0</v>
      </c>
      <c r="D45" s="64">
        <v>3880</v>
      </c>
      <c r="E45" s="65">
        <f t="shared" si="0"/>
        <v>0</v>
      </c>
      <c r="F45" s="64">
        <v>0</v>
      </c>
      <c r="G45" s="64">
        <v>3993.1666666666665</v>
      </c>
      <c r="H45" s="65">
        <f t="shared" si="1"/>
        <v>0</v>
      </c>
      <c r="I45" s="64">
        <v>0</v>
      </c>
      <c r="J45" s="64">
        <v>4106.333333333333</v>
      </c>
      <c r="K45" s="65">
        <f t="shared" si="2"/>
        <v>0</v>
      </c>
      <c r="L45" s="66">
        <f t="shared" si="3"/>
        <v>0</v>
      </c>
      <c r="M45" s="67">
        <f t="shared" si="25"/>
        <v>0</v>
      </c>
      <c r="N45" s="64">
        <v>10000</v>
      </c>
      <c r="O45" s="64">
        <v>5011.666666666667</v>
      </c>
      <c r="P45" s="68">
        <f t="shared" si="4"/>
        <v>1.9953441968739607</v>
      </c>
      <c r="Q45" s="69">
        <v>10000</v>
      </c>
      <c r="R45" s="64">
        <v>5124.8333333333339</v>
      </c>
      <c r="S45" s="68">
        <f t="shared" si="5"/>
        <v>1.9512829685518225</v>
      </c>
      <c r="T45" s="64">
        <v>5000</v>
      </c>
      <c r="U45" s="64">
        <v>5238</v>
      </c>
      <c r="V45" s="68">
        <f t="shared" si="6"/>
        <v>0.95456281023291334</v>
      </c>
      <c r="W45" s="70">
        <f t="shared" si="7"/>
        <v>1.6337299918862322</v>
      </c>
      <c r="X45" s="71">
        <f t="shared" si="8"/>
        <v>8333.3333333333339</v>
      </c>
      <c r="AD45" s="52"/>
      <c r="AG45" s="52"/>
      <c r="AJ45" s="52"/>
      <c r="AK45" s="52"/>
      <c r="AL45" s="55"/>
      <c r="AO45" s="52"/>
      <c r="AR45" s="52"/>
      <c r="AU45" s="52"/>
      <c r="AV45" s="52"/>
      <c r="AW45" s="55"/>
    </row>
    <row r="46" spans="1:49" ht="15.75" customHeight="1">
      <c r="A46" s="16">
        <v>20305</v>
      </c>
      <c r="B46" s="63" t="s">
        <v>52</v>
      </c>
      <c r="C46" s="64">
        <v>5000</v>
      </c>
      <c r="D46" s="64">
        <v>3246</v>
      </c>
      <c r="E46" s="65">
        <f t="shared" si="0"/>
        <v>1.5403573629081948</v>
      </c>
      <c r="F46" s="64">
        <v>5000</v>
      </c>
      <c r="G46" s="64">
        <v>3327.25</v>
      </c>
      <c r="H46" s="65">
        <f t="shared" si="1"/>
        <v>1.502742505071756</v>
      </c>
      <c r="I46" s="64">
        <v>0</v>
      </c>
      <c r="J46" s="64">
        <v>3408.5</v>
      </c>
      <c r="K46" s="65">
        <f t="shared" si="2"/>
        <v>0</v>
      </c>
      <c r="L46" s="66">
        <f t="shared" si="3"/>
        <v>1.0143666226599837</v>
      </c>
      <c r="M46" s="67">
        <f t="shared" si="25"/>
        <v>3333.3333333333335</v>
      </c>
      <c r="N46" s="64">
        <v>3000</v>
      </c>
      <c r="O46" s="64">
        <v>4058.5</v>
      </c>
      <c r="P46" s="68">
        <f t="shared" si="4"/>
        <v>0.73918935567327826</v>
      </c>
      <c r="Q46" s="69">
        <v>3000</v>
      </c>
      <c r="R46" s="64">
        <v>4139.75</v>
      </c>
      <c r="S46" s="68">
        <f t="shared" si="5"/>
        <v>0.72468144211606977</v>
      </c>
      <c r="T46" s="64">
        <v>3000</v>
      </c>
      <c r="U46" s="64">
        <v>4221</v>
      </c>
      <c r="V46" s="68">
        <f t="shared" si="6"/>
        <v>0.71073205401563611</v>
      </c>
      <c r="W46" s="70">
        <f t="shared" si="7"/>
        <v>0.72486761726832805</v>
      </c>
      <c r="X46" s="71">
        <f t="shared" si="8"/>
        <v>3000</v>
      </c>
      <c r="AD46" s="52"/>
      <c r="AG46" s="52"/>
      <c r="AJ46" s="52"/>
      <c r="AK46" s="52"/>
      <c r="AL46" s="55"/>
      <c r="AO46" s="52"/>
      <c r="AR46" s="52"/>
      <c r="AU46" s="52"/>
      <c r="AV46" s="52"/>
      <c r="AW46" s="55"/>
    </row>
    <row r="47" spans="1:49" ht="15.75" customHeight="1">
      <c r="A47" s="16">
        <v>20306</v>
      </c>
      <c r="B47" s="63" t="s">
        <v>53</v>
      </c>
      <c r="C47" s="64">
        <v>2000</v>
      </c>
      <c r="D47" s="64">
        <v>5069</v>
      </c>
      <c r="E47" s="65">
        <f t="shared" si="0"/>
        <v>0.39455513908068651</v>
      </c>
      <c r="F47" s="64">
        <v>4000</v>
      </c>
      <c r="G47" s="64">
        <v>5183.416666666667</v>
      </c>
      <c r="H47" s="65">
        <f t="shared" si="1"/>
        <v>0.77169177344415685</v>
      </c>
      <c r="I47" s="64">
        <v>0</v>
      </c>
      <c r="J47" s="64">
        <v>5297.833333333333</v>
      </c>
      <c r="K47" s="65">
        <f t="shared" si="2"/>
        <v>0</v>
      </c>
      <c r="L47" s="66">
        <f t="shared" si="3"/>
        <v>0.38874897084161447</v>
      </c>
      <c r="M47" s="67">
        <f t="shared" si="25"/>
        <v>2000</v>
      </c>
      <c r="N47" s="64">
        <v>30968</v>
      </c>
      <c r="O47" s="64">
        <v>6213.166666666667</v>
      </c>
      <c r="P47" s="68">
        <f t="shared" si="4"/>
        <v>4.9842538694707477</v>
      </c>
      <c r="Q47" s="69">
        <v>30968</v>
      </c>
      <c r="R47" s="64">
        <v>6327.5833333333339</v>
      </c>
      <c r="S47" s="68">
        <f t="shared" si="5"/>
        <v>4.8941275631823622</v>
      </c>
      <c r="T47" s="64">
        <v>31968</v>
      </c>
      <c r="U47" s="64">
        <v>6442</v>
      </c>
      <c r="V47" s="68">
        <f t="shared" si="6"/>
        <v>4.9624340266997828</v>
      </c>
      <c r="W47" s="70">
        <f t="shared" si="7"/>
        <v>4.9469384864509642</v>
      </c>
      <c r="X47" s="71">
        <f t="shared" si="8"/>
        <v>31301.333333333332</v>
      </c>
      <c r="AD47" s="52"/>
      <c r="AG47" s="52"/>
      <c r="AJ47" s="52"/>
      <c r="AK47" s="52"/>
      <c r="AL47" s="55"/>
      <c r="AO47" s="52"/>
      <c r="AR47" s="52"/>
      <c r="AU47" s="52"/>
      <c r="AV47" s="52"/>
      <c r="AW47" s="55"/>
    </row>
    <row r="48" spans="1:49" ht="15.75" customHeight="1">
      <c r="A48" s="16">
        <v>20307</v>
      </c>
      <c r="B48" s="63" t="s">
        <v>54</v>
      </c>
      <c r="C48" s="64">
        <v>0</v>
      </c>
      <c r="D48" s="63">
        <v>619</v>
      </c>
      <c r="E48" s="65">
        <f t="shared" si="0"/>
        <v>0</v>
      </c>
      <c r="F48" s="64">
        <v>0</v>
      </c>
      <c r="G48" s="65">
        <v>902.58333333333326</v>
      </c>
      <c r="H48" s="65">
        <f t="shared" si="1"/>
        <v>0</v>
      </c>
      <c r="I48" s="64">
        <v>0</v>
      </c>
      <c r="J48" s="65">
        <v>1186.1666666666665</v>
      </c>
      <c r="K48" s="65">
        <f t="shared" si="2"/>
        <v>0</v>
      </c>
      <c r="L48" s="66">
        <f t="shared" si="3"/>
        <v>0</v>
      </c>
      <c r="M48" s="67">
        <f t="shared" si="25"/>
        <v>0</v>
      </c>
      <c r="N48" s="64">
        <v>0</v>
      </c>
      <c r="O48" s="63">
        <v>3454.833333333333</v>
      </c>
      <c r="P48" s="68">
        <f t="shared" si="4"/>
        <v>0</v>
      </c>
      <c r="Q48" s="69">
        <v>1000</v>
      </c>
      <c r="R48" s="63">
        <v>3738.4166666666665</v>
      </c>
      <c r="S48" s="68">
        <f t="shared" si="5"/>
        <v>0.26749292258308999</v>
      </c>
      <c r="T48" s="64">
        <v>1000</v>
      </c>
      <c r="U48" s="64">
        <v>4022</v>
      </c>
      <c r="V48" s="68">
        <f t="shared" si="6"/>
        <v>0.2486325211337643</v>
      </c>
      <c r="W48" s="70">
        <f t="shared" si="7"/>
        <v>0.17204181457228476</v>
      </c>
      <c r="X48" s="71">
        <f t="shared" si="8"/>
        <v>666.66666666666663</v>
      </c>
      <c r="AD48" s="52"/>
      <c r="AG48" s="52"/>
      <c r="AJ48" s="52"/>
      <c r="AK48" s="52"/>
      <c r="AL48" s="55"/>
      <c r="AO48" s="52"/>
      <c r="AR48" s="52"/>
      <c r="AU48" s="52"/>
      <c r="AV48" s="52"/>
      <c r="AW48" s="55"/>
    </row>
    <row r="49" spans="1:49" ht="15.75" customHeight="1">
      <c r="A49" s="16">
        <v>20308</v>
      </c>
      <c r="B49" s="63" t="s">
        <v>55</v>
      </c>
      <c r="C49" s="64">
        <v>0</v>
      </c>
      <c r="D49" s="64">
        <v>7289</v>
      </c>
      <c r="E49" s="65">
        <f t="shared" si="0"/>
        <v>0</v>
      </c>
      <c r="F49" s="64">
        <v>0</v>
      </c>
      <c r="G49" s="64">
        <v>7351.333333333333</v>
      </c>
      <c r="H49" s="65">
        <f t="shared" si="1"/>
        <v>0</v>
      </c>
      <c r="I49" s="64">
        <v>0</v>
      </c>
      <c r="J49" s="64">
        <v>7413.666666666667</v>
      </c>
      <c r="K49" s="65">
        <f t="shared" si="2"/>
        <v>0</v>
      </c>
      <c r="L49" s="66">
        <f t="shared" si="3"/>
        <v>0</v>
      </c>
      <c r="M49" s="67">
        <f t="shared" si="25"/>
        <v>0</v>
      </c>
      <c r="N49" s="64">
        <v>10000</v>
      </c>
      <c r="O49" s="64">
        <v>7912.333333333333</v>
      </c>
      <c r="P49" s="68">
        <f t="shared" si="4"/>
        <v>1.2638496861439947</v>
      </c>
      <c r="Q49" s="69">
        <v>10000</v>
      </c>
      <c r="R49" s="64">
        <v>7974.666666666667</v>
      </c>
      <c r="S49" s="68">
        <f t="shared" si="5"/>
        <v>1.2539709078749373</v>
      </c>
      <c r="T49" s="64">
        <v>10000</v>
      </c>
      <c r="U49" s="64">
        <v>8037</v>
      </c>
      <c r="V49" s="68">
        <f t="shared" si="6"/>
        <v>1.2442453651860146</v>
      </c>
      <c r="W49" s="70">
        <f t="shared" si="7"/>
        <v>1.2540219864016489</v>
      </c>
      <c r="X49" s="71">
        <f t="shared" si="8"/>
        <v>10000</v>
      </c>
      <c r="AD49" s="52"/>
      <c r="AG49" s="52"/>
      <c r="AJ49" s="52"/>
      <c r="AK49" s="52"/>
      <c r="AL49" s="55"/>
      <c r="AO49" s="52"/>
      <c r="AR49" s="52"/>
      <c r="AU49" s="52"/>
      <c r="AV49" s="52"/>
      <c r="AW49" s="55"/>
    </row>
    <row r="50" spans="1:49" ht="15.75" customHeight="1">
      <c r="A50" s="16">
        <v>20401</v>
      </c>
      <c r="B50" s="63" t="s">
        <v>56</v>
      </c>
      <c r="C50" s="64">
        <v>0</v>
      </c>
      <c r="D50" s="64">
        <v>11290</v>
      </c>
      <c r="E50" s="65">
        <f t="shared" si="0"/>
        <v>0</v>
      </c>
      <c r="F50" s="64">
        <v>40000</v>
      </c>
      <c r="G50" s="64">
        <v>11516.833333333334</v>
      </c>
      <c r="H50" s="65">
        <f t="shared" si="1"/>
        <v>3.4731769438937206</v>
      </c>
      <c r="I50" s="64">
        <v>0</v>
      </c>
      <c r="J50" s="64">
        <v>11743.666666666666</v>
      </c>
      <c r="K50" s="65">
        <f t="shared" si="2"/>
        <v>0</v>
      </c>
      <c r="L50" s="66">
        <f t="shared" si="3"/>
        <v>1.1577256479645734</v>
      </c>
      <c r="M50" s="67">
        <f t="shared" si="25"/>
        <v>13333.333333333334</v>
      </c>
      <c r="N50" s="64">
        <v>70000</v>
      </c>
      <c r="O50" s="64">
        <v>13558.333333333334</v>
      </c>
      <c r="P50" s="68">
        <f t="shared" si="4"/>
        <v>5.1628764597418559</v>
      </c>
      <c r="Q50" s="69">
        <v>65000</v>
      </c>
      <c r="R50" s="64">
        <v>13785.166666666668</v>
      </c>
      <c r="S50" s="68">
        <f t="shared" si="5"/>
        <v>4.7152132122692265</v>
      </c>
      <c r="T50" s="64">
        <v>388871</v>
      </c>
      <c r="U50" s="64">
        <v>14012</v>
      </c>
      <c r="V50" s="68">
        <f t="shared" si="6"/>
        <v>27.752711961176136</v>
      </c>
      <c r="W50" s="70">
        <f t="shared" si="7"/>
        <v>12.543600544395739</v>
      </c>
      <c r="X50" s="71">
        <f t="shared" si="8"/>
        <v>174623.66666666666</v>
      </c>
      <c r="AD50" s="52"/>
      <c r="AG50" s="52"/>
      <c r="AJ50" s="52"/>
      <c r="AK50" s="52"/>
      <c r="AL50" s="55"/>
      <c r="AO50" s="52"/>
      <c r="AR50" s="52"/>
      <c r="AU50" s="52"/>
      <c r="AV50" s="52"/>
      <c r="AW50" s="55"/>
    </row>
    <row r="51" spans="1:49" ht="15.75" customHeight="1">
      <c r="A51" s="16">
        <v>20402</v>
      </c>
      <c r="B51" s="63" t="s">
        <v>57</v>
      </c>
      <c r="C51" s="64">
        <v>20000</v>
      </c>
      <c r="D51" s="64">
        <v>15665</v>
      </c>
      <c r="E51" s="65">
        <f t="shared" si="0"/>
        <v>1.2767315671879986</v>
      </c>
      <c r="F51" s="64">
        <v>0</v>
      </c>
      <c r="G51" s="64">
        <v>15843.833333333334</v>
      </c>
      <c r="H51" s="65">
        <f t="shared" si="1"/>
        <v>0</v>
      </c>
      <c r="I51" s="64">
        <v>0</v>
      </c>
      <c r="J51" s="64">
        <v>16022.666666666666</v>
      </c>
      <c r="K51" s="65">
        <f t="shared" si="2"/>
        <v>0</v>
      </c>
      <c r="L51" s="66">
        <f t="shared" si="3"/>
        <v>0.42557718906266623</v>
      </c>
      <c r="M51" s="67">
        <f t="shared" si="25"/>
        <v>6666.666666666667</v>
      </c>
      <c r="N51" s="64">
        <v>40000</v>
      </c>
      <c r="O51" s="64">
        <v>17453.333333333332</v>
      </c>
      <c r="P51" s="68">
        <f t="shared" si="4"/>
        <v>2.2918258212375862</v>
      </c>
      <c r="Q51" s="69">
        <v>120000</v>
      </c>
      <c r="R51" s="64">
        <v>17632.166666666668</v>
      </c>
      <c r="S51" s="68">
        <f t="shared" si="5"/>
        <v>6.8057432911440259</v>
      </c>
      <c r="T51" s="64">
        <v>120000</v>
      </c>
      <c r="U51" s="64">
        <v>17811</v>
      </c>
      <c r="V51" s="68">
        <f t="shared" si="6"/>
        <v>6.7374094660603001</v>
      </c>
      <c r="W51" s="70">
        <f t="shared" si="7"/>
        <v>5.2783261928139709</v>
      </c>
      <c r="X51" s="71">
        <f t="shared" si="8"/>
        <v>93333.333333333328</v>
      </c>
      <c r="AD51" s="52"/>
      <c r="AG51" s="52"/>
      <c r="AJ51" s="52"/>
      <c r="AK51" s="52"/>
      <c r="AL51" s="55"/>
      <c r="AO51" s="52"/>
      <c r="AR51" s="52"/>
      <c r="AU51" s="52"/>
      <c r="AV51" s="52"/>
      <c r="AW51" s="55"/>
    </row>
    <row r="52" spans="1:49" ht="15.75" customHeight="1">
      <c r="A52" s="16">
        <v>20403</v>
      </c>
      <c r="B52" s="63" t="s">
        <v>58</v>
      </c>
      <c r="C52" s="64">
        <v>50000</v>
      </c>
      <c r="D52" s="64">
        <v>14589</v>
      </c>
      <c r="E52" s="65">
        <f t="shared" si="0"/>
        <v>3.427239701144698</v>
      </c>
      <c r="F52" s="64">
        <v>40000</v>
      </c>
      <c r="G52" s="64">
        <v>14817.916666666666</v>
      </c>
      <c r="H52" s="65">
        <f t="shared" si="1"/>
        <v>2.6994348058375279</v>
      </c>
      <c r="I52" s="64">
        <v>0</v>
      </c>
      <c r="J52" s="64">
        <v>15046.833333333334</v>
      </c>
      <c r="K52" s="65">
        <f t="shared" si="2"/>
        <v>0</v>
      </c>
      <c r="L52" s="66">
        <f t="shared" si="3"/>
        <v>2.042224835660742</v>
      </c>
      <c r="M52" s="67">
        <f t="shared" si="25"/>
        <v>30000</v>
      </c>
      <c r="N52" s="64">
        <v>105000</v>
      </c>
      <c r="O52" s="64">
        <v>16878.166666666668</v>
      </c>
      <c r="P52" s="68">
        <f t="shared" si="4"/>
        <v>6.221054814405198</v>
      </c>
      <c r="Q52" s="69">
        <v>60000</v>
      </c>
      <c r="R52" s="64">
        <v>17107.083333333332</v>
      </c>
      <c r="S52" s="68">
        <f t="shared" si="5"/>
        <v>3.5073190929683125</v>
      </c>
      <c r="T52" s="64">
        <v>70000</v>
      </c>
      <c r="U52" s="64">
        <v>17336</v>
      </c>
      <c r="V52" s="68">
        <f t="shared" si="6"/>
        <v>4.0378403322565761</v>
      </c>
      <c r="W52" s="70">
        <f t="shared" si="7"/>
        <v>4.5887380798766957</v>
      </c>
      <c r="X52" s="71">
        <f t="shared" si="8"/>
        <v>78333.333333333328</v>
      </c>
      <c r="AD52" s="52"/>
      <c r="AG52" s="52"/>
      <c r="AJ52" s="52"/>
      <c r="AK52" s="52"/>
      <c r="AL52" s="55"/>
      <c r="AO52" s="52"/>
      <c r="AR52" s="52"/>
      <c r="AU52" s="52"/>
      <c r="AV52" s="52"/>
      <c r="AW52" s="55"/>
    </row>
    <row r="53" spans="1:49" ht="15.75" customHeight="1">
      <c r="A53" s="16">
        <v>20404</v>
      </c>
      <c r="B53" s="63" t="s">
        <v>59</v>
      </c>
      <c r="C53" s="64">
        <v>0</v>
      </c>
      <c r="D53" s="64">
        <v>5342</v>
      </c>
      <c r="E53" s="65">
        <f t="shared" si="0"/>
        <v>0</v>
      </c>
      <c r="F53" s="64">
        <v>0</v>
      </c>
      <c r="G53" s="64">
        <v>5368.333333333333</v>
      </c>
      <c r="H53" s="65">
        <f t="shared" si="1"/>
        <v>0</v>
      </c>
      <c r="I53" s="64">
        <v>0</v>
      </c>
      <c r="J53" s="64">
        <v>5394.666666666667</v>
      </c>
      <c r="K53" s="65">
        <f t="shared" si="2"/>
        <v>0</v>
      </c>
      <c r="L53" s="66">
        <f t="shared" si="3"/>
        <v>0</v>
      </c>
      <c r="M53" s="67">
        <f t="shared" si="25"/>
        <v>0</v>
      </c>
      <c r="N53" s="64">
        <v>30000</v>
      </c>
      <c r="O53" s="64">
        <v>5605.333333333333</v>
      </c>
      <c r="P53" s="68">
        <f t="shared" si="4"/>
        <v>5.3520456707897246</v>
      </c>
      <c r="Q53" s="69">
        <v>22500</v>
      </c>
      <c r="R53" s="64">
        <v>5631.666666666667</v>
      </c>
      <c r="S53" s="68">
        <f t="shared" si="5"/>
        <v>3.9952648712636871</v>
      </c>
      <c r="T53" s="64">
        <v>28344</v>
      </c>
      <c r="U53" s="64">
        <v>5658</v>
      </c>
      <c r="V53" s="68">
        <f t="shared" si="6"/>
        <v>5.0095440084835632</v>
      </c>
      <c r="W53" s="70">
        <f t="shared" si="7"/>
        <v>4.7856181835123257</v>
      </c>
      <c r="X53" s="71">
        <f t="shared" si="8"/>
        <v>26948</v>
      </c>
      <c r="AD53" s="52"/>
      <c r="AG53" s="52"/>
      <c r="AJ53" s="52"/>
      <c r="AK53" s="52"/>
      <c r="AL53" s="55"/>
      <c r="AO53" s="52"/>
      <c r="AR53" s="52"/>
      <c r="AU53" s="52"/>
      <c r="AV53" s="52"/>
      <c r="AW53" s="55"/>
    </row>
    <row r="54" spans="1:49" ht="15.75" customHeight="1">
      <c r="A54" s="16">
        <v>20405</v>
      </c>
      <c r="B54" s="63" t="s">
        <v>60</v>
      </c>
      <c r="C54" s="64">
        <v>20000</v>
      </c>
      <c r="D54" s="64">
        <v>7186</v>
      </c>
      <c r="E54" s="65">
        <f t="shared" si="0"/>
        <v>2.7831895352073475</v>
      </c>
      <c r="F54" s="64">
        <v>30000</v>
      </c>
      <c r="G54" s="64">
        <v>7323.583333333333</v>
      </c>
      <c r="H54" s="65">
        <f t="shared" si="1"/>
        <v>4.0963553815868829</v>
      </c>
      <c r="I54" s="64">
        <v>0</v>
      </c>
      <c r="J54" s="64">
        <v>7461.166666666667</v>
      </c>
      <c r="K54" s="65">
        <f t="shared" si="2"/>
        <v>0</v>
      </c>
      <c r="L54" s="66">
        <f t="shared" si="3"/>
        <v>2.2931816389314101</v>
      </c>
      <c r="M54" s="67">
        <f t="shared" si="25"/>
        <v>16666.666666666668</v>
      </c>
      <c r="N54" s="64">
        <v>0</v>
      </c>
      <c r="O54" s="64">
        <v>8561.8333333333339</v>
      </c>
      <c r="P54" s="68">
        <f t="shared" si="4"/>
        <v>0</v>
      </c>
      <c r="Q54" s="69">
        <v>10000</v>
      </c>
      <c r="R54" s="64">
        <v>8699.4166666666661</v>
      </c>
      <c r="S54" s="68">
        <f t="shared" si="5"/>
        <v>1.1495023612694339</v>
      </c>
      <c r="T54" s="64">
        <v>20000</v>
      </c>
      <c r="U54" s="64">
        <v>8837</v>
      </c>
      <c r="V54" s="68">
        <f t="shared" si="6"/>
        <v>2.2632114971144053</v>
      </c>
      <c r="W54" s="70">
        <f t="shared" si="7"/>
        <v>1.1375712861279463</v>
      </c>
      <c r="X54" s="71">
        <f t="shared" si="8"/>
        <v>10000</v>
      </c>
      <c r="AD54" s="52"/>
      <c r="AG54" s="52"/>
      <c r="AJ54" s="52"/>
      <c r="AK54" s="52"/>
      <c r="AL54" s="55"/>
      <c r="AO54" s="52"/>
      <c r="AR54" s="52"/>
      <c r="AU54" s="52"/>
      <c r="AV54" s="52"/>
      <c r="AW54" s="55"/>
    </row>
    <row r="55" spans="1:49" ht="15.75" customHeight="1">
      <c r="A55" s="16">
        <v>20501</v>
      </c>
      <c r="B55" s="63" t="s">
        <v>61</v>
      </c>
      <c r="C55" s="64">
        <v>20000</v>
      </c>
      <c r="D55" s="64">
        <v>11473</v>
      </c>
      <c r="E55" s="65">
        <f t="shared" si="0"/>
        <v>1.7432232197332869</v>
      </c>
      <c r="F55" s="64">
        <v>15000</v>
      </c>
      <c r="G55" s="64">
        <v>12002.75</v>
      </c>
      <c r="H55" s="65">
        <f t="shared" si="1"/>
        <v>1.2497136072983275</v>
      </c>
      <c r="I55" s="64">
        <v>0</v>
      </c>
      <c r="J55" s="64">
        <v>12532.5</v>
      </c>
      <c r="K55" s="65">
        <f t="shared" si="2"/>
        <v>0</v>
      </c>
      <c r="L55" s="66">
        <f t="shared" si="3"/>
        <v>0.997645609010538</v>
      </c>
      <c r="M55" s="67">
        <f t="shared" si="25"/>
        <v>11666.666666666666</v>
      </c>
      <c r="N55" s="64">
        <v>24000</v>
      </c>
      <c r="O55" s="64">
        <v>16770.5</v>
      </c>
      <c r="P55" s="68">
        <f t="shared" si="4"/>
        <v>1.4310843445335559</v>
      </c>
      <c r="Q55" s="69">
        <v>24000</v>
      </c>
      <c r="R55" s="64">
        <v>17300.25</v>
      </c>
      <c r="S55" s="68">
        <f t="shared" si="5"/>
        <v>1.3872631898382972</v>
      </c>
      <c r="T55" s="64">
        <v>24000</v>
      </c>
      <c r="U55" s="64">
        <v>17830</v>
      </c>
      <c r="V55" s="68">
        <f t="shared" si="6"/>
        <v>1.3460459899046551</v>
      </c>
      <c r="W55" s="70">
        <f t="shared" si="7"/>
        <v>1.3881311747588361</v>
      </c>
      <c r="X55" s="71">
        <f t="shared" si="8"/>
        <v>24000</v>
      </c>
      <c r="AD55" s="52"/>
      <c r="AG55" s="52"/>
      <c r="AJ55" s="52"/>
      <c r="AK55" s="52"/>
      <c r="AL55" s="55"/>
      <c r="AO55" s="52"/>
      <c r="AR55" s="52"/>
      <c r="AU55" s="52"/>
      <c r="AV55" s="52"/>
      <c r="AW55" s="55"/>
    </row>
    <row r="56" spans="1:49" ht="15.75" customHeight="1">
      <c r="A56" s="16">
        <v>20502</v>
      </c>
      <c r="B56" s="63" t="s">
        <v>62</v>
      </c>
      <c r="C56" s="64">
        <v>0</v>
      </c>
      <c r="D56" s="64">
        <v>8410</v>
      </c>
      <c r="E56" s="65">
        <f t="shared" si="0"/>
        <v>0</v>
      </c>
      <c r="F56" s="64">
        <v>0</v>
      </c>
      <c r="G56" s="64">
        <v>8461.5833333333339</v>
      </c>
      <c r="H56" s="65">
        <f t="shared" si="1"/>
        <v>0</v>
      </c>
      <c r="I56" s="64">
        <v>0</v>
      </c>
      <c r="J56" s="64">
        <v>8513.1666666666661</v>
      </c>
      <c r="K56" s="65">
        <f t="shared" si="2"/>
        <v>0</v>
      </c>
      <c r="L56" s="66">
        <f t="shared" si="3"/>
        <v>0</v>
      </c>
      <c r="M56" s="67">
        <f t="shared" si="25"/>
        <v>0</v>
      </c>
      <c r="N56" s="64">
        <v>50000</v>
      </c>
      <c r="O56" s="64">
        <v>8925.8333333333339</v>
      </c>
      <c r="P56" s="68">
        <f t="shared" si="4"/>
        <v>5.6017178601437774</v>
      </c>
      <c r="Q56" s="69">
        <v>50000</v>
      </c>
      <c r="R56" s="64">
        <v>8977.4166666666661</v>
      </c>
      <c r="S56" s="68">
        <f t="shared" si="5"/>
        <v>5.5695309526682699</v>
      </c>
      <c r="T56" s="64">
        <v>80000</v>
      </c>
      <c r="U56" s="64">
        <v>9029</v>
      </c>
      <c r="V56" s="68">
        <f t="shared" si="6"/>
        <v>8.8603389079632304</v>
      </c>
      <c r="W56" s="70">
        <f t="shared" si="7"/>
        <v>6.6771959069250926</v>
      </c>
      <c r="X56" s="71">
        <f t="shared" si="8"/>
        <v>60000</v>
      </c>
      <c r="AD56" s="52"/>
      <c r="AG56" s="52"/>
      <c r="AJ56" s="52"/>
      <c r="AK56" s="52"/>
      <c r="AL56" s="55"/>
      <c r="AO56" s="52"/>
      <c r="AR56" s="52"/>
      <c r="AU56" s="52"/>
      <c r="AV56" s="52"/>
      <c r="AW56" s="55"/>
    </row>
    <row r="57" spans="1:49" ht="15.75" customHeight="1">
      <c r="A57" s="16">
        <v>20503</v>
      </c>
      <c r="B57" s="63" t="s">
        <v>63</v>
      </c>
      <c r="C57" s="64">
        <v>0</v>
      </c>
      <c r="D57" s="64">
        <v>5495</v>
      </c>
      <c r="E57" s="65">
        <f t="shared" si="0"/>
        <v>0</v>
      </c>
      <c r="F57" s="64">
        <v>0</v>
      </c>
      <c r="G57" s="64">
        <v>5597.166666666667</v>
      </c>
      <c r="H57" s="65">
        <f t="shared" si="1"/>
        <v>0</v>
      </c>
      <c r="I57" s="64">
        <v>0</v>
      </c>
      <c r="J57" s="64">
        <v>5699.333333333333</v>
      </c>
      <c r="K57" s="65">
        <f t="shared" si="2"/>
        <v>0</v>
      </c>
      <c r="L57" s="66">
        <f t="shared" si="3"/>
        <v>0</v>
      </c>
      <c r="M57" s="67">
        <f t="shared" si="25"/>
        <v>0</v>
      </c>
      <c r="N57" s="64">
        <v>0</v>
      </c>
      <c r="O57" s="64">
        <v>6516.666666666667</v>
      </c>
      <c r="P57" s="68">
        <f t="shared" si="4"/>
        <v>0</v>
      </c>
      <c r="Q57" s="69">
        <v>10000</v>
      </c>
      <c r="R57" s="64">
        <v>6618.8333333333339</v>
      </c>
      <c r="S57" s="68">
        <f t="shared" si="5"/>
        <v>1.510840279001838</v>
      </c>
      <c r="T57" s="64">
        <v>10000</v>
      </c>
      <c r="U57" s="64">
        <v>6721</v>
      </c>
      <c r="V57" s="68">
        <f t="shared" si="6"/>
        <v>1.4878738282993602</v>
      </c>
      <c r="W57" s="70">
        <f t="shared" si="7"/>
        <v>0.99957136910039945</v>
      </c>
      <c r="X57" s="71">
        <f t="shared" si="8"/>
        <v>6666.666666666667</v>
      </c>
      <c r="AD57" s="52"/>
      <c r="AG57" s="52"/>
      <c r="AJ57" s="52"/>
      <c r="AK57" s="52"/>
      <c r="AL57" s="55"/>
      <c r="AO57" s="52"/>
      <c r="AR57" s="52"/>
      <c r="AU57" s="52"/>
      <c r="AV57" s="52"/>
      <c r="AW57" s="55"/>
    </row>
    <row r="58" spans="1:49" ht="15.75" customHeight="1">
      <c r="A58" s="16">
        <v>20601</v>
      </c>
      <c r="B58" s="63" t="s">
        <v>64</v>
      </c>
      <c r="C58" s="64">
        <v>70000</v>
      </c>
      <c r="D58" s="64">
        <v>23512</v>
      </c>
      <c r="E58" s="65">
        <f t="shared" si="0"/>
        <v>2.9772031303164344</v>
      </c>
      <c r="F58" s="64">
        <v>95000</v>
      </c>
      <c r="G58" s="64">
        <v>24059.583333333332</v>
      </c>
      <c r="H58" s="65">
        <f t="shared" si="1"/>
        <v>3.9485305578165319</v>
      </c>
      <c r="I58" s="64">
        <v>0</v>
      </c>
      <c r="J58" s="64">
        <v>24607.166666666668</v>
      </c>
      <c r="K58" s="65">
        <f t="shared" si="2"/>
        <v>0</v>
      </c>
      <c r="L58" s="66">
        <f t="shared" si="3"/>
        <v>2.3085778960443224</v>
      </c>
      <c r="M58" s="67">
        <f t="shared" si="25"/>
        <v>55000</v>
      </c>
      <c r="N58" s="64">
        <v>455400</v>
      </c>
      <c r="O58" s="64">
        <v>28987.833333333336</v>
      </c>
      <c r="P58" s="68">
        <f t="shared" si="4"/>
        <v>15.710039269348634</v>
      </c>
      <c r="Q58" s="69">
        <v>500000</v>
      </c>
      <c r="R58" s="64">
        <v>29535.416666666668</v>
      </c>
      <c r="S58" s="68">
        <f t="shared" si="5"/>
        <v>16.928828384002255</v>
      </c>
      <c r="T58" s="64">
        <v>540245</v>
      </c>
      <c r="U58" s="64">
        <v>30083</v>
      </c>
      <c r="V58" s="68">
        <f t="shared" si="6"/>
        <v>17.958481534421434</v>
      </c>
      <c r="W58" s="70">
        <f t="shared" si="7"/>
        <v>16.865783062590776</v>
      </c>
      <c r="X58" s="71">
        <f t="shared" si="8"/>
        <v>498548.33333333331</v>
      </c>
      <c r="AD58" s="52"/>
      <c r="AG58" s="52"/>
      <c r="AJ58" s="52"/>
      <c r="AK58" s="52"/>
      <c r="AL58" s="55"/>
      <c r="AO58" s="52"/>
      <c r="AR58" s="52"/>
      <c r="AU58" s="52"/>
      <c r="AV58" s="52"/>
      <c r="AW58" s="55"/>
    </row>
    <row r="59" spans="1:49" ht="15.75" customHeight="1">
      <c r="A59" s="16">
        <v>20602</v>
      </c>
      <c r="B59" s="63" t="s">
        <v>65</v>
      </c>
      <c r="C59" s="64">
        <v>100000</v>
      </c>
      <c r="D59" s="64">
        <v>14788</v>
      </c>
      <c r="E59" s="65">
        <f t="shared" si="0"/>
        <v>6.7622396537733298</v>
      </c>
      <c r="F59" s="64">
        <v>100000</v>
      </c>
      <c r="G59" s="64">
        <v>14921.166666666666</v>
      </c>
      <c r="H59" s="65">
        <f t="shared" si="1"/>
        <v>6.7018888156645486</v>
      </c>
      <c r="I59" s="64">
        <v>0</v>
      </c>
      <c r="J59" s="64">
        <v>15054.333333333334</v>
      </c>
      <c r="K59" s="65">
        <f t="shared" si="2"/>
        <v>0</v>
      </c>
      <c r="L59" s="66">
        <f t="shared" si="3"/>
        <v>4.4880428231459595</v>
      </c>
      <c r="M59" s="67">
        <f t="shared" si="25"/>
        <v>66666.666666666672</v>
      </c>
      <c r="N59" s="64">
        <v>150000</v>
      </c>
      <c r="O59" s="64">
        <v>16119.666666666666</v>
      </c>
      <c r="P59" s="68">
        <f t="shared" si="4"/>
        <v>9.3054033375379976</v>
      </c>
      <c r="Q59" s="69">
        <v>150000</v>
      </c>
      <c r="R59" s="64">
        <v>16252.833333333334</v>
      </c>
      <c r="S59" s="68">
        <f t="shared" si="5"/>
        <v>9.2291600438897827</v>
      </c>
      <c r="T59" s="64">
        <v>130000</v>
      </c>
      <c r="U59" s="64">
        <v>16386</v>
      </c>
      <c r="V59" s="68">
        <f t="shared" si="6"/>
        <v>7.93360185524228</v>
      </c>
      <c r="W59" s="70">
        <f t="shared" si="7"/>
        <v>8.8227217455566862</v>
      </c>
      <c r="X59" s="71">
        <f t="shared" si="8"/>
        <v>143333.33333333334</v>
      </c>
      <c r="AD59" s="52"/>
      <c r="AG59" s="52"/>
      <c r="AJ59" s="52"/>
      <c r="AK59" s="52"/>
      <c r="AL59" s="55"/>
      <c r="AO59" s="52"/>
      <c r="AR59" s="52"/>
      <c r="AU59" s="52"/>
      <c r="AV59" s="52"/>
      <c r="AW59" s="55"/>
    </row>
    <row r="60" spans="1:49" ht="15.75" customHeight="1">
      <c r="A60" s="16">
        <v>20603</v>
      </c>
      <c r="B60" s="63" t="s">
        <v>66</v>
      </c>
      <c r="C60" s="64">
        <v>0</v>
      </c>
      <c r="D60" s="64">
        <v>8182</v>
      </c>
      <c r="E60" s="65">
        <f t="shared" si="0"/>
        <v>0</v>
      </c>
      <c r="F60" s="64">
        <v>0</v>
      </c>
      <c r="G60" s="64">
        <v>8313.5833333333339</v>
      </c>
      <c r="H60" s="65">
        <f t="shared" si="1"/>
        <v>0</v>
      </c>
      <c r="I60" s="64">
        <v>0</v>
      </c>
      <c r="J60" s="64">
        <v>8445.1666666666661</v>
      </c>
      <c r="K60" s="65">
        <f t="shared" si="2"/>
        <v>0</v>
      </c>
      <c r="L60" s="66">
        <f t="shared" si="3"/>
        <v>0</v>
      </c>
      <c r="M60" s="67">
        <f t="shared" si="25"/>
        <v>0</v>
      </c>
      <c r="N60" s="64">
        <v>0</v>
      </c>
      <c r="O60" s="64">
        <v>9497.8333333333339</v>
      </c>
      <c r="P60" s="68">
        <f t="shared" si="4"/>
        <v>0</v>
      </c>
      <c r="Q60" s="69">
        <v>0</v>
      </c>
      <c r="R60" s="64">
        <v>9629.4166666666661</v>
      </c>
      <c r="S60" s="68">
        <f t="shared" si="5"/>
        <v>0</v>
      </c>
      <c r="T60" s="64">
        <v>0</v>
      </c>
      <c r="U60" s="64">
        <v>9761</v>
      </c>
      <c r="V60" s="68">
        <f t="shared" si="6"/>
        <v>0</v>
      </c>
      <c r="W60" s="70">
        <f t="shared" si="7"/>
        <v>0</v>
      </c>
      <c r="X60" s="71">
        <f t="shared" si="8"/>
        <v>0</v>
      </c>
      <c r="AD60" s="52"/>
      <c r="AG60" s="52"/>
      <c r="AJ60" s="52"/>
      <c r="AK60" s="52"/>
      <c r="AL60" s="55"/>
      <c r="AO60" s="52"/>
      <c r="AR60" s="52"/>
      <c r="AU60" s="52"/>
      <c r="AV60" s="52"/>
      <c r="AW60" s="55"/>
    </row>
    <row r="61" spans="1:49" ht="15.75" customHeight="1">
      <c r="A61" s="16">
        <v>20604</v>
      </c>
      <c r="B61" s="63" t="s">
        <v>67</v>
      </c>
      <c r="C61" s="64">
        <v>0</v>
      </c>
      <c r="D61" s="64">
        <v>2684</v>
      </c>
      <c r="E61" s="65">
        <f t="shared" si="0"/>
        <v>0</v>
      </c>
      <c r="F61" s="64">
        <v>20000</v>
      </c>
      <c r="G61" s="64">
        <v>2812.3333333333335</v>
      </c>
      <c r="H61" s="65">
        <f t="shared" si="1"/>
        <v>7.1115325352613485</v>
      </c>
      <c r="I61" s="64">
        <v>0</v>
      </c>
      <c r="J61" s="64">
        <v>2940.6666666666665</v>
      </c>
      <c r="K61" s="65">
        <f t="shared" si="2"/>
        <v>0</v>
      </c>
      <c r="L61" s="66">
        <f t="shared" si="3"/>
        <v>2.3705108450871162</v>
      </c>
      <c r="M61" s="67">
        <f t="shared" si="25"/>
        <v>6666.666666666667</v>
      </c>
      <c r="N61" s="64">
        <v>5000</v>
      </c>
      <c r="O61" s="64">
        <v>3967.3333333333335</v>
      </c>
      <c r="P61" s="68">
        <f t="shared" si="4"/>
        <v>1.2602923878339773</v>
      </c>
      <c r="Q61" s="69">
        <v>8000</v>
      </c>
      <c r="R61" s="64">
        <v>4095.666666666667</v>
      </c>
      <c r="S61" s="68">
        <f t="shared" si="5"/>
        <v>1.9532839586554893</v>
      </c>
      <c r="T61" s="64">
        <v>76057</v>
      </c>
      <c r="U61" s="64">
        <v>4224</v>
      </c>
      <c r="V61" s="68">
        <f t="shared" si="6"/>
        <v>18.005918560606062</v>
      </c>
      <c r="W61" s="70">
        <f t="shared" si="7"/>
        <v>7.0731649690318434</v>
      </c>
      <c r="X61" s="71">
        <f t="shared" si="8"/>
        <v>29685.666666666668</v>
      </c>
      <c r="AD61" s="52"/>
      <c r="AG61" s="52"/>
      <c r="AJ61" s="52"/>
      <c r="AK61" s="52"/>
      <c r="AL61" s="55"/>
      <c r="AO61" s="52"/>
      <c r="AR61" s="52"/>
      <c r="AU61" s="52"/>
      <c r="AV61" s="52"/>
      <c r="AW61" s="55"/>
    </row>
    <row r="62" spans="1:49" ht="15.75" customHeight="1">
      <c r="A62" s="16">
        <v>20605</v>
      </c>
      <c r="B62" s="63" t="s">
        <v>68</v>
      </c>
      <c r="C62" s="64">
        <v>0</v>
      </c>
      <c r="D62" s="64">
        <v>3731</v>
      </c>
      <c r="E62" s="65">
        <f t="shared" si="0"/>
        <v>0</v>
      </c>
      <c r="F62" s="64">
        <v>0</v>
      </c>
      <c r="G62" s="64">
        <v>3714.1666666666665</v>
      </c>
      <c r="H62" s="65">
        <f t="shared" si="1"/>
        <v>0</v>
      </c>
      <c r="I62" s="64">
        <v>0</v>
      </c>
      <c r="J62" s="64">
        <v>3697.3333333333335</v>
      </c>
      <c r="K62" s="65">
        <f t="shared" si="2"/>
        <v>0</v>
      </c>
      <c r="L62" s="66">
        <f t="shared" si="3"/>
        <v>0</v>
      </c>
      <c r="M62" s="67">
        <f t="shared" si="25"/>
        <v>0</v>
      </c>
      <c r="N62" s="64">
        <v>2000</v>
      </c>
      <c r="O62" s="64">
        <v>3562.6666666666665</v>
      </c>
      <c r="P62" s="68">
        <f t="shared" si="4"/>
        <v>0.56137724550898205</v>
      </c>
      <c r="Q62" s="69">
        <v>2000</v>
      </c>
      <c r="R62" s="64">
        <v>3545.8333333333335</v>
      </c>
      <c r="S62" s="68">
        <f t="shared" si="5"/>
        <v>0.56404230317273796</v>
      </c>
      <c r="T62" s="64">
        <v>2000</v>
      </c>
      <c r="U62" s="64">
        <v>3529</v>
      </c>
      <c r="V62" s="68">
        <f t="shared" si="6"/>
        <v>0.56673278549164074</v>
      </c>
      <c r="W62" s="70">
        <f t="shared" si="7"/>
        <v>0.56405077805778692</v>
      </c>
      <c r="X62" s="71">
        <f t="shared" si="8"/>
        <v>2000</v>
      </c>
      <c r="AD62" s="52"/>
      <c r="AG62" s="52"/>
      <c r="AJ62" s="52"/>
      <c r="AK62" s="52"/>
      <c r="AL62" s="55"/>
      <c r="AO62" s="52"/>
      <c r="AR62" s="52"/>
      <c r="AU62" s="52"/>
      <c r="AV62" s="52"/>
      <c r="AW62" s="55"/>
    </row>
    <row r="63" spans="1:49" ht="15.75" customHeight="1">
      <c r="A63" s="16">
        <v>20606</v>
      </c>
      <c r="B63" s="63" t="s">
        <v>69</v>
      </c>
      <c r="C63" s="64">
        <v>40000</v>
      </c>
      <c r="D63" s="64">
        <v>9985</v>
      </c>
      <c r="E63" s="65">
        <f t="shared" si="0"/>
        <v>4.0060090135202806</v>
      </c>
      <c r="F63" s="64">
        <v>50000</v>
      </c>
      <c r="G63" s="64">
        <v>9795.9166666666661</v>
      </c>
      <c r="H63" s="65">
        <f t="shared" si="1"/>
        <v>5.1041675528068673</v>
      </c>
      <c r="I63" s="64">
        <v>0</v>
      </c>
      <c r="J63" s="64">
        <v>9606.8333333333339</v>
      </c>
      <c r="K63" s="65">
        <f t="shared" si="2"/>
        <v>0</v>
      </c>
      <c r="L63" s="66">
        <f t="shared" si="3"/>
        <v>3.0367255221090494</v>
      </c>
      <c r="M63" s="67">
        <f t="shared" si="25"/>
        <v>30000</v>
      </c>
      <c r="N63" s="64">
        <v>309523</v>
      </c>
      <c r="O63" s="64">
        <v>8094.1666666666661</v>
      </c>
      <c r="P63" s="68">
        <f t="shared" si="4"/>
        <v>38.240255327911051</v>
      </c>
      <c r="Q63" s="69">
        <v>301424</v>
      </c>
      <c r="R63" s="64">
        <v>7905.083333333333</v>
      </c>
      <c r="S63" s="68">
        <f t="shared" si="5"/>
        <v>38.130401324042545</v>
      </c>
      <c r="T63" s="64">
        <v>531826</v>
      </c>
      <c r="U63" s="64">
        <v>7716</v>
      </c>
      <c r="V63" s="68">
        <f t="shared" si="6"/>
        <v>68.925090720580613</v>
      </c>
      <c r="W63" s="70">
        <f t="shared" si="7"/>
        <v>48.431915790844734</v>
      </c>
      <c r="X63" s="71">
        <f t="shared" si="8"/>
        <v>380924.33333333331</v>
      </c>
      <c r="AD63" s="52"/>
      <c r="AG63" s="52"/>
      <c r="AJ63" s="52"/>
      <c r="AK63" s="52"/>
      <c r="AL63" s="55"/>
      <c r="AO63" s="52"/>
      <c r="AR63" s="52"/>
      <c r="AU63" s="52"/>
      <c r="AV63" s="52"/>
      <c r="AW63" s="55"/>
    </row>
    <row r="64" spans="1:49" ht="15.75" customHeight="1">
      <c r="A64" s="16">
        <v>20607</v>
      </c>
      <c r="B64" s="63" t="s">
        <v>70</v>
      </c>
      <c r="C64" s="64">
        <v>40000</v>
      </c>
      <c r="D64" s="64">
        <v>13891</v>
      </c>
      <c r="E64" s="65">
        <f t="shared" si="0"/>
        <v>2.8795623065294076</v>
      </c>
      <c r="F64" s="64">
        <v>50000</v>
      </c>
      <c r="G64" s="64">
        <v>14553.666666666666</v>
      </c>
      <c r="H64" s="65">
        <f t="shared" si="1"/>
        <v>3.4355603398914365</v>
      </c>
      <c r="I64" s="64">
        <v>0</v>
      </c>
      <c r="J64" s="64">
        <v>15216.333333333334</v>
      </c>
      <c r="K64" s="65">
        <f t="shared" si="2"/>
        <v>0</v>
      </c>
      <c r="L64" s="66">
        <f t="shared" si="3"/>
        <v>2.1050408821402815</v>
      </c>
      <c r="M64" s="67">
        <f t="shared" si="25"/>
        <v>30000</v>
      </c>
      <c r="N64" s="64">
        <v>550000</v>
      </c>
      <c r="O64" s="64">
        <v>20517.666666666664</v>
      </c>
      <c r="P64" s="68">
        <f t="shared" si="4"/>
        <v>26.806167043036087</v>
      </c>
      <c r="Q64" s="69">
        <v>872000</v>
      </c>
      <c r="R64" s="64">
        <v>21180.333333333332</v>
      </c>
      <c r="S64" s="68">
        <f t="shared" si="5"/>
        <v>41.17026801592673</v>
      </c>
      <c r="T64" s="64">
        <v>674800</v>
      </c>
      <c r="U64" s="64">
        <v>21843</v>
      </c>
      <c r="V64" s="68">
        <f t="shared" si="6"/>
        <v>30.8931923270613</v>
      </c>
      <c r="W64" s="70">
        <f t="shared" si="7"/>
        <v>32.956542462008038</v>
      </c>
      <c r="X64" s="71">
        <f t="shared" si="8"/>
        <v>698933.33333333337</v>
      </c>
      <c r="AD64" s="52"/>
      <c r="AG64" s="52"/>
      <c r="AJ64" s="52"/>
      <c r="AK64" s="52"/>
      <c r="AL64" s="55"/>
      <c r="AO64" s="52"/>
      <c r="AR64" s="52"/>
      <c r="AU64" s="52"/>
      <c r="AV64" s="52"/>
      <c r="AW64" s="55"/>
    </row>
    <row r="65" spans="1:49" ht="15.75" customHeight="1">
      <c r="A65" s="16">
        <v>20608</v>
      </c>
      <c r="B65" s="63" t="s">
        <v>71</v>
      </c>
      <c r="C65" s="64">
        <v>25800</v>
      </c>
      <c r="D65" s="64">
        <v>9349</v>
      </c>
      <c r="E65" s="65">
        <f t="shared" si="0"/>
        <v>2.7596534388704672</v>
      </c>
      <c r="F65" s="64">
        <v>40000</v>
      </c>
      <c r="G65" s="64">
        <v>9684.8333333333339</v>
      </c>
      <c r="H65" s="65">
        <f t="shared" si="1"/>
        <v>4.1301691648453769</v>
      </c>
      <c r="I65" s="64">
        <v>0</v>
      </c>
      <c r="J65" s="64">
        <v>10020.666666666666</v>
      </c>
      <c r="K65" s="65">
        <f t="shared" si="2"/>
        <v>0</v>
      </c>
      <c r="L65" s="66">
        <f t="shared" si="3"/>
        <v>2.2966075345719479</v>
      </c>
      <c r="M65" s="67">
        <f t="shared" si="25"/>
        <v>21933.333333333332</v>
      </c>
      <c r="N65" s="64">
        <v>50000</v>
      </c>
      <c r="O65" s="64">
        <v>12707.333333333332</v>
      </c>
      <c r="P65" s="68">
        <f t="shared" si="4"/>
        <v>3.9347358480667336</v>
      </c>
      <c r="Q65" s="69">
        <v>50000</v>
      </c>
      <c r="R65" s="64">
        <v>13043.166666666666</v>
      </c>
      <c r="S65" s="68">
        <f t="shared" si="5"/>
        <v>3.8334249095950628</v>
      </c>
      <c r="T65" s="64">
        <v>50000</v>
      </c>
      <c r="U65" s="64">
        <v>13379</v>
      </c>
      <c r="V65" s="68">
        <f t="shared" si="6"/>
        <v>3.7372000896928022</v>
      </c>
      <c r="W65" s="70">
        <f t="shared" si="7"/>
        <v>3.8351202824515327</v>
      </c>
      <c r="X65" s="71">
        <f t="shared" si="8"/>
        <v>50000</v>
      </c>
      <c r="AD65" s="52"/>
      <c r="AG65" s="52"/>
      <c r="AJ65" s="52"/>
      <c r="AK65" s="52"/>
      <c r="AL65" s="55"/>
      <c r="AO65" s="52"/>
      <c r="AR65" s="52"/>
      <c r="AU65" s="52"/>
      <c r="AV65" s="52"/>
      <c r="AW65" s="55"/>
    </row>
    <row r="66" spans="1:49" ht="15.75" customHeight="1">
      <c r="A66" s="16">
        <v>20701</v>
      </c>
      <c r="B66" s="63" t="s">
        <v>72</v>
      </c>
      <c r="C66" s="64">
        <v>50000</v>
      </c>
      <c r="D66" s="64">
        <v>20308</v>
      </c>
      <c r="E66" s="65">
        <f t="shared" si="0"/>
        <v>2.4620839078195784</v>
      </c>
      <c r="F66" s="64">
        <v>48000</v>
      </c>
      <c r="G66" s="64">
        <v>20212</v>
      </c>
      <c r="H66" s="65">
        <f t="shared" si="1"/>
        <v>2.3748268355432418</v>
      </c>
      <c r="I66" s="64">
        <v>0</v>
      </c>
      <c r="J66" s="64">
        <v>20116</v>
      </c>
      <c r="K66" s="65">
        <f t="shared" si="2"/>
        <v>0</v>
      </c>
      <c r="L66" s="66">
        <f t="shared" si="3"/>
        <v>1.6123035811209399</v>
      </c>
      <c r="M66" s="67">
        <f t="shared" si="25"/>
        <v>32666.666666666668</v>
      </c>
      <c r="N66" s="64">
        <v>280000</v>
      </c>
      <c r="O66" s="64">
        <v>19348</v>
      </c>
      <c r="P66" s="68">
        <f t="shared" si="4"/>
        <v>14.471780028943559</v>
      </c>
      <c r="Q66" s="69">
        <v>630000</v>
      </c>
      <c r="R66" s="64">
        <v>19252</v>
      </c>
      <c r="S66" s="68">
        <f t="shared" si="5"/>
        <v>32.723872844379805</v>
      </c>
      <c r="T66" s="64">
        <v>665000</v>
      </c>
      <c r="U66" s="64">
        <v>19156</v>
      </c>
      <c r="V66" s="68">
        <f t="shared" si="6"/>
        <v>34.714971810398829</v>
      </c>
      <c r="W66" s="70">
        <f t="shared" si="7"/>
        <v>27.303541561240735</v>
      </c>
      <c r="X66" s="71">
        <f t="shared" si="8"/>
        <v>525000</v>
      </c>
      <c r="AD66" s="52"/>
      <c r="AG66" s="52"/>
      <c r="AJ66" s="52"/>
      <c r="AK66" s="52"/>
      <c r="AL66" s="55"/>
      <c r="AO66" s="52"/>
      <c r="AR66" s="52"/>
      <c r="AU66" s="52"/>
      <c r="AV66" s="52"/>
      <c r="AW66" s="55"/>
    </row>
    <row r="67" spans="1:49" ht="15.75" customHeight="1">
      <c r="A67" s="16">
        <v>20702</v>
      </c>
      <c r="B67" s="63" t="s">
        <v>73</v>
      </c>
      <c r="C67" s="64">
        <v>0</v>
      </c>
      <c r="D67" s="64">
        <v>6780</v>
      </c>
      <c r="E67" s="65">
        <f t="shared" si="0"/>
        <v>0</v>
      </c>
      <c r="F67" s="64">
        <v>0</v>
      </c>
      <c r="G67" s="64">
        <v>6970</v>
      </c>
      <c r="H67" s="65">
        <f t="shared" si="1"/>
        <v>0</v>
      </c>
      <c r="I67" s="64">
        <v>0</v>
      </c>
      <c r="J67" s="64">
        <v>7160</v>
      </c>
      <c r="K67" s="65">
        <f t="shared" si="2"/>
        <v>0</v>
      </c>
      <c r="L67" s="66">
        <f t="shared" si="3"/>
        <v>0</v>
      </c>
      <c r="M67" s="67">
        <f t="shared" si="25"/>
        <v>0</v>
      </c>
      <c r="N67" s="64">
        <v>0</v>
      </c>
      <c r="O67" s="64">
        <v>8680</v>
      </c>
      <c r="P67" s="68">
        <f t="shared" si="4"/>
        <v>0</v>
      </c>
      <c r="Q67" s="69">
        <v>0</v>
      </c>
      <c r="R67" s="64">
        <v>8870</v>
      </c>
      <c r="S67" s="68">
        <f t="shared" si="5"/>
        <v>0</v>
      </c>
      <c r="T67" s="64">
        <v>0</v>
      </c>
      <c r="U67" s="64">
        <v>9060</v>
      </c>
      <c r="V67" s="68">
        <f t="shared" si="6"/>
        <v>0</v>
      </c>
      <c r="W67" s="70">
        <f t="shared" si="7"/>
        <v>0</v>
      </c>
      <c r="X67" s="71">
        <f t="shared" si="8"/>
        <v>0</v>
      </c>
      <c r="AD67" s="52"/>
      <c r="AG67" s="52"/>
      <c r="AJ67" s="52"/>
      <c r="AK67" s="52"/>
      <c r="AL67" s="55"/>
      <c r="AO67" s="52"/>
      <c r="AR67" s="52"/>
      <c r="AU67" s="52"/>
      <c r="AV67" s="52"/>
      <c r="AW67" s="55"/>
    </row>
    <row r="68" spans="1:49" ht="15.75" customHeight="1">
      <c r="A68" s="16">
        <v>20801</v>
      </c>
      <c r="B68" s="63" t="s">
        <v>74</v>
      </c>
      <c r="C68" s="64">
        <v>2188526</v>
      </c>
      <c r="D68" s="64">
        <v>80724</v>
      </c>
      <c r="E68" s="65">
        <f t="shared" si="0"/>
        <v>27.111218472820969</v>
      </c>
      <c r="F68" s="64">
        <v>2499000</v>
      </c>
      <c r="G68" s="64">
        <v>83459.833333333328</v>
      </c>
      <c r="H68" s="65">
        <f t="shared" si="1"/>
        <v>29.942547213330165</v>
      </c>
      <c r="I68" s="64">
        <v>0</v>
      </c>
      <c r="J68" s="64">
        <v>86195.666666666672</v>
      </c>
      <c r="K68" s="65">
        <f t="shared" si="2"/>
        <v>0</v>
      </c>
      <c r="L68" s="66">
        <f t="shared" si="3"/>
        <v>19.017921895383711</v>
      </c>
      <c r="M68" s="67">
        <f t="shared" si="25"/>
        <v>1562508.6666666667</v>
      </c>
      <c r="N68" s="64">
        <v>2560000</v>
      </c>
      <c r="O68" s="64">
        <v>108082.33333333334</v>
      </c>
      <c r="P68" s="68">
        <f t="shared" si="4"/>
        <v>23.685647053018222</v>
      </c>
      <c r="Q68" s="69">
        <v>3072015</v>
      </c>
      <c r="R68" s="64">
        <v>110818.16666666667</v>
      </c>
      <c r="S68" s="68">
        <f t="shared" si="5"/>
        <v>27.721222001807764</v>
      </c>
      <c r="T68" s="64">
        <v>5030438</v>
      </c>
      <c r="U68" s="64">
        <v>113554</v>
      </c>
      <c r="V68" s="68">
        <f t="shared" si="6"/>
        <v>44.299963013191963</v>
      </c>
      <c r="W68" s="70">
        <f t="shared" si="7"/>
        <v>31.902277356005982</v>
      </c>
      <c r="X68" s="71">
        <f t="shared" si="8"/>
        <v>3554151</v>
      </c>
      <c r="AD68" s="52"/>
      <c r="AG68" s="52"/>
      <c r="AJ68" s="52"/>
      <c r="AK68" s="52"/>
      <c r="AL68" s="55"/>
      <c r="AO68" s="52"/>
      <c r="AR68" s="52"/>
      <c r="AU68" s="52"/>
      <c r="AV68" s="52"/>
      <c r="AW68" s="55"/>
    </row>
    <row r="69" spans="1:49" ht="15.75" customHeight="1">
      <c r="A69" s="16">
        <v>20802</v>
      </c>
      <c r="B69" s="63" t="s">
        <v>75</v>
      </c>
      <c r="C69" s="64">
        <v>40000</v>
      </c>
      <c r="D69" s="64">
        <v>7278</v>
      </c>
      <c r="E69" s="65">
        <f t="shared" si="0"/>
        <v>5.4960153888430892</v>
      </c>
      <c r="F69" s="64">
        <v>50000</v>
      </c>
      <c r="G69" s="64">
        <v>7387.5</v>
      </c>
      <c r="H69" s="65">
        <f t="shared" si="1"/>
        <v>6.7681895093062607</v>
      </c>
      <c r="I69" s="64">
        <v>0</v>
      </c>
      <c r="J69" s="64">
        <v>7497</v>
      </c>
      <c r="K69" s="65">
        <f t="shared" si="2"/>
        <v>0</v>
      </c>
      <c r="L69" s="66">
        <f t="shared" si="3"/>
        <v>4.0880682993831163</v>
      </c>
      <c r="M69" s="67">
        <f t="shared" si="25"/>
        <v>30000</v>
      </c>
      <c r="N69" s="64">
        <v>55000</v>
      </c>
      <c r="O69" s="64">
        <v>8373</v>
      </c>
      <c r="P69" s="68">
        <f t="shared" si="4"/>
        <v>6.5687328317210083</v>
      </c>
      <c r="Q69" s="69">
        <v>55000</v>
      </c>
      <c r="R69" s="64">
        <v>8482.5</v>
      </c>
      <c r="S69" s="68">
        <f t="shared" si="5"/>
        <v>6.4839375184202774</v>
      </c>
      <c r="T69" s="64">
        <v>56688</v>
      </c>
      <c r="U69" s="64">
        <v>8592</v>
      </c>
      <c r="V69" s="68">
        <f t="shared" si="6"/>
        <v>6.5977653631284916</v>
      </c>
      <c r="W69" s="70">
        <f t="shared" si="7"/>
        <v>6.5501452377565927</v>
      </c>
      <c r="X69" s="71">
        <f t="shared" si="8"/>
        <v>55562.666666666664</v>
      </c>
      <c r="AD69" s="52"/>
      <c r="AG69" s="52"/>
      <c r="AJ69" s="52"/>
      <c r="AK69" s="52"/>
      <c r="AL69" s="55"/>
      <c r="AO69" s="52"/>
      <c r="AR69" s="52"/>
      <c r="AU69" s="52"/>
      <c r="AV69" s="52"/>
      <c r="AW69" s="55"/>
    </row>
    <row r="70" spans="1:49" ht="15.75" customHeight="1">
      <c r="A70" s="16">
        <v>20803</v>
      </c>
      <c r="B70" s="63" t="s">
        <v>76</v>
      </c>
      <c r="C70" s="64">
        <v>226280</v>
      </c>
      <c r="D70" s="64">
        <v>12189</v>
      </c>
      <c r="E70" s="65">
        <f t="shared" si="0"/>
        <v>18.564279268192632</v>
      </c>
      <c r="F70" s="64">
        <v>100000</v>
      </c>
      <c r="G70" s="64">
        <v>12310.583333333334</v>
      </c>
      <c r="H70" s="65">
        <f t="shared" si="1"/>
        <v>8.1230919195543123</v>
      </c>
      <c r="I70" s="64">
        <v>337336</v>
      </c>
      <c r="J70" s="64">
        <v>12432.166666666666</v>
      </c>
      <c r="K70" s="65">
        <f t="shared" si="2"/>
        <v>27.134127867226148</v>
      </c>
      <c r="L70" s="66">
        <f t="shared" si="3"/>
        <v>17.940499684991028</v>
      </c>
      <c r="M70" s="67">
        <f t="shared" si="25"/>
        <v>221205.33333333334</v>
      </c>
      <c r="N70" s="64">
        <v>105000</v>
      </c>
      <c r="O70" s="64">
        <v>13404.833333333334</v>
      </c>
      <c r="P70" s="68">
        <f t="shared" si="4"/>
        <v>7.8329955613025151</v>
      </c>
      <c r="Q70" s="69">
        <v>175000</v>
      </c>
      <c r="R70" s="64">
        <v>13526.416666666666</v>
      </c>
      <c r="S70" s="68">
        <f t="shared" si="5"/>
        <v>12.937646703672444</v>
      </c>
      <c r="T70" s="64">
        <v>210000</v>
      </c>
      <c r="U70" s="64">
        <v>13648</v>
      </c>
      <c r="V70" s="68">
        <f t="shared" si="6"/>
        <v>15.386869871043377</v>
      </c>
      <c r="W70" s="70">
        <f t="shared" si="7"/>
        <v>12.052504045339447</v>
      </c>
      <c r="X70" s="71">
        <f t="shared" si="8"/>
        <v>163333.33333333334</v>
      </c>
      <c r="AD70" s="52"/>
      <c r="AG70" s="52"/>
      <c r="AJ70" s="52"/>
      <c r="AK70" s="52"/>
      <c r="AL70" s="55"/>
      <c r="AO70" s="52"/>
      <c r="AR70" s="52"/>
      <c r="AU70" s="52"/>
      <c r="AV70" s="52"/>
      <c r="AW70" s="55"/>
    </row>
    <row r="71" spans="1:49" ht="15.75" customHeight="1">
      <c r="A71" s="16">
        <v>20804</v>
      </c>
      <c r="B71" s="63" t="s">
        <v>77</v>
      </c>
      <c r="C71" s="64">
        <v>120000</v>
      </c>
      <c r="D71" s="64">
        <v>6987</v>
      </c>
      <c r="E71" s="65">
        <f t="shared" si="0"/>
        <v>17.174753112924002</v>
      </c>
      <c r="F71" s="64">
        <v>130000</v>
      </c>
      <c r="G71" s="64">
        <v>7062.833333333333</v>
      </c>
      <c r="H71" s="65">
        <f t="shared" si="1"/>
        <v>18.406210916298935</v>
      </c>
      <c r="I71" s="64">
        <v>0</v>
      </c>
      <c r="J71" s="64">
        <v>7138.666666666667</v>
      </c>
      <c r="K71" s="65">
        <f t="shared" si="2"/>
        <v>0</v>
      </c>
      <c r="L71" s="66">
        <f t="shared" si="3"/>
        <v>11.860321343074313</v>
      </c>
      <c r="M71" s="67">
        <f t="shared" si="25"/>
        <v>83333.333333333328</v>
      </c>
      <c r="N71" s="64">
        <v>310000</v>
      </c>
      <c r="O71" s="64">
        <v>7745.333333333333</v>
      </c>
      <c r="P71" s="68">
        <f t="shared" si="4"/>
        <v>40.024100533654675</v>
      </c>
      <c r="Q71" s="69">
        <v>268480</v>
      </c>
      <c r="R71" s="64">
        <v>7821.166666666667</v>
      </c>
      <c r="S71" s="68">
        <f t="shared" si="5"/>
        <v>34.327359515843753</v>
      </c>
      <c r="T71" s="64">
        <v>280000</v>
      </c>
      <c r="U71" s="64">
        <v>7897</v>
      </c>
      <c r="V71" s="68">
        <f t="shared" si="6"/>
        <v>35.45650246929214</v>
      </c>
      <c r="W71" s="70">
        <f t="shared" si="7"/>
        <v>36.602654172930187</v>
      </c>
      <c r="X71" s="71">
        <f t="shared" si="8"/>
        <v>286160</v>
      </c>
      <c r="AD71" s="52"/>
      <c r="AG71" s="52"/>
      <c r="AJ71" s="52"/>
      <c r="AK71" s="52"/>
      <c r="AL71" s="55"/>
      <c r="AO71" s="52"/>
      <c r="AR71" s="52"/>
      <c r="AU71" s="52"/>
      <c r="AV71" s="52"/>
      <c r="AW71" s="55"/>
    </row>
    <row r="72" spans="1:49" ht="15.75" customHeight="1">
      <c r="A72" s="16">
        <v>20805</v>
      </c>
      <c r="B72" s="63" t="s">
        <v>78</v>
      </c>
      <c r="C72" s="64">
        <v>0</v>
      </c>
      <c r="D72" s="64">
        <v>6145</v>
      </c>
      <c r="E72" s="65">
        <f t="shared" si="0"/>
        <v>0</v>
      </c>
      <c r="F72" s="64">
        <v>0</v>
      </c>
      <c r="G72" s="64">
        <v>6294.25</v>
      </c>
      <c r="H72" s="65">
        <f t="shared" si="1"/>
        <v>0</v>
      </c>
      <c r="I72" s="64">
        <v>0</v>
      </c>
      <c r="J72" s="64">
        <v>6443.5</v>
      </c>
      <c r="K72" s="65">
        <f t="shared" si="2"/>
        <v>0</v>
      </c>
      <c r="L72" s="66">
        <f t="shared" si="3"/>
        <v>0</v>
      </c>
      <c r="M72" s="67">
        <f t="shared" si="25"/>
        <v>0</v>
      </c>
      <c r="N72" s="64">
        <v>20000</v>
      </c>
      <c r="O72" s="64">
        <v>7637.5</v>
      </c>
      <c r="P72" s="68">
        <f t="shared" si="4"/>
        <v>2.6186579378068742</v>
      </c>
      <c r="Q72" s="69">
        <v>10000</v>
      </c>
      <c r="R72" s="64">
        <v>7786.75</v>
      </c>
      <c r="S72" s="68">
        <f t="shared" si="5"/>
        <v>1.284232831412335</v>
      </c>
      <c r="T72" s="64">
        <v>10000</v>
      </c>
      <c r="U72" s="64">
        <v>7936</v>
      </c>
      <c r="V72" s="68">
        <f t="shared" si="6"/>
        <v>1.2600806451612903</v>
      </c>
      <c r="W72" s="70">
        <f t="shared" si="7"/>
        <v>1.7209904714601665</v>
      </c>
      <c r="X72" s="71">
        <f t="shared" si="8"/>
        <v>13333.333333333334</v>
      </c>
      <c r="AD72" s="52"/>
      <c r="AG72" s="52"/>
      <c r="AJ72" s="52"/>
      <c r="AK72" s="52"/>
      <c r="AL72" s="55"/>
      <c r="AO72" s="52"/>
      <c r="AR72" s="52"/>
      <c r="AU72" s="52"/>
      <c r="AV72" s="52"/>
      <c r="AW72" s="55"/>
    </row>
    <row r="73" spans="1:49" ht="15.75" customHeight="1">
      <c r="A73" s="16">
        <v>20806</v>
      </c>
      <c r="B73" s="63" t="s">
        <v>79</v>
      </c>
      <c r="C73" s="64">
        <v>5000</v>
      </c>
      <c r="D73" s="64">
        <v>15039</v>
      </c>
      <c r="E73" s="65">
        <f t="shared" si="0"/>
        <v>0.33246891415652635</v>
      </c>
      <c r="F73" s="64">
        <v>5000</v>
      </c>
      <c r="G73" s="64">
        <v>15203.75</v>
      </c>
      <c r="H73" s="65">
        <f t="shared" si="1"/>
        <v>0.328866233659459</v>
      </c>
      <c r="I73" s="64">
        <v>0</v>
      </c>
      <c r="J73" s="64">
        <v>15368.5</v>
      </c>
      <c r="K73" s="65">
        <f t="shared" si="2"/>
        <v>0</v>
      </c>
      <c r="L73" s="66">
        <f t="shared" si="3"/>
        <v>0.22044504927199512</v>
      </c>
      <c r="M73" s="67">
        <f t="shared" si="25"/>
        <v>3333.3333333333335</v>
      </c>
      <c r="N73" s="64">
        <v>18000</v>
      </c>
      <c r="O73" s="64">
        <v>16686.5</v>
      </c>
      <c r="P73" s="68">
        <f t="shared" si="4"/>
        <v>1.0787163275701914</v>
      </c>
      <c r="Q73" s="69">
        <v>20000</v>
      </c>
      <c r="R73" s="64">
        <v>16851.25</v>
      </c>
      <c r="S73" s="68">
        <f t="shared" si="5"/>
        <v>1.1868555745122766</v>
      </c>
      <c r="T73" s="64">
        <v>30000</v>
      </c>
      <c r="U73" s="64">
        <v>17016</v>
      </c>
      <c r="V73" s="68">
        <f t="shared" si="6"/>
        <v>1.7630465444287728</v>
      </c>
      <c r="W73" s="70">
        <f t="shared" si="7"/>
        <v>1.3428728155037468</v>
      </c>
      <c r="X73" s="71">
        <f t="shared" si="8"/>
        <v>22666.666666666668</v>
      </c>
      <c r="AD73" s="52"/>
      <c r="AG73" s="52"/>
      <c r="AJ73" s="52"/>
      <c r="AK73" s="52"/>
      <c r="AL73" s="55"/>
      <c r="AO73" s="52"/>
      <c r="AR73" s="52"/>
      <c r="AU73" s="52"/>
      <c r="AV73" s="52"/>
      <c r="AW73" s="55"/>
    </row>
    <row r="74" spans="1:49" ht="15.75" customHeight="1">
      <c r="A74" s="16">
        <v>20807</v>
      </c>
      <c r="B74" s="63" t="s">
        <v>80</v>
      </c>
      <c r="C74" s="64">
        <v>0</v>
      </c>
      <c r="D74" s="64">
        <v>6603</v>
      </c>
      <c r="E74" s="65">
        <f t="shared" si="0"/>
        <v>0</v>
      </c>
      <c r="F74" s="64">
        <v>0</v>
      </c>
      <c r="G74" s="64">
        <v>6681.083333333333</v>
      </c>
      <c r="H74" s="65">
        <f t="shared" si="1"/>
        <v>0</v>
      </c>
      <c r="I74" s="64">
        <v>0</v>
      </c>
      <c r="J74" s="64">
        <v>6759.166666666667</v>
      </c>
      <c r="K74" s="65">
        <f t="shared" si="2"/>
        <v>0</v>
      </c>
      <c r="L74" s="66">
        <f t="shared" si="3"/>
        <v>0</v>
      </c>
      <c r="M74" s="67">
        <f t="shared" si="25"/>
        <v>0</v>
      </c>
      <c r="N74" s="64">
        <v>40968</v>
      </c>
      <c r="O74" s="64">
        <v>7383.833333333333</v>
      </c>
      <c r="P74" s="68">
        <f t="shared" si="4"/>
        <v>5.5483375843622333</v>
      </c>
      <c r="Q74" s="69">
        <v>60888</v>
      </c>
      <c r="R74" s="64">
        <v>7461.916666666667</v>
      </c>
      <c r="S74" s="68">
        <f t="shared" si="5"/>
        <v>8.1598338228560579</v>
      </c>
      <c r="T74" s="64">
        <v>76000</v>
      </c>
      <c r="U74" s="64">
        <v>7540</v>
      </c>
      <c r="V74" s="68">
        <f t="shared" si="6"/>
        <v>10.079575596816976</v>
      </c>
      <c r="W74" s="70">
        <f t="shared" si="7"/>
        <v>7.9292490013450889</v>
      </c>
      <c r="X74" s="71">
        <f t="shared" si="8"/>
        <v>59285.333333333336</v>
      </c>
      <c r="AD74" s="52"/>
      <c r="AG74" s="52"/>
      <c r="AJ74" s="52"/>
      <c r="AK74" s="52"/>
      <c r="AL74" s="55"/>
      <c r="AO74" s="52"/>
      <c r="AR74" s="52"/>
      <c r="AU74" s="52"/>
      <c r="AV74" s="52"/>
      <c r="AW74" s="55"/>
    </row>
    <row r="75" spans="1:49" ht="15.75" customHeight="1">
      <c r="A75" s="16">
        <v>20901</v>
      </c>
      <c r="B75" s="63" t="s">
        <v>81</v>
      </c>
      <c r="C75" s="64">
        <v>120000</v>
      </c>
      <c r="D75" s="64">
        <v>11139</v>
      </c>
      <c r="E75" s="65">
        <f t="shared" si="0"/>
        <v>10.772959870724481</v>
      </c>
      <c r="F75" s="64">
        <v>20000</v>
      </c>
      <c r="G75" s="64">
        <v>11102.666666666666</v>
      </c>
      <c r="H75" s="65">
        <f t="shared" si="1"/>
        <v>1.8013690404707579</v>
      </c>
      <c r="I75" s="64">
        <v>480000</v>
      </c>
      <c r="J75" s="64">
        <v>11066.333333333334</v>
      </c>
      <c r="K75" s="65">
        <f t="shared" si="2"/>
        <v>43.374800445796559</v>
      </c>
      <c r="L75" s="66">
        <f t="shared" si="3"/>
        <v>18.649709785663934</v>
      </c>
      <c r="M75" s="67">
        <f t="shared" si="25"/>
        <v>206666.66666666666</v>
      </c>
      <c r="N75" s="64">
        <v>40000</v>
      </c>
      <c r="O75" s="64">
        <v>10775.666666666666</v>
      </c>
      <c r="P75" s="68">
        <f t="shared" si="4"/>
        <v>3.7120673121539274</v>
      </c>
      <c r="Q75" s="69">
        <v>20000</v>
      </c>
      <c r="R75" s="64">
        <v>10739.333333333334</v>
      </c>
      <c r="S75" s="68">
        <f t="shared" si="5"/>
        <v>1.8623129927369793</v>
      </c>
      <c r="T75" s="64">
        <v>20000</v>
      </c>
      <c r="U75" s="64">
        <v>10703</v>
      </c>
      <c r="V75" s="68">
        <f t="shared" si="6"/>
        <v>1.8686349621601419</v>
      </c>
      <c r="W75" s="70">
        <f t="shared" si="7"/>
        <v>2.4810050890170161</v>
      </c>
      <c r="X75" s="71">
        <f t="shared" si="8"/>
        <v>26666.666666666668</v>
      </c>
      <c r="AD75" s="52"/>
      <c r="AG75" s="52"/>
      <c r="AJ75" s="52"/>
      <c r="AK75" s="52"/>
      <c r="AL75" s="55"/>
      <c r="AO75" s="52"/>
      <c r="AR75" s="52"/>
      <c r="AU75" s="52"/>
      <c r="AV75" s="52"/>
      <c r="AW75" s="55"/>
    </row>
    <row r="76" spans="1:49" ht="15.75" customHeight="1">
      <c r="A76" s="16">
        <v>20902</v>
      </c>
      <c r="B76" s="63" t="s">
        <v>82</v>
      </c>
      <c r="C76" s="64">
        <v>14067</v>
      </c>
      <c r="D76" s="64">
        <v>12484</v>
      </c>
      <c r="E76" s="65">
        <f t="shared" si="0"/>
        <v>1.1268023069528996</v>
      </c>
      <c r="F76" s="64">
        <v>53067</v>
      </c>
      <c r="G76" s="64">
        <v>12818.416666666666</v>
      </c>
      <c r="H76" s="65">
        <f t="shared" si="1"/>
        <v>4.1399028741199189</v>
      </c>
      <c r="I76" s="64">
        <v>0</v>
      </c>
      <c r="J76" s="64">
        <v>13152.833333333334</v>
      </c>
      <c r="K76" s="65">
        <f t="shared" si="2"/>
        <v>0</v>
      </c>
      <c r="L76" s="66">
        <f t="shared" si="3"/>
        <v>1.7555683936909396</v>
      </c>
      <c r="M76" s="67">
        <f t="shared" si="25"/>
        <v>22378</v>
      </c>
      <c r="N76" s="64">
        <v>0</v>
      </c>
      <c r="O76" s="64">
        <v>15828.166666666668</v>
      </c>
      <c r="P76" s="68">
        <f t="shared" si="4"/>
        <v>0</v>
      </c>
      <c r="Q76" s="69">
        <v>10000</v>
      </c>
      <c r="R76" s="64">
        <v>16162.583333333334</v>
      </c>
      <c r="S76" s="68">
        <f t="shared" si="5"/>
        <v>0.61871297389546842</v>
      </c>
      <c r="T76" s="64">
        <v>30000</v>
      </c>
      <c r="U76" s="64">
        <v>16497</v>
      </c>
      <c r="V76" s="68">
        <f t="shared" si="6"/>
        <v>1.8185124568103292</v>
      </c>
      <c r="W76" s="70">
        <f t="shared" si="7"/>
        <v>0.81240847690193263</v>
      </c>
      <c r="X76" s="71">
        <f t="shared" si="8"/>
        <v>13333.333333333334</v>
      </c>
      <c r="AD76" s="52"/>
      <c r="AG76" s="52"/>
      <c r="AJ76" s="52"/>
      <c r="AK76" s="52"/>
      <c r="AL76" s="55"/>
      <c r="AO76" s="52"/>
      <c r="AR76" s="52"/>
      <c r="AU76" s="52"/>
      <c r="AV76" s="52"/>
      <c r="AW76" s="55"/>
    </row>
    <row r="77" spans="1:49" ht="15.75" customHeight="1">
      <c r="A77" s="16">
        <v>20903</v>
      </c>
      <c r="B77" s="63" t="s">
        <v>83</v>
      </c>
      <c r="C77" s="64">
        <v>0</v>
      </c>
      <c r="D77" s="64">
        <v>7315</v>
      </c>
      <c r="E77" s="65">
        <f t="shared" si="0"/>
        <v>0</v>
      </c>
      <c r="F77" s="64">
        <v>0</v>
      </c>
      <c r="G77" s="64">
        <v>7730.083333333333</v>
      </c>
      <c r="H77" s="65">
        <f t="shared" si="1"/>
        <v>0</v>
      </c>
      <c r="I77" s="64">
        <v>0</v>
      </c>
      <c r="J77" s="64">
        <v>8145.166666666667</v>
      </c>
      <c r="K77" s="65">
        <f t="shared" si="2"/>
        <v>0</v>
      </c>
      <c r="L77" s="66">
        <f t="shared" si="3"/>
        <v>0</v>
      </c>
      <c r="M77" s="67">
        <f t="shared" si="25"/>
        <v>0</v>
      </c>
      <c r="N77" s="64">
        <v>0</v>
      </c>
      <c r="O77" s="64">
        <v>11465.833333333332</v>
      </c>
      <c r="P77" s="68">
        <f t="shared" si="4"/>
        <v>0</v>
      </c>
      <c r="Q77" s="69">
        <v>30000</v>
      </c>
      <c r="R77" s="64">
        <v>11880.916666666666</v>
      </c>
      <c r="S77" s="68">
        <f t="shared" si="5"/>
        <v>2.5250576905541799</v>
      </c>
      <c r="T77" s="64">
        <v>30000</v>
      </c>
      <c r="U77" s="64">
        <v>12296</v>
      </c>
      <c r="V77" s="68">
        <f t="shared" si="6"/>
        <v>2.439817826935589</v>
      </c>
      <c r="W77" s="70">
        <f t="shared" si="7"/>
        <v>1.6549585058299232</v>
      </c>
      <c r="X77" s="71">
        <f t="shared" si="8"/>
        <v>20000</v>
      </c>
      <c r="AD77" s="52"/>
      <c r="AG77" s="52"/>
      <c r="AJ77" s="52"/>
      <c r="AK77" s="52"/>
      <c r="AL77" s="55"/>
      <c r="AO77" s="52"/>
      <c r="AR77" s="52"/>
      <c r="AU77" s="52"/>
      <c r="AV77" s="52"/>
      <c r="AW77" s="55"/>
    </row>
    <row r="78" spans="1:49" ht="15.75" customHeight="1">
      <c r="A78" s="16">
        <v>20904</v>
      </c>
      <c r="B78" s="63" t="s">
        <v>84</v>
      </c>
      <c r="C78" s="64">
        <v>0</v>
      </c>
      <c r="D78" s="64">
        <v>5180</v>
      </c>
      <c r="E78" s="65">
        <f t="shared" si="0"/>
        <v>0</v>
      </c>
      <c r="F78" s="64">
        <v>0</v>
      </c>
      <c r="G78" s="64">
        <v>5189.75</v>
      </c>
      <c r="H78" s="65">
        <f t="shared" si="1"/>
        <v>0</v>
      </c>
      <c r="I78" s="64">
        <v>0</v>
      </c>
      <c r="J78" s="64">
        <v>5199.5</v>
      </c>
      <c r="K78" s="65">
        <f t="shared" si="2"/>
        <v>0</v>
      </c>
      <c r="L78" s="66">
        <f t="shared" si="3"/>
        <v>0</v>
      </c>
      <c r="M78" s="67">
        <f t="shared" si="25"/>
        <v>0</v>
      </c>
      <c r="N78" s="64">
        <v>0</v>
      </c>
      <c r="O78" s="64">
        <v>5277.5</v>
      </c>
      <c r="P78" s="68">
        <f t="shared" si="4"/>
        <v>0</v>
      </c>
      <c r="Q78" s="69">
        <v>0</v>
      </c>
      <c r="R78" s="64">
        <v>5287.25</v>
      </c>
      <c r="S78" s="68">
        <f t="shared" si="5"/>
        <v>0</v>
      </c>
      <c r="T78" s="64">
        <v>0</v>
      </c>
      <c r="U78" s="64">
        <v>5297</v>
      </c>
      <c r="V78" s="68">
        <f t="shared" si="6"/>
        <v>0</v>
      </c>
      <c r="W78" s="70">
        <f t="shared" si="7"/>
        <v>0</v>
      </c>
      <c r="X78" s="71">
        <f t="shared" si="8"/>
        <v>0</v>
      </c>
      <c r="AD78" s="52"/>
      <c r="AG78" s="52"/>
      <c r="AJ78" s="52"/>
      <c r="AK78" s="52"/>
      <c r="AL78" s="55"/>
      <c r="AO78" s="52"/>
      <c r="AR78" s="52"/>
      <c r="AU78" s="52"/>
      <c r="AV78" s="52"/>
      <c r="AW78" s="55"/>
    </row>
    <row r="79" spans="1:49" ht="15.75" customHeight="1">
      <c r="A79" s="16">
        <v>20905</v>
      </c>
      <c r="B79" s="63" t="s">
        <v>85</v>
      </c>
      <c r="C79" s="64">
        <v>5000</v>
      </c>
      <c r="D79" s="64">
        <v>11355</v>
      </c>
      <c r="E79" s="65">
        <f t="shared" si="0"/>
        <v>0.44033465433729635</v>
      </c>
      <c r="F79" s="64">
        <v>30000</v>
      </c>
      <c r="G79" s="64">
        <v>11541.916666666666</v>
      </c>
      <c r="H79" s="65">
        <f t="shared" si="1"/>
        <v>2.5992216775087904</v>
      </c>
      <c r="I79" s="64">
        <v>0</v>
      </c>
      <c r="J79" s="64">
        <v>11728.833333333334</v>
      </c>
      <c r="K79" s="65">
        <f t="shared" si="2"/>
        <v>0</v>
      </c>
      <c r="L79" s="66">
        <f t="shared" si="3"/>
        <v>1.0131854439486956</v>
      </c>
      <c r="M79" s="67">
        <f t="shared" si="25"/>
        <v>11666.666666666666</v>
      </c>
      <c r="N79" s="64">
        <v>80000</v>
      </c>
      <c r="O79" s="64">
        <v>13224.166666666666</v>
      </c>
      <c r="P79" s="68">
        <f t="shared" si="4"/>
        <v>6.0495305312244003</v>
      </c>
      <c r="Q79" s="69">
        <v>150000</v>
      </c>
      <c r="R79" s="64">
        <v>13411.083333333332</v>
      </c>
      <c r="S79" s="68">
        <f t="shared" si="5"/>
        <v>11.184778758862384</v>
      </c>
      <c r="T79" s="64">
        <v>150000</v>
      </c>
      <c r="U79" s="64">
        <v>13598</v>
      </c>
      <c r="V79" s="68">
        <f t="shared" si="6"/>
        <v>11.031033975584645</v>
      </c>
      <c r="W79" s="70">
        <f t="shared" si="7"/>
        <v>9.4217810885571431</v>
      </c>
      <c r="X79" s="71">
        <f t="shared" si="8"/>
        <v>126666.66666666667</v>
      </c>
      <c r="AD79" s="52"/>
      <c r="AG79" s="52"/>
      <c r="AJ79" s="52"/>
      <c r="AK79" s="52"/>
      <c r="AL79" s="55"/>
      <c r="AO79" s="52"/>
      <c r="AR79" s="52"/>
      <c r="AU79" s="52"/>
      <c r="AV79" s="52"/>
      <c r="AW79" s="55"/>
    </row>
    <row r="80" spans="1:49" ht="15.75" customHeight="1">
      <c r="A80" s="16">
        <v>21001</v>
      </c>
      <c r="B80" s="63" t="s">
        <v>86</v>
      </c>
      <c r="C80" s="64">
        <v>30000</v>
      </c>
      <c r="D80" s="64">
        <v>14717</v>
      </c>
      <c r="E80" s="65">
        <f t="shared" si="0"/>
        <v>2.0384589250526601</v>
      </c>
      <c r="F80" s="64">
        <v>40000</v>
      </c>
      <c r="G80" s="64">
        <v>15047.166666666666</v>
      </c>
      <c r="H80" s="65">
        <f t="shared" si="1"/>
        <v>2.6583077655815601</v>
      </c>
      <c r="I80" s="64">
        <v>0</v>
      </c>
      <c r="J80" s="64">
        <v>15377.333333333334</v>
      </c>
      <c r="K80" s="65">
        <f t="shared" si="2"/>
        <v>0</v>
      </c>
      <c r="L80" s="66">
        <f t="shared" si="3"/>
        <v>1.5655888968780733</v>
      </c>
      <c r="M80" s="67">
        <f t="shared" si="25"/>
        <v>23333.333333333332</v>
      </c>
      <c r="N80" s="64">
        <v>70000</v>
      </c>
      <c r="O80" s="64">
        <v>18018.666666666668</v>
      </c>
      <c r="P80" s="68">
        <f t="shared" si="4"/>
        <v>3.8848601450347786</v>
      </c>
      <c r="Q80" s="69">
        <v>70000</v>
      </c>
      <c r="R80" s="64">
        <v>18348.833333333332</v>
      </c>
      <c r="S80" s="68">
        <f t="shared" si="5"/>
        <v>3.8149564459139094</v>
      </c>
      <c r="T80" s="64">
        <v>70000</v>
      </c>
      <c r="U80" s="64">
        <v>18679</v>
      </c>
      <c r="V80" s="68">
        <f t="shared" si="6"/>
        <v>3.7475239573852992</v>
      </c>
      <c r="W80" s="70">
        <f t="shared" si="7"/>
        <v>3.8157801827779956</v>
      </c>
      <c r="X80" s="71">
        <f t="shared" si="8"/>
        <v>70000</v>
      </c>
      <c r="AD80" s="52"/>
      <c r="AG80" s="52"/>
      <c r="AJ80" s="52"/>
      <c r="AK80" s="52"/>
      <c r="AL80" s="55"/>
      <c r="AO80" s="52"/>
      <c r="AR80" s="52"/>
      <c r="AU80" s="52"/>
      <c r="AV80" s="52"/>
      <c r="AW80" s="55"/>
    </row>
    <row r="81" spans="1:49" ht="15.75" customHeight="1">
      <c r="A81" s="16">
        <v>21002</v>
      </c>
      <c r="B81" s="63" t="s">
        <v>87</v>
      </c>
      <c r="C81" s="64">
        <v>70000</v>
      </c>
      <c r="D81" s="64">
        <v>8266</v>
      </c>
      <c r="E81" s="65">
        <f t="shared" si="0"/>
        <v>8.4684248729736264</v>
      </c>
      <c r="F81" s="64">
        <v>70000</v>
      </c>
      <c r="G81" s="64">
        <v>8484.4166666666661</v>
      </c>
      <c r="H81" s="65">
        <f t="shared" si="1"/>
        <v>8.2504198874407013</v>
      </c>
      <c r="I81" s="64">
        <v>0</v>
      </c>
      <c r="J81" s="64">
        <v>8702.8333333333339</v>
      </c>
      <c r="K81" s="65">
        <f t="shared" si="2"/>
        <v>0</v>
      </c>
      <c r="L81" s="66">
        <f t="shared" si="3"/>
        <v>5.5729482534714423</v>
      </c>
      <c r="M81" s="67">
        <f t="shared" si="25"/>
        <v>46666.666666666664</v>
      </c>
      <c r="N81" s="64">
        <v>120000</v>
      </c>
      <c r="O81" s="64">
        <v>10450.166666666666</v>
      </c>
      <c r="P81" s="68">
        <f t="shared" si="4"/>
        <v>11.483070445447442</v>
      </c>
      <c r="Q81" s="69">
        <v>160000</v>
      </c>
      <c r="R81" s="64">
        <v>10668.583333333332</v>
      </c>
      <c r="S81" s="68">
        <f t="shared" si="5"/>
        <v>14.997305171726957</v>
      </c>
      <c r="T81" s="64">
        <v>200000</v>
      </c>
      <c r="U81" s="64">
        <v>10887</v>
      </c>
      <c r="V81" s="68">
        <f t="shared" si="6"/>
        <v>18.370533664002938</v>
      </c>
      <c r="W81" s="70">
        <f t="shared" si="7"/>
        <v>14.950303093725779</v>
      </c>
      <c r="X81" s="71">
        <f t="shared" si="8"/>
        <v>160000</v>
      </c>
      <c r="AD81" s="52"/>
      <c r="AG81" s="52"/>
      <c r="AJ81" s="52"/>
      <c r="AK81" s="52"/>
      <c r="AL81" s="55"/>
      <c r="AO81" s="52"/>
      <c r="AR81" s="52"/>
      <c r="AU81" s="52"/>
      <c r="AV81" s="52"/>
      <c r="AW81" s="55"/>
    </row>
    <row r="82" spans="1:49" ht="15.75" customHeight="1">
      <c r="A82" s="16">
        <v>21003</v>
      </c>
      <c r="B82" s="63" t="s">
        <v>88</v>
      </c>
      <c r="C82" s="64">
        <v>86800</v>
      </c>
      <c r="D82" s="64">
        <v>10458</v>
      </c>
      <c r="E82" s="65">
        <f t="shared" si="0"/>
        <v>8.2998661311914326</v>
      </c>
      <c r="F82" s="64">
        <v>62400</v>
      </c>
      <c r="G82" s="64">
        <v>10883.583333333334</v>
      </c>
      <c r="H82" s="65">
        <f t="shared" si="1"/>
        <v>5.7334058176305289</v>
      </c>
      <c r="I82" s="64">
        <v>0</v>
      </c>
      <c r="J82" s="64">
        <v>11309.166666666666</v>
      </c>
      <c r="K82" s="65">
        <f t="shared" si="2"/>
        <v>0</v>
      </c>
      <c r="L82" s="66">
        <f t="shared" si="3"/>
        <v>4.6777573162739872</v>
      </c>
      <c r="M82" s="67">
        <f t="shared" si="25"/>
        <v>49733.333333333336</v>
      </c>
      <c r="N82" s="64">
        <v>68463</v>
      </c>
      <c r="O82" s="64">
        <v>14713.833333333332</v>
      </c>
      <c r="P82" s="68">
        <f t="shared" si="4"/>
        <v>4.6529682951417604</v>
      </c>
      <c r="Q82" s="69">
        <v>130000</v>
      </c>
      <c r="R82" s="64">
        <v>15139.416666666666</v>
      </c>
      <c r="S82" s="68">
        <f t="shared" si="5"/>
        <v>8.5868566049990918</v>
      </c>
      <c r="T82" s="64">
        <v>51000</v>
      </c>
      <c r="U82" s="64">
        <v>15565</v>
      </c>
      <c r="V82" s="68">
        <f t="shared" si="6"/>
        <v>3.2765820751686476</v>
      </c>
      <c r="W82" s="70">
        <f t="shared" si="7"/>
        <v>5.5054689917698338</v>
      </c>
      <c r="X82" s="71">
        <f t="shared" si="8"/>
        <v>83154.333333333328</v>
      </c>
      <c r="AD82" s="52"/>
      <c r="AG82" s="52"/>
      <c r="AJ82" s="52"/>
      <c r="AK82" s="52"/>
      <c r="AL82" s="55"/>
      <c r="AO82" s="52"/>
      <c r="AR82" s="52"/>
      <c r="AU82" s="52"/>
      <c r="AV82" s="52"/>
      <c r="AW82" s="55"/>
    </row>
    <row r="83" spans="1:49" ht="15.75" customHeight="1">
      <c r="A83" s="16">
        <v>21004</v>
      </c>
      <c r="B83" s="63" t="s">
        <v>89</v>
      </c>
      <c r="C83" s="64">
        <v>0</v>
      </c>
      <c r="D83" s="64">
        <v>19620</v>
      </c>
      <c r="E83" s="65">
        <f t="shared" si="0"/>
        <v>0</v>
      </c>
      <c r="F83" s="64">
        <v>1000</v>
      </c>
      <c r="G83" s="64">
        <v>19943.75</v>
      </c>
      <c r="H83" s="65">
        <f t="shared" si="1"/>
        <v>5.0141021623315574E-2</v>
      </c>
      <c r="I83" s="64">
        <v>0</v>
      </c>
      <c r="J83" s="64">
        <v>20267.5</v>
      </c>
      <c r="K83" s="65">
        <f t="shared" si="2"/>
        <v>0</v>
      </c>
      <c r="L83" s="66">
        <f t="shared" si="3"/>
        <v>1.6713673874438523E-2</v>
      </c>
      <c r="M83" s="67">
        <f t="shared" si="25"/>
        <v>333.33333333333331</v>
      </c>
      <c r="N83" s="64">
        <v>350000</v>
      </c>
      <c r="O83" s="64">
        <v>22857.5</v>
      </c>
      <c r="P83" s="68">
        <f t="shared" si="4"/>
        <v>15.312260745925846</v>
      </c>
      <c r="Q83" s="69">
        <v>350000</v>
      </c>
      <c r="R83" s="64">
        <v>23181.25</v>
      </c>
      <c r="S83" s="68">
        <f t="shared" si="5"/>
        <v>15.098409274737126</v>
      </c>
      <c r="T83" s="64">
        <v>350000</v>
      </c>
      <c r="U83" s="64">
        <v>23505</v>
      </c>
      <c r="V83" s="68">
        <f t="shared" si="6"/>
        <v>14.890448840672198</v>
      </c>
      <c r="W83" s="70">
        <f t="shared" si="7"/>
        <v>15.10037295377839</v>
      </c>
      <c r="X83" s="71">
        <f t="shared" si="8"/>
        <v>350000</v>
      </c>
      <c r="AD83" s="52"/>
      <c r="AG83" s="52"/>
      <c r="AJ83" s="52"/>
      <c r="AK83" s="52"/>
      <c r="AL83" s="55"/>
      <c r="AO83" s="52"/>
      <c r="AR83" s="52"/>
      <c r="AU83" s="52"/>
      <c r="AV83" s="52"/>
      <c r="AW83" s="55"/>
    </row>
    <row r="84" spans="1:49" ht="15.75" customHeight="1">
      <c r="A84" s="16">
        <v>21005</v>
      </c>
      <c r="B84" s="63" t="s">
        <v>90</v>
      </c>
      <c r="C84" s="64">
        <v>0</v>
      </c>
      <c r="D84" s="64">
        <v>7913</v>
      </c>
      <c r="E84" s="65">
        <f t="shared" si="0"/>
        <v>0</v>
      </c>
      <c r="F84" s="64">
        <v>17300</v>
      </c>
      <c r="G84" s="64">
        <v>8049.583333333333</v>
      </c>
      <c r="H84" s="65">
        <f t="shared" si="1"/>
        <v>2.1491795641596356</v>
      </c>
      <c r="I84" s="64">
        <v>0</v>
      </c>
      <c r="J84" s="64">
        <v>8186.166666666667</v>
      </c>
      <c r="K84" s="65">
        <f t="shared" si="2"/>
        <v>0</v>
      </c>
      <c r="L84" s="66">
        <f t="shared" si="3"/>
        <v>0.71639318805321184</v>
      </c>
      <c r="M84" s="67">
        <f t="shared" si="25"/>
        <v>5766.666666666667</v>
      </c>
      <c r="N84" s="64">
        <v>10000</v>
      </c>
      <c r="O84" s="64">
        <v>9278.8333333333339</v>
      </c>
      <c r="P84" s="68">
        <f t="shared" si="4"/>
        <v>1.07772169633395</v>
      </c>
      <c r="Q84" s="69">
        <v>10000</v>
      </c>
      <c r="R84" s="64">
        <v>9415.4166666666661</v>
      </c>
      <c r="S84" s="68">
        <f t="shared" si="5"/>
        <v>1.0620878877727133</v>
      </c>
      <c r="T84" s="64">
        <v>10000</v>
      </c>
      <c r="U84" s="64">
        <v>9552</v>
      </c>
      <c r="V84" s="68">
        <f t="shared" si="6"/>
        <v>1.0469011725293131</v>
      </c>
      <c r="W84" s="70">
        <f t="shared" si="7"/>
        <v>1.0622369188786587</v>
      </c>
      <c r="X84" s="71">
        <f t="shared" si="8"/>
        <v>10000</v>
      </c>
      <c r="AD84" s="52"/>
      <c r="AG84" s="52"/>
      <c r="AJ84" s="52"/>
      <c r="AK84" s="52"/>
      <c r="AL84" s="55"/>
      <c r="AO84" s="52"/>
      <c r="AR84" s="52"/>
      <c r="AU84" s="52"/>
      <c r="AV84" s="52"/>
      <c r="AW84" s="55"/>
    </row>
    <row r="85" spans="1:49" ht="15.75" customHeight="1">
      <c r="A85" s="16">
        <v>21006</v>
      </c>
      <c r="B85" s="63" t="s">
        <v>91</v>
      </c>
      <c r="C85" s="64">
        <v>45000</v>
      </c>
      <c r="D85" s="64">
        <v>5488</v>
      </c>
      <c r="E85" s="65">
        <f t="shared" si="0"/>
        <v>8.1997084548104961</v>
      </c>
      <c r="F85" s="64">
        <v>30000</v>
      </c>
      <c r="G85" s="64">
        <v>5687.083333333333</v>
      </c>
      <c r="H85" s="65">
        <f t="shared" si="1"/>
        <v>5.2751117297970547</v>
      </c>
      <c r="I85" s="64">
        <v>0</v>
      </c>
      <c r="J85" s="64">
        <v>5886.166666666667</v>
      </c>
      <c r="K85" s="65">
        <f t="shared" si="2"/>
        <v>0</v>
      </c>
      <c r="L85" s="66">
        <f t="shared" si="3"/>
        <v>4.4916067282025169</v>
      </c>
      <c r="M85" s="67">
        <f t="shared" si="25"/>
        <v>25000</v>
      </c>
      <c r="N85" s="64">
        <v>52800</v>
      </c>
      <c r="O85" s="64">
        <v>7478.8333333333339</v>
      </c>
      <c r="P85" s="68">
        <f t="shared" si="4"/>
        <v>7.0599246763086931</v>
      </c>
      <c r="Q85" s="69">
        <v>90000</v>
      </c>
      <c r="R85" s="64">
        <v>7677.916666666667</v>
      </c>
      <c r="S85" s="68">
        <f t="shared" si="5"/>
        <v>11.721929776957724</v>
      </c>
      <c r="T85" s="64">
        <v>80000</v>
      </c>
      <c r="U85" s="64">
        <v>7877</v>
      </c>
      <c r="V85" s="68">
        <f t="shared" si="6"/>
        <v>10.156150818839659</v>
      </c>
      <c r="W85" s="70">
        <f t="shared" si="7"/>
        <v>9.6460017573686923</v>
      </c>
      <c r="X85" s="71">
        <f t="shared" si="8"/>
        <v>74266.666666666672</v>
      </c>
      <c r="AD85" s="52"/>
      <c r="AG85" s="52"/>
      <c r="AJ85" s="52"/>
      <c r="AK85" s="52"/>
      <c r="AL85" s="55"/>
      <c r="AO85" s="52"/>
      <c r="AR85" s="52"/>
      <c r="AU85" s="52"/>
      <c r="AV85" s="52"/>
      <c r="AW85" s="55"/>
    </row>
    <row r="86" spans="1:49" ht="15.75" customHeight="1">
      <c r="A86" s="16">
        <v>21101</v>
      </c>
      <c r="B86" s="63" t="s">
        <v>92</v>
      </c>
      <c r="C86" s="64">
        <v>100000</v>
      </c>
      <c r="D86" s="64">
        <v>17823</v>
      </c>
      <c r="E86" s="65">
        <f t="shared" si="0"/>
        <v>5.6107277113841665</v>
      </c>
      <c r="F86" s="64">
        <v>50000</v>
      </c>
      <c r="G86" s="64">
        <v>17863</v>
      </c>
      <c r="H86" s="65">
        <f t="shared" si="1"/>
        <v>2.7990819011364274</v>
      </c>
      <c r="I86" s="64">
        <v>0</v>
      </c>
      <c r="J86" s="64">
        <v>17903</v>
      </c>
      <c r="K86" s="65">
        <f t="shared" si="2"/>
        <v>0</v>
      </c>
      <c r="L86" s="66">
        <f t="shared" si="3"/>
        <v>2.803269870840198</v>
      </c>
      <c r="M86" s="67">
        <f t="shared" si="25"/>
        <v>50000</v>
      </c>
      <c r="N86" s="64">
        <v>0</v>
      </c>
      <c r="O86" s="64">
        <v>18223</v>
      </c>
      <c r="P86" s="68">
        <f t="shared" si="4"/>
        <v>0</v>
      </c>
      <c r="Q86" s="69">
        <v>540000</v>
      </c>
      <c r="R86" s="64">
        <v>18263</v>
      </c>
      <c r="S86" s="68">
        <f t="shared" si="5"/>
        <v>29.567978973881619</v>
      </c>
      <c r="T86" s="64">
        <v>956299</v>
      </c>
      <c r="U86" s="64">
        <v>18303</v>
      </c>
      <c r="V86" s="68">
        <f t="shared" si="6"/>
        <v>52.248210675845492</v>
      </c>
      <c r="W86" s="70">
        <f t="shared" si="7"/>
        <v>27.272063216575702</v>
      </c>
      <c r="X86" s="71">
        <f t="shared" si="8"/>
        <v>498766.33333333331</v>
      </c>
      <c r="AD86" s="52"/>
      <c r="AG86" s="52"/>
      <c r="AJ86" s="52"/>
      <c r="AK86" s="52"/>
      <c r="AL86" s="55"/>
      <c r="AO86" s="52"/>
      <c r="AR86" s="52"/>
      <c r="AU86" s="52"/>
      <c r="AV86" s="52"/>
      <c r="AW86" s="55"/>
    </row>
    <row r="87" spans="1:49" ht="15.75" customHeight="1">
      <c r="A87" s="16">
        <v>21102</v>
      </c>
      <c r="B87" s="63" t="s">
        <v>93</v>
      </c>
      <c r="C87" s="64">
        <v>200000</v>
      </c>
      <c r="D87" s="64">
        <v>17276</v>
      </c>
      <c r="E87" s="65">
        <f t="shared" si="0"/>
        <v>11.57675387821255</v>
      </c>
      <c r="F87" s="64">
        <v>220001</v>
      </c>
      <c r="G87" s="64">
        <v>17776.25</v>
      </c>
      <c r="H87" s="65">
        <f t="shared" si="1"/>
        <v>12.376119822797271</v>
      </c>
      <c r="I87" s="64">
        <v>0</v>
      </c>
      <c r="J87" s="64">
        <v>18276.5</v>
      </c>
      <c r="K87" s="65">
        <f t="shared" si="2"/>
        <v>0</v>
      </c>
      <c r="L87" s="66">
        <f t="shared" si="3"/>
        <v>7.9842912336699401</v>
      </c>
      <c r="M87" s="67">
        <f t="shared" si="25"/>
        <v>140000.33333333334</v>
      </c>
      <c r="N87" s="64">
        <v>553522</v>
      </c>
      <c r="O87" s="64">
        <v>22278.5</v>
      </c>
      <c r="P87" s="68">
        <f t="shared" si="4"/>
        <v>24.845568597526764</v>
      </c>
      <c r="Q87" s="69">
        <v>416715</v>
      </c>
      <c r="R87" s="64">
        <v>22778.75</v>
      </c>
      <c r="S87" s="68">
        <f t="shared" si="5"/>
        <v>18.294024035559456</v>
      </c>
      <c r="T87" s="64">
        <v>436622</v>
      </c>
      <c r="U87" s="64">
        <v>23279</v>
      </c>
      <c r="V87" s="68">
        <f t="shared" si="6"/>
        <v>18.756046221916748</v>
      </c>
      <c r="W87" s="70">
        <f t="shared" si="7"/>
        <v>20.631879618334324</v>
      </c>
      <c r="X87" s="71">
        <f t="shared" si="8"/>
        <v>468953</v>
      </c>
      <c r="AD87" s="52"/>
      <c r="AG87" s="52"/>
      <c r="AJ87" s="52"/>
      <c r="AK87" s="52"/>
      <c r="AL87" s="55"/>
      <c r="AO87" s="52"/>
      <c r="AR87" s="52"/>
      <c r="AU87" s="52"/>
      <c r="AV87" s="52"/>
      <c r="AW87" s="55"/>
    </row>
    <row r="88" spans="1:49" ht="15.75" customHeight="1">
      <c r="A88" s="16">
        <v>21103</v>
      </c>
      <c r="B88" s="63" t="s">
        <v>94</v>
      </c>
      <c r="C88" s="64">
        <v>30010</v>
      </c>
      <c r="D88" s="64">
        <v>6420</v>
      </c>
      <c r="E88" s="65">
        <f t="shared" si="0"/>
        <v>4.6744548286604362</v>
      </c>
      <c r="F88" s="64">
        <v>34392</v>
      </c>
      <c r="G88" s="64">
        <v>6519.583333333333</v>
      </c>
      <c r="H88" s="65">
        <f t="shared" si="1"/>
        <v>5.2751837412922606</v>
      </c>
      <c r="I88" s="64">
        <v>0</v>
      </c>
      <c r="J88" s="64">
        <v>6619.166666666667</v>
      </c>
      <c r="K88" s="65">
        <f t="shared" si="2"/>
        <v>0</v>
      </c>
      <c r="L88" s="66">
        <f t="shared" si="3"/>
        <v>3.3165461899842321</v>
      </c>
      <c r="M88" s="67">
        <f t="shared" si="25"/>
        <v>21467.333333333332</v>
      </c>
      <c r="N88" s="64">
        <v>0</v>
      </c>
      <c r="O88" s="64">
        <v>7415.833333333333</v>
      </c>
      <c r="P88" s="68">
        <f t="shared" si="4"/>
        <v>0</v>
      </c>
      <c r="Q88" s="69">
        <v>0</v>
      </c>
      <c r="R88" s="64">
        <v>7515.4166666666661</v>
      </c>
      <c r="S88" s="68">
        <f t="shared" si="5"/>
        <v>0</v>
      </c>
      <c r="T88" s="64">
        <v>0</v>
      </c>
      <c r="U88" s="64">
        <v>7615</v>
      </c>
      <c r="V88" s="68">
        <f t="shared" si="6"/>
        <v>0</v>
      </c>
      <c r="W88" s="70">
        <f t="shared" si="7"/>
        <v>0</v>
      </c>
      <c r="X88" s="71">
        <f t="shared" si="8"/>
        <v>0</v>
      </c>
      <c r="AD88" s="52"/>
      <c r="AG88" s="52"/>
      <c r="AJ88" s="52"/>
      <c r="AK88" s="52"/>
      <c r="AL88" s="55"/>
      <c r="AO88" s="52"/>
      <c r="AR88" s="52"/>
      <c r="AU88" s="52"/>
      <c r="AV88" s="52"/>
      <c r="AW88" s="55"/>
    </row>
    <row r="89" spans="1:49" ht="15.75" customHeight="1">
      <c r="A89" s="16">
        <v>21104</v>
      </c>
      <c r="B89" s="63" t="s">
        <v>95</v>
      </c>
      <c r="C89" s="64">
        <v>80000</v>
      </c>
      <c r="D89" s="64">
        <v>24731</v>
      </c>
      <c r="E89" s="65">
        <f t="shared" si="0"/>
        <v>3.2348065181351342</v>
      </c>
      <c r="F89" s="64">
        <v>170000</v>
      </c>
      <c r="G89" s="64">
        <v>24931.5</v>
      </c>
      <c r="H89" s="65">
        <f t="shared" si="1"/>
        <v>6.8186831919459321</v>
      </c>
      <c r="I89" s="64">
        <v>0</v>
      </c>
      <c r="J89" s="64">
        <v>25132</v>
      </c>
      <c r="K89" s="65">
        <f t="shared" si="2"/>
        <v>0</v>
      </c>
      <c r="L89" s="66">
        <f t="shared" si="3"/>
        <v>3.3511632366936888</v>
      </c>
      <c r="M89" s="67">
        <f t="shared" si="25"/>
        <v>83333.333333333328</v>
      </c>
      <c r="N89" s="64">
        <v>891544</v>
      </c>
      <c r="O89" s="64">
        <v>26736</v>
      </c>
      <c r="P89" s="68">
        <f t="shared" si="4"/>
        <v>33.34619988031119</v>
      </c>
      <c r="Q89" s="69">
        <v>340000</v>
      </c>
      <c r="R89" s="64">
        <v>26936.5</v>
      </c>
      <c r="S89" s="68">
        <f t="shared" si="5"/>
        <v>12.622278321236983</v>
      </c>
      <c r="T89" s="64">
        <v>501544</v>
      </c>
      <c r="U89" s="64">
        <v>27137</v>
      </c>
      <c r="V89" s="68">
        <f t="shared" si="6"/>
        <v>18.481925046983822</v>
      </c>
      <c r="W89" s="70">
        <f t="shared" si="7"/>
        <v>21.483467749510666</v>
      </c>
      <c r="X89" s="71">
        <f t="shared" si="8"/>
        <v>577696</v>
      </c>
      <c r="AD89" s="52"/>
      <c r="AG89" s="52"/>
      <c r="AJ89" s="52"/>
      <c r="AK89" s="52"/>
      <c r="AL89" s="55"/>
      <c r="AO89" s="52"/>
      <c r="AR89" s="52"/>
      <c r="AU89" s="52"/>
      <c r="AV89" s="52"/>
      <c r="AW89" s="55"/>
    </row>
    <row r="90" spans="1:49" ht="15.75" customHeight="1">
      <c r="A90" s="16">
        <v>21105</v>
      </c>
      <c r="B90" s="63" t="s">
        <v>96</v>
      </c>
      <c r="C90" s="64">
        <v>40000</v>
      </c>
      <c r="D90" s="64">
        <v>40178</v>
      </c>
      <c r="E90" s="65">
        <f t="shared" si="0"/>
        <v>0.99556971476927669</v>
      </c>
      <c r="F90" s="64">
        <v>130000</v>
      </c>
      <c r="G90" s="64">
        <v>40628.75</v>
      </c>
      <c r="H90" s="65">
        <f t="shared" si="1"/>
        <v>3.1997046426483711</v>
      </c>
      <c r="I90" s="64">
        <v>0</v>
      </c>
      <c r="J90" s="64">
        <v>41079.5</v>
      </c>
      <c r="K90" s="65">
        <f t="shared" si="2"/>
        <v>0</v>
      </c>
      <c r="L90" s="66">
        <f t="shared" si="3"/>
        <v>1.3984247858058827</v>
      </c>
      <c r="M90" s="67">
        <f t="shared" si="25"/>
        <v>56666.666666666664</v>
      </c>
      <c r="N90" s="64">
        <v>463344</v>
      </c>
      <c r="O90" s="64">
        <v>44685.5</v>
      </c>
      <c r="P90" s="68">
        <f t="shared" si="4"/>
        <v>10.369001130120509</v>
      </c>
      <c r="Q90" s="69">
        <v>389503</v>
      </c>
      <c r="R90" s="64">
        <v>45136.25</v>
      </c>
      <c r="S90" s="68">
        <f t="shared" si="5"/>
        <v>8.6294940319587923</v>
      </c>
      <c r="T90" s="64">
        <v>434939</v>
      </c>
      <c r="U90" s="64">
        <v>45587</v>
      </c>
      <c r="V90" s="68">
        <f t="shared" si="6"/>
        <v>9.5408559457740143</v>
      </c>
      <c r="W90" s="70">
        <f t="shared" si="7"/>
        <v>9.5131170359511046</v>
      </c>
      <c r="X90" s="71">
        <f t="shared" si="8"/>
        <v>429262</v>
      </c>
      <c r="AD90" s="52"/>
      <c r="AG90" s="52"/>
      <c r="AJ90" s="52"/>
      <c r="AK90" s="52"/>
      <c r="AL90" s="55"/>
      <c r="AO90" s="52"/>
      <c r="AR90" s="52"/>
      <c r="AU90" s="52"/>
      <c r="AV90" s="52"/>
      <c r="AW90" s="55"/>
    </row>
    <row r="91" spans="1:49" ht="15.75" customHeight="1">
      <c r="A91" s="16">
        <v>21201</v>
      </c>
      <c r="B91" s="63" t="s">
        <v>97</v>
      </c>
      <c r="C91" s="64">
        <v>27000</v>
      </c>
      <c r="D91" s="64">
        <v>30124</v>
      </c>
      <c r="E91" s="65">
        <f t="shared" si="0"/>
        <v>0.89629531270747576</v>
      </c>
      <c r="F91" s="64">
        <v>30000</v>
      </c>
      <c r="G91" s="64">
        <v>31767.833333333332</v>
      </c>
      <c r="H91" s="65">
        <f t="shared" si="1"/>
        <v>0.94435146663029168</v>
      </c>
      <c r="I91" s="64">
        <v>0</v>
      </c>
      <c r="J91" s="64">
        <v>33411.666666666664</v>
      </c>
      <c r="K91" s="65">
        <f t="shared" si="2"/>
        <v>0</v>
      </c>
      <c r="L91" s="66">
        <f t="shared" si="3"/>
        <v>0.61354892644592252</v>
      </c>
      <c r="M91" s="67">
        <f t="shared" si="25"/>
        <v>19000</v>
      </c>
      <c r="N91" s="64">
        <v>100000</v>
      </c>
      <c r="O91" s="64">
        <v>46562.333333333328</v>
      </c>
      <c r="P91" s="68">
        <f t="shared" si="4"/>
        <v>2.147658694080337</v>
      </c>
      <c r="Q91" s="69">
        <v>125000</v>
      </c>
      <c r="R91" s="64">
        <v>48206.166666666664</v>
      </c>
      <c r="S91" s="68">
        <f t="shared" si="5"/>
        <v>2.5930292459125215</v>
      </c>
      <c r="T91" s="64">
        <v>190000</v>
      </c>
      <c r="U91" s="64">
        <v>49850</v>
      </c>
      <c r="V91" s="68">
        <f t="shared" si="6"/>
        <v>3.8114343029087263</v>
      </c>
      <c r="W91" s="70">
        <f t="shared" si="7"/>
        <v>2.850707414300528</v>
      </c>
      <c r="X91" s="71">
        <f t="shared" si="8"/>
        <v>138333.33333333334</v>
      </c>
      <c r="AD91" s="52"/>
      <c r="AG91" s="52"/>
      <c r="AJ91" s="52"/>
      <c r="AK91" s="52"/>
      <c r="AL91" s="55"/>
      <c r="AO91" s="52"/>
      <c r="AR91" s="52"/>
      <c r="AU91" s="52"/>
      <c r="AV91" s="52"/>
      <c r="AW91" s="55"/>
    </row>
    <row r="92" spans="1:49" ht="15.75" customHeight="1">
      <c r="A92" s="16">
        <v>21202</v>
      </c>
      <c r="B92" s="63" t="s">
        <v>98</v>
      </c>
      <c r="C92" s="64">
        <v>16000</v>
      </c>
      <c r="D92" s="64">
        <v>24531</v>
      </c>
      <c r="E92" s="65">
        <f t="shared" si="0"/>
        <v>0.65223594635359339</v>
      </c>
      <c r="F92" s="64">
        <v>15000</v>
      </c>
      <c r="G92" s="64">
        <v>25707.75</v>
      </c>
      <c r="H92" s="65">
        <f t="shared" si="1"/>
        <v>0.58348163491554106</v>
      </c>
      <c r="I92" s="64">
        <v>0</v>
      </c>
      <c r="J92" s="64">
        <v>26884.5</v>
      </c>
      <c r="K92" s="65">
        <f t="shared" si="2"/>
        <v>0</v>
      </c>
      <c r="L92" s="66">
        <f t="shared" si="3"/>
        <v>0.41190586042304478</v>
      </c>
      <c r="M92" s="67">
        <f t="shared" si="25"/>
        <v>10333.333333333334</v>
      </c>
      <c r="N92" s="64">
        <v>487600</v>
      </c>
      <c r="O92" s="64">
        <v>36298.5</v>
      </c>
      <c r="P92" s="68">
        <f t="shared" si="4"/>
        <v>13.433061972257807</v>
      </c>
      <c r="Q92" s="69">
        <v>250000</v>
      </c>
      <c r="R92" s="64">
        <v>37475.25</v>
      </c>
      <c r="S92" s="68">
        <f t="shared" si="5"/>
        <v>6.6710695725845728</v>
      </c>
      <c r="T92" s="64">
        <v>245000</v>
      </c>
      <c r="U92" s="64">
        <v>38652</v>
      </c>
      <c r="V92" s="68">
        <f t="shared" si="6"/>
        <v>6.3386111973507191</v>
      </c>
      <c r="W92" s="70">
        <f t="shared" si="7"/>
        <v>8.814247580731033</v>
      </c>
      <c r="X92" s="71">
        <f t="shared" si="8"/>
        <v>327533.33333333331</v>
      </c>
      <c r="AD92" s="52"/>
      <c r="AG92" s="52"/>
      <c r="AJ92" s="52"/>
      <c r="AK92" s="52"/>
      <c r="AL92" s="55"/>
      <c r="AO92" s="52"/>
      <c r="AR92" s="52"/>
      <c r="AU92" s="52"/>
      <c r="AV92" s="52"/>
      <c r="AW92" s="55"/>
    </row>
    <row r="93" spans="1:49" ht="15.75" customHeight="1">
      <c r="A93" s="16">
        <v>21203</v>
      </c>
      <c r="B93" s="63" t="s">
        <v>99</v>
      </c>
      <c r="C93" s="64">
        <v>50000</v>
      </c>
      <c r="D93" s="64">
        <v>17426</v>
      </c>
      <c r="E93" s="65">
        <f t="shared" si="0"/>
        <v>2.8692757947893952</v>
      </c>
      <c r="F93" s="64">
        <v>120000</v>
      </c>
      <c r="G93" s="64">
        <v>17691.083333333332</v>
      </c>
      <c r="H93" s="65">
        <f t="shared" si="1"/>
        <v>6.783078104318089</v>
      </c>
      <c r="I93" s="64">
        <v>0</v>
      </c>
      <c r="J93" s="64">
        <v>17956.166666666668</v>
      </c>
      <c r="K93" s="65">
        <f t="shared" si="2"/>
        <v>0</v>
      </c>
      <c r="L93" s="66">
        <f t="shared" si="3"/>
        <v>3.2174512997024949</v>
      </c>
      <c r="M93" s="67">
        <f t="shared" si="25"/>
        <v>56666.666666666664</v>
      </c>
      <c r="N93" s="64">
        <v>10000</v>
      </c>
      <c r="O93" s="64">
        <v>20076.833333333332</v>
      </c>
      <c r="P93" s="68">
        <f t="shared" si="4"/>
        <v>0.49808651762811201</v>
      </c>
      <c r="Q93" s="69">
        <v>250000</v>
      </c>
      <c r="R93" s="64">
        <v>20341.916666666668</v>
      </c>
      <c r="S93" s="68">
        <f t="shared" si="5"/>
        <v>12.289894020147232</v>
      </c>
      <c r="T93" s="64">
        <v>236398</v>
      </c>
      <c r="U93" s="64">
        <v>20607</v>
      </c>
      <c r="V93" s="68">
        <f t="shared" si="6"/>
        <v>11.471732906293978</v>
      </c>
      <c r="W93" s="70">
        <f t="shared" si="7"/>
        <v>8.0865711480231059</v>
      </c>
      <c r="X93" s="71">
        <f t="shared" si="8"/>
        <v>165466</v>
      </c>
      <c r="AD93" s="52"/>
      <c r="AG93" s="52"/>
      <c r="AJ93" s="52"/>
      <c r="AK93" s="52"/>
      <c r="AL93" s="55"/>
      <c r="AO93" s="52"/>
      <c r="AR93" s="52"/>
      <c r="AU93" s="52"/>
      <c r="AV93" s="52"/>
      <c r="AW93" s="55"/>
    </row>
    <row r="94" spans="1:49" ht="15.75" customHeight="1">
      <c r="A94" s="16">
        <v>21204</v>
      </c>
      <c r="B94" s="63" t="s">
        <v>100</v>
      </c>
      <c r="C94" s="64">
        <v>0</v>
      </c>
      <c r="D94" s="64">
        <v>6498</v>
      </c>
      <c r="E94" s="65">
        <f t="shared" si="0"/>
        <v>0</v>
      </c>
      <c r="F94" s="64">
        <v>0</v>
      </c>
      <c r="G94" s="64">
        <v>6614.833333333333</v>
      </c>
      <c r="H94" s="65">
        <f t="shared" si="1"/>
        <v>0</v>
      </c>
      <c r="I94" s="64">
        <v>0</v>
      </c>
      <c r="J94" s="64">
        <v>6731.666666666667</v>
      </c>
      <c r="K94" s="65">
        <f t="shared" si="2"/>
        <v>0</v>
      </c>
      <c r="L94" s="66">
        <f t="shared" si="3"/>
        <v>0</v>
      </c>
      <c r="M94" s="67">
        <f t="shared" si="25"/>
        <v>0</v>
      </c>
      <c r="N94" s="64">
        <v>0</v>
      </c>
      <c r="O94" s="64">
        <v>7666.333333333333</v>
      </c>
      <c r="P94" s="68">
        <f t="shared" si="4"/>
        <v>0</v>
      </c>
      <c r="Q94" s="69">
        <v>10000</v>
      </c>
      <c r="R94" s="64">
        <v>7783.1666666666661</v>
      </c>
      <c r="S94" s="68">
        <f t="shared" si="5"/>
        <v>1.2848240861688689</v>
      </c>
      <c r="T94" s="64">
        <v>10000</v>
      </c>
      <c r="U94" s="64">
        <v>7900</v>
      </c>
      <c r="V94" s="68">
        <f t="shared" si="6"/>
        <v>1.2658227848101267</v>
      </c>
      <c r="W94" s="70">
        <f t="shared" si="7"/>
        <v>0.85021562365966519</v>
      </c>
      <c r="X94" s="71">
        <f t="shared" si="8"/>
        <v>6666.666666666667</v>
      </c>
      <c r="AD94" s="52"/>
      <c r="AG94" s="52"/>
      <c r="AJ94" s="52"/>
      <c r="AK94" s="52"/>
      <c r="AL94" s="55"/>
      <c r="AO94" s="52"/>
      <c r="AR94" s="52"/>
      <c r="AU94" s="52"/>
      <c r="AV94" s="52"/>
      <c r="AW94" s="55"/>
    </row>
    <row r="95" spans="1:49" ht="15.75" customHeight="1">
      <c r="A95" s="16">
        <v>21301</v>
      </c>
      <c r="B95" s="63" t="s">
        <v>101</v>
      </c>
      <c r="C95" s="64">
        <v>171600</v>
      </c>
      <c r="D95" s="64">
        <v>31312</v>
      </c>
      <c r="E95" s="65">
        <f t="shared" si="0"/>
        <v>5.4803270311701588</v>
      </c>
      <c r="F95" s="64">
        <v>171600</v>
      </c>
      <c r="G95" s="64">
        <v>31526.416666666668</v>
      </c>
      <c r="H95" s="65">
        <f t="shared" si="1"/>
        <v>5.4430543697481211</v>
      </c>
      <c r="I95" s="64">
        <v>0</v>
      </c>
      <c r="J95" s="64">
        <v>31740.833333333332</v>
      </c>
      <c r="K95" s="65">
        <f t="shared" si="2"/>
        <v>0</v>
      </c>
      <c r="L95" s="66">
        <f t="shared" si="3"/>
        <v>3.6411271336394271</v>
      </c>
      <c r="M95" s="67">
        <f t="shared" si="25"/>
        <v>114400</v>
      </c>
      <c r="N95" s="64">
        <v>200000</v>
      </c>
      <c r="O95" s="64">
        <v>33456.166666666664</v>
      </c>
      <c r="P95" s="68">
        <f t="shared" si="4"/>
        <v>5.9779711762156458</v>
      </c>
      <c r="Q95" s="69">
        <v>300000</v>
      </c>
      <c r="R95" s="64">
        <v>33670.583333333336</v>
      </c>
      <c r="S95" s="68">
        <f t="shared" si="5"/>
        <v>8.9098545466245263</v>
      </c>
      <c r="T95" s="64">
        <v>360000</v>
      </c>
      <c r="U95" s="64">
        <v>33885</v>
      </c>
      <c r="V95" s="68">
        <f t="shared" si="6"/>
        <v>10.624169986719787</v>
      </c>
      <c r="W95" s="70">
        <f t="shared" si="7"/>
        <v>8.5039985698533211</v>
      </c>
      <c r="X95" s="71">
        <f t="shared" si="8"/>
        <v>286666.66666666669</v>
      </c>
      <c r="AD95" s="52"/>
      <c r="AG95" s="52"/>
      <c r="AJ95" s="52"/>
      <c r="AK95" s="52"/>
      <c r="AL95" s="55"/>
      <c r="AO95" s="52"/>
      <c r="AR95" s="52"/>
      <c r="AU95" s="52"/>
      <c r="AV95" s="52"/>
      <c r="AW95" s="55"/>
    </row>
    <row r="96" spans="1:49" ht="15.75" customHeight="1">
      <c r="A96" s="16">
        <v>21302</v>
      </c>
      <c r="B96" s="63" t="s">
        <v>102</v>
      </c>
      <c r="C96" s="64">
        <v>0</v>
      </c>
      <c r="D96" s="64">
        <v>8903</v>
      </c>
      <c r="E96" s="65">
        <f t="shared" si="0"/>
        <v>0</v>
      </c>
      <c r="F96" s="64">
        <v>0</v>
      </c>
      <c r="G96" s="64">
        <v>8919.5833333333339</v>
      </c>
      <c r="H96" s="65">
        <f t="shared" si="1"/>
        <v>0</v>
      </c>
      <c r="I96" s="64">
        <v>0</v>
      </c>
      <c r="J96" s="64">
        <v>8936.1666666666661</v>
      </c>
      <c r="K96" s="65">
        <f t="shared" si="2"/>
        <v>0</v>
      </c>
      <c r="L96" s="66">
        <f t="shared" si="3"/>
        <v>0</v>
      </c>
      <c r="M96" s="67">
        <f t="shared" si="25"/>
        <v>0</v>
      </c>
      <c r="N96" s="64">
        <v>0</v>
      </c>
      <c r="O96" s="64">
        <v>9068.8333333333339</v>
      </c>
      <c r="P96" s="68">
        <f t="shared" si="4"/>
        <v>0</v>
      </c>
      <c r="Q96" s="69">
        <v>0</v>
      </c>
      <c r="R96" s="64">
        <v>9085.4166666666661</v>
      </c>
      <c r="S96" s="68">
        <f t="shared" si="5"/>
        <v>0</v>
      </c>
      <c r="T96" s="64">
        <v>0</v>
      </c>
      <c r="U96" s="64">
        <v>9102</v>
      </c>
      <c r="V96" s="68">
        <f t="shared" si="6"/>
        <v>0</v>
      </c>
      <c r="W96" s="70">
        <f t="shared" si="7"/>
        <v>0</v>
      </c>
      <c r="X96" s="71">
        <f t="shared" si="8"/>
        <v>0</v>
      </c>
      <c r="AD96" s="52"/>
      <c r="AG96" s="52"/>
      <c r="AJ96" s="52"/>
      <c r="AK96" s="52"/>
      <c r="AL96" s="55"/>
      <c r="AO96" s="52"/>
      <c r="AR96" s="52"/>
      <c r="AU96" s="52"/>
      <c r="AV96" s="52"/>
      <c r="AW96" s="55"/>
    </row>
    <row r="97" spans="1:49" ht="15.75" customHeight="1">
      <c r="A97" s="16">
        <v>21303</v>
      </c>
      <c r="B97" s="63" t="s">
        <v>103</v>
      </c>
      <c r="C97" s="64">
        <v>0</v>
      </c>
      <c r="D97" s="64">
        <v>7798</v>
      </c>
      <c r="E97" s="65">
        <f t="shared" si="0"/>
        <v>0</v>
      </c>
      <c r="F97" s="64">
        <v>0</v>
      </c>
      <c r="G97" s="64">
        <v>8086.333333333333</v>
      </c>
      <c r="H97" s="65">
        <f t="shared" si="1"/>
        <v>0</v>
      </c>
      <c r="I97" s="64">
        <v>0</v>
      </c>
      <c r="J97" s="64">
        <v>8374.6666666666661</v>
      </c>
      <c r="K97" s="65">
        <f t="shared" si="2"/>
        <v>0</v>
      </c>
      <c r="L97" s="66">
        <f t="shared" si="3"/>
        <v>0</v>
      </c>
      <c r="M97" s="67">
        <f t="shared" si="25"/>
        <v>0</v>
      </c>
      <c r="N97" s="64">
        <v>15000</v>
      </c>
      <c r="O97" s="64">
        <v>10681.333333333332</v>
      </c>
      <c r="P97" s="68">
        <f t="shared" si="4"/>
        <v>1.4043190612907255</v>
      </c>
      <c r="Q97" s="69">
        <v>15000</v>
      </c>
      <c r="R97" s="64">
        <v>10969.666666666666</v>
      </c>
      <c r="S97" s="68">
        <f t="shared" si="5"/>
        <v>1.3674070922847854</v>
      </c>
      <c r="T97" s="64">
        <v>15000</v>
      </c>
      <c r="U97" s="64">
        <v>11258</v>
      </c>
      <c r="V97" s="68">
        <f t="shared" si="6"/>
        <v>1.3323858589447504</v>
      </c>
      <c r="W97" s="70">
        <f t="shared" si="7"/>
        <v>1.3680373375067536</v>
      </c>
      <c r="X97" s="71">
        <f t="shared" si="8"/>
        <v>15000</v>
      </c>
      <c r="AD97" s="52"/>
      <c r="AG97" s="52"/>
      <c r="AJ97" s="52"/>
      <c r="AK97" s="52"/>
      <c r="AL97" s="55"/>
      <c r="AO97" s="52"/>
      <c r="AR97" s="52"/>
      <c r="AU97" s="52"/>
      <c r="AV97" s="52"/>
      <c r="AW97" s="55"/>
    </row>
    <row r="98" spans="1:49" ht="15.75" customHeight="1">
      <c r="A98" s="16">
        <v>21304</v>
      </c>
      <c r="B98" s="63" t="s">
        <v>104</v>
      </c>
      <c r="C98" s="64">
        <v>0</v>
      </c>
      <c r="D98" s="64">
        <v>12413</v>
      </c>
      <c r="E98" s="65">
        <f t="shared" si="0"/>
        <v>0</v>
      </c>
      <c r="F98" s="64">
        <v>0</v>
      </c>
      <c r="G98" s="64">
        <v>12655.833333333334</v>
      </c>
      <c r="H98" s="65">
        <f t="shared" si="1"/>
        <v>0</v>
      </c>
      <c r="I98" s="64">
        <v>0</v>
      </c>
      <c r="J98" s="64">
        <v>12898.666666666666</v>
      </c>
      <c r="K98" s="65">
        <f t="shared" si="2"/>
        <v>0</v>
      </c>
      <c r="L98" s="66">
        <f t="shared" si="3"/>
        <v>0</v>
      </c>
      <c r="M98" s="67">
        <f t="shared" si="25"/>
        <v>0</v>
      </c>
      <c r="N98" s="64">
        <v>20000</v>
      </c>
      <c r="O98" s="64">
        <v>14841.333333333334</v>
      </c>
      <c r="P98" s="68">
        <f t="shared" si="4"/>
        <v>1.3475878178061269</v>
      </c>
      <c r="Q98" s="69">
        <v>20000</v>
      </c>
      <c r="R98" s="64">
        <v>15084.166666666668</v>
      </c>
      <c r="S98" s="68">
        <f t="shared" si="5"/>
        <v>1.3258935970388375</v>
      </c>
      <c r="T98" s="64">
        <v>5000</v>
      </c>
      <c r="U98" s="64">
        <v>15327</v>
      </c>
      <c r="V98" s="68">
        <f t="shared" si="6"/>
        <v>0.3262217002675018</v>
      </c>
      <c r="W98" s="70">
        <f t="shared" si="7"/>
        <v>0.999901038370822</v>
      </c>
      <c r="X98" s="71">
        <f t="shared" si="8"/>
        <v>15000</v>
      </c>
      <c r="AD98" s="52"/>
      <c r="AG98" s="52"/>
      <c r="AJ98" s="52"/>
      <c r="AK98" s="52"/>
      <c r="AL98" s="55"/>
      <c r="AO98" s="52"/>
      <c r="AR98" s="52"/>
      <c r="AU98" s="52"/>
      <c r="AV98" s="52"/>
      <c r="AW98" s="55"/>
    </row>
    <row r="99" spans="1:49" ht="15.75" customHeight="1">
      <c r="A99" s="16">
        <v>21305</v>
      </c>
      <c r="B99" s="63" t="s">
        <v>105</v>
      </c>
      <c r="C99" s="64">
        <v>0</v>
      </c>
      <c r="D99" s="64">
        <v>22858</v>
      </c>
      <c r="E99" s="65">
        <f t="shared" si="0"/>
        <v>0</v>
      </c>
      <c r="F99" s="64">
        <v>414434</v>
      </c>
      <c r="G99" s="64">
        <v>23048.833333333332</v>
      </c>
      <c r="H99" s="65">
        <f t="shared" si="1"/>
        <v>17.980693165959231</v>
      </c>
      <c r="I99" s="64">
        <v>0</v>
      </c>
      <c r="J99" s="64">
        <v>23239.666666666668</v>
      </c>
      <c r="K99" s="65">
        <f t="shared" si="2"/>
        <v>0</v>
      </c>
      <c r="L99" s="66">
        <f t="shared" si="3"/>
        <v>5.9935643886530769</v>
      </c>
      <c r="M99" s="67">
        <f t="shared" si="25"/>
        <v>138144.66666666666</v>
      </c>
      <c r="N99" s="64">
        <v>700000</v>
      </c>
      <c r="O99" s="64">
        <v>24766.333333333332</v>
      </c>
      <c r="P99" s="68">
        <f t="shared" si="4"/>
        <v>28.264175830091926</v>
      </c>
      <c r="Q99" s="69">
        <v>903935</v>
      </c>
      <c r="R99" s="64">
        <v>24957.166666666668</v>
      </c>
      <c r="S99" s="68">
        <f t="shared" si="5"/>
        <v>36.219456001282197</v>
      </c>
      <c r="T99" s="64">
        <v>903935</v>
      </c>
      <c r="U99" s="64">
        <v>25148</v>
      </c>
      <c r="V99" s="68">
        <f t="shared" si="6"/>
        <v>35.94460792110705</v>
      </c>
      <c r="W99" s="70">
        <f t="shared" si="7"/>
        <v>33.476079917493728</v>
      </c>
      <c r="X99" s="71">
        <f t="shared" si="8"/>
        <v>835956.66666666663</v>
      </c>
      <c r="AD99" s="52"/>
      <c r="AG99" s="52"/>
      <c r="AJ99" s="52"/>
      <c r="AK99" s="52"/>
      <c r="AL99" s="55"/>
      <c r="AO99" s="52"/>
      <c r="AR99" s="52"/>
      <c r="AU99" s="52"/>
      <c r="AV99" s="52"/>
      <c r="AW99" s="55"/>
    </row>
    <row r="100" spans="1:49" ht="15.75" customHeight="1">
      <c r="A100" s="16">
        <v>21306</v>
      </c>
      <c r="B100" s="63" t="s">
        <v>106</v>
      </c>
      <c r="C100" s="64">
        <v>25000</v>
      </c>
      <c r="D100" s="64">
        <v>9879</v>
      </c>
      <c r="E100" s="65">
        <f t="shared" si="0"/>
        <v>2.5306205081485982</v>
      </c>
      <c r="F100" s="64">
        <v>50000</v>
      </c>
      <c r="G100" s="64">
        <v>10096.583333333334</v>
      </c>
      <c r="H100" s="65">
        <f t="shared" si="1"/>
        <v>4.9521702886289916</v>
      </c>
      <c r="I100" s="64">
        <v>0</v>
      </c>
      <c r="J100" s="64">
        <v>10314.166666666666</v>
      </c>
      <c r="K100" s="65">
        <f t="shared" si="2"/>
        <v>0</v>
      </c>
      <c r="L100" s="66">
        <f t="shared" si="3"/>
        <v>2.4942635989258632</v>
      </c>
      <c r="M100" s="67">
        <f t="shared" si="25"/>
        <v>25000</v>
      </c>
      <c r="N100" s="64">
        <v>20000</v>
      </c>
      <c r="O100" s="64">
        <v>12054.833333333334</v>
      </c>
      <c r="P100" s="68">
        <f t="shared" si="4"/>
        <v>1.6590855673381353</v>
      </c>
      <c r="Q100" s="69">
        <v>20000</v>
      </c>
      <c r="R100" s="64">
        <v>12272.416666666668</v>
      </c>
      <c r="S100" s="68">
        <f t="shared" si="5"/>
        <v>1.6296708743863269</v>
      </c>
      <c r="T100" s="64">
        <v>25000</v>
      </c>
      <c r="U100" s="64">
        <v>12490</v>
      </c>
      <c r="V100" s="68">
        <f t="shared" si="6"/>
        <v>2.0016012810248198</v>
      </c>
      <c r="W100" s="70">
        <f t="shared" si="7"/>
        <v>1.7634525742497607</v>
      </c>
      <c r="X100" s="71">
        <f t="shared" si="8"/>
        <v>21666.666666666668</v>
      </c>
      <c r="AD100" s="52"/>
      <c r="AG100" s="52"/>
      <c r="AJ100" s="52"/>
      <c r="AK100" s="52"/>
      <c r="AL100" s="55"/>
      <c r="AO100" s="52"/>
      <c r="AR100" s="52"/>
      <c r="AU100" s="52"/>
      <c r="AV100" s="52"/>
      <c r="AW100" s="55"/>
    </row>
    <row r="101" spans="1:49" ht="15.75" customHeight="1">
      <c r="A101" s="16">
        <v>21307</v>
      </c>
      <c r="B101" s="63" t="s">
        <v>107</v>
      </c>
      <c r="C101" s="64">
        <v>1700</v>
      </c>
      <c r="D101" s="64">
        <v>5042</v>
      </c>
      <c r="E101" s="65">
        <f t="shared" si="0"/>
        <v>0.33716779055930185</v>
      </c>
      <c r="F101" s="64">
        <v>15000</v>
      </c>
      <c r="G101" s="64">
        <v>5082.333333333333</v>
      </c>
      <c r="H101" s="65">
        <f t="shared" si="1"/>
        <v>2.9514002754640258</v>
      </c>
      <c r="I101" s="64">
        <v>0</v>
      </c>
      <c r="J101" s="64">
        <v>5122.666666666667</v>
      </c>
      <c r="K101" s="65">
        <f t="shared" si="2"/>
        <v>0</v>
      </c>
      <c r="L101" s="66">
        <f t="shared" si="3"/>
        <v>1.0961893553411093</v>
      </c>
      <c r="M101" s="67">
        <f t="shared" si="25"/>
        <v>5566.666666666667</v>
      </c>
      <c r="N101" s="64">
        <v>77492</v>
      </c>
      <c r="O101" s="64">
        <v>5445.333333333333</v>
      </c>
      <c r="P101" s="68">
        <f t="shared" si="4"/>
        <v>14.230901077375123</v>
      </c>
      <c r="Q101" s="69">
        <v>85000</v>
      </c>
      <c r="R101" s="64">
        <v>5485.666666666667</v>
      </c>
      <c r="S101" s="68">
        <f t="shared" si="5"/>
        <v>15.494926171234125</v>
      </c>
      <c r="T101" s="64">
        <v>60688</v>
      </c>
      <c r="U101" s="64">
        <v>5526</v>
      </c>
      <c r="V101" s="68">
        <f t="shared" si="6"/>
        <v>10.982265653275425</v>
      </c>
      <c r="W101" s="70">
        <f t="shared" si="7"/>
        <v>13.569364300628225</v>
      </c>
      <c r="X101" s="71">
        <f t="shared" si="8"/>
        <v>74393.333333333328</v>
      </c>
      <c r="AD101" s="52"/>
      <c r="AG101" s="52"/>
      <c r="AJ101" s="52"/>
      <c r="AK101" s="52"/>
      <c r="AL101" s="55"/>
      <c r="AO101" s="52"/>
      <c r="AR101" s="52"/>
      <c r="AU101" s="52"/>
      <c r="AV101" s="52"/>
      <c r="AW101" s="55"/>
    </row>
    <row r="102" spans="1:49" ht="15.75" customHeight="1">
      <c r="A102" s="16">
        <v>21401</v>
      </c>
      <c r="B102" s="63" t="s">
        <v>108</v>
      </c>
      <c r="C102" s="64">
        <v>150000</v>
      </c>
      <c r="D102" s="64">
        <v>19397</v>
      </c>
      <c r="E102" s="65">
        <f t="shared" si="0"/>
        <v>7.7331546115378664</v>
      </c>
      <c r="F102" s="64">
        <v>270000</v>
      </c>
      <c r="G102" s="64">
        <v>20089.833333333332</v>
      </c>
      <c r="H102" s="65">
        <f t="shared" si="1"/>
        <v>13.439633645542107</v>
      </c>
      <c r="I102" s="64">
        <v>0</v>
      </c>
      <c r="J102" s="64">
        <v>20782.666666666668</v>
      </c>
      <c r="K102" s="65">
        <f t="shared" si="2"/>
        <v>0</v>
      </c>
      <c r="L102" s="66">
        <f t="shared" si="3"/>
        <v>7.0575960856933238</v>
      </c>
      <c r="M102" s="67">
        <f t="shared" si="25"/>
        <v>140000</v>
      </c>
      <c r="N102" s="64">
        <v>550000</v>
      </c>
      <c r="O102" s="64">
        <v>26325.333333333336</v>
      </c>
      <c r="P102" s="68">
        <f t="shared" si="4"/>
        <v>20.892423014586708</v>
      </c>
      <c r="Q102" s="69">
        <v>676137</v>
      </c>
      <c r="R102" s="64">
        <v>27018.166666666668</v>
      </c>
      <c r="S102" s="68">
        <f t="shared" si="5"/>
        <v>25.025273118704082</v>
      </c>
      <c r="T102" s="64">
        <v>0</v>
      </c>
      <c r="U102" s="64">
        <v>27711</v>
      </c>
      <c r="V102" s="68">
        <f t="shared" si="6"/>
        <v>0</v>
      </c>
      <c r="W102" s="70">
        <f t="shared" si="7"/>
        <v>15.30589871109693</v>
      </c>
      <c r="X102" s="71">
        <f t="shared" si="8"/>
        <v>408712.33333333331</v>
      </c>
      <c r="AD102" s="52"/>
      <c r="AG102" s="52"/>
      <c r="AJ102" s="52"/>
      <c r="AK102" s="52"/>
      <c r="AL102" s="55"/>
      <c r="AO102" s="52"/>
      <c r="AR102" s="52"/>
      <c r="AU102" s="52"/>
      <c r="AV102" s="52"/>
      <c r="AW102" s="55"/>
    </row>
    <row r="103" spans="1:49" ht="15.75" customHeight="1">
      <c r="A103" s="16">
        <v>21402</v>
      </c>
      <c r="B103" s="63" t="s">
        <v>109</v>
      </c>
      <c r="C103" s="64">
        <v>80000</v>
      </c>
      <c r="D103" s="64">
        <v>16930</v>
      </c>
      <c r="E103" s="65">
        <f t="shared" si="0"/>
        <v>4.7253396337861782</v>
      </c>
      <c r="F103" s="64">
        <v>100000</v>
      </c>
      <c r="G103" s="64">
        <v>17480</v>
      </c>
      <c r="H103" s="65">
        <f t="shared" si="1"/>
        <v>5.7208237986270021</v>
      </c>
      <c r="I103" s="64">
        <v>0</v>
      </c>
      <c r="J103" s="64">
        <v>18030</v>
      </c>
      <c r="K103" s="65">
        <f t="shared" si="2"/>
        <v>0</v>
      </c>
      <c r="L103" s="66">
        <f t="shared" si="3"/>
        <v>3.4820544774710598</v>
      </c>
      <c r="M103" s="67">
        <f t="shared" si="25"/>
        <v>60000</v>
      </c>
      <c r="N103" s="64">
        <v>210000</v>
      </c>
      <c r="O103" s="64">
        <v>22430</v>
      </c>
      <c r="P103" s="68">
        <f t="shared" si="4"/>
        <v>9.3624609897458768</v>
      </c>
      <c r="Q103" s="69">
        <v>220000</v>
      </c>
      <c r="R103" s="64">
        <v>22980</v>
      </c>
      <c r="S103" s="68">
        <f t="shared" si="5"/>
        <v>9.5735422106179282</v>
      </c>
      <c r="T103" s="64">
        <v>230000</v>
      </c>
      <c r="U103" s="64">
        <v>23530</v>
      </c>
      <c r="V103" s="68">
        <f t="shared" si="6"/>
        <v>9.7747556311092225</v>
      </c>
      <c r="W103" s="70">
        <f t="shared" si="7"/>
        <v>9.5702529438243431</v>
      </c>
      <c r="X103" s="71">
        <f t="shared" si="8"/>
        <v>220000</v>
      </c>
      <c r="AD103" s="52"/>
      <c r="AG103" s="52"/>
      <c r="AJ103" s="52"/>
      <c r="AK103" s="52"/>
      <c r="AL103" s="55"/>
      <c r="AO103" s="52"/>
      <c r="AR103" s="52"/>
      <c r="AU103" s="52"/>
      <c r="AV103" s="52"/>
      <c r="AW103" s="55"/>
    </row>
    <row r="104" spans="1:49" ht="15.75" customHeight="1">
      <c r="A104" s="16">
        <v>21501</v>
      </c>
      <c r="B104" s="63" t="s">
        <v>110</v>
      </c>
      <c r="C104" s="64">
        <v>0</v>
      </c>
      <c r="D104" s="64">
        <v>9362</v>
      </c>
      <c r="E104" s="65">
        <f t="shared" si="0"/>
        <v>0</v>
      </c>
      <c r="F104" s="64">
        <v>75000</v>
      </c>
      <c r="G104" s="64">
        <v>9631.4166666666661</v>
      </c>
      <c r="H104" s="65">
        <f t="shared" si="1"/>
        <v>7.7870164479091866</v>
      </c>
      <c r="I104" s="64">
        <v>0</v>
      </c>
      <c r="J104" s="64">
        <v>9900.8333333333339</v>
      </c>
      <c r="K104" s="65">
        <f t="shared" si="2"/>
        <v>0</v>
      </c>
      <c r="L104" s="66">
        <f t="shared" si="3"/>
        <v>2.5956721493030623</v>
      </c>
      <c r="M104" s="67">
        <f t="shared" si="25"/>
        <v>25000</v>
      </c>
      <c r="N104" s="64">
        <v>197176</v>
      </c>
      <c r="O104" s="64">
        <v>12056.166666666668</v>
      </c>
      <c r="P104" s="68">
        <f t="shared" si="4"/>
        <v>16.354783858882726</v>
      </c>
      <c r="Q104" s="69">
        <v>222000</v>
      </c>
      <c r="R104" s="64">
        <v>12325.583333333334</v>
      </c>
      <c r="S104" s="68">
        <f t="shared" si="5"/>
        <v>18.011317922748752</v>
      </c>
      <c r="T104" s="64">
        <v>332000</v>
      </c>
      <c r="U104" s="64">
        <v>12595</v>
      </c>
      <c r="V104" s="68">
        <f t="shared" si="6"/>
        <v>26.359666534339024</v>
      </c>
      <c r="W104" s="70">
        <f t="shared" si="7"/>
        <v>20.241922771990165</v>
      </c>
      <c r="X104" s="71">
        <f t="shared" si="8"/>
        <v>250392</v>
      </c>
      <c r="AD104" s="52"/>
      <c r="AG104" s="52"/>
      <c r="AJ104" s="52"/>
      <c r="AK104" s="52"/>
      <c r="AL104" s="55"/>
      <c r="AO104" s="52"/>
      <c r="AR104" s="52"/>
      <c r="AU104" s="52"/>
      <c r="AV104" s="52"/>
      <c r="AW104" s="55"/>
    </row>
    <row r="105" spans="1:49" ht="15.75" customHeight="1">
      <c r="A105" s="16">
        <v>21502</v>
      </c>
      <c r="B105" s="63" t="s">
        <v>111</v>
      </c>
      <c r="C105" s="64">
        <v>154000</v>
      </c>
      <c r="D105" s="64">
        <v>8711</v>
      </c>
      <c r="E105" s="65">
        <f t="shared" si="0"/>
        <v>17.678796923430145</v>
      </c>
      <c r="F105" s="64">
        <v>0</v>
      </c>
      <c r="G105" s="64">
        <v>8827.1666666666661</v>
      </c>
      <c r="H105" s="65">
        <f t="shared" si="1"/>
        <v>0</v>
      </c>
      <c r="I105" s="64">
        <v>0</v>
      </c>
      <c r="J105" s="64">
        <v>8943.3333333333339</v>
      </c>
      <c r="K105" s="65">
        <f t="shared" si="2"/>
        <v>0</v>
      </c>
      <c r="L105" s="66">
        <f t="shared" si="3"/>
        <v>5.8929323078100486</v>
      </c>
      <c r="M105" s="67">
        <f t="shared" si="25"/>
        <v>51333.333333333336</v>
      </c>
      <c r="N105" s="64">
        <v>216000</v>
      </c>
      <c r="O105" s="64">
        <v>9872.6666666666661</v>
      </c>
      <c r="P105" s="68">
        <f t="shared" si="4"/>
        <v>21.878587345533123</v>
      </c>
      <c r="Q105" s="69">
        <v>196000</v>
      </c>
      <c r="R105" s="64">
        <v>9988.8333333333339</v>
      </c>
      <c r="S105" s="68">
        <f t="shared" si="5"/>
        <v>19.621911134099744</v>
      </c>
      <c r="T105" s="64">
        <v>160500</v>
      </c>
      <c r="U105" s="64">
        <v>10105</v>
      </c>
      <c r="V105" s="68">
        <f t="shared" si="6"/>
        <v>15.883226125680356</v>
      </c>
      <c r="W105" s="70">
        <f t="shared" si="7"/>
        <v>19.127908201771074</v>
      </c>
      <c r="X105" s="71">
        <f t="shared" si="8"/>
        <v>190833.33333333334</v>
      </c>
      <c r="AD105" s="52"/>
      <c r="AG105" s="52"/>
      <c r="AJ105" s="52"/>
      <c r="AK105" s="52"/>
      <c r="AL105" s="55"/>
      <c r="AO105" s="52"/>
      <c r="AR105" s="52"/>
      <c r="AU105" s="52"/>
      <c r="AV105" s="52"/>
      <c r="AW105" s="55"/>
    </row>
    <row r="106" spans="1:49" ht="15.75" customHeight="1">
      <c r="A106" s="16">
        <v>21601</v>
      </c>
      <c r="B106" s="63" t="s">
        <v>112</v>
      </c>
      <c r="C106" s="64">
        <v>53000</v>
      </c>
      <c r="D106" s="64">
        <v>13023</v>
      </c>
      <c r="E106" s="65">
        <f t="shared" si="0"/>
        <v>4.0697227981263921</v>
      </c>
      <c r="F106" s="64">
        <v>0</v>
      </c>
      <c r="G106" s="64">
        <v>13251.333333333334</v>
      </c>
      <c r="H106" s="65">
        <f t="shared" si="1"/>
        <v>0</v>
      </c>
      <c r="I106" s="64">
        <v>0</v>
      </c>
      <c r="J106" s="64">
        <v>13479.666666666666</v>
      </c>
      <c r="K106" s="65">
        <f t="shared" si="2"/>
        <v>0</v>
      </c>
      <c r="L106" s="66">
        <f t="shared" si="3"/>
        <v>1.3565742660421307</v>
      </c>
      <c r="M106" s="67">
        <f t="shared" si="25"/>
        <v>17666.666666666668</v>
      </c>
      <c r="N106" s="64">
        <v>60968</v>
      </c>
      <c r="O106" s="64">
        <v>15306.333333333334</v>
      </c>
      <c r="P106" s="68">
        <f t="shared" si="4"/>
        <v>3.9831877871904875</v>
      </c>
      <c r="Q106" s="69">
        <v>54000</v>
      </c>
      <c r="R106" s="64">
        <v>15534.666666666668</v>
      </c>
      <c r="S106" s="68">
        <f t="shared" si="5"/>
        <v>3.4760964724058017</v>
      </c>
      <c r="T106" s="64">
        <v>56688</v>
      </c>
      <c r="U106" s="64">
        <v>15763</v>
      </c>
      <c r="V106" s="68">
        <f t="shared" si="6"/>
        <v>3.5962697456068007</v>
      </c>
      <c r="W106" s="70">
        <f t="shared" si="7"/>
        <v>3.6851846684010301</v>
      </c>
      <c r="X106" s="71">
        <f t="shared" si="8"/>
        <v>57218.666666666664</v>
      </c>
      <c r="AD106" s="52"/>
      <c r="AG106" s="52"/>
      <c r="AJ106" s="52"/>
      <c r="AK106" s="52"/>
      <c r="AL106" s="55"/>
      <c r="AO106" s="52"/>
      <c r="AR106" s="52"/>
      <c r="AU106" s="52"/>
      <c r="AV106" s="52"/>
      <c r="AW106" s="55"/>
    </row>
    <row r="107" spans="1:49" ht="15.75" customHeight="1">
      <c r="A107" s="16">
        <v>21602</v>
      </c>
      <c r="B107" s="63" t="s">
        <v>113</v>
      </c>
      <c r="C107" s="64">
        <v>0</v>
      </c>
      <c r="D107" s="64">
        <v>3285</v>
      </c>
      <c r="E107" s="65">
        <f t="shared" si="0"/>
        <v>0</v>
      </c>
      <c r="F107" s="64">
        <v>0</v>
      </c>
      <c r="G107" s="64">
        <v>3562.1666666666665</v>
      </c>
      <c r="H107" s="65">
        <f t="shared" si="1"/>
        <v>0</v>
      </c>
      <c r="I107" s="64">
        <v>0</v>
      </c>
      <c r="J107" s="64">
        <v>3839.3333333333335</v>
      </c>
      <c r="K107" s="65">
        <f t="shared" si="2"/>
        <v>0</v>
      </c>
      <c r="L107" s="66">
        <f t="shared" si="3"/>
        <v>0</v>
      </c>
      <c r="M107" s="67">
        <f t="shared" si="25"/>
        <v>0</v>
      </c>
      <c r="N107" s="64">
        <v>5000</v>
      </c>
      <c r="O107" s="64">
        <v>6056.666666666667</v>
      </c>
      <c r="P107" s="68">
        <f t="shared" si="4"/>
        <v>0.82553659878921293</v>
      </c>
      <c r="Q107" s="69">
        <v>5000</v>
      </c>
      <c r="R107" s="64">
        <v>6333.8333333333339</v>
      </c>
      <c r="S107" s="68">
        <f t="shared" si="5"/>
        <v>0.78941136226087405</v>
      </c>
      <c r="T107" s="64">
        <v>10000</v>
      </c>
      <c r="U107" s="64">
        <v>6611</v>
      </c>
      <c r="V107" s="68">
        <f t="shared" si="6"/>
        <v>1.5126304643775526</v>
      </c>
      <c r="W107" s="70">
        <f t="shared" si="7"/>
        <v>1.0425261418092131</v>
      </c>
      <c r="X107" s="71">
        <f t="shared" si="8"/>
        <v>6666.666666666667</v>
      </c>
      <c r="AD107" s="52"/>
      <c r="AG107" s="52"/>
      <c r="AJ107" s="52"/>
      <c r="AK107" s="52"/>
      <c r="AL107" s="55"/>
      <c r="AO107" s="52"/>
      <c r="AR107" s="52"/>
      <c r="AU107" s="52"/>
      <c r="AV107" s="52"/>
      <c r="AW107" s="55"/>
    </row>
    <row r="108" spans="1:49" ht="15.75" customHeight="1">
      <c r="A108" s="16">
        <v>21701</v>
      </c>
      <c r="B108" s="63" t="s">
        <v>114</v>
      </c>
      <c r="C108" s="64">
        <v>310102</v>
      </c>
      <c r="D108" s="64">
        <v>14931</v>
      </c>
      <c r="E108" s="65">
        <f t="shared" si="0"/>
        <v>20.76900408545978</v>
      </c>
      <c r="F108" s="64">
        <v>160000</v>
      </c>
      <c r="G108" s="64">
        <v>15142</v>
      </c>
      <c r="H108" s="65">
        <f t="shared" si="1"/>
        <v>10.566635847312112</v>
      </c>
      <c r="I108" s="64">
        <v>160103</v>
      </c>
      <c r="J108" s="64">
        <v>15353</v>
      </c>
      <c r="K108" s="65">
        <f t="shared" si="2"/>
        <v>10.428124796456718</v>
      </c>
      <c r="L108" s="66">
        <f t="shared" si="3"/>
        <v>13.921254909742871</v>
      </c>
      <c r="M108" s="67">
        <f t="shared" si="25"/>
        <v>210068.33333333334</v>
      </c>
      <c r="N108" s="64">
        <v>250000</v>
      </c>
      <c r="O108" s="64">
        <v>17041</v>
      </c>
      <c r="P108" s="68">
        <f t="shared" si="4"/>
        <v>14.670500557479022</v>
      </c>
      <c r="Q108" s="69">
        <v>300000</v>
      </c>
      <c r="R108" s="64">
        <v>17252</v>
      </c>
      <c r="S108" s="68">
        <f t="shared" si="5"/>
        <v>17.389288198469742</v>
      </c>
      <c r="T108" s="64">
        <v>410000</v>
      </c>
      <c r="U108" s="64">
        <v>17463</v>
      </c>
      <c r="V108" s="68">
        <f t="shared" si="6"/>
        <v>23.478211074843955</v>
      </c>
      <c r="W108" s="70">
        <f t="shared" si="7"/>
        <v>18.51266661026424</v>
      </c>
      <c r="X108" s="71">
        <f t="shared" si="8"/>
        <v>320000</v>
      </c>
      <c r="AD108" s="52"/>
      <c r="AG108" s="52"/>
      <c r="AJ108" s="52"/>
      <c r="AK108" s="52"/>
      <c r="AL108" s="55"/>
      <c r="AO108" s="52"/>
      <c r="AR108" s="52"/>
      <c r="AU108" s="52"/>
      <c r="AV108" s="52"/>
      <c r="AW108" s="55"/>
    </row>
    <row r="109" spans="1:49" ht="15.75" customHeight="1">
      <c r="A109" s="16">
        <v>21702</v>
      </c>
      <c r="B109" s="63" t="s">
        <v>115</v>
      </c>
      <c r="C109" s="64">
        <v>1244497</v>
      </c>
      <c r="D109" s="64">
        <v>6052</v>
      </c>
      <c r="E109" s="65">
        <f t="shared" si="0"/>
        <v>205.63400528750827</v>
      </c>
      <c r="F109" s="64">
        <v>20000</v>
      </c>
      <c r="G109" s="64">
        <v>6311.333333333333</v>
      </c>
      <c r="H109" s="65">
        <f t="shared" si="1"/>
        <v>3.1689025034329781</v>
      </c>
      <c r="I109" s="64">
        <v>1243749</v>
      </c>
      <c r="J109" s="64">
        <v>6570.666666666667</v>
      </c>
      <c r="K109" s="65">
        <f t="shared" si="2"/>
        <v>189.28809862012986</v>
      </c>
      <c r="L109" s="66">
        <f t="shared" si="3"/>
        <v>132.6970021370237</v>
      </c>
      <c r="M109" s="67">
        <f t="shared" si="25"/>
        <v>836082</v>
      </c>
      <c r="N109" s="64">
        <v>68200</v>
      </c>
      <c r="O109" s="64">
        <v>8645.3333333333321</v>
      </c>
      <c r="P109" s="68">
        <f t="shared" si="4"/>
        <v>7.8886489821098102</v>
      </c>
      <c r="Q109" s="69">
        <v>70000</v>
      </c>
      <c r="R109" s="64">
        <v>8904.6666666666661</v>
      </c>
      <c r="S109" s="68">
        <f t="shared" si="5"/>
        <v>7.861046642210078</v>
      </c>
      <c r="T109" s="64">
        <v>70000</v>
      </c>
      <c r="U109" s="64">
        <v>9164</v>
      </c>
      <c r="V109" s="68">
        <f t="shared" si="6"/>
        <v>7.6385857704059363</v>
      </c>
      <c r="W109" s="70">
        <f t="shared" si="7"/>
        <v>7.7960937982419409</v>
      </c>
      <c r="X109" s="71">
        <f t="shared" si="8"/>
        <v>69400</v>
      </c>
      <c r="AD109" s="52"/>
      <c r="AG109" s="52"/>
      <c r="AJ109" s="52"/>
      <c r="AK109" s="52"/>
      <c r="AL109" s="55"/>
      <c r="AO109" s="52"/>
      <c r="AR109" s="52"/>
      <c r="AU109" s="52"/>
      <c r="AV109" s="52"/>
      <c r="AW109" s="55"/>
    </row>
    <row r="110" spans="1:49" ht="15.75" customHeight="1">
      <c r="A110" s="16">
        <v>21703</v>
      </c>
      <c r="B110" s="63" t="s">
        <v>116</v>
      </c>
      <c r="C110" s="64">
        <v>15000</v>
      </c>
      <c r="D110" s="64">
        <v>6261</v>
      </c>
      <c r="E110" s="65">
        <f t="shared" si="0"/>
        <v>2.3957834211787254</v>
      </c>
      <c r="F110" s="64">
        <v>10000</v>
      </c>
      <c r="G110" s="64">
        <v>6366.333333333333</v>
      </c>
      <c r="H110" s="65">
        <f t="shared" si="1"/>
        <v>1.5707628671658203</v>
      </c>
      <c r="I110" s="64">
        <v>0</v>
      </c>
      <c r="J110" s="64">
        <v>6471.666666666667</v>
      </c>
      <c r="K110" s="65">
        <f t="shared" si="2"/>
        <v>0</v>
      </c>
      <c r="L110" s="66">
        <f t="shared" si="3"/>
        <v>1.3221820961148485</v>
      </c>
      <c r="M110" s="67">
        <f t="shared" si="25"/>
        <v>8333.3333333333339</v>
      </c>
      <c r="N110" s="64">
        <v>57916</v>
      </c>
      <c r="O110" s="64">
        <v>7314.333333333333</v>
      </c>
      <c r="P110" s="68">
        <f t="shared" si="4"/>
        <v>7.9181515745340203</v>
      </c>
      <c r="Q110" s="69">
        <v>57916</v>
      </c>
      <c r="R110" s="64">
        <v>7419.6666666666661</v>
      </c>
      <c r="S110" s="68">
        <f t="shared" si="5"/>
        <v>7.8057414978211064</v>
      </c>
      <c r="T110" s="64">
        <v>57916</v>
      </c>
      <c r="U110" s="64">
        <v>7525</v>
      </c>
      <c r="V110" s="68">
        <f t="shared" si="6"/>
        <v>7.6964784053156148</v>
      </c>
      <c r="W110" s="70">
        <f t="shared" si="7"/>
        <v>7.8067904925569138</v>
      </c>
      <c r="X110" s="71">
        <f t="shared" si="8"/>
        <v>57916</v>
      </c>
      <c r="AD110" s="52"/>
      <c r="AG110" s="52"/>
      <c r="AJ110" s="52"/>
      <c r="AK110" s="52"/>
      <c r="AL110" s="55"/>
      <c r="AO110" s="52"/>
      <c r="AR110" s="52"/>
      <c r="AU110" s="52"/>
      <c r="AV110" s="52"/>
      <c r="AW110" s="55"/>
    </row>
    <row r="111" spans="1:49" ht="15.75" customHeight="1">
      <c r="A111" s="16">
        <v>21801</v>
      </c>
      <c r="B111" s="63" t="s">
        <v>117</v>
      </c>
      <c r="C111" s="64">
        <v>18991</v>
      </c>
      <c r="D111" s="64">
        <v>8858</v>
      </c>
      <c r="E111" s="65">
        <f t="shared" si="0"/>
        <v>2.1439376834499888</v>
      </c>
      <c r="F111" s="64">
        <v>0</v>
      </c>
      <c r="G111" s="64">
        <v>8887.9166666666661</v>
      </c>
      <c r="H111" s="65">
        <f t="shared" si="1"/>
        <v>0</v>
      </c>
      <c r="I111" s="64">
        <v>0</v>
      </c>
      <c r="J111" s="64">
        <v>8917.8333333333339</v>
      </c>
      <c r="K111" s="65">
        <f t="shared" si="2"/>
        <v>0</v>
      </c>
      <c r="L111" s="66">
        <f t="shared" si="3"/>
        <v>0.7146458944833296</v>
      </c>
      <c r="M111" s="67">
        <f t="shared" si="25"/>
        <v>6330.333333333333</v>
      </c>
      <c r="N111" s="64">
        <v>0</v>
      </c>
      <c r="O111" s="64">
        <v>9157.1666666666661</v>
      </c>
      <c r="P111" s="68">
        <f t="shared" si="4"/>
        <v>0</v>
      </c>
      <c r="Q111" s="69">
        <v>20000</v>
      </c>
      <c r="R111" s="64">
        <v>9187.0833333333339</v>
      </c>
      <c r="S111" s="68">
        <f t="shared" si="5"/>
        <v>2.17696947707379</v>
      </c>
      <c r="T111" s="64">
        <v>0</v>
      </c>
      <c r="U111" s="64">
        <v>9217</v>
      </c>
      <c r="V111" s="68">
        <f t="shared" si="6"/>
        <v>0</v>
      </c>
      <c r="W111" s="70">
        <f t="shared" si="7"/>
        <v>0.72565649235792995</v>
      </c>
      <c r="X111" s="71">
        <f t="shared" si="8"/>
        <v>6666.666666666667</v>
      </c>
      <c r="AD111" s="52"/>
      <c r="AG111" s="52"/>
      <c r="AJ111" s="52"/>
      <c r="AK111" s="52"/>
      <c r="AL111" s="55"/>
      <c r="AO111" s="52"/>
      <c r="AR111" s="52"/>
      <c r="AU111" s="52"/>
      <c r="AV111" s="52"/>
      <c r="AW111" s="55"/>
    </row>
    <row r="112" spans="1:49" ht="15.75" customHeight="1">
      <c r="A112" s="16">
        <v>21802</v>
      </c>
      <c r="B112" s="63" t="s">
        <v>118</v>
      </c>
      <c r="C112" s="64">
        <v>0</v>
      </c>
      <c r="D112" s="64">
        <v>7003</v>
      </c>
      <c r="E112" s="65">
        <f t="shared" si="0"/>
        <v>0</v>
      </c>
      <c r="F112" s="64">
        <v>0</v>
      </c>
      <c r="G112" s="64">
        <v>6973.5</v>
      </c>
      <c r="H112" s="65">
        <f t="shared" si="1"/>
        <v>0</v>
      </c>
      <c r="I112" s="64">
        <v>0</v>
      </c>
      <c r="J112" s="64">
        <v>6944</v>
      </c>
      <c r="K112" s="65">
        <f t="shared" si="2"/>
        <v>0</v>
      </c>
      <c r="L112" s="66">
        <f t="shared" si="3"/>
        <v>0</v>
      </c>
      <c r="M112" s="67">
        <f t="shared" si="25"/>
        <v>0</v>
      </c>
      <c r="N112" s="64">
        <v>102000</v>
      </c>
      <c r="O112" s="64">
        <v>6708</v>
      </c>
      <c r="P112" s="68">
        <f t="shared" si="4"/>
        <v>15.205724508050089</v>
      </c>
      <c r="Q112" s="69">
        <v>108480</v>
      </c>
      <c r="R112" s="64">
        <v>6678.5</v>
      </c>
      <c r="S112" s="68">
        <f t="shared" si="5"/>
        <v>16.243168376132363</v>
      </c>
      <c r="T112" s="64">
        <v>108480</v>
      </c>
      <c r="U112" s="64">
        <v>6649</v>
      </c>
      <c r="V112" s="68">
        <f t="shared" si="6"/>
        <v>16.315235373740411</v>
      </c>
      <c r="W112" s="70">
        <f t="shared" si="7"/>
        <v>15.921376085974288</v>
      </c>
      <c r="X112" s="71">
        <f t="shared" si="8"/>
        <v>106320</v>
      </c>
      <c r="AD112" s="52"/>
      <c r="AG112" s="52"/>
      <c r="AJ112" s="52"/>
      <c r="AK112" s="52"/>
      <c r="AL112" s="55"/>
      <c r="AO112" s="52"/>
      <c r="AR112" s="52"/>
      <c r="AU112" s="52"/>
      <c r="AV112" s="52"/>
      <c r="AW112" s="55"/>
    </row>
    <row r="113" spans="1:49" ht="15.75" customHeight="1">
      <c r="A113" s="16">
        <v>21803</v>
      </c>
      <c r="B113" s="63" t="s">
        <v>119</v>
      </c>
      <c r="C113" s="64">
        <v>0</v>
      </c>
      <c r="D113" s="64">
        <v>2004</v>
      </c>
      <c r="E113" s="65">
        <f t="shared" si="0"/>
        <v>0</v>
      </c>
      <c r="F113" s="64">
        <v>0</v>
      </c>
      <c r="G113" s="64">
        <v>2008</v>
      </c>
      <c r="H113" s="65">
        <f t="shared" si="1"/>
        <v>0</v>
      </c>
      <c r="I113" s="64">
        <v>0</v>
      </c>
      <c r="J113" s="64">
        <v>2012</v>
      </c>
      <c r="K113" s="65">
        <f t="shared" si="2"/>
        <v>0</v>
      </c>
      <c r="L113" s="66">
        <f t="shared" si="3"/>
        <v>0</v>
      </c>
      <c r="M113" s="67">
        <f t="shared" si="25"/>
        <v>0</v>
      </c>
      <c r="N113" s="64">
        <v>11600</v>
      </c>
      <c r="O113" s="64">
        <v>2044</v>
      </c>
      <c r="P113" s="68">
        <f t="shared" si="4"/>
        <v>5.6751467710371823</v>
      </c>
      <c r="Q113" s="69">
        <v>14500</v>
      </c>
      <c r="R113" s="64">
        <v>2048</v>
      </c>
      <c r="S113" s="68">
        <f t="shared" si="5"/>
        <v>7.080078125</v>
      </c>
      <c r="T113" s="64">
        <v>15300</v>
      </c>
      <c r="U113" s="64">
        <v>2052</v>
      </c>
      <c r="V113" s="68">
        <f t="shared" si="6"/>
        <v>7.4561403508771926</v>
      </c>
      <c r="W113" s="70">
        <f t="shared" si="7"/>
        <v>6.7371217489714583</v>
      </c>
      <c r="X113" s="71">
        <f t="shared" si="8"/>
        <v>13800</v>
      </c>
      <c r="AD113" s="52"/>
      <c r="AG113" s="52"/>
      <c r="AJ113" s="52"/>
      <c r="AK113" s="52"/>
      <c r="AL113" s="55"/>
      <c r="AO113" s="52"/>
      <c r="AR113" s="52"/>
      <c r="AU113" s="52"/>
      <c r="AV113" s="52"/>
      <c r="AW113" s="55"/>
    </row>
    <row r="114" spans="1:49" ht="15.75" customHeight="1">
      <c r="A114" s="16">
        <v>21901</v>
      </c>
      <c r="B114" s="63" t="s">
        <v>120</v>
      </c>
      <c r="C114" s="64">
        <v>0</v>
      </c>
      <c r="D114" s="64">
        <v>4593</v>
      </c>
      <c r="E114" s="65">
        <f t="shared" si="0"/>
        <v>0</v>
      </c>
      <c r="F114" s="64">
        <v>0</v>
      </c>
      <c r="G114" s="64">
        <v>4777.333333333333</v>
      </c>
      <c r="H114" s="65">
        <f t="shared" si="1"/>
        <v>0</v>
      </c>
      <c r="I114" s="64">
        <v>0</v>
      </c>
      <c r="J114" s="64">
        <v>4961.666666666667</v>
      </c>
      <c r="K114" s="65">
        <f t="shared" si="2"/>
        <v>0</v>
      </c>
      <c r="L114" s="66">
        <f t="shared" si="3"/>
        <v>0</v>
      </c>
      <c r="M114" s="67">
        <f t="shared" si="25"/>
        <v>0</v>
      </c>
      <c r="N114" s="64">
        <v>30000</v>
      </c>
      <c r="O114" s="64">
        <v>6436.3333333333339</v>
      </c>
      <c r="P114" s="68">
        <f t="shared" si="4"/>
        <v>4.6610388937801019</v>
      </c>
      <c r="Q114" s="69">
        <v>30000</v>
      </c>
      <c r="R114" s="64">
        <v>6620.666666666667</v>
      </c>
      <c r="S114" s="68">
        <f t="shared" si="5"/>
        <v>4.5312657335615745</v>
      </c>
      <c r="T114" s="64">
        <v>40000</v>
      </c>
      <c r="U114" s="64">
        <v>6805</v>
      </c>
      <c r="V114" s="68">
        <f t="shared" si="6"/>
        <v>5.8780308596620134</v>
      </c>
      <c r="W114" s="70">
        <f t="shared" si="7"/>
        <v>5.0234451623345633</v>
      </c>
      <c r="X114" s="71">
        <f t="shared" si="8"/>
        <v>33333.333333333336</v>
      </c>
      <c r="AD114" s="52"/>
      <c r="AG114" s="52"/>
      <c r="AJ114" s="52"/>
      <c r="AK114" s="52"/>
      <c r="AL114" s="55"/>
      <c r="AO114" s="52"/>
      <c r="AR114" s="52"/>
      <c r="AU114" s="52"/>
      <c r="AV114" s="52"/>
      <c r="AW114" s="55"/>
    </row>
    <row r="115" spans="1:49" ht="15.75" customHeight="1">
      <c r="A115" s="16">
        <v>21902</v>
      </c>
      <c r="B115" s="63" t="s">
        <v>121</v>
      </c>
      <c r="C115" s="64">
        <v>0</v>
      </c>
      <c r="D115" s="64">
        <v>2881</v>
      </c>
      <c r="E115" s="65">
        <f t="shared" si="0"/>
        <v>0</v>
      </c>
      <c r="F115" s="64">
        <v>0</v>
      </c>
      <c r="G115" s="64">
        <v>3086.8333333333335</v>
      </c>
      <c r="H115" s="65">
        <f t="shared" si="1"/>
        <v>0</v>
      </c>
      <c r="I115" s="64">
        <v>0</v>
      </c>
      <c r="J115" s="64">
        <v>3292.6666666666665</v>
      </c>
      <c r="K115" s="65">
        <f t="shared" si="2"/>
        <v>0</v>
      </c>
      <c r="L115" s="66">
        <f t="shared" si="3"/>
        <v>0</v>
      </c>
      <c r="M115" s="67">
        <f t="shared" si="25"/>
        <v>0</v>
      </c>
      <c r="N115" s="64">
        <v>0</v>
      </c>
      <c r="O115" s="64">
        <v>4939.3333333333339</v>
      </c>
      <c r="P115" s="68">
        <f t="shared" si="4"/>
        <v>0</v>
      </c>
      <c r="Q115" s="69">
        <v>0</v>
      </c>
      <c r="R115" s="64">
        <v>5145.166666666667</v>
      </c>
      <c r="S115" s="68">
        <f t="shared" si="5"/>
        <v>0</v>
      </c>
      <c r="T115" s="64">
        <v>0</v>
      </c>
      <c r="U115" s="64">
        <v>5351</v>
      </c>
      <c r="V115" s="68">
        <f t="shared" si="6"/>
        <v>0</v>
      </c>
      <c r="W115" s="70">
        <f t="shared" si="7"/>
        <v>0</v>
      </c>
      <c r="X115" s="71">
        <f t="shared" si="8"/>
        <v>0</v>
      </c>
      <c r="AD115" s="52"/>
      <c r="AG115" s="52"/>
      <c r="AJ115" s="52"/>
      <c r="AK115" s="52"/>
      <c r="AL115" s="55"/>
      <c r="AO115" s="52"/>
      <c r="AR115" s="52"/>
      <c r="AU115" s="52"/>
      <c r="AV115" s="52"/>
      <c r="AW115" s="55"/>
    </row>
    <row r="116" spans="1:49" ht="15.75" customHeight="1">
      <c r="A116" s="16">
        <v>22001</v>
      </c>
      <c r="B116" s="63" t="s">
        <v>122</v>
      </c>
      <c r="C116" s="64">
        <v>670391</v>
      </c>
      <c r="D116" s="64">
        <v>50330</v>
      </c>
      <c r="E116" s="65">
        <f t="shared" si="0"/>
        <v>13.319908603218757</v>
      </c>
      <c r="F116" s="64">
        <v>690000</v>
      </c>
      <c r="G116" s="64">
        <v>51108.833333333336</v>
      </c>
      <c r="H116" s="65">
        <f t="shared" si="1"/>
        <v>13.500601657247769</v>
      </c>
      <c r="I116" s="64">
        <v>0</v>
      </c>
      <c r="J116" s="64">
        <v>51887.666666666664</v>
      </c>
      <c r="K116" s="65">
        <f t="shared" si="2"/>
        <v>0</v>
      </c>
      <c r="L116" s="66">
        <f t="shared" si="3"/>
        <v>8.9401700868221763</v>
      </c>
      <c r="M116" s="67">
        <f t="shared" si="25"/>
        <v>453463.66666666669</v>
      </c>
      <c r="N116" s="64">
        <v>1690043</v>
      </c>
      <c r="O116" s="64">
        <v>58118.333333333336</v>
      </c>
      <c r="P116" s="68">
        <f t="shared" si="4"/>
        <v>29.079343867396975</v>
      </c>
      <c r="Q116" s="69">
        <v>1690043</v>
      </c>
      <c r="R116" s="64">
        <v>58897.166666666672</v>
      </c>
      <c r="S116" s="68">
        <f t="shared" si="5"/>
        <v>28.694809880497928</v>
      </c>
      <c r="T116" s="64">
        <v>3231434</v>
      </c>
      <c r="U116" s="64">
        <v>59676</v>
      </c>
      <c r="V116" s="68">
        <f t="shared" si="6"/>
        <v>54.149641396876468</v>
      </c>
      <c r="W116" s="70">
        <f t="shared" si="7"/>
        <v>37.307931714923789</v>
      </c>
      <c r="X116" s="71">
        <f t="shared" si="8"/>
        <v>2203840</v>
      </c>
      <c r="AD116" s="52"/>
      <c r="AG116" s="52"/>
      <c r="AJ116" s="52"/>
      <c r="AK116" s="52"/>
      <c r="AL116" s="55"/>
      <c r="AO116" s="52"/>
      <c r="AR116" s="52"/>
      <c r="AU116" s="52"/>
      <c r="AV116" s="52"/>
      <c r="AW116" s="55"/>
    </row>
    <row r="117" spans="1:49" ht="15.75" customHeight="1">
      <c r="A117" s="16">
        <v>22002</v>
      </c>
      <c r="B117" s="63" t="s">
        <v>123</v>
      </c>
      <c r="C117" s="64">
        <v>50000</v>
      </c>
      <c r="D117" s="64">
        <v>11194</v>
      </c>
      <c r="E117" s="65">
        <f t="shared" si="0"/>
        <v>4.4666785778095406</v>
      </c>
      <c r="F117" s="64">
        <v>0</v>
      </c>
      <c r="G117" s="64">
        <v>11143.25</v>
      </c>
      <c r="H117" s="65">
        <f t="shared" si="1"/>
        <v>0</v>
      </c>
      <c r="I117" s="64">
        <v>0</v>
      </c>
      <c r="J117" s="64">
        <v>11092.5</v>
      </c>
      <c r="K117" s="65">
        <f t="shared" si="2"/>
        <v>0</v>
      </c>
      <c r="L117" s="66">
        <f t="shared" si="3"/>
        <v>1.4888928592698469</v>
      </c>
      <c r="M117" s="67">
        <f t="shared" si="25"/>
        <v>16666.666666666668</v>
      </c>
      <c r="N117" s="64">
        <v>79599</v>
      </c>
      <c r="O117" s="64">
        <v>10686.5</v>
      </c>
      <c r="P117" s="68">
        <f t="shared" si="4"/>
        <v>7.448556590090301</v>
      </c>
      <c r="Q117" s="69">
        <v>98569</v>
      </c>
      <c r="R117" s="64">
        <v>10635.75</v>
      </c>
      <c r="S117" s="68">
        <f t="shared" si="5"/>
        <v>9.2677056154949113</v>
      </c>
      <c r="T117" s="64">
        <v>39408</v>
      </c>
      <c r="U117" s="64">
        <v>10585</v>
      </c>
      <c r="V117" s="68">
        <f t="shared" si="6"/>
        <v>3.7230042512990082</v>
      </c>
      <c r="W117" s="70">
        <f t="shared" si="7"/>
        <v>6.8130888189614076</v>
      </c>
      <c r="X117" s="71">
        <f t="shared" si="8"/>
        <v>72525.333333333328</v>
      </c>
      <c r="AD117" s="52"/>
      <c r="AG117" s="52"/>
      <c r="AJ117" s="52"/>
      <c r="AK117" s="52"/>
      <c r="AL117" s="55"/>
      <c r="AO117" s="52"/>
      <c r="AR117" s="52"/>
      <c r="AU117" s="52"/>
      <c r="AV117" s="52"/>
      <c r="AW117" s="55"/>
    </row>
    <row r="118" spans="1:49" ht="15.75" customHeight="1">
      <c r="A118" s="16">
        <v>30101</v>
      </c>
      <c r="B118" s="63" t="s">
        <v>124</v>
      </c>
      <c r="C118" s="64">
        <v>35141400</v>
      </c>
      <c r="D118" s="64">
        <v>632013</v>
      </c>
      <c r="E118" s="65">
        <f t="shared" si="0"/>
        <v>55.602337293694909</v>
      </c>
      <c r="F118" s="64">
        <v>46482000</v>
      </c>
      <c r="G118" s="64">
        <v>634804</v>
      </c>
      <c r="H118" s="65">
        <f t="shared" si="1"/>
        <v>73.222600991802196</v>
      </c>
      <c r="I118" s="64">
        <v>460900</v>
      </c>
      <c r="J118" s="64">
        <v>637595</v>
      </c>
      <c r="K118" s="65">
        <f t="shared" si="2"/>
        <v>0.72287266995506549</v>
      </c>
      <c r="L118" s="66">
        <f t="shared" si="3"/>
        <v>43.182603651817381</v>
      </c>
      <c r="M118" s="67">
        <f t="shared" si="25"/>
        <v>27361433.333333332</v>
      </c>
      <c r="N118" s="64">
        <v>151010000</v>
      </c>
      <c r="O118" s="64">
        <v>659923</v>
      </c>
      <c r="P118" s="68">
        <f t="shared" si="4"/>
        <v>228.82972710452583</v>
      </c>
      <c r="Q118" s="69">
        <v>163698660</v>
      </c>
      <c r="R118" s="64">
        <v>662714</v>
      </c>
      <c r="S118" s="68">
        <f t="shared" si="5"/>
        <v>247.01252727420879</v>
      </c>
      <c r="T118" s="64">
        <v>157330975</v>
      </c>
      <c r="U118" s="64">
        <v>665505</v>
      </c>
      <c r="V118" s="68">
        <f t="shared" si="6"/>
        <v>236.40840414422129</v>
      </c>
      <c r="W118" s="70">
        <f t="shared" si="7"/>
        <v>237.41688617431865</v>
      </c>
      <c r="X118" s="71">
        <f t="shared" si="8"/>
        <v>157346545</v>
      </c>
      <c r="AD118" s="52"/>
      <c r="AG118" s="52"/>
      <c r="AJ118" s="52"/>
      <c r="AK118" s="52"/>
      <c r="AL118" s="55"/>
      <c r="AO118" s="52"/>
      <c r="AR118" s="52"/>
      <c r="AU118" s="52"/>
      <c r="AV118" s="52"/>
      <c r="AW118" s="55"/>
    </row>
    <row r="119" spans="1:49" ht="15.75" customHeight="1">
      <c r="A119" s="16">
        <v>30201</v>
      </c>
      <c r="B119" s="63" t="s">
        <v>125</v>
      </c>
      <c r="C119" s="64">
        <v>150000</v>
      </c>
      <c r="D119" s="64">
        <v>23267</v>
      </c>
      <c r="E119" s="65">
        <f t="shared" si="0"/>
        <v>6.446899041561009</v>
      </c>
      <c r="F119" s="64">
        <v>150000</v>
      </c>
      <c r="G119" s="64">
        <v>23255</v>
      </c>
      <c r="H119" s="65">
        <f t="shared" si="1"/>
        <v>6.450225757901527</v>
      </c>
      <c r="I119" s="64">
        <v>0</v>
      </c>
      <c r="J119" s="64">
        <v>23243</v>
      </c>
      <c r="K119" s="65">
        <f t="shared" si="2"/>
        <v>0</v>
      </c>
      <c r="L119" s="66">
        <f t="shared" si="3"/>
        <v>4.2990415998208453</v>
      </c>
      <c r="M119" s="67">
        <f t="shared" si="25"/>
        <v>100000</v>
      </c>
      <c r="N119" s="64">
        <v>150000</v>
      </c>
      <c r="O119" s="64">
        <v>23147</v>
      </c>
      <c r="P119" s="68">
        <f t="shared" si="4"/>
        <v>6.4803214239426277</v>
      </c>
      <c r="Q119" s="69">
        <v>180000</v>
      </c>
      <c r="R119" s="64">
        <v>23135</v>
      </c>
      <c r="S119" s="68">
        <f t="shared" si="5"/>
        <v>7.7804192781499895</v>
      </c>
      <c r="T119" s="64">
        <v>200000</v>
      </c>
      <c r="U119" s="64">
        <v>23123</v>
      </c>
      <c r="V119" s="68">
        <f t="shared" si="6"/>
        <v>8.6493967045798552</v>
      </c>
      <c r="W119" s="70">
        <f t="shared" si="7"/>
        <v>7.6367124688908241</v>
      </c>
      <c r="X119" s="71">
        <f t="shared" si="8"/>
        <v>176666.66666666666</v>
      </c>
      <c r="AD119" s="52"/>
      <c r="AG119" s="52"/>
      <c r="AJ119" s="52"/>
      <c r="AK119" s="52"/>
      <c r="AL119" s="55"/>
      <c r="AO119" s="52"/>
      <c r="AR119" s="52"/>
      <c r="AU119" s="52"/>
      <c r="AV119" s="52"/>
      <c r="AW119" s="55"/>
    </row>
    <row r="120" spans="1:49" ht="15.75" customHeight="1">
      <c r="A120" s="16">
        <v>30202</v>
      </c>
      <c r="B120" s="63" t="s">
        <v>126</v>
      </c>
      <c r="C120" s="64">
        <v>25000</v>
      </c>
      <c r="D120" s="64">
        <v>6853</v>
      </c>
      <c r="E120" s="65">
        <f t="shared" si="0"/>
        <v>3.6480373559025243</v>
      </c>
      <c r="F120" s="64">
        <v>30000</v>
      </c>
      <c r="G120" s="64">
        <v>6821.5</v>
      </c>
      <c r="H120" s="65">
        <f t="shared" si="1"/>
        <v>4.3978597082753064</v>
      </c>
      <c r="I120" s="64">
        <v>0</v>
      </c>
      <c r="J120" s="64">
        <v>6790</v>
      </c>
      <c r="K120" s="65">
        <f t="shared" si="2"/>
        <v>0</v>
      </c>
      <c r="L120" s="66">
        <f t="shared" si="3"/>
        <v>2.681965688059277</v>
      </c>
      <c r="M120" s="67">
        <f t="shared" si="25"/>
        <v>18333.333333333332</v>
      </c>
      <c r="N120" s="64">
        <v>60000</v>
      </c>
      <c r="O120" s="64">
        <v>6538</v>
      </c>
      <c r="P120" s="68">
        <f t="shared" si="4"/>
        <v>9.177118384827164</v>
      </c>
      <c r="Q120" s="69">
        <v>40000</v>
      </c>
      <c r="R120" s="64">
        <v>6506.5</v>
      </c>
      <c r="S120" s="68">
        <f t="shared" si="5"/>
        <v>6.1476984553907634</v>
      </c>
      <c r="T120" s="64">
        <v>40000</v>
      </c>
      <c r="U120" s="64">
        <v>6475</v>
      </c>
      <c r="V120" s="68">
        <f t="shared" si="6"/>
        <v>6.1776061776061777</v>
      </c>
      <c r="W120" s="70">
        <f t="shared" si="7"/>
        <v>7.167474339274702</v>
      </c>
      <c r="X120" s="71">
        <f t="shared" si="8"/>
        <v>46666.666666666664</v>
      </c>
      <c r="AD120" s="52"/>
      <c r="AG120" s="52"/>
      <c r="AJ120" s="52"/>
      <c r="AK120" s="52"/>
      <c r="AL120" s="55"/>
      <c r="AO120" s="52"/>
      <c r="AR120" s="52"/>
      <c r="AU120" s="52"/>
      <c r="AV120" s="52"/>
      <c r="AW120" s="55"/>
    </row>
    <row r="121" spans="1:49" ht="15.75" customHeight="1">
      <c r="A121" s="16">
        <v>30203</v>
      </c>
      <c r="B121" s="63" t="s">
        <v>127</v>
      </c>
      <c r="C121" s="64">
        <v>25000</v>
      </c>
      <c r="D121" s="64">
        <v>5643</v>
      </c>
      <c r="E121" s="65">
        <f t="shared" si="0"/>
        <v>4.4302675881623248</v>
      </c>
      <c r="F121" s="64">
        <v>53000</v>
      </c>
      <c r="G121" s="64">
        <v>5731.083333333333</v>
      </c>
      <c r="H121" s="65">
        <f t="shared" si="1"/>
        <v>9.2478152763439141</v>
      </c>
      <c r="I121" s="64">
        <v>0</v>
      </c>
      <c r="J121" s="64">
        <v>5819.166666666667</v>
      </c>
      <c r="K121" s="65">
        <f t="shared" si="2"/>
        <v>0</v>
      </c>
      <c r="L121" s="66">
        <f t="shared" si="3"/>
        <v>4.5593609548354133</v>
      </c>
      <c r="M121" s="67">
        <f t="shared" si="25"/>
        <v>26000</v>
      </c>
      <c r="N121" s="64">
        <v>64920</v>
      </c>
      <c r="O121" s="64">
        <v>6523.833333333333</v>
      </c>
      <c r="P121" s="68">
        <f t="shared" si="4"/>
        <v>9.9512045576475998</v>
      </c>
      <c r="Q121" s="69">
        <v>64920</v>
      </c>
      <c r="R121" s="64">
        <v>6611.916666666667</v>
      </c>
      <c r="S121" s="68">
        <f t="shared" si="5"/>
        <v>9.8186355444084548</v>
      </c>
      <c r="T121" s="64">
        <v>69720</v>
      </c>
      <c r="U121" s="64">
        <v>6700</v>
      </c>
      <c r="V121" s="68">
        <f t="shared" si="6"/>
        <v>10.405970149253731</v>
      </c>
      <c r="W121" s="70">
        <f t="shared" si="7"/>
        <v>10.058603417103262</v>
      </c>
      <c r="X121" s="71">
        <f t="shared" si="8"/>
        <v>66520</v>
      </c>
      <c r="AD121" s="52"/>
      <c r="AG121" s="52"/>
      <c r="AJ121" s="52"/>
      <c r="AK121" s="52"/>
      <c r="AL121" s="55"/>
      <c r="AO121" s="52"/>
      <c r="AR121" s="52"/>
      <c r="AU121" s="52"/>
      <c r="AV121" s="52"/>
      <c r="AW121" s="55"/>
    </row>
    <row r="122" spans="1:49" ht="15.75" customHeight="1">
      <c r="A122" s="16">
        <v>30301</v>
      </c>
      <c r="B122" s="63" t="s">
        <v>128</v>
      </c>
      <c r="C122" s="64">
        <v>90000</v>
      </c>
      <c r="D122" s="64">
        <v>23658</v>
      </c>
      <c r="E122" s="65">
        <f t="shared" si="0"/>
        <v>3.8042099923915802</v>
      </c>
      <c r="F122" s="64">
        <v>90000</v>
      </c>
      <c r="G122" s="64">
        <v>23504.416666666668</v>
      </c>
      <c r="H122" s="65">
        <f t="shared" si="1"/>
        <v>3.8290675865883359</v>
      </c>
      <c r="I122" s="64">
        <v>0</v>
      </c>
      <c r="J122" s="64">
        <v>23350.833333333332</v>
      </c>
      <c r="K122" s="65">
        <f t="shared" si="2"/>
        <v>0</v>
      </c>
      <c r="L122" s="66">
        <f t="shared" si="3"/>
        <v>2.544425859659972</v>
      </c>
      <c r="M122" s="67">
        <f t="shared" si="25"/>
        <v>60000</v>
      </c>
      <c r="N122" s="64">
        <v>150000</v>
      </c>
      <c r="O122" s="64">
        <v>22122.166666666668</v>
      </c>
      <c r="P122" s="68">
        <f t="shared" si="4"/>
        <v>6.7805293333232877</v>
      </c>
      <c r="Q122" s="69">
        <v>149908</v>
      </c>
      <c r="R122" s="64">
        <v>21968.583333333332</v>
      </c>
      <c r="S122" s="68">
        <f t="shared" si="5"/>
        <v>6.8237445139460524</v>
      </c>
      <c r="T122" s="64">
        <v>151252</v>
      </c>
      <c r="U122" s="64">
        <v>21815</v>
      </c>
      <c r="V122" s="68">
        <f t="shared" si="6"/>
        <v>6.9333944533577814</v>
      </c>
      <c r="W122" s="70">
        <f t="shared" si="7"/>
        <v>6.8458894335423741</v>
      </c>
      <c r="X122" s="71">
        <f t="shared" si="8"/>
        <v>150386.66666666666</v>
      </c>
      <c r="AD122" s="52"/>
      <c r="AG122" s="52"/>
      <c r="AJ122" s="52"/>
      <c r="AK122" s="52"/>
      <c r="AL122" s="55"/>
      <c r="AO122" s="52"/>
      <c r="AR122" s="52"/>
      <c r="AU122" s="52"/>
      <c r="AV122" s="52"/>
      <c r="AW122" s="55"/>
    </row>
    <row r="123" spans="1:49" ht="15.75" customHeight="1">
      <c r="A123" s="16">
        <v>30302</v>
      </c>
      <c r="B123" s="63" t="s">
        <v>129</v>
      </c>
      <c r="C123" s="64">
        <v>45000</v>
      </c>
      <c r="D123" s="64">
        <v>12797</v>
      </c>
      <c r="E123" s="65">
        <f t="shared" si="0"/>
        <v>3.5164491677736969</v>
      </c>
      <c r="F123" s="64">
        <v>45000</v>
      </c>
      <c r="G123" s="64">
        <v>12957.25</v>
      </c>
      <c r="H123" s="65">
        <f t="shared" si="1"/>
        <v>3.4729591541415039</v>
      </c>
      <c r="I123" s="64">
        <v>0</v>
      </c>
      <c r="J123" s="64">
        <v>13117.5</v>
      </c>
      <c r="K123" s="65">
        <f t="shared" si="2"/>
        <v>0</v>
      </c>
      <c r="L123" s="66">
        <f t="shared" si="3"/>
        <v>2.3298027739717337</v>
      </c>
      <c r="M123" s="67">
        <f t="shared" si="25"/>
        <v>30000</v>
      </c>
      <c r="N123" s="64">
        <v>69500</v>
      </c>
      <c r="O123" s="64">
        <v>14399.5</v>
      </c>
      <c r="P123" s="68">
        <f t="shared" si="4"/>
        <v>4.8265564776554744</v>
      </c>
      <c r="Q123" s="69">
        <v>45000</v>
      </c>
      <c r="R123" s="64">
        <v>14559.75</v>
      </c>
      <c r="S123" s="68">
        <f t="shared" si="5"/>
        <v>3.0907124092103229</v>
      </c>
      <c r="T123" s="64">
        <v>45000</v>
      </c>
      <c r="U123" s="64">
        <v>14720</v>
      </c>
      <c r="V123" s="68">
        <f t="shared" si="6"/>
        <v>3.0570652173913042</v>
      </c>
      <c r="W123" s="70">
        <f t="shared" si="7"/>
        <v>3.6581113680857005</v>
      </c>
      <c r="X123" s="71">
        <f t="shared" si="8"/>
        <v>53166.666666666664</v>
      </c>
      <c r="AD123" s="52"/>
      <c r="AG123" s="52"/>
      <c r="AJ123" s="52"/>
      <c r="AK123" s="52"/>
      <c r="AL123" s="55"/>
      <c r="AO123" s="52"/>
      <c r="AR123" s="52"/>
      <c r="AU123" s="52"/>
      <c r="AV123" s="52"/>
      <c r="AW123" s="55"/>
    </row>
    <row r="124" spans="1:49" ht="15.75" customHeight="1">
      <c r="A124" s="16">
        <v>30303</v>
      </c>
      <c r="B124" s="63" t="s">
        <v>130</v>
      </c>
      <c r="C124" s="64">
        <v>35000</v>
      </c>
      <c r="D124" s="64">
        <v>18076</v>
      </c>
      <c r="E124" s="65">
        <f t="shared" si="0"/>
        <v>1.9362690860809915</v>
      </c>
      <c r="F124" s="64">
        <v>30000</v>
      </c>
      <c r="G124" s="64">
        <v>18203.666666666668</v>
      </c>
      <c r="H124" s="65">
        <f t="shared" si="1"/>
        <v>1.648019629744923</v>
      </c>
      <c r="I124" s="64">
        <v>0</v>
      </c>
      <c r="J124" s="64">
        <v>18331.333333333332</v>
      </c>
      <c r="K124" s="65">
        <f t="shared" si="2"/>
        <v>0</v>
      </c>
      <c r="L124" s="66">
        <f t="shared" si="3"/>
        <v>1.1947629052753048</v>
      </c>
      <c r="M124" s="67">
        <f t="shared" si="25"/>
        <v>21666.666666666668</v>
      </c>
      <c r="N124" s="64">
        <v>0</v>
      </c>
      <c r="O124" s="64">
        <v>19352.666666666668</v>
      </c>
      <c r="P124" s="68">
        <f t="shared" si="4"/>
        <v>0</v>
      </c>
      <c r="Q124" s="69">
        <v>0</v>
      </c>
      <c r="R124" s="64">
        <v>19480.333333333332</v>
      </c>
      <c r="S124" s="68">
        <f t="shared" si="5"/>
        <v>0</v>
      </c>
      <c r="T124" s="64">
        <v>0</v>
      </c>
      <c r="U124" s="64">
        <v>19608</v>
      </c>
      <c r="V124" s="68">
        <f t="shared" si="6"/>
        <v>0</v>
      </c>
      <c r="W124" s="70">
        <f t="shared" si="7"/>
        <v>0</v>
      </c>
      <c r="X124" s="71">
        <f t="shared" si="8"/>
        <v>0</v>
      </c>
      <c r="AD124" s="52"/>
      <c r="AG124" s="52"/>
      <c r="AJ124" s="52"/>
      <c r="AK124" s="52"/>
      <c r="AL124" s="55"/>
      <c r="AO124" s="52"/>
      <c r="AR124" s="52"/>
      <c r="AU124" s="52"/>
      <c r="AV124" s="52"/>
      <c r="AW124" s="55"/>
    </row>
    <row r="125" spans="1:49" ht="15.75" customHeight="1">
      <c r="A125" s="16">
        <v>30401</v>
      </c>
      <c r="B125" s="63" t="s">
        <v>131</v>
      </c>
      <c r="C125" s="64">
        <v>50000</v>
      </c>
      <c r="D125" s="64">
        <v>8242</v>
      </c>
      <c r="E125" s="65">
        <f t="shared" si="0"/>
        <v>6.066488716330988</v>
      </c>
      <c r="F125" s="64">
        <v>50000</v>
      </c>
      <c r="G125" s="64">
        <v>8494.5833333333339</v>
      </c>
      <c r="H125" s="65">
        <f t="shared" si="1"/>
        <v>5.8861038897336533</v>
      </c>
      <c r="I125" s="64">
        <v>0</v>
      </c>
      <c r="J125" s="64">
        <v>8747.1666666666661</v>
      </c>
      <c r="K125" s="65">
        <f t="shared" si="2"/>
        <v>0</v>
      </c>
      <c r="L125" s="66">
        <f t="shared" si="3"/>
        <v>3.9841975353548804</v>
      </c>
      <c r="M125" s="67">
        <f t="shared" si="25"/>
        <v>33333.333333333336</v>
      </c>
      <c r="N125" s="64">
        <v>140000</v>
      </c>
      <c r="O125" s="64">
        <v>10767.833333333334</v>
      </c>
      <c r="P125" s="68">
        <f t="shared" si="4"/>
        <v>13.001687123686287</v>
      </c>
      <c r="Q125" s="69">
        <v>140000</v>
      </c>
      <c r="R125" s="64">
        <v>11020.416666666668</v>
      </c>
      <c r="S125" s="68">
        <f t="shared" si="5"/>
        <v>12.703693901470754</v>
      </c>
      <c r="T125" s="64">
        <v>141488</v>
      </c>
      <c r="U125" s="64">
        <v>11273</v>
      </c>
      <c r="V125" s="68">
        <f t="shared" si="6"/>
        <v>12.551051184245543</v>
      </c>
      <c r="W125" s="70">
        <f t="shared" si="7"/>
        <v>12.752144069800861</v>
      </c>
      <c r="X125" s="71">
        <f t="shared" si="8"/>
        <v>140496</v>
      </c>
      <c r="AD125" s="52"/>
      <c r="AG125" s="52"/>
      <c r="AJ125" s="52"/>
      <c r="AK125" s="52"/>
      <c r="AL125" s="55"/>
      <c r="AO125" s="52"/>
      <c r="AR125" s="52"/>
      <c r="AU125" s="52"/>
      <c r="AV125" s="52"/>
      <c r="AW125" s="55"/>
    </row>
    <row r="126" spans="1:49" ht="15.75" customHeight="1">
      <c r="A126" s="16">
        <v>30402</v>
      </c>
      <c r="B126" s="63" t="s">
        <v>132</v>
      </c>
      <c r="C126" s="64">
        <v>40000</v>
      </c>
      <c r="D126" s="64">
        <v>7192</v>
      </c>
      <c r="E126" s="65">
        <f t="shared" si="0"/>
        <v>5.5617352614015569</v>
      </c>
      <c r="F126" s="64">
        <v>44000</v>
      </c>
      <c r="G126" s="64">
        <v>7203.916666666667</v>
      </c>
      <c r="H126" s="65">
        <f t="shared" si="1"/>
        <v>6.1077885872268558</v>
      </c>
      <c r="I126" s="64">
        <v>0</v>
      </c>
      <c r="J126" s="64">
        <v>7215.833333333333</v>
      </c>
      <c r="K126" s="65">
        <f t="shared" si="2"/>
        <v>0</v>
      </c>
      <c r="L126" s="66">
        <f t="shared" si="3"/>
        <v>3.8898412828761373</v>
      </c>
      <c r="M126" s="67">
        <f t="shared" si="25"/>
        <v>28000</v>
      </c>
      <c r="N126" s="64">
        <v>20000</v>
      </c>
      <c r="O126" s="64">
        <v>7311.166666666667</v>
      </c>
      <c r="P126" s="68">
        <f t="shared" si="4"/>
        <v>2.7355415232407045</v>
      </c>
      <c r="Q126" s="69">
        <v>20000</v>
      </c>
      <c r="R126" s="64">
        <v>7323.083333333333</v>
      </c>
      <c r="S126" s="68">
        <f t="shared" si="5"/>
        <v>2.7310900463147356</v>
      </c>
      <c r="T126" s="64">
        <v>25000</v>
      </c>
      <c r="U126" s="64">
        <v>7335</v>
      </c>
      <c r="V126" s="68">
        <f t="shared" si="6"/>
        <v>3.4083162917518748</v>
      </c>
      <c r="W126" s="70">
        <f t="shared" si="7"/>
        <v>2.9583159537691053</v>
      </c>
      <c r="X126" s="71">
        <f t="shared" si="8"/>
        <v>21666.666666666668</v>
      </c>
      <c r="AD126" s="52"/>
      <c r="AG126" s="52"/>
      <c r="AJ126" s="52"/>
      <c r="AK126" s="52"/>
      <c r="AL126" s="55"/>
      <c r="AO126" s="52"/>
      <c r="AR126" s="52"/>
      <c r="AU126" s="52"/>
      <c r="AV126" s="52"/>
      <c r="AW126" s="55"/>
    </row>
    <row r="127" spans="1:49" ht="15.75" customHeight="1">
      <c r="A127" s="16">
        <v>30403</v>
      </c>
      <c r="B127" s="63" t="s">
        <v>133</v>
      </c>
      <c r="C127" s="64">
        <v>0</v>
      </c>
      <c r="D127" s="64">
        <v>17445</v>
      </c>
      <c r="E127" s="65">
        <f t="shared" si="0"/>
        <v>0</v>
      </c>
      <c r="F127" s="64">
        <v>30000</v>
      </c>
      <c r="G127" s="64">
        <v>18439.166666666668</v>
      </c>
      <c r="H127" s="65">
        <f t="shared" si="1"/>
        <v>1.6269715731911238</v>
      </c>
      <c r="I127" s="64">
        <v>0</v>
      </c>
      <c r="J127" s="64">
        <v>19433.333333333332</v>
      </c>
      <c r="K127" s="65">
        <f t="shared" si="2"/>
        <v>0</v>
      </c>
      <c r="L127" s="66">
        <f t="shared" si="3"/>
        <v>0.54232385773037461</v>
      </c>
      <c r="M127" s="67">
        <f t="shared" si="25"/>
        <v>10000</v>
      </c>
      <c r="N127" s="64">
        <v>240000</v>
      </c>
      <c r="O127" s="64">
        <v>27386.666666666664</v>
      </c>
      <c r="P127" s="68">
        <f t="shared" si="4"/>
        <v>8.7633885102239546</v>
      </c>
      <c r="Q127" s="69">
        <v>185000</v>
      </c>
      <c r="R127" s="64">
        <v>28380.833333333332</v>
      </c>
      <c r="S127" s="68">
        <f t="shared" si="5"/>
        <v>6.5184837184719742</v>
      </c>
      <c r="T127" s="64">
        <v>185000</v>
      </c>
      <c r="U127" s="64">
        <v>29375</v>
      </c>
      <c r="V127" s="68">
        <f t="shared" si="6"/>
        <v>6.2978723404255321</v>
      </c>
      <c r="W127" s="70">
        <f t="shared" si="7"/>
        <v>7.1932481897071527</v>
      </c>
      <c r="X127" s="71">
        <f t="shared" si="8"/>
        <v>203333.33333333334</v>
      </c>
      <c r="AD127" s="52"/>
      <c r="AG127" s="52"/>
      <c r="AJ127" s="52"/>
      <c r="AK127" s="52"/>
      <c r="AL127" s="55"/>
      <c r="AO127" s="52"/>
      <c r="AR127" s="52"/>
      <c r="AU127" s="52"/>
      <c r="AV127" s="52"/>
      <c r="AW127" s="55"/>
    </row>
    <row r="128" spans="1:49" ht="15.75" customHeight="1">
      <c r="A128" s="16">
        <v>30404</v>
      </c>
      <c r="B128" s="63" t="s">
        <v>134</v>
      </c>
      <c r="C128" s="64">
        <v>0</v>
      </c>
      <c r="D128" s="64">
        <v>4366</v>
      </c>
      <c r="E128" s="65">
        <f t="shared" si="0"/>
        <v>0</v>
      </c>
      <c r="F128" s="64">
        <v>0</v>
      </c>
      <c r="G128" s="64">
        <v>4417.75</v>
      </c>
      <c r="H128" s="65">
        <f t="shared" si="1"/>
        <v>0</v>
      </c>
      <c r="I128" s="64">
        <v>0</v>
      </c>
      <c r="J128" s="64">
        <v>4469.5</v>
      </c>
      <c r="K128" s="65">
        <f t="shared" si="2"/>
        <v>0</v>
      </c>
      <c r="L128" s="66">
        <f t="shared" si="3"/>
        <v>0</v>
      </c>
      <c r="M128" s="67">
        <f t="shared" si="25"/>
        <v>0</v>
      </c>
      <c r="N128" s="64">
        <v>20000</v>
      </c>
      <c r="O128" s="64">
        <v>4883.5</v>
      </c>
      <c r="P128" s="68">
        <f t="shared" si="4"/>
        <v>4.0954233643902942</v>
      </c>
      <c r="Q128" s="69">
        <v>15200</v>
      </c>
      <c r="R128" s="64">
        <v>4935.25</v>
      </c>
      <c r="S128" s="68">
        <f t="shared" si="5"/>
        <v>3.0798845043310874</v>
      </c>
      <c r="T128" s="64">
        <v>10000</v>
      </c>
      <c r="U128" s="64">
        <v>4987</v>
      </c>
      <c r="V128" s="68">
        <f t="shared" si="6"/>
        <v>2.0052135552436336</v>
      </c>
      <c r="W128" s="70">
        <f t="shared" si="7"/>
        <v>3.0601738079883383</v>
      </c>
      <c r="X128" s="71">
        <f t="shared" si="8"/>
        <v>15066.666666666666</v>
      </c>
      <c r="AD128" s="52"/>
      <c r="AG128" s="52"/>
      <c r="AJ128" s="52"/>
      <c r="AK128" s="52"/>
      <c r="AL128" s="55"/>
      <c r="AO128" s="52"/>
      <c r="AR128" s="52"/>
      <c r="AU128" s="52"/>
      <c r="AV128" s="52"/>
      <c r="AW128" s="55"/>
    </row>
    <row r="129" spans="1:49" ht="15.75" customHeight="1">
      <c r="A129" s="16">
        <v>30501</v>
      </c>
      <c r="B129" s="63" t="s">
        <v>135</v>
      </c>
      <c r="C129" s="64">
        <v>35000</v>
      </c>
      <c r="D129" s="64">
        <v>9504</v>
      </c>
      <c r="E129" s="65">
        <f t="shared" si="0"/>
        <v>3.6826599326599325</v>
      </c>
      <c r="F129" s="64">
        <v>35000</v>
      </c>
      <c r="G129" s="64">
        <v>9643.9166666666661</v>
      </c>
      <c r="H129" s="65">
        <f t="shared" si="1"/>
        <v>3.629230862287971</v>
      </c>
      <c r="I129" s="64">
        <v>0</v>
      </c>
      <c r="J129" s="64">
        <v>9783.8333333333339</v>
      </c>
      <c r="K129" s="65">
        <f t="shared" si="2"/>
        <v>0</v>
      </c>
      <c r="L129" s="66">
        <f t="shared" si="3"/>
        <v>2.4372969316493012</v>
      </c>
      <c r="M129" s="67">
        <f t="shared" si="25"/>
        <v>23333.333333333332</v>
      </c>
      <c r="N129" s="64">
        <v>35000</v>
      </c>
      <c r="O129" s="64">
        <v>10903.166666666666</v>
      </c>
      <c r="P129" s="68">
        <f t="shared" si="4"/>
        <v>3.2100765832556291</v>
      </c>
      <c r="Q129" s="69">
        <v>40000</v>
      </c>
      <c r="R129" s="64">
        <v>11043.083333333334</v>
      </c>
      <c r="S129" s="68">
        <f t="shared" si="5"/>
        <v>3.6221767773191362</v>
      </c>
      <c r="T129" s="64">
        <v>55000</v>
      </c>
      <c r="U129" s="64">
        <v>11183</v>
      </c>
      <c r="V129" s="68">
        <f t="shared" si="6"/>
        <v>4.918179379415184</v>
      </c>
      <c r="W129" s="70">
        <f t="shared" si="7"/>
        <v>3.9168109133299835</v>
      </c>
      <c r="X129" s="71">
        <f t="shared" si="8"/>
        <v>43333.333333333336</v>
      </c>
      <c r="AD129" s="52"/>
      <c r="AG129" s="52"/>
      <c r="AJ129" s="52"/>
      <c r="AK129" s="52"/>
      <c r="AL129" s="55"/>
      <c r="AO129" s="52"/>
      <c r="AR129" s="52"/>
      <c r="AU129" s="52"/>
      <c r="AV129" s="52"/>
      <c r="AW129" s="55"/>
    </row>
    <row r="130" spans="1:49" ht="15.75" customHeight="1">
      <c r="A130" s="16">
        <v>30502</v>
      </c>
      <c r="B130" s="63" t="s">
        <v>136</v>
      </c>
      <c r="C130" s="64">
        <v>135000</v>
      </c>
      <c r="D130" s="64">
        <v>8940</v>
      </c>
      <c r="E130" s="65">
        <f t="shared" si="0"/>
        <v>15.100671140939598</v>
      </c>
      <c r="F130" s="64">
        <v>11000</v>
      </c>
      <c r="G130" s="64">
        <v>8895.75</v>
      </c>
      <c r="H130" s="65">
        <f t="shared" si="1"/>
        <v>1.236545541410224</v>
      </c>
      <c r="I130" s="64">
        <v>0</v>
      </c>
      <c r="J130" s="64">
        <v>8851.5</v>
      </c>
      <c r="K130" s="65">
        <f t="shared" si="2"/>
        <v>0</v>
      </c>
      <c r="L130" s="66">
        <f t="shared" si="3"/>
        <v>5.4457388941166078</v>
      </c>
      <c r="M130" s="67">
        <f t="shared" si="25"/>
        <v>48666.666666666664</v>
      </c>
      <c r="N130" s="64">
        <v>4000</v>
      </c>
      <c r="O130" s="64">
        <v>8497.5</v>
      </c>
      <c r="P130" s="68">
        <f t="shared" si="4"/>
        <v>0.47072668431891734</v>
      </c>
      <c r="Q130" s="69">
        <v>4000</v>
      </c>
      <c r="R130" s="64">
        <v>8453.25</v>
      </c>
      <c r="S130" s="68">
        <f t="shared" si="5"/>
        <v>0.47319078460946973</v>
      </c>
      <c r="T130" s="64">
        <v>4000</v>
      </c>
      <c r="U130" s="64">
        <v>8409</v>
      </c>
      <c r="V130" s="68">
        <f t="shared" si="6"/>
        <v>0.47568081817100727</v>
      </c>
      <c r="W130" s="70">
        <f t="shared" si="7"/>
        <v>0.47319942903313145</v>
      </c>
      <c r="X130" s="71">
        <f t="shared" si="8"/>
        <v>4000</v>
      </c>
      <c r="AD130" s="52"/>
      <c r="AG130" s="52"/>
      <c r="AJ130" s="52"/>
      <c r="AK130" s="52"/>
      <c r="AL130" s="55"/>
      <c r="AO130" s="52"/>
      <c r="AR130" s="52"/>
      <c r="AU130" s="52"/>
      <c r="AV130" s="52"/>
      <c r="AW130" s="55"/>
    </row>
    <row r="131" spans="1:49" ht="15.75" customHeight="1">
      <c r="A131" s="16">
        <v>30601</v>
      </c>
      <c r="B131" s="63" t="s">
        <v>137</v>
      </c>
      <c r="C131" s="64">
        <v>40000</v>
      </c>
      <c r="D131" s="64">
        <v>10597</v>
      </c>
      <c r="E131" s="65">
        <f t="shared" si="0"/>
        <v>3.7746532037369067</v>
      </c>
      <c r="F131" s="64">
        <v>50000</v>
      </c>
      <c r="G131" s="64">
        <v>10599.916666666666</v>
      </c>
      <c r="H131" s="65">
        <f t="shared" si="1"/>
        <v>4.7170182155520095</v>
      </c>
      <c r="I131" s="64">
        <v>0</v>
      </c>
      <c r="J131" s="64">
        <v>10602.833333333334</v>
      </c>
      <c r="K131" s="65">
        <f t="shared" si="2"/>
        <v>0</v>
      </c>
      <c r="L131" s="66">
        <f t="shared" si="3"/>
        <v>2.8305571397629721</v>
      </c>
      <c r="M131" s="67">
        <f t="shared" si="25"/>
        <v>30000</v>
      </c>
      <c r="N131" s="64">
        <v>25000</v>
      </c>
      <c r="O131" s="64">
        <v>10626.166666666666</v>
      </c>
      <c r="P131" s="68">
        <f t="shared" si="4"/>
        <v>2.3526828426682562</v>
      </c>
      <c r="Q131" s="69">
        <v>30000</v>
      </c>
      <c r="R131" s="64">
        <v>10629.083333333334</v>
      </c>
      <c r="S131" s="68">
        <f t="shared" si="5"/>
        <v>2.8224447075241672</v>
      </c>
      <c r="T131" s="64">
        <v>40000</v>
      </c>
      <c r="U131" s="64">
        <v>10632</v>
      </c>
      <c r="V131" s="68">
        <f t="shared" si="6"/>
        <v>3.7622272385252069</v>
      </c>
      <c r="W131" s="70">
        <f t="shared" si="7"/>
        <v>2.9791182629058768</v>
      </c>
      <c r="X131" s="71">
        <f t="shared" si="8"/>
        <v>31666.666666666668</v>
      </c>
      <c r="AD131" s="52"/>
      <c r="AG131" s="52"/>
      <c r="AJ131" s="52"/>
      <c r="AK131" s="52"/>
      <c r="AL131" s="55"/>
      <c r="AO131" s="52"/>
      <c r="AR131" s="52"/>
      <c r="AU131" s="52"/>
      <c r="AV131" s="52"/>
      <c r="AW131" s="55"/>
    </row>
    <row r="132" spans="1:49" ht="15.75" customHeight="1">
      <c r="A132" s="16">
        <v>30602</v>
      </c>
      <c r="B132" s="63" t="s">
        <v>138</v>
      </c>
      <c r="C132" s="64">
        <v>0</v>
      </c>
      <c r="D132" s="64">
        <v>10253</v>
      </c>
      <c r="E132" s="65">
        <f t="shared" si="0"/>
        <v>0</v>
      </c>
      <c r="F132" s="64">
        <v>0</v>
      </c>
      <c r="G132" s="64">
        <v>10294.416666666666</v>
      </c>
      <c r="H132" s="65">
        <f t="shared" si="1"/>
        <v>0</v>
      </c>
      <c r="I132" s="64">
        <v>0</v>
      </c>
      <c r="J132" s="64">
        <v>10335.833333333334</v>
      </c>
      <c r="K132" s="65">
        <f t="shared" si="2"/>
        <v>0</v>
      </c>
      <c r="L132" s="66">
        <f t="shared" si="3"/>
        <v>0</v>
      </c>
      <c r="M132" s="67">
        <f t="shared" si="25"/>
        <v>0</v>
      </c>
      <c r="N132" s="64">
        <v>6000</v>
      </c>
      <c r="O132" s="64">
        <v>10667.166666666666</v>
      </c>
      <c r="P132" s="68">
        <f t="shared" si="4"/>
        <v>0.562473634048404</v>
      </c>
      <c r="Q132" s="69">
        <v>5000</v>
      </c>
      <c r="R132" s="64">
        <v>10708.583333333334</v>
      </c>
      <c r="S132" s="68">
        <f t="shared" si="5"/>
        <v>0.46691516929565846</v>
      </c>
      <c r="T132" s="64">
        <v>3000</v>
      </c>
      <c r="U132" s="64">
        <v>10750</v>
      </c>
      <c r="V132" s="68">
        <f t="shared" si="6"/>
        <v>0.27906976744186046</v>
      </c>
      <c r="W132" s="70">
        <f t="shared" si="7"/>
        <v>0.43615285692864098</v>
      </c>
      <c r="X132" s="71">
        <f t="shared" si="8"/>
        <v>4666.666666666667</v>
      </c>
      <c r="AD132" s="52"/>
      <c r="AG132" s="52"/>
      <c r="AJ132" s="52"/>
      <c r="AK132" s="52"/>
      <c r="AL132" s="55"/>
      <c r="AO132" s="52"/>
      <c r="AR132" s="52"/>
      <c r="AU132" s="52"/>
      <c r="AV132" s="52"/>
      <c r="AW132" s="55"/>
    </row>
    <row r="133" spans="1:49" ht="15.75" customHeight="1">
      <c r="A133" s="16">
        <v>30701</v>
      </c>
      <c r="B133" s="63" t="s">
        <v>139</v>
      </c>
      <c r="C133" s="64">
        <v>0</v>
      </c>
      <c r="D133" s="64">
        <v>19477</v>
      </c>
      <c r="E133" s="65">
        <f t="shared" si="0"/>
        <v>0</v>
      </c>
      <c r="F133" s="64">
        <v>50000</v>
      </c>
      <c r="G133" s="64">
        <v>19472.833333333332</v>
      </c>
      <c r="H133" s="65">
        <f t="shared" si="1"/>
        <v>2.5676797589804603</v>
      </c>
      <c r="I133" s="64">
        <v>0</v>
      </c>
      <c r="J133" s="64">
        <v>19468.666666666668</v>
      </c>
      <c r="K133" s="65">
        <f t="shared" si="2"/>
        <v>0</v>
      </c>
      <c r="L133" s="66">
        <f t="shared" si="3"/>
        <v>0.85589325299348673</v>
      </c>
      <c r="M133" s="67">
        <f t="shared" si="25"/>
        <v>16666.666666666668</v>
      </c>
      <c r="N133" s="64">
        <v>245000</v>
      </c>
      <c r="O133" s="64">
        <v>19435.333333333332</v>
      </c>
      <c r="P133" s="68">
        <f t="shared" si="4"/>
        <v>12.605906767742599</v>
      </c>
      <c r="Q133" s="69">
        <v>200000</v>
      </c>
      <c r="R133" s="64">
        <v>19431.166666666668</v>
      </c>
      <c r="S133" s="68">
        <f t="shared" si="5"/>
        <v>10.292742758626604</v>
      </c>
      <c r="T133" s="64">
        <v>200000</v>
      </c>
      <c r="U133" s="64">
        <v>19427</v>
      </c>
      <c r="V133" s="68">
        <f t="shared" si="6"/>
        <v>10.294950326864672</v>
      </c>
      <c r="W133" s="70">
        <f t="shared" si="7"/>
        <v>11.064533284411292</v>
      </c>
      <c r="X133" s="71">
        <f t="shared" si="8"/>
        <v>215000</v>
      </c>
      <c r="AD133" s="52"/>
      <c r="AG133" s="52"/>
      <c r="AJ133" s="52"/>
      <c r="AK133" s="52"/>
      <c r="AL133" s="55"/>
      <c r="AO133" s="52"/>
      <c r="AR133" s="52"/>
      <c r="AU133" s="52"/>
      <c r="AV133" s="52"/>
      <c r="AW133" s="55"/>
    </row>
    <row r="134" spans="1:49" ht="15.75" customHeight="1">
      <c r="A134" s="16">
        <v>30702</v>
      </c>
      <c r="B134" s="63" t="s">
        <v>140</v>
      </c>
      <c r="C134" s="64">
        <v>30000</v>
      </c>
      <c r="D134" s="64">
        <v>6527</v>
      </c>
      <c r="E134" s="65">
        <f t="shared" si="0"/>
        <v>4.5962923241918183</v>
      </c>
      <c r="F134" s="64">
        <v>30000</v>
      </c>
      <c r="G134" s="64">
        <v>6644.75</v>
      </c>
      <c r="H134" s="65">
        <f t="shared" si="1"/>
        <v>4.5148425448662479</v>
      </c>
      <c r="I134" s="64">
        <v>0</v>
      </c>
      <c r="J134" s="64">
        <v>6762.5</v>
      </c>
      <c r="K134" s="65">
        <f t="shared" si="2"/>
        <v>0</v>
      </c>
      <c r="L134" s="66">
        <f t="shared" si="3"/>
        <v>3.0370449563526889</v>
      </c>
      <c r="M134" s="67">
        <f t="shared" si="25"/>
        <v>20000</v>
      </c>
      <c r="N134" s="64">
        <v>35000</v>
      </c>
      <c r="O134" s="64">
        <v>7704.5</v>
      </c>
      <c r="P134" s="68">
        <f t="shared" si="4"/>
        <v>4.5427996625348825</v>
      </c>
      <c r="Q134" s="69">
        <v>18000</v>
      </c>
      <c r="R134" s="64">
        <v>7822.25</v>
      </c>
      <c r="S134" s="68">
        <f t="shared" si="5"/>
        <v>2.3011281920163635</v>
      </c>
      <c r="T134" s="64">
        <v>18000</v>
      </c>
      <c r="U134" s="64">
        <v>7940</v>
      </c>
      <c r="V134" s="68">
        <f t="shared" si="6"/>
        <v>2.2670025188916876</v>
      </c>
      <c r="W134" s="70">
        <f t="shared" si="7"/>
        <v>3.0369767911476444</v>
      </c>
      <c r="X134" s="71">
        <f t="shared" si="8"/>
        <v>23666.666666666668</v>
      </c>
      <c r="AD134" s="52"/>
      <c r="AG134" s="52"/>
      <c r="AJ134" s="52"/>
      <c r="AK134" s="52"/>
      <c r="AL134" s="55"/>
      <c r="AO134" s="52"/>
      <c r="AR134" s="52"/>
      <c r="AU134" s="52"/>
      <c r="AV134" s="52"/>
      <c r="AW134" s="55"/>
    </row>
    <row r="135" spans="1:49" ht="15.75" customHeight="1">
      <c r="A135" s="16">
        <v>30703</v>
      </c>
      <c r="B135" s="63" t="s">
        <v>141</v>
      </c>
      <c r="C135" s="64">
        <v>0</v>
      </c>
      <c r="D135" s="64">
        <v>3740</v>
      </c>
      <c r="E135" s="65">
        <f t="shared" si="0"/>
        <v>0</v>
      </c>
      <c r="F135" s="64">
        <v>0</v>
      </c>
      <c r="G135" s="64">
        <v>3760</v>
      </c>
      <c r="H135" s="65">
        <f t="shared" si="1"/>
        <v>0</v>
      </c>
      <c r="I135" s="64">
        <v>0</v>
      </c>
      <c r="J135" s="64">
        <v>3780</v>
      </c>
      <c r="K135" s="65">
        <f t="shared" si="2"/>
        <v>0</v>
      </c>
      <c r="L135" s="66">
        <f t="shared" si="3"/>
        <v>0</v>
      </c>
      <c r="M135" s="67">
        <f t="shared" si="25"/>
        <v>0</v>
      </c>
      <c r="N135" s="64">
        <v>2000</v>
      </c>
      <c r="O135" s="64">
        <v>3940</v>
      </c>
      <c r="P135" s="68">
        <f t="shared" si="4"/>
        <v>0.50761421319796951</v>
      </c>
      <c r="Q135" s="69">
        <v>2000</v>
      </c>
      <c r="R135" s="64">
        <v>3960</v>
      </c>
      <c r="S135" s="68">
        <f t="shared" si="5"/>
        <v>0.50505050505050508</v>
      </c>
      <c r="T135" s="64">
        <v>2000</v>
      </c>
      <c r="U135" s="64">
        <v>3980</v>
      </c>
      <c r="V135" s="68">
        <f t="shared" si="6"/>
        <v>0.50251256281407031</v>
      </c>
      <c r="W135" s="70">
        <f t="shared" si="7"/>
        <v>0.50505909368751489</v>
      </c>
      <c r="X135" s="71">
        <f t="shared" si="8"/>
        <v>2000</v>
      </c>
      <c r="AD135" s="52"/>
      <c r="AG135" s="52"/>
      <c r="AJ135" s="52"/>
      <c r="AK135" s="52"/>
      <c r="AL135" s="55"/>
      <c r="AO135" s="52"/>
      <c r="AR135" s="52"/>
      <c r="AU135" s="52"/>
      <c r="AV135" s="52"/>
      <c r="AW135" s="55"/>
    </row>
    <row r="136" spans="1:49" ht="15.75" customHeight="1">
      <c r="A136" s="16">
        <v>30801</v>
      </c>
      <c r="B136" s="63" t="s">
        <v>142</v>
      </c>
      <c r="C136" s="64">
        <v>175000</v>
      </c>
      <c r="D136" s="64">
        <v>21899</v>
      </c>
      <c r="E136" s="65">
        <f t="shared" si="0"/>
        <v>7.9912324763687836</v>
      </c>
      <c r="F136" s="64">
        <v>187000</v>
      </c>
      <c r="G136" s="64">
        <v>21837</v>
      </c>
      <c r="H136" s="65">
        <f t="shared" si="1"/>
        <v>8.5634473599853465</v>
      </c>
      <c r="I136" s="64">
        <v>0</v>
      </c>
      <c r="J136" s="64">
        <v>21775</v>
      </c>
      <c r="K136" s="65">
        <f t="shared" si="2"/>
        <v>0</v>
      </c>
      <c r="L136" s="66">
        <f t="shared" si="3"/>
        <v>5.5182266121180428</v>
      </c>
      <c r="M136" s="67">
        <f t="shared" si="25"/>
        <v>120666.66666666667</v>
      </c>
      <c r="N136" s="64">
        <v>417500</v>
      </c>
      <c r="O136" s="64">
        <v>21279</v>
      </c>
      <c r="P136" s="68">
        <f t="shared" si="4"/>
        <v>19.620282908031392</v>
      </c>
      <c r="Q136" s="69">
        <v>543700</v>
      </c>
      <c r="R136" s="64">
        <v>21217</v>
      </c>
      <c r="S136" s="68">
        <f t="shared" si="5"/>
        <v>25.625677522741199</v>
      </c>
      <c r="T136" s="64">
        <v>581500</v>
      </c>
      <c r="U136" s="64">
        <v>21155</v>
      </c>
      <c r="V136" s="68">
        <f t="shared" si="6"/>
        <v>27.487591585913496</v>
      </c>
      <c r="W136" s="70">
        <f t="shared" si="7"/>
        <v>24.244517338895363</v>
      </c>
      <c r="X136" s="71">
        <f t="shared" si="8"/>
        <v>514233.33333333331</v>
      </c>
      <c r="AD136" s="52"/>
      <c r="AG136" s="52"/>
      <c r="AJ136" s="52"/>
      <c r="AK136" s="52"/>
      <c r="AL136" s="55"/>
      <c r="AO136" s="52"/>
      <c r="AR136" s="52"/>
      <c r="AU136" s="52"/>
      <c r="AV136" s="52"/>
      <c r="AW136" s="55"/>
    </row>
    <row r="137" spans="1:49" ht="15.75" customHeight="1">
      <c r="A137" s="16">
        <v>30802</v>
      </c>
      <c r="B137" s="63" t="s">
        <v>143</v>
      </c>
      <c r="C137" s="64">
        <v>10000</v>
      </c>
      <c r="D137" s="64">
        <v>7057</v>
      </c>
      <c r="E137" s="65">
        <f t="shared" si="0"/>
        <v>1.4170327334561428</v>
      </c>
      <c r="F137" s="64">
        <v>10000</v>
      </c>
      <c r="G137" s="64">
        <v>7084.083333333333</v>
      </c>
      <c r="H137" s="65">
        <f t="shared" si="1"/>
        <v>1.411615240739216</v>
      </c>
      <c r="I137" s="64">
        <v>0</v>
      </c>
      <c r="J137" s="64">
        <v>7111.166666666667</v>
      </c>
      <c r="K137" s="65">
        <f t="shared" si="2"/>
        <v>0</v>
      </c>
      <c r="L137" s="66">
        <f t="shared" si="3"/>
        <v>0.94288265806511962</v>
      </c>
      <c r="M137" s="67">
        <f t="shared" si="25"/>
        <v>6666.666666666667</v>
      </c>
      <c r="N137" s="64">
        <v>10000</v>
      </c>
      <c r="O137" s="64">
        <v>7327.833333333333</v>
      </c>
      <c r="P137" s="68">
        <f t="shared" si="4"/>
        <v>1.3646598585302614</v>
      </c>
      <c r="Q137" s="69">
        <v>15000</v>
      </c>
      <c r="R137" s="64">
        <v>7354.916666666667</v>
      </c>
      <c r="S137" s="68">
        <f t="shared" si="5"/>
        <v>2.0394520672112759</v>
      </c>
      <c r="T137" s="64">
        <v>15000</v>
      </c>
      <c r="U137" s="64">
        <v>7382</v>
      </c>
      <c r="V137" s="68">
        <f t="shared" si="6"/>
        <v>2.0319696559198048</v>
      </c>
      <c r="W137" s="70">
        <f t="shared" si="7"/>
        <v>1.812027193887114</v>
      </c>
      <c r="X137" s="71">
        <f t="shared" si="8"/>
        <v>13333.333333333334</v>
      </c>
      <c r="AD137" s="52"/>
      <c r="AG137" s="52"/>
      <c r="AJ137" s="52"/>
      <c r="AK137" s="52"/>
      <c r="AL137" s="55"/>
      <c r="AO137" s="52"/>
      <c r="AR137" s="52"/>
      <c r="AU137" s="52"/>
      <c r="AV137" s="52"/>
      <c r="AW137" s="55"/>
    </row>
    <row r="138" spans="1:49" ht="15.75" customHeight="1">
      <c r="A138" s="16">
        <v>30803</v>
      </c>
      <c r="B138" s="63" t="s">
        <v>144</v>
      </c>
      <c r="C138" s="64">
        <v>20000</v>
      </c>
      <c r="D138" s="64">
        <v>5542</v>
      </c>
      <c r="E138" s="65">
        <f t="shared" si="0"/>
        <v>3.6088054853843379</v>
      </c>
      <c r="F138" s="64">
        <v>20000</v>
      </c>
      <c r="G138" s="64">
        <v>5804.083333333333</v>
      </c>
      <c r="H138" s="65">
        <f t="shared" si="1"/>
        <v>3.4458499045212423</v>
      </c>
      <c r="I138" s="64">
        <v>0</v>
      </c>
      <c r="J138" s="64">
        <v>6066.166666666667</v>
      </c>
      <c r="K138" s="65">
        <f t="shared" si="2"/>
        <v>0</v>
      </c>
      <c r="L138" s="66">
        <f t="shared" si="3"/>
        <v>2.3515517966351935</v>
      </c>
      <c r="M138" s="67">
        <f t="shared" si="25"/>
        <v>13333.333333333334</v>
      </c>
      <c r="N138" s="64">
        <v>20000</v>
      </c>
      <c r="O138" s="64">
        <v>8162.833333333333</v>
      </c>
      <c r="P138" s="68">
        <f t="shared" si="4"/>
        <v>2.4501296526941219</v>
      </c>
      <c r="Q138" s="69">
        <v>20000</v>
      </c>
      <c r="R138" s="64">
        <v>8424.9166666666661</v>
      </c>
      <c r="S138" s="68">
        <f t="shared" si="5"/>
        <v>2.3739107211742945</v>
      </c>
      <c r="T138" s="64">
        <v>0</v>
      </c>
      <c r="U138" s="64">
        <v>8687</v>
      </c>
      <c r="V138" s="68">
        <f t="shared" si="6"/>
        <v>0</v>
      </c>
      <c r="W138" s="70">
        <f t="shared" si="7"/>
        <v>1.6080134579561387</v>
      </c>
      <c r="X138" s="71">
        <f t="shared" si="8"/>
        <v>13333.333333333334</v>
      </c>
      <c r="AD138" s="52"/>
      <c r="AG138" s="52"/>
      <c r="AJ138" s="52"/>
      <c r="AK138" s="52"/>
      <c r="AL138" s="55"/>
      <c r="AO138" s="52"/>
      <c r="AR138" s="52"/>
      <c r="AU138" s="52"/>
      <c r="AV138" s="52"/>
      <c r="AW138" s="55"/>
    </row>
    <row r="139" spans="1:49" ht="15.75" customHeight="1">
      <c r="A139" s="16">
        <v>30901</v>
      </c>
      <c r="B139" s="63" t="s">
        <v>145</v>
      </c>
      <c r="C139" s="64">
        <v>0</v>
      </c>
      <c r="D139" s="64">
        <v>137182</v>
      </c>
      <c r="E139" s="65">
        <f t="shared" si="0"/>
        <v>0</v>
      </c>
      <c r="F139" s="64">
        <v>0</v>
      </c>
      <c r="G139" s="64">
        <v>139645.25</v>
      </c>
      <c r="H139" s="65">
        <f t="shared" si="1"/>
        <v>0</v>
      </c>
      <c r="I139" s="64">
        <v>0</v>
      </c>
      <c r="J139" s="64">
        <v>142108.5</v>
      </c>
      <c r="K139" s="65">
        <f t="shared" si="2"/>
        <v>0</v>
      </c>
      <c r="L139" s="66">
        <f t="shared" si="3"/>
        <v>0</v>
      </c>
      <c r="M139" s="67">
        <f t="shared" si="25"/>
        <v>0</v>
      </c>
      <c r="N139" s="64">
        <v>18485814</v>
      </c>
      <c r="O139" s="64">
        <v>161814.5</v>
      </c>
      <c r="P139" s="68">
        <f t="shared" si="4"/>
        <v>114.24077570304269</v>
      </c>
      <c r="Q139" s="69">
        <v>20539026</v>
      </c>
      <c r="R139" s="64">
        <v>164277.75</v>
      </c>
      <c r="S139" s="68">
        <f t="shared" si="5"/>
        <v>125.02621931454503</v>
      </c>
      <c r="T139" s="64">
        <v>10835109</v>
      </c>
      <c r="U139" s="64">
        <v>166741</v>
      </c>
      <c r="V139" s="68">
        <f t="shared" si="6"/>
        <v>64.981672174210303</v>
      </c>
      <c r="W139" s="70">
        <f t="shared" si="7"/>
        <v>101.416222397266</v>
      </c>
      <c r="X139" s="71">
        <f t="shared" si="8"/>
        <v>16619983</v>
      </c>
      <c r="AD139" s="52"/>
      <c r="AG139" s="52"/>
      <c r="AJ139" s="52"/>
      <c r="AK139" s="52"/>
      <c r="AL139" s="55"/>
      <c r="AO139" s="52"/>
      <c r="AR139" s="52"/>
      <c r="AU139" s="52"/>
      <c r="AV139" s="52"/>
      <c r="AW139" s="55"/>
    </row>
    <row r="140" spans="1:49" ht="15.75" customHeight="1">
      <c r="A140" s="16">
        <v>30902</v>
      </c>
      <c r="B140" s="63" t="s">
        <v>146</v>
      </c>
      <c r="C140" s="64">
        <v>100000</v>
      </c>
      <c r="D140" s="64">
        <v>41571</v>
      </c>
      <c r="E140" s="65">
        <f t="shared" si="0"/>
        <v>2.4055230809939623</v>
      </c>
      <c r="F140" s="64">
        <v>250000</v>
      </c>
      <c r="G140" s="64">
        <v>42765.75</v>
      </c>
      <c r="H140" s="65">
        <f t="shared" si="1"/>
        <v>5.8457995007687229</v>
      </c>
      <c r="I140" s="64">
        <v>0</v>
      </c>
      <c r="J140" s="64">
        <v>43960.5</v>
      </c>
      <c r="K140" s="65">
        <f t="shared" si="2"/>
        <v>0</v>
      </c>
      <c r="L140" s="66">
        <f t="shared" si="3"/>
        <v>2.7504408605875619</v>
      </c>
      <c r="M140" s="67">
        <f t="shared" si="25"/>
        <v>116666.66666666667</v>
      </c>
      <c r="N140" s="64">
        <v>350000</v>
      </c>
      <c r="O140" s="64">
        <v>53518.5</v>
      </c>
      <c r="P140" s="68">
        <f t="shared" si="4"/>
        <v>6.539794650447976</v>
      </c>
      <c r="Q140" s="69">
        <v>510150</v>
      </c>
      <c r="R140" s="64">
        <v>54713.25</v>
      </c>
      <c r="S140" s="68">
        <f t="shared" si="5"/>
        <v>9.3240668393853401</v>
      </c>
      <c r="T140" s="64">
        <v>535150</v>
      </c>
      <c r="U140" s="64">
        <v>55908</v>
      </c>
      <c r="V140" s="68">
        <f t="shared" si="6"/>
        <v>9.5719753881376555</v>
      </c>
      <c r="W140" s="70">
        <f t="shared" si="7"/>
        <v>8.4786122926569902</v>
      </c>
      <c r="X140" s="71">
        <f t="shared" si="8"/>
        <v>465100</v>
      </c>
      <c r="AD140" s="52"/>
      <c r="AG140" s="52"/>
      <c r="AJ140" s="52"/>
      <c r="AK140" s="52"/>
      <c r="AL140" s="55"/>
      <c r="AO140" s="52"/>
      <c r="AR140" s="52"/>
      <c r="AU140" s="52"/>
      <c r="AV140" s="52"/>
      <c r="AW140" s="55"/>
    </row>
    <row r="141" spans="1:49" ht="15.75" customHeight="1">
      <c r="A141" s="16">
        <v>30903</v>
      </c>
      <c r="B141" s="63" t="s">
        <v>147</v>
      </c>
      <c r="C141" s="64">
        <v>971166</v>
      </c>
      <c r="D141" s="64">
        <v>53904</v>
      </c>
      <c r="E141" s="65">
        <f t="shared" si="0"/>
        <v>18.016585040071238</v>
      </c>
      <c r="F141" s="64">
        <v>1216343</v>
      </c>
      <c r="G141" s="64">
        <v>54565.333333333336</v>
      </c>
      <c r="H141" s="65">
        <f t="shared" si="1"/>
        <v>22.291497654188252</v>
      </c>
      <c r="I141" s="64">
        <v>0</v>
      </c>
      <c r="J141" s="64">
        <v>55226.666666666664</v>
      </c>
      <c r="K141" s="65">
        <f t="shared" si="2"/>
        <v>0</v>
      </c>
      <c r="L141" s="66">
        <f t="shared" si="3"/>
        <v>13.436027564753163</v>
      </c>
      <c r="M141" s="67">
        <f t="shared" si="25"/>
        <v>729169.66666666663</v>
      </c>
      <c r="N141" s="64">
        <v>1477183</v>
      </c>
      <c r="O141" s="64">
        <v>60517.333333333336</v>
      </c>
      <c r="P141" s="68">
        <f t="shared" si="4"/>
        <v>24.409254648805852</v>
      </c>
      <c r="Q141" s="69">
        <v>1611951</v>
      </c>
      <c r="R141" s="64">
        <v>61178.666666666664</v>
      </c>
      <c r="S141" s="68">
        <f t="shared" si="5"/>
        <v>26.348253203731151</v>
      </c>
      <c r="T141" s="64">
        <v>1611951</v>
      </c>
      <c r="U141" s="64">
        <v>61840</v>
      </c>
      <c r="V141" s="68">
        <f t="shared" si="6"/>
        <v>26.066478007761965</v>
      </c>
      <c r="W141" s="70">
        <f t="shared" si="7"/>
        <v>25.607995286766322</v>
      </c>
      <c r="X141" s="71">
        <f t="shared" si="8"/>
        <v>1567028.3333333333</v>
      </c>
      <c r="AD141" s="52"/>
      <c r="AG141" s="52"/>
      <c r="AJ141" s="52"/>
      <c r="AK141" s="52"/>
      <c r="AL141" s="55"/>
      <c r="AO141" s="52"/>
      <c r="AR141" s="52"/>
      <c r="AU141" s="52"/>
      <c r="AV141" s="52"/>
      <c r="AW141" s="55"/>
    </row>
    <row r="142" spans="1:49" ht="15.75" customHeight="1">
      <c r="A142" s="16">
        <v>30904</v>
      </c>
      <c r="B142" s="63" t="s">
        <v>148</v>
      </c>
      <c r="C142" s="64">
        <v>349706</v>
      </c>
      <c r="D142" s="64">
        <v>51968</v>
      </c>
      <c r="E142" s="65">
        <f t="shared" si="0"/>
        <v>6.7292564655172411</v>
      </c>
      <c r="F142" s="64">
        <v>303500</v>
      </c>
      <c r="G142" s="64">
        <v>52309.333333333336</v>
      </c>
      <c r="H142" s="65">
        <f t="shared" si="1"/>
        <v>5.8020238580750405</v>
      </c>
      <c r="I142" s="64">
        <v>0</v>
      </c>
      <c r="J142" s="64">
        <v>52650.666666666664</v>
      </c>
      <c r="K142" s="65">
        <f t="shared" si="2"/>
        <v>0</v>
      </c>
      <c r="L142" s="66">
        <f t="shared" si="3"/>
        <v>4.1770934411974272</v>
      </c>
      <c r="M142" s="67">
        <f t="shared" si="25"/>
        <v>217735.33333333334</v>
      </c>
      <c r="N142" s="64">
        <v>730000</v>
      </c>
      <c r="O142" s="64">
        <v>55381.333333333336</v>
      </c>
      <c r="P142" s="68">
        <f t="shared" si="4"/>
        <v>13.181336671802773</v>
      </c>
      <c r="Q142" s="69">
        <v>750000</v>
      </c>
      <c r="R142" s="64">
        <v>55722.666666666664</v>
      </c>
      <c r="S142" s="68">
        <f t="shared" si="5"/>
        <v>13.459513782542114</v>
      </c>
      <c r="T142" s="64">
        <v>750000</v>
      </c>
      <c r="U142" s="64">
        <v>56064</v>
      </c>
      <c r="V142" s="68">
        <f t="shared" si="6"/>
        <v>13.377568493150685</v>
      </c>
      <c r="W142" s="70">
        <f t="shared" si="7"/>
        <v>13.339472982498522</v>
      </c>
      <c r="X142" s="71">
        <f t="shared" si="8"/>
        <v>743333.33333333337</v>
      </c>
      <c r="AD142" s="52"/>
      <c r="AG142" s="52"/>
      <c r="AJ142" s="52"/>
      <c r="AK142" s="52"/>
      <c r="AL142" s="55"/>
      <c r="AO142" s="52"/>
      <c r="AR142" s="52"/>
      <c r="AU142" s="52"/>
      <c r="AV142" s="52"/>
      <c r="AW142" s="55"/>
    </row>
    <row r="143" spans="1:49" ht="15.75" customHeight="1">
      <c r="A143" s="16">
        <v>30905</v>
      </c>
      <c r="B143" s="63" t="s">
        <v>149</v>
      </c>
      <c r="C143" s="64">
        <v>300000</v>
      </c>
      <c r="D143" s="64">
        <v>51990</v>
      </c>
      <c r="E143" s="65">
        <f t="shared" si="0"/>
        <v>5.7703404500865547</v>
      </c>
      <c r="F143" s="64">
        <v>970000</v>
      </c>
      <c r="G143" s="64">
        <v>53199.583333333336</v>
      </c>
      <c r="H143" s="65">
        <f t="shared" si="1"/>
        <v>18.23322551085143</v>
      </c>
      <c r="I143" s="64">
        <v>0</v>
      </c>
      <c r="J143" s="64">
        <v>54409.166666666664</v>
      </c>
      <c r="K143" s="65">
        <f t="shared" si="2"/>
        <v>0</v>
      </c>
      <c r="L143" s="66">
        <f t="shared" si="3"/>
        <v>8.0011886536459951</v>
      </c>
      <c r="M143" s="67">
        <f t="shared" si="25"/>
        <v>423333.33333333331</v>
      </c>
      <c r="N143" s="64">
        <v>3700000</v>
      </c>
      <c r="O143" s="64">
        <v>64085.833333333328</v>
      </c>
      <c r="P143" s="68">
        <f t="shared" si="4"/>
        <v>57.735068852970628</v>
      </c>
      <c r="Q143" s="69">
        <v>3100000</v>
      </c>
      <c r="R143" s="64">
        <v>65295.416666666664</v>
      </c>
      <c r="S143" s="68">
        <f t="shared" si="5"/>
        <v>47.476532936844727</v>
      </c>
      <c r="T143" s="64">
        <v>3580000</v>
      </c>
      <c r="U143" s="64">
        <v>66505</v>
      </c>
      <c r="V143" s="68">
        <f t="shared" si="6"/>
        <v>53.830539057213741</v>
      </c>
      <c r="W143" s="70">
        <f t="shared" si="7"/>
        <v>53.014046949009696</v>
      </c>
      <c r="X143" s="71">
        <f t="shared" si="8"/>
        <v>3460000</v>
      </c>
      <c r="AD143" s="52"/>
      <c r="AG143" s="52"/>
      <c r="AJ143" s="52"/>
      <c r="AK143" s="52"/>
      <c r="AL143" s="55"/>
      <c r="AO143" s="52"/>
      <c r="AR143" s="52"/>
      <c r="AU143" s="52"/>
      <c r="AV143" s="52"/>
      <c r="AW143" s="55"/>
    </row>
    <row r="144" spans="1:49" ht="15.75" customHeight="1">
      <c r="A144" s="16">
        <v>31001</v>
      </c>
      <c r="B144" s="63" t="s">
        <v>150</v>
      </c>
      <c r="C144" s="64">
        <v>1000000</v>
      </c>
      <c r="D144" s="64">
        <v>172466</v>
      </c>
      <c r="E144" s="65">
        <f t="shared" si="0"/>
        <v>5.7982442916284951</v>
      </c>
      <c r="F144" s="64">
        <v>1050000</v>
      </c>
      <c r="G144" s="64">
        <v>176351.5</v>
      </c>
      <c r="H144" s="65">
        <f t="shared" si="1"/>
        <v>5.9540179697932825</v>
      </c>
      <c r="I144" s="64">
        <v>0</v>
      </c>
      <c r="J144" s="64">
        <v>180237</v>
      </c>
      <c r="K144" s="65">
        <f t="shared" si="2"/>
        <v>0</v>
      </c>
      <c r="L144" s="66">
        <f t="shared" si="3"/>
        <v>3.9174207538072587</v>
      </c>
      <c r="M144" s="67">
        <f t="shared" si="25"/>
        <v>683333.33333333337</v>
      </c>
      <c r="N144" s="64">
        <v>3000000</v>
      </c>
      <c r="O144" s="64">
        <v>211321</v>
      </c>
      <c r="P144" s="68">
        <f t="shared" si="4"/>
        <v>14.196412093450249</v>
      </c>
      <c r="Q144" s="69">
        <v>3000000</v>
      </c>
      <c r="R144" s="64">
        <v>215206.5</v>
      </c>
      <c r="S144" s="68">
        <f t="shared" si="5"/>
        <v>13.940099392908671</v>
      </c>
      <c r="T144" s="64">
        <v>3300000</v>
      </c>
      <c r="U144" s="64">
        <v>219092</v>
      </c>
      <c r="V144" s="68">
        <f t="shared" si="6"/>
        <v>15.06216566556515</v>
      </c>
      <c r="W144" s="70">
        <f t="shared" si="7"/>
        <v>14.399559050641358</v>
      </c>
      <c r="X144" s="71">
        <f t="shared" si="8"/>
        <v>3100000</v>
      </c>
      <c r="AD144" s="52"/>
      <c r="AG144" s="52"/>
      <c r="AJ144" s="52"/>
      <c r="AK144" s="52"/>
      <c r="AL144" s="55"/>
      <c r="AO144" s="52"/>
      <c r="AR144" s="52"/>
      <c r="AU144" s="52"/>
      <c r="AV144" s="52"/>
      <c r="AW144" s="55"/>
    </row>
    <row r="145" spans="1:49" ht="15.75" customHeight="1">
      <c r="A145" s="16">
        <v>31002</v>
      </c>
      <c r="B145" s="63" t="s">
        <v>151</v>
      </c>
      <c r="C145" s="64">
        <v>150000</v>
      </c>
      <c r="D145" s="64">
        <v>19285</v>
      </c>
      <c r="E145" s="65">
        <f t="shared" si="0"/>
        <v>7.7780658542909</v>
      </c>
      <c r="F145" s="64">
        <v>150000</v>
      </c>
      <c r="G145" s="64">
        <v>19498.416666666668</v>
      </c>
      <c r="H145" s="65">
        <f t="shared" si="1"/>
        <v>7.6929323321124361</v>
      </c>
      <c r="I145" s="64">
        <v>0</v>
      </c>
      <c r="J145" s="64">
        <v>19711.833333333332</v>
      </c>
      <c r="K145" s="65">
        <f t="shared" si="2"/>
        <v>0</v>
      </c>
      <c r="L145" s="66">
        <f t="shared" si="3"/>
        <v>5.1569993954677784</v>
      </c>
      <c r="M145" s="67">
        <f t="shared" si="25"/>
        <v>100000</v>
      </c>
      <c r="N145" s="64">
        <v>128000</v>
      </c>
      <c r="O145" s="64">
        <v>21419.166666666668</v>
      </c>
      <c r="P145" s="68">
        <f t="shared" si="4"/>
        <v>5.9759561140722868</v>
      </c>
      <c r="Q145" s="69">
        <v>128000</v>
      </c>
      <c r="R145" s="64">
        <v>21632.583333333332</v>
      </c>
      <c r="S145" s="68">
        <f t="shared" si="5"/>
        <v>5.9170002041673255</v>
      </c>
      <c r="T145" s="64">
        <v>121500</v>
      </c>
      <c r="U145" s="64">
        <v>21846</v>
      </c>
      <c r="V145" s="68">
        <f t="shared" si="6"/>
        <v>5.5616588849217248</v>
      </c>
      <c r="W145" s="70">
        <f t="shared" si="7"/>
        <v>5.818205067720446</v>
      </c>
      <c r="X145" s="71">
        <f t="shared" si="8"/>
        <v>125833.33333333333</v>
      </c>
      <c r="AD145" s="52"/>
      <c r="AG145" s="52"/>
      <c r="AJ145" s="52"/>
      <c r="AK145" s="52"/>
      <c r="AL145" s="55"/>
      <c r="AO145" s="52"/>
      <c r="AR145" s="52"/>
      <c r="AU145" s="52"/>
      <c r="AV145" s="52"/>
      <c r="AW145" s="55"/>
    </row>
    <row r="146" spans="1:49" ht="15.75" customHeight="1">
      <c r="A146" s="16">
        <v>31003</v>
      </c>
      <c r="B146" s="63" t="s">
        <v>152</v>
      </c>
      <c r="C146" s="64">
        <v>250000</v>
      </c>
      <c r="D146" s="64">
        <v>71386</v>
      </c>
      <c r="E146" s="65">
        <f t="shared" si="0"/>
        <v>3.5020872439974227</v>
      </c>
      <c r="F146" s="64">
        <v>250000</v>
      </c>
      <c r="G146" s="64">
        <v>73249.416666666672</v>
      </c>
      <c r="H146" s="65">
        <f t="shared" si="1"/>
        <v>3.4129964629979987</v>
      </c>
      <c r="I146" s="64">
        <v>0</v>
      </c>
      <c r="J146" s="64">
        <v>75112.833333333328</v>
      </c>
      <c r="K146" s="65">
        <f t="shared" si="2"/>
        <v>0</v>
      </c>
      <c r="L146" s="66">
        <f t="shared" si="3"/>
        <v>2.305027902331807</v>
      </c>
      <c r="M146" s="67">
        <f t="shared" si="25"/>
        <v>166666.66666666666</v>
      </c>
      <c r="N146" s="64">
        <v>1500000</v>
      </c>
      <c r="O146" s="64">
        <v>90020.166666666672</v>
      </c>
      <c r="P146" s="68">
        <f t="shared" si="4"/>
        <v>16.662932935397809</v>
      </c>
      <c r="Q146" s="69">
        <v>1700000</v>
      </c>
      <c r="R146" s="64">
        <v>91883.583333333343</v>
      </c>
      <c r="S146" s="68">
        <f t="shared" si="5"/>
        <v>18.501672859587718</v>
      </c>
      <c r="T146" s="64">
        <v>1670000</v>
      </c>
      <c r="U146" s="64">
        <v>93747</v>
      </c>
      <c r="V146" s="68">
        <f t="shared" si="6"/>
        <v>17.813903378241438</v>
      </c>
      <c r="W146" s="70">
        <f t="shared" si="7"/>
        <v>17.659503057742324</v>
      </c>
      <c r="X146" s="71">
        <f t="shared" si="8"/>
        <v>1623333.3333333333</v>
      </c>
      <c r="AD146" s="52"/>
      <c r="AG146" s="52"/>
      <c r="AJ146" s="52"/>
      <c r="AK146" s="52"/>
      <c r="AL146" s="55"/>
      <c r="AO146" s="52"/>
      <c r="AR146" s="52"/>
      <c r="AU146" s="52"/>
      <c r="AV146" s="52"/>
      <c r="AW146" s="55"/>
    </row>
    <row r="147" spans="1:49" ht="15.75" customHeight="1">
      <c r="A147" s="16">
        <v>31101</v>
      </c>
      <c r="B147" s="63" t="s">
        <v>153</v>
      </c>
      <c r="C147" s="64">
        <v>0</v>
      </c>
      <c r="D147" s="64">
        <v>24625</v>
      </c>
      <c r="E147" s="65">
        <f t="shared" si="0"/>
        <v>0</v>
      </c>
      <c r="F147" s="64">
        <v>0</v>
      </c>
      <c r="G147" s="64">
        <v>24628.416666666668</v>
      </c>
      <c r="H147" s="65">
        <f t="shared" si="1"/>
        <v>0</v>
      </c>
      <c r="I147" s="64">
        <v>0</v>
      </c>
      <c r="J147" s="64">
        <v>24631.833333333332</v>
      </c>
      <c r="K147" s="65">
        <f t="shared" si="2"/>
        <v>0</v>
      </c>
      <c r="L147" s="66">
        <f t="shared" si="3"/>
        <v>0</v>
      </c>
      <c r="M147" s="67">
        <f t="shared" si="25"/>
        <v>0</v>
      </c>
      <c r="N147" s="64">
        <v>0</v>
      </c>
      <c r="O147" s="64">
        <v>24659.166666666668</v>
      </c>
      <c r="P147" s="68">
        <f t="shared" si="4"/>
        <v>0</v>
      </c>
      <c r="Q147" s="69">
        <v>10000</v>
      </c>
      <c r="R147" s="64">
        <v>24662.583333333332</v>
      </c>
      <c r="S147" s="68">
        <f t="shared" si="5"/>
        <v>0.40547252754678986</v>
      </c>
      <c r="T147" s="64">
        <v>10000</v>
      </c>
      <c r="U147" s="64">
        <v>24666</v>
      </c>
      <c r="V147" s="68">
        <f t="shared" si="6"/>
        <v>0.40541636260439473</v>
      </c>
      <c r="W147" s="70">
        <f t="shared" si="7"/>
        <v>0.27029629671706151</v>
      </c>
      <c r="X147" s="71">
        <f t="shared" si="8"/>
        <v>6666.666666666667</v>
      </c>
      <c r="AD147" s="52"/>
      <c r="AG147" s="52"/>
      <c r="AJ147" s="52"/>
      <c r="AK147" s="52"/>
      <c r="AL147" s="55"/>
      <c r="AO147" s="52"/>
      <c r="AR147" s="52"/>
      <c r="AU147" s="52"/>
      <c r="AV147" s="52"/>
      <c r="AW147" s="55"/>
    </row>
    <row r="148" spans="1:49" ht="15.75" customHeight="1">
      <c r="A148" s="16">
        <v>31201</v>
      </c>
      <c r="B148" s="63" t="s">
        <v>154</v>
      </c>
      <c r="C148" s="64">
        <v>110000</v>
      </c>
      <c r="D148" s="64">
        <v>14665</v>
      </c>
      <c r="E148" s="65">
        <f t="shared" si="0"/>
        <v>7.5008523695874532</v>
      </c>
      <c r="F148" s="64">
        <v>145000</v>
      </c>
      <c r="G148" s="64">
        <v>14678</v>
      </c>
      <c r="H148" s="65">
        <f t="shared" si="1"/>
        <v>9.8787300722169231</v>
      </c>
      <c r="I148" s="64">
        <v>0</v>
      </c>
      <c r="J148" s="64">
        <v>14691</v>
      </c>
      <c r="K148" s="65">
        <f t="shared" si="2"/>
        <v>0</v>
      </c>
      <c r="L148" s="66">
        <f t="shared" si="3"/>
        <v>5.7931941472681254</v>
      </c>
      <c r="M148" s="67">
        <f t="shared" si="25"/>
        <v>85000</v>
      </c>
      <c r="N148" s="64">
        <v>295200</v>
      </c>
      <c r="O148" s="64">
        <v>14795</v>
      </c>
      <c r="P148" s="68">
        <f t="shared" si="4"/>
        <v>19.952686718485975</v>
      </c>
      <c r="Q148" s="69">
        <v>157600</v>
      </c>
      <c r="R148" s="64">
        <v>14808</v>
      </c>
      <c r="S148" s="68">
        <f t="shared" si="5"/>
        <v>10.642895732036736</v>
      </c>
      <c r="T148" s="64">
        <v>157600</v>
      </c>
      <c r="U148" s="64">
        <v>14821</v>
      </c>
      <c r="V148" s="68">
        <f t="shared" si="6"/>
        <v>10.633560488496054</v>
      </c>
      <c r="W148" s="70">
        <f t="shared" si="7"/>
        <v>13.743047646339589</v>
      </c>
      <c r="X148" s="71">
        <f t="shared" si="8"/>
        <v>203466.66666666666</v>
      </c>
      <c r="AD148" s="52"/>
      <c r="AG148" s="52"/>
      <c r="AJ148" s="52"/>
      <c r="AK148" s="52"/>
      <c r="AL148" s="55"/>
      <c r="AO148" s="52"/>
      <c r="AR148" s="52"/>
      <c r="AU148" s="52"/>
      <c r="AV148" s="52"/>
      <c r="AW148" s="55"/>
    </row>
    <row r="149" spans="1:49" ht="15.75" customHeight="1">
      <c r="A149" s="16">
        <v>31202</v>
      </c>
      <c r="B149" s="63" t="s">
        <v>155</v>
      </c>
      <c r="C149" s="64">
        <v>15000</v>
      </c>
      <c r="D149" s="64">
        <v>10156</v>
      </c>
      <c r="E149" s="65">
        <f t="shared" si="0"/>
        <v>1.4769594328475777</v>
      </c>
      <c r="F149" s="64">
        <v>15000</v>
      </c>
      <c r="G149" s="64">
        <v>10298.416666666666</v>
      </c>
      <c r="H149" s="65">
        <f t="shared" si="1"/>
        <v>1.4565345805585002</v>
      </c>
      <c r="I149" s="64">
        <v>0</v>
      </c>
      <c r="J149" s="64">
        <v>10440.833333333334</v>
      </c>
      <c r="K149" s="65">
        <f t="shared" si="2"/>
        <v>0</v>
      </c>
      <c r="L149" s="66">
        <f t="shared" si="3"/>
        <v>0.97783133780202591</v>
      </c>
      <c r="M149" s="67">
        <f t="shared" si="25"/>
        <v>10000</v>
      </c>
      <c r="N149" s="64">
        <v>10000</v>
      </c>
      <c r="O149" s="64">
        <v>11580.166666666666</v>
      </c>
      <c r="P149" s="68">
        <f t="shared" si="4"/>
        <v>0.86354542968581338</v>
      </c>
      <c r="Q149" s="69">
        <v>14000</v>
      </c>
      <c r="R149" s="64">
        <v>11722.583333333334</v>
      </c>
      <c r="S149" s="68">
        <f t="shared" si="5"/>
        <v>1.1942760057154638</v>
      </c>
      <c r="T149" s="64">
        <v>53600</v>
      </c>
      <c r="U149" s="64">
        <v>11865</v>
      </c>
      <c r="V149" s="68">
        <f t="shared" si="6"/>
        <v>4.517488411293721</v>
      </c>
      <c r="W149" s="70">
        <f t="shared" si="7"/>
        <v>2.1917699488983327</v>
      </c>
      <c r="X149" s="71">
        <f t="shared" si="8"/>
        <v>25866.666666666668</v>
      </c>
      <c r="AD149" s="52"/>
      <c r="AG149" s="52"/>
      <c r="AJ149" s="52"/>
      <c r="AK149" s="52"/>
      <c r="AL149" s="55"/>
      <c r="AO149" s="52"/>
      <c r="AR149" s="52"/>
      <c r="AU149" s="52"/>
      <c r="AV149" s="52"/>
      <c r="AW149" s="55"/>
    </row>
    <row r="150" spans="1:49" ht="15.75" customHeight="1">
      <c r="A150" s="16">
        <v>31203</v>
      </c>
      <c r="B150" s="63" t="s">
        <v>156</v>
      </c>
      <c r="C150" s="64">
        <v>0</v>
      </c>
      <c r="D150" s="64">
        <v>10750</v>
      </c>
      <c r="E150" s="65">
        <f t="shared" si="0"/>
        <v>0</v>
      </c>
      <c r="F150" s="64">
        <v>0</v>
      </c>
      <c r="G150" s="64">
        <v>10875.666666666666</v>
      </c>
      <c r="H150" s="65">
        <f t="shared" si="1"/>
        <v>0</v>
      </c>
      <c r="I150" s="64">
        <v>0</v>
      </c>
      <c r="J150" s="64">
        <v>11001.333333333334</v>
      </c>
      <c r="K150" s="65">
        <f t="shared" si="2"/>
        <v>0</v>
      </c>
      <c r="L150" s="66">
        <f t="shared" si="3"/>
        <v>0</v>
      </c>
      <c r="M150" s="67">
        <f t="shared" si="25"/>
        <v>0</v>
      </c>
      <c r="N150" s="64">
        <v>35000</v>
      </c>
      <c r="O150" s="64">
        <v>12006.666666666666</v>
      </c>
      <c r="P150" s="68">
        <f t="shared" si="4"/>
        <v>2.9150471960022211</v>
      </c>
      <c r="Q150" s="69">
        <v>0</v>
      </c>
      <c r="R150" s="64">
        <v>12132.333333333334</v>
      </c>
      <c r="S150" s="68">
        <f t="shared" si="5"/>
        <v>0</v>
      </c>
      <c r="T150" s="64">
        <v>0</v>
      </c>
      <c r="U150" s="64">
        <v>12258</v>
      </c>
      <c r="V150" s="68">
        <f t="shared" si="6"/>
        <v>0</v>
      </c>
      <c r="W150" s="70">
        <f t="shared" si="7"/>
        <v>0.97168239866740702</v>
      </c>
      <c r="X150" s="71">
        <f t="shared" si="8"/>
        <v>11666.666666666666</v>
      </c>
      <c r="AD150" s="52"/>
      <c r="AG150" s="52"/>
      <c r="AJ150" s="52"/>
      <c r="AK150" s="52"/>
      <c r="AL150" s="55"/>
      <c r="AO150" s="52"/>
      <c r="AR150" s="52"/>
      <c r="AU150" s="52"/>
      <c r="AV150" s="52"/>
      <c r="AW150" s="55"/>
    </row>
    <row r="151" spans="1:49" ht="15.75" customHeight="1">
      <c r="A151" s="16">
        <v>31204</v>
      </c>
      <c r="B151" s="63" t="s">
        <v>157</v>
      </c>
      <c r="C151" s="64">
        <v>160000</v>
      </c>
      <c r="D151" s="64">
        <v>21736</v>
      </c>
      <c r="E151" s="65">
        <f t="shared" si="0"/>
        <v>7.36105999263894</v>
      </c>
      <c r="F151" s="64">
        <v>250000</v>
      </c>
      <c r="G151" s="64">
        <v>22218.083333333332</v>
      </c>
      <c r="H151" s="65">
        <f t="shared" si="1"/>
        <v>11.252095702824652</v>
      </c>
      <c r="I151" s="64">
        <v>0</v>
      </c>
      <c r="J151" s="64">
        <v>22700.166666666668</v>
      </c>
      <c r="K151" s="65">
        <f t="shared" si="2"/>
        <v>0</v>
      </c>
      <c r="L151" s="66">
        <f t="shared" si="3"/>
        <v>6.2043852318211981</v>
      </c>
      <c r="M151" s="67">
        <f t="shared" si="25"/>
        <v>136666.66666666666</v>
      </c>
      <c r="N151" s="64">
        <v>430000</v>
      </c>
      <c r="O151" s="64">
        <v>26556.833333333332</v>
      </c>
      <c r="P151" s="68">
        <f t="shared" si="4"/>
        <v>16.191689521215508</v>
      </c>
      <c r="Q151" s="69">
        <v>320000</v>
      </c>
      <c r="R151" s="64">
        <v>27038.916666666664</v>
      </c>
      <c r="S151" s="68">
        <f t="shared" si="5"/>
        <v>11.834793677014922</v>
      </c>
      <c r="T151" s="64">
        <v>330000</v>
      </c>
      <c r="U151" s="64">
        <v>27521</v>
      </c>
      <c r="V151" s="68">
        <f t="shared" si="6"/>
        <v>11.990843355982705</v>
      </c>
      <c r="W151" s="70">
        <f t="shared" si="7"/>
        <v>13.339108851404378</v>
      </c>
      <c r="X151" s="71">
        <f t="shared" si="8"/>
        <v>360000</v>
      </c>
      <c r="AD151" s="52"/>
      <c r="AG151" s="52"/>
      <c r="AJ151" s="52"/>
      <c r="AK151" s="52"/>
      <c r="AL151" s="55"/>
      <c r="AO151" s="52"/>
      <c r="AR151" s="52"/>
      <c r="AU151" s="52"/>
      <c r="AV151" s="52"/>
      <c r="AW151" s="55"/>
    </row>
    <row r="152" spans="1:49" ht="15.75" customHeight="1">
      <c r="A152" s="16">
        <v>31205</v>
      </c>
      <c r="B152" s="63" t="s">
        <v>158</v>
      </c>
      <c r="C152" s="64">
        <v>157941</v>
      </c>
      <c r="D152" s="64">
        <v>46627</v>
      </c>
      <c r="E152" s="65">
        <f t="shared" si="0"/>
        <v>3.3873292298453688</v>
      </c>
      <c r="F152" s="64">
        <v>133000</v>
      </c>
      <c r="G152" s="64">
        <v>48124.333333333336</v>
      </c>
      <c r="H152" s="65">
        <f t="shared" si="1"/>
        <v>2.7636746483068162</v>
      </c>
      <c r="I152" s="64">
        <v>0</v>
      </c>
      <c r="J152" s="64">
        <v>49621.666666666664</v>
      </c>
      <c r="K152" s="65">
        <f t="shared" si="2"/>
        <v>0</v>
      </c>
      <c r="L152" s="66">
        <f t="shared" si="3"/>
        <v>2.0503346260507285</v>
      </c>
      <c r="M152" s="67">
        <f t="shared" si="25"/>
        <v>96980.333333333328</v>
      </c>
      <c r="N152" s="64">
        <v>1494500</v>
      </c>
      <c r="O152" s="64">
        <v>61600.333333333328</v>
      </c>
      <c r="P152" s="68">
        <f t="shared" si="4"/>
        <v>24.261232352638785</v>
      </c>
      <c r="Q152" s="69">
        <v>1494500</v>
      </c>
      <c r="R152" s="64">
        <v>63097.666666666664</v>
      </c>
      <c r="S152" s="68">
        <f t="shared" si="5"/>
        <v>23.685503425905871</v>
      </c>
      <c r="T152" s="64">
        <v>1744500</v>
      </c>
      <c r="U152" s="64">
        <v>64595</v>
      </c>
      <c r="V152" s="68">
        <f t="shared" si="6"/>
        <v>27.006734267358155</v>
      </c>
      <c r="W152" s="70">
        <f t="shared" si="7"/>
        <v>24.984490015300935</v>
      </c>
      <c r="X152" s="71">
        <f t="shared" si="8"/>
        <v>1577833.3333333333</v>
      </c>
      <c r="AD152" s="52"/>
      <c r="AG152" s="52"/>
      <c r="AJ152" s="52"/>
      <c r="AK152" s="52"/>
      <c r="AL152" s="55"/>
      <c r="AO152" s="52"/>
      <c r="AR152" s="52"/>
      <c r="AU152" s="52"/>
      <c r="AV152" s="52"/>
      <c r="AW152" s="55"/>
    </row>
    <row r="153" spans="1:49" ht="15.75" customHeight="1">
      <c r="A153" s="16">
        <v>31206</v>
      </c>
      <c r="B153" s="63" t="s">
        <v>159</v>
      </c>
      <c r="C153" s="64">
        <v>240000</v>
      </c>
      <c r="D153" s="64">
        <v>31550</v>
      </c>
      <c r="E153" s="65">
        <f t="shared" si="0"/>
        <v>7.6069730586370836</v>
      </c>
      <c r="F153" s="64">
        <v>300000</v>
      </c>
      <c r="G153" s="64">
        <v>32735.833333333332</v>
      </c>
      <c r="H153" s="65">
        <f t="shared" si="1"/>
        <v>9.1642695313494382</v>
      </c>
      <c r="I153" s="64">
        <v>0</v>
      </c>
      <c r="J153" s="64">
        <v>33921.666666666664</v>
      </c>
      <c r="K153" s="65">
        <f t="shared" si="2"/>
        <v>0</v>
      </c>
      <c r="L153" s="66">
        <f t="shared" si="3"/>
        <v>5.5904141966621737</v>
      </c>
      <c r="M153" s="67">
        <f t="shared" si="25"/>
        <v>180000</v>
      </c>
      <c r="N153" s="64">
        <v>580000</v>
      </c>
      <c r="O153" s="64">
        <v>43408.333333333328</v>
      </c>
      <c r="P153" s="68">
        <f t="shared" si="4"/>
        <v>13.361489729314648</v>
      </c>
      <c r="Q153" s="69">
        <v>750000</v>
      </c>
      <c r="R153" s="64">
        <v>44594.166666666664</v>
      </c>
      <c r="S153" s="68">
        <f t="shared" si="5"/>
        <v>16.818343206323696</v>
      </c>
      <c r="T153" s="64">
        <v>750000</v>
      </c>
      <c r="U153" s="64">
        <v>45780</v>
      </c>
      <c r="V153" s="68">
        <f t="shared" si="6"/>
        <v>16.382699868938403</v>
      </c>
      <c r="W153" s="70">
        <f t="shared" si="7"/>
        <v>15.520844268192249</v>
      </c>
      <c r="X153" s="71">
        <f t="shared" si="8"/>
        <v>693333.33333333337</v>
      </c>
      <c r="AD153" s="52"/>
      <c r="AG153" s="52"/>
      <c r="AJ153" s="52"/>
      <c r="AK153" s="52"/>
      <c r="AL153" s="55"/>
      <c r="AO153" s="52"/>
      <c r="AR153" s="52"/>
      <c r="AU153" s="52"/>
      <c r="AV153" s="52"/>
      <c r="AW153" s="55"/>
    </row>
    <row r="154" spans="1:49" ht="15.75" customHeight="1">
      <c r="A154" s="16">
        <v>31301</v>
      </c>
      <c r="B154" s="63" t="s">
        <v>160</v>
      </c>
      <c r="C154" s="64">
        <v>100000</v>
      </c>
      <c r="D154" s="64">
        <v>19864</v>
      </c>
      <c r="E154" s="65">
        <f t="shared" si="0"/>
        <v>5.0342327829238824</v>
      </c>
      <c r="F154" s="64">
        <v>190000</v>
      </c>
      <c r="G154" s="64">
        <v>19866.666666666668</v>
      </c>
      <c r="H154" s="65">
        <f t="shared" si="1"/>
        <v>9.5637583892617446</v>
      </c>
      <c r="I154" s="64">
        <v>0</v>
      </c>
      <c r="J154" s="64">
        <v>19869.333333333332</v>
      </c>
      <c r="K154" s="65">
        <f t="shared" si="2"/>
        <v>0</v>
      </c>
      <c r="L154" s="66">
        <f t="shared" si="3"/>
        <v>4.8659970573952087</v>
      </c>
      <c r="M154" s="67">
        <f t="shared" si="25"/>
        <v>96666.666666666672</v>
      </c>
      <c r="N154" s="64">
        <v>60660</v>
      </c>
      <c r="O154" s="64">
        <v>19890.666666666668</v>
      </c>
      <c r="P154" s="68">
        <f t="shared" si="4"/>
        <v>3.0496715377396431</v>
      </c>
      <c r="Q154" s="69">
        <v>160000</v>
      </c>
      <c r="R154" s="64">
        <v>19893.333333333332</v>
      </c>
      <c r="S154" s="68">
        <f t="shared" si="5"/>
        <v>8.0428954423592494</v>
      </c>
      <c r="T154" s="64">
        <v>120000</v>
      </c>
      <c r="U154" s="64">
        <v>19896</v>
      </c>
      <c r="V154" s="68">
        <f t="shared" si="6"/>
        <v>6.0313630880579012</v>
      </c>
      <c r="W154" s="70">
        <f t="shared" si="7"/>
        <v>5.7079766893855988</v>
      </c>
      <c r="X154" s="71">
        <f t="shared" si="8"/>
        <v>113553.33333333333</v>
      </c>
      <c r="AD154" s="52"/>
      <c r="AG154" s="52"/>
      <c r="AJ154" s="52"/>
      <c r="AK154" s="52"/>
      <c r="AL154" s="55"/>
      <c r="AO154" s="52"/>
      <c r="AR154" s="52"/>
      <c r="AU154" s="52"/>
      <c r="AV154" s="52"/>
      <c r="AW154" s="55"/>
    </row>
    <row r="155" spans="1:49" ht="15.75" customHeight="1">
      <c r="A155" s="16">
        <v>31302</v>
      </c>
      <c r="B155" s="63" t="s">
        <v>161</v>
      </c>
      <c r="C155" s="64">
        <v>15000</v>
      </c>
      <c r="D155" s="64">
        <v>5459</v>
      </c>
      <c r="E155" s="65">
        <f t="shared" si="0"/>
        <v>2.7477559992672651</v>
      </c>
      <c r="F155" s="64">
        <v>20000</v>
      </c>
      <c r="G155" s="64">
        <v>5441.083333333333</v>
      </c>
      <c r="H155" s="65">
        <f t="shared" si="1"/>
        <v>3.6757385937236764</v>
      </c>
      <c r="I155" s="64">
        <v>0</v>
      </c>
      <c r="J155" s="64">
        <v>5423.166666666667</v>
      </c>
      <c r="K155" s="65">
        <f t="shared" si="2"/>
        <v>0</v>
      </c>
      <c r="L155" s="66">
        <f t="shared" si="3"/>
        <v>2.1411648643303138</v>
      </c>
      <c r="M155" s="67">
        <f t="shared" si="25"/>
        <v>11666.666666666666</v>
      </c>
      <c r="N155" s="64">
        <v>10000</v>
      </c>
      <c r="O155" s="64">
        <v>5279.833333333333</v>
      </c>
      <c r="P155" s="68">
        <f t="shared" si="4"/>
        <v>1.8939991792670223</v>
      </c>
      <c r="Q155" s="69">
        <v>0</v>
      </c>
      <c r="R155" s="64">
        <v>5261.916666666667</v>
      </c>
      <c r="S155" s="68">
        <f t="shared" si="5"/>
        <v>0</v>
      </c>
      <c r="T155" s="64">
        <v>10000</v>
      </c>
      <c r="U155" s="64">
        <v>5244</v>
      </c>
      <c r="V155" s="68">
        <f t="shared" si="6"/>
        <v>1.9069412662090008</v>
      </c>
      <c r="W155" s="70">
        <f t="shared" si="7"/>
        <v>1.2669801484920076</v>
      </c>
      <c r="X155" s="71">
        <f t="shared" si="8"/>
        <v>6666.666666666667</v>
      </c>
      <c r="AD155" s="52"/>
      <c r="AG155" s="52"/>
      <c r="AJ155" s="52"/>
      <c r="AK155" s="52"/>
      <c r="AL155" s="55"/>
      <c r="AO155" s="52"/>
      <c r="AR155" s="52"/>
      <c r="AU155" s="52"/>
      <c r="AV155" s="52"/>
      <c r="AW155" s="55"/>
    </row>
    <row r="156" spans="1:49" ht="15.75" customHeight="1">
      <c r="A156" s="16">
        <v>31303</v>
      </c>
      <c r="B156" s="63" t="s">
        <v>162</v>
      </c>
      <c r="C156" s="64">
        <v>0</v>
      </c>
      <c r="D156" s="64">
        <v>3447</v>
      </c>
      <c r="E156" s="65">
        <f t="shared" si="0"/>
        <v>0</v>
      </c>
      <c r="F156" s="64">
        <v>0</v>
      </c>
      <c r="G156" s="64">
        <v>3452.4166666666665</v>
      </c>
      <c r="H156" s="65">
        <f t="shared" si="1"/>
        <v>0</v>
      </c>
      <c r="I156" s="64">
        <v>0</v>
      </c>
      <c r="J156" s="64">
        <v>3457.8333333333335</v>
      </c>
      <c r="K156" s="65">
        <f t="shared" si="2"/>
        <v>0</v>
      </c>
      <c r="L156" s="66">
        <f t="shared" si="3"/>
        <v>0</v>
      </c>
      <c r="M156" s="67">
        <f t="shared" si="25"/>
        <v>0</v>
      </c>
      <c r="N156" s="64">
        <v>0</v>
      </c>
      <c r="O156" s="64">
        <v>3501.1666666666665</v>
      </c>
      <c r="P156" s="68">
        <f t="shared" si="4"/>
        <v>0</v>
      </c>
      <c r="Q156" s="69">
        <v>0</v>
      </c>
      <c r="R156" s="64">
        <v>3506.5833333333335</v>
      </c>
      <c r="S156" s="68">
        <f t="shared" si="5"/>
        <v>0</v>
      </c>
      <c r="T156" s="64">
        <v>0</v>
      </c>
      <c r="U156" s="64">
        <v>3512</v>
      </c>
      <c r="V156" s="68">
        <f t="shared" si="6"/>
        <v>0</v>
      </c>
      <c r="W156" s="70">
        <f t="shared" si="7"/>
        <v>0</v>
      </c>
      <c r="X156" s="71">
        <f t="shared" si="8"/>
        <v>0</v>
      </c>
      <c r="AD156" s="52"/>
      <c r="AG156" s="52"/>
      <c r="AJ156" s="52"/>
      <c r="AK156" s="52"/>
      <c r="AL156" s="55"/>
      <c r="AO156" s="52"/>
      <c r="AR156" s="52"/>
      <c r="AU156" s="52"/>
      <c r="AV156" s="52"/>
      <c r="AW156" s="55"/>
    </row>
    <row r="157" spans="1:49" ht="15.75" customHeight="1">
      <c r="A157" s="16">
        <v>31304</v>
      </c>
      <c r="B157" s="63" t="s">
        <v>163</v>
      </c>
      <c r="C157" s="64">
        <v>0</v>
      </c>
      <c r="D157" s="64">
        <v>7036</v>
      </c>
      <c r="E157" s="65">
        <f t="shared" si="0"/>
        <v>0</v>
      </c>
      <c r="F157" s="64">
        <v>0</v>
      </c>
      <c r="G157" s="64">
        <v>7121</v>
      </c>
      <c r="H157" s="65">
        <f t="shared" si="1"/>
        <v>0</v>
      </c>
      <c r="I157" s="64">
        <v>0</v>
      </c>
      <c r="J157" s="64">
        <v>7206</v>
      </c>
      <c r="K157" s="65">
        <f t="shared" si="2"/>
        <v>0</v>
      </c>
      <c r="L157" s="66">
        <f t="shared" si="3"/>
        <v>0</v>
      </c>
      <c r="M157" s="67">
        <f t="shared" si="25"/>
        <v>0</v>
      </c>
      <c r="N157" s="64">
        <v>0</v>
      </c>
      <c r="O157" s="64">
        <v>7886</v>
      </c>
      <c r="P157" s="68">
        <f t="shared" si="4"/>
        <v>0</v>
      </c>
      <c r="Q157" s="69">
        <v>0</v>
      </c>
      <c r="R157" s="64">
        <v>7971</v>
      </c>
      <c r="S157" s="68">
        <f t="shared" si="5"/>
        <v>0</v>
      </c>
      <c r="T157" s="64">
        <v>0</v>
      </c>
      <c r="U157" s="64">
        <v>8056</v>
      </c>
      <c r="V157" s="68">
        <f t="shared" si="6"/>
        <v>0</v>
      </c>
      <c r="W157" s="70">
        <f t="shared" si="7"/>
        <v>0</v>
      </c>
      <c r="X157" s="71">
        <f t="shared" si="8"/>
        <v>0</v>
      </c>
      <c r="AD157" s="52"/>
      <c r="AG157" s="52"/>
      <c r="AJ157" s="52"/>
      <c r="AK157" s="52"/>
      <c r="AL157" s="55"/>
      <c r="AO157" s="52"/>
      <c r="AR157" s="52"/>
      <c r="AU157" s="52"/>
      <c r="AV157" s="52"/>
      <c r="AW157" s="55"/>
    </row>
    <row r="158" spans="1:49" ht="15.75" customHeight="1">
      <c r="A158" s="16">
        <v>31401</v>
      </c>
      <c r="B158" s="63" t="s">
        <v>164</v>
      </c>
      <c r="C158" s="64">
        <v>350000</v>
      </c>
      <c r="D158" s="64">
        <v>28887</v>
      </c>
      <c r="E158" s="65">
        <f t="shared" si="0"/>
        <v>12.116176826946377</v>
      </c>
      <c r="F158" s="64">
        <v>550000</v>
      </c>
      <c r="G158" s="64">
        <v>29417.083333333332</v>
      </c>
      <c r="H158" s="65">
        <f t="shared" si="1"/>
        <v>18.696619028059093</v>
      </c>
      <c r="I158" s="64">
        <v>0</v>
      </c>
      <c r="J158" s="64">
        <v>29947.166666666668</v>
      </c>
      <c r="K158" s="65">
        <f t="shared" si="2"/>
        <v>0</v>
      </c>
      <c r="L158" s="66">
        <f t="shared" si="3"/>
        <v>10.270931951668489</v>
      </c>
      <c r="M158" s="67">
        <f t="shared" si="25"/>
        <v>300000</v>
      </c>
      <c r="N158" s="64">
        <v>360000</v>
      </c>
      <c r="O158" s="64">
        <v>34187.833333333336</v>
      </c>
      <c r="P158" s="68">
        <f t="shared" si="4"/>
        <v>10.530061864113451</v>
      </c>
      <c r="Q158" s="69">
        <v>500000</v>
      </c>
      <c r="R158" s="64">
        <v>34717.916666666664</v>
      </c>
      <c r="S158" s="68">
        <f t="shared" si="5"/>
        <v>14.401785821441861</v>
      </c>
      <c r="T158" s="64">
        <v>500000</v>
      </c>
      <c r="U158" s="64">
        <v>35248</v>
      </c>
      <c r="V158" s="68">
        <f t="shared" si="6"/>
        <v>14.185201997276442</v>
      </c>
      <c r="W158" s="70">
        <f t="shared" si="7"/>
        <v>13.039016560943919</v>
      </c>
      <c r="X158" s="71">
        <f t="shared" si="8"/>
        <v>453333.33333333331</v>
      </c>
      <c r="AD158" s="52"/>
      <c r="AG158" s="52"/>
      <c r="AJ158" s="52"/>
      <c r="AK158" s="52"/>
      <c r="AL158" s="55"/>
      <c r="AO158" s="52"/>
      <c r="AR158" s="52"/>
      <c r="AU158" s="52"/>
      <c r="AV158" s="52"/>
      <c r="AW158" s="55"/>
    </row>
    <row r="159" spans="1:49" ht="15.75" customHeight="1">
      <c r="A159" s="16">
        <v>31402</v>
      </c>
      <c r="B159" s="63" t="s">
        <v>165</v>
      </c>
      <c r="C159" s="64">
        <v>20000</v>
      </c>
      <c r="D159" s="64">
        <v>8135</v>
      </c>
      <c r="E159" s="65">
        <f t="shared" si="0"/>
        <v>2.4585125998770745</v>
      </c>
      <c r="F159" s="64">
        <v>30000</v>
      </c>
      <c r="G159" s="64">
        <v>8173.666666666667</v>
      </c>
      <c r="H159" s="65">
        <f t="shared" si="1"/>
        <v>3.6703233962725825</v>
      </c>
      <c r="I159" s="64">
        <v>0</v>
      </c>
      <c r="J159" s="64">
        <v>8212.3333333333339</v>
      </c>
      <c r="K159" s="65">
        <f t="shared" si="2"/>
        <v>0</v>
      </c>
      <c r="L159" s="66">
        <f t="shared" si="3"/>
        <v>2.0429453320498858</v>
      </c>
      <c r="M159" s="67">
        <f t="shared" si="25"/>
        <v>16666.666666666668</v>
      </c>
      <c r="N159" s="64">
        <v>80000</v>
      </c>
      <c r="O159" s="64">
        <v>8521.6666666666661</v>
      </c>
      <c r="P159" s="68">
        <f t="shared" si="4"/>
        <v>9.387834930569138</v>
      </c>
      <c r="Q159" s="69">
        <v>80000</v>
      </c>
      <c r="R159" s="64">
        <v>8560.3333333333339</v>
      </c>
      <c r="S159" s="68">
        <f t="shared" si="5"/>
        <v>9.3454304738912022</v>
      </c>
      <c r="T159" s="64">
        <v>70000</v>
      </c>
      <c r="U159" s="64">
        <v>8599</v>
      </c>
      <c r="V159" s="68">
        <f t="shared" si="6"/>
        <v>8.1404814513315493</v>
      </c>
      <c r="W159" s="70">
        <f t="shared" si="7"/>
        <v>8.9579156185972959</v>
      </c>
      <c r="X159" s="71">
        <f t="shared" si="8"/>
        <v>76666.666666666672</v>
      </c>
      <c r="AD159" s="52"/>
      <c r="AG159" s="52"/>
      <c r="AJ159" s="52"/>
      <c r="AK159" s="52"/>
      <c r="AL159" s="55"/>
      <c r="AO159" s="52"/>
      <c r="AR159" s="52"/>
      <c r="AU159" s="52"/>
      <c r="AV159" s="52"/>
      <c r="AW159" s="55"/>
    </row>
    <row r="160" spans="1:49" ht="15.75" customHeight="1">
      <c r="A160" s="16">
        <v>31403</v>
      </c>
      <c r="B160" s="63" t="s">
        <v>166</v>
      </c>
      <c r="C160" s="64">
        <v>50000</v>
      </c>
      <c r="D160" s="64">
        <v>13562</v>
      </c>
      <c r="E160" s="65">
        <f t="shared" si="0"/>
        <v>3.6867718625571451</v>
      </c>
      <c r="F160" s="64">
        <v>70000</v>
      </c>
      <c r="G160" s="64">
        <v>13519.666666666666</v>
      </c>
      <c r="H160" s="65">
        <f t="shared" si="1"/>
        <v>5.1776424468058879</v>
      </c>
      <c r="I160" s="64">
        <v>0</v>
      </c>
      <c r="J160" s="64">
        <v>13477.333333333334</v>
      </c>
      <c r="K160" s="65">
        <f t="shared" si="2"/>
        <v>0</v>
      </c>
      <c r="L160" s="66">
        <f t="shared" si="3"/>
        <v>2.9548047697876778</v>
      </c>
      <c r="M160" s="67">
        <f t="shared" si="25"/>
        <v>40000</v>
      </c>
      <c r="N160" s="64">
        <v>108800</v>
      </c>
      <c r="O160" s="64">
        <v>13138.666666666666</v>
      </c>
      <c r="P160" s="68">
        <f t="shared" si="4"/>
        <v>8.2809011568906037</v>
      </c>
      <c r="Q160" s="69">
        <v>108800</v>
      </c>
      <c r="R160" s="64">
        <v>13096.333333333334</v>
      </c>
      <c r="S160" s="68">
        <f t="shared" si="5"/>
        <v>8.3076688131538088</v>
      </c>
      <c r="T160" s="64">
        <v>121200</v>
      </c>
      <c r="U160" s="64">
        <v>13054</v>
      </c>
      <c r="V160" s="68">
        <f t="shared" si="6"/>
        <v>9.2845104948674742</v>
      </c>
      <c r="W160" s="70">
        <f t="shared" si="7"/>
        <v>8.6243601549706295</v>
      </c>
      <c r="X160" s="71">
        <f t="shared" si="8"/>
        <v>112933.33333333333</v>
      </c>
      <c r="AD160" s="52"/>
      <c r="AG160" s="52"/>
      <c r="AJ160" s="52"/>
      <c r="AK160" s="52"/>
      <c r="AL160" s="55"/>
      <c r="AO160" s="52"/>
      <c r="AR160" s="52"/>
      <c r="AU160" s="52"/>
      <c r="AV160" s="52"/>
      <c r="AW160" s="55"/>
    </row>
    <row r="161" spans="1:49" ht="15.75" customHeight="1">
      <c r="A161" s="16">
        <v>31404</v>
      </c>
      <c r="B161" s="63" t="s">
        <v>167</v>
      </c>
      <c r="C161" s="64">
        <v>0</v>
      </c>
      <c r="D161" s="64">
        <v>1303</v>
      </c>
      <c r="E161" s="65">
        <f t="shared" si="0"/>
        <v>0</v>
      </c>
      <c r="F161" s="64">
        <v>0</v>
      </c>
      <c r="G161" s="64">
        <v>1301.6666666666667</v>
      </c>
      <c r="H161" s="65">
        <f t="shared" si="1"/>
        <v>0</v>
      </c>
      <c r="I161" s="64">
        <v>0</v>
      </c>
      <c r="J161" s="64">
        <v>1300.3333333333333</v>
      </c>
      <c r="K161" s="65">
        <f t="shared" si="2"/>
        <v>0</v>
      </c>
      <c r="L161" s="66">
        <f t="shared" si="3"/>
        <v>0</v>
      </c>
      <c r="M161" s="67">
        <f t="shared" si="25"/>
        <v>0</v>
      </c>
      <c r="N161" s="64">
        <v>0</v>
      </c>
      <c r="O161" s="64">
        <v>1289.6666666666667</v>
      </c>
      <c r="P161" s="68">
        <f t="shared" si="4"/>
        <v>0</v>
      </c>
      <c r="Q161" s="69">
        <v>0</v>
      </c>
      <c r="R161" s="64">
        <v>1288.3333333333333</v>
      </c>
      <c r="S161" s="68">
        <f t="shared" si="5"/>
        <v>0</v>
      </c>
      <c r="T161" s="64">
        <v>0</v>
      </c>
      <c r="U161" s="64">
        <v>1287</v>
      </c>
      <c r="V161" s="68">
        <f t="shared" si="6"/>
        <v>0</v>
      </c>
      <c r="W161" s="70">
        <f t="shared" si="7"/>
        <v>0</v>
      </c>
      <c r="X161" s="71">
        <f t="shared" si="8"/>
        <v>0</v>
      </c>
      <c r="AD161" s="52"/>
      <c r="AG161" s="52"/>
      <c r="AJ161" s="52"/>
      <c r="AK161" s="52"/>
      <c r="AL161" s="55"/>
      <c r="AO161" s="52"/>
      <c r="AR161" s="52"/>
      <c r="AU161" s="52"/>
      <c r="AV161" s="52"/>
      <c r="AW161" s="55"/>
    </row>
    <row r="162" spans="1:49" ht="15.75" customHeight="1">
      <c r="A162" s="16">
        <v>31405</v>
      </c>
      <c r="B162" s="63" t="s">
        <v>168</v>
      </c>
      <c r="C162" s="64">
        <v>0</v>
      </c>
      <c r="D162" s="64">
        <v>2768</v>
      </c>
      <c r="E162" s="65">
        <f t="shared" si="0"/>
        <v>0</v>
      </c>
      <c r="F162" s="64">
        <v>0</v>
      </c>
      <c r="G162" s="64">
        <v>2855.8333333333335</v>
      </c>
      <c r="H162" s="65">
        <f t="shared" si="1"/>
        <v>0</v>
      </c>
      <c r="I162" s="64">
        <v>0</v>
      </c>
      <c r="J162" s="64">
        <v>2943.6666666666665</v>
      </c>
      <c r="K162" s="65">
        <f t="shared" si="2"/>
        <v>0</v>
      </c>
      <c r="L162" s="66">
        <f t="shared" si="3"/>
        <v>0</v>
      </c>
      <c r="M162" s="67">
        <f t="shared" si="25"/>
        <v>0</v>
      </c>
      <c r="N162" s="64">
        <v>5000</v>
      </c>
      <c r="O162" s="64">
        <v>3646.333333333333</v>
      </c>
      <c r="P162" s="68">
        <f t="shared" si="4"/>
        <v>1.371240515586434</v>
      </c>
      <c r="Q162" s="69">
        <v>3500</v>
      </c>
      <c r="R162" s="64">
        <v>3734.1666666666665</v>
      </c>
      <c r="S162" s="68">
        <f t="shared" si="5"/>
        <v>0.93729078330729754</v>
      </c>
      <c r="T162" s="64">
        <v>5000</v>
      </c>
      <c r="U162" s="64">
        <v>3822</v>
      </c>
      <c r="V162" s="68">
        <f t="shared" si="6"/>
        <v>1.3082155939298796</v>
      </c>
      <c r="W162" s="70">
        <f t="shared" si="7"/>
        <v>1.2055822976078703</v>
      </c>
      <c r="X162" s="71">
        <f t="shared" si="8"/>
        <v>4500</v>
      </c>
      <c r="AD162" s="52"/>
      <c r="AG162" s="52"/>
      <c r="AJ162" s="52"/>
      <c r="AK162" s="52"/>
      <c r="AL162" s="55"/>
      <c r="AO162" s="52"/>
      <c r="AR162" s="52"/>
      <c r="AU162" s="52"/>
      <c r="AV162" s="52"/>
      <c r="AW162" s="55"/>
    </row>
    <row r="163" spans="1:49" ht="15.75" customHeight="1">
      <c r="A163" s="16">
        <v>31501</v>
      </c>
      <c r="B163" s="63" t="s">
        <v>169</v>
      </c>
      <c r="C163" s="64">
        <v>35000</v>
      </c>
      <c r="D163" s="64">
        <v>7279</v>
      </c>
      <c r="E163" s="65">
        <f t="shared" si="0"/>
        <v>4.8083527957136969</v>
      </c>
      <c r="F163" s="64">
        <v>50000</v>
      </c>
      <c r="G163" s="64">
        <v>7362.583333333333</v>
      </c>
      <c r="H163" s="65">
        <f t="shared" si="1"/>
        <v>6.7910946112664261</v>
      </c>
      <c r="I163" s="64">
        <v>0</v>
      </c>
      <c r="J163" s="64">
        <v>7446.166666666667</v>
      </c>
      <c r="K163" s="65">
        <f t="shared" si="2"/>
        <v>0</v>
      </c>
      <c r="L163" s="66">
        <f t="shared" si="3"/>
        <v>3.8664824689933739</v>
      </c>
      <c r="M163" s="67">
        <f t="shared" si="25"/>
        <v>28333.333333333332</v>
      </c>
      <c r="N163" s="64">
        <v>42000</v>
      </c>
      <c r="O163" s="64">
        <v>8114.833333333333</v>
      </c>
      <c r="P163" s="68">
        <f t="shared" si="4"/>
        <v>5.1757070385508026</v>
      </c>
      <c r="Q163" s="69">
        <v>39000</v>
      </c>
      <c r="R163" s="64">
        <v>8198.4166666666661</v>
      </c>
      <c r="S163" s="68">
        <f t="shared" si="5"/>
        <v>4.7570160905052807</v>
      </c>
      <c r="T163" s="64">
        <v>41000</v>
      </c>
      <c r="U163" s="64">
        <v>8282</v>
      </c>
      <c r="V163" s="68">
        <f t="shared" si="6"/>
        <v>4.9504950495049505</v>
      </c>
      <c r="W163" s="70">
        <f t="shared" si="7"/>
        <v>4.9610727261870116</v>
      </c>
      <c r="X163" s="71">
        <f t="shared" si="8"/>
        <v>40666.666666666664</v>
      </c>
      <c r="AD163" s="52"/>
      <c r="AG163" s="52"/>
      <c r="AJ163" s="52"/>
      <c r="AK163" s="52"/>
      <c r="AL163" s="55"/>
      <c r="AO163" s="52"/>
      <c r="AR163" s="52"/>
      <c r="AU163" s="52"/>
      <c r="AV163" s="52"/>
      <c r="AW163" s="55"/>
    </row>
    <row r="164" spans="1:49" ht="15.75" customHeight="1">
      <c r="A164" s="16">
        <v>31601</v>
      </c>
      <c r="B164" s="63" t="s">
        <v>170</v>
      </c>
      <c r="C164" s="64">
        <v>64000</v>
      </c>
      <c r="D164" s="64">
        <v>21231</v>
      </c>
      <c r="E164" s="65">
        <f t="shared" si="0"/>
        <v>3.0144599877537561</v>
      </c>
      <c r="F164" s="64">
        <v>10000</v>
      </c>
      <c r="G164" s="64">
        <v>21001.333333333332</v>
      </c>
      <c r="H164" s="65">
        <f t="shared" si="1"/>
        <v>0.47616024379404487</v>
      </c>
      <c r="I164" s="64">
        <v>0</v>
      </c>
      <c r="J164" s="64">
        <v>20771.666666666668</v>
      </c>
      <c r="K164" s="65">
        <f t="shared" si="2"/>
        <v>0</v>
      </c>
      <c r="L164" s="66">
        <f t="shared" si="3"/>
        <v>1.1635400771826003</v>
      </c>
      <c r="M164" s="67">
        <f t="shared" si="25"/>
        <v>24666.666666666668</v>
      </c>
      <c r="N164" s="64">
        <v>232110</v>
      </c>
      <c r="O164" s="64">
        <v>18934.333333333332</v>
      </c>
      <c r="P164" s="68">
        <f t="shared" si="4"/>
        <v>12.258683520236607</v>
      </c>
      <c r="Q164" s="69">
        <v>182200</v>
      </c>
      <c r="R164" s="64">
        <v>18704.666666666668</v>
      </c>
      <c r="S164" s="68">
        <f t="shared" si="5"/>
        <v>9.7408846277221368</v>
      </c>
      <c r="T164" s="64">
        <v>182200</v>
      </c>
      <c r="U164" s="64">
        <v>18475</v>
      </c>
      <c r="V164" s="68">
        <f t="shared" si="6"/>
        <v>9.8619756427604877</v>
      </c>
      <c r="W164" s="70">
        <f t="shared" si="7"/>
        <v>10.620514596906411</v>
      </c>
      <c r="X164" s="71">
        <f t="shared" si="8"/>
        <v>198836.66666666666</v>
      </c>
      <c r="AD164" s="52"/>
      <c r="AG164" s="52"/>
      <c r="AJ164" s="52"/>
      <c r="AK164" s="52"/>
      <c r="AL164" s="55"/>
      <c r="AO164" s="52"/>
      <c r="AR164" s="52"/>
      <c r="AU164" s="52"/>
      <c r="AV164" s="52"/>
      <c r="AW164" s="55"/>
    </row>
    <row r="165" spans="1:49" ht="15.75" customHeight="1">
      <c r="A165" s="16">
        <v>31602</v>
      </c>
      <c r="B165" s="63" t="s">
        <v>171</v>
      </c>
      <c r="C165" s="64">
        <v>150000</v>
      </c>
      <c r="D165" s="64">
        <v>20841</v>
      </c>
      <c r="E165" s="65">
        <f t="shared" si="0"/>
        <v>7.1973513746941125</v>
      </c>
      <c r="F165" s="64">
        <v>151039</v>
      </c>
      <c r="G165" s="64">
        <v>21368.583333333332</v>
      </c>
      <c r="H165" s="65">
        <f t="shared" si="1"/>
        <v>7.0682739067868328</v>
      </c>
      <c r="I165" s="64">
        <v>0</v>
      </c>
      <c r="J165" s="64">
        <v>21896.166666666668</v>
      </c>
      <c r="K165" s="65">
        <f t="shared" si="2"/>
        <v>0</v>
      </c>
      <c r="L165" s="66">
        <f t="shared" si="3"/>
        <v>4.7552084271603148</v>
      </c>
      <c r="M165" s="67">
        <f t="shared" si="25"/>
        <v>100346.33333333333</v>
      </c>
      <c r="N165" s="64">
        <v>414600</v>
      </c>
      <c r="O165" s="64">
        <v>26116.833333333336</v>
      </c>
      <c r="P165" s="68">
        <f t="shared" si="4"/>
        <v>15.874818922661628</v>
      </c>
      <c r="Q165" s="69">
        <v>417686</v>
      </c>
      <c r="R165" s="64">
        <v>26644.416666666668</v>
      </c>
      <c r="S165" s="68">
        <f t="shared" si="5"/>
        <v>15.676304916915051</v>
      </c>
      <c r="T165" s="64">
        <v>447686</v>
      </c>
      <c r="U165" s="64">
        <v>27172</v>
      </c>
      <c r="V165" s="68">
        <f t="shared" si="6"/>
        <v>16.476004710731637</v>
      </c>
      <c r="W165" s="70">
        <f t="shared" si="7"/>
        <v>16.009042850102773</v>
      </c>
      <c r="X165" s="71">
        <f t="shared" si="8"/>
        <v>426657.33333333331</v>
      </c>
      <c r="AD165" s="52"/>
      <c r="AG165" s="52"/>
      <c r="AJ165" s="52"/>
      <c r="AK165" s="52"/>
      <c r="AL165" s="55"/>
      <c r="AO165" s="52"/>
      <c r="AR165" s="52"/>
      <c r="AU165" s="52"/>
      <c r="AV165" s="52"/>
      <c r="AW165" s="55"/>
    </row>
    <row r="166" spans="1:49" ht="15.75" customHeight="1">
      <c r="A166" s="16">
        <v>40101</v>
      </c>
      <c r="B166" s="63" t="s">
        <v>172</v>
      </c>
      <c r="C166" s="64">
        <v>0</v>
      </c>
      <c r="D166" s="64">
        <v>264943</v>
      </c>
      <c r="E166" s="65">
        <f t="shared" si="0"/>
        <v>0</v>
      </c>
      <c r="F166" s="64">
        <v>0</v>
      </c>
      <c r="G166" s="64">
        <v>267726.91666666669</v>
      </c>
      <c r="H166" s="65">
        <f t="shared" si="1"/>
        <v>0</v>
      </c>
      <c r="I166" s="64">
        <v>0</v>
      </c>
      <c r="J166" s="64">
        <v>270510.83333333331</v>
      </c>
      <c r="K166" s="65">
        <f t="shared" si="2"/>
        <v>0</v>
      </c>
      <c r="L166" s="66">
        <f t="shared" si="3"/>
        <v>0</v>
      </c>
      <c r="M166" s="67">
        <f t="shared" si="25"/>
        <v>0</v>
      </c>
      <c r="N166" s="64">
        <v>1400000</v>
      </c>
      <c r="O166" s="64">
        <v>292782.16666666669</v>
      </c>
      <c r="P166" s="68">
        <f t="shared" si="4"/>
        <v>4.7817120009016936</v>
      </c>
      <c r="Q166" s="69">
        <v>1264853</v>
      </c>
      <c r="R166" s="64">
        <v>295566.08333333331</v>
      </c>
      <c r="S166" s="68">
        <f t="shared" si="5"/>
        <v>4.2794253851296089</v>
      </c>
      <c r="T166" s="64">
        <v>1956991</v>
      </c>
      <c r="U166" s="64">
        <v>298350</v>
      </c>
      <c r="V166" s="68">
        <f t="shared" si="6"/>
        <v>6.5593799229093346</v>
      </c>
      <c r="W166" s="70">
        <f t="shared" si="7"/>
        <v>5.2068391029802124</v>
      </c>
      <c r="X166" s="71">
        <f t="shared" si="8"/>
        <v>1540614.6666666667</v>
      </c>
      <c r="AD166" s="52"/>
      <c r="AG166" s="52"/>
      <c r="AJ166" s="52"/>
      <c r="AK166" s="52"/>
      <c r="AL166" s="55"/>
      <c r="AO166" s="52"/>
      <c r="AR166" s="52"/>
      <c r="AU166" s="52"/>
      <c r="AV166" s="52"/>
      <c r="AW166" s="55"/>
    </row>
    <row r="167" spans="1:49" ht="15.75" customHeight="1">
      <c r="A167" s="16">
        <v>40102</v>
      </c>
      <c r="B167" s="63" t="s">
        <v>173</v>
      </c>
      <c r="C167" s="64">
        <v>57893</v>
      </c>
      <c r="D167" s="64">
        <v>23115</v>
      </c>
      <c r="E167" s="65">
        <f t="shared" si="0"/>
        <v>2.5045641358425264</v>
      </c>
      <c r="F167" s="64">
        <v>300000</v>
      </c>
      <c r="G167" s="64">
        <v>23092.916666666668</v>
      </c>
      <c r="H167" s="65">
        <f t="shared" si="1"/>
        <v>12.99099651769121</v>
      </c>
      <c r="I167" s="64">
        <v>0</v>
      </c>
      <c r="J167" s="64">
        <v>23070.833333333332</v>
      </c>
      <c r="K167" s="65">
        <f t="shared" si="2"/>
        <v>0</v>
      </c>
      <c r="L167" s="66">
        <f t="shared" si="3"/>
        <v>5.1651868845112459</v>
      </c>
      <c r="M167" s="67">
        <f t="shared" si="25"/>
        <v>119297.66666666667</v>
      </c>
      <c r="N167" s="64">
        <v>550000</v>
      </c>
      <c r="O167" s="64">
        <v>22894.166666666668</v>
      </c>
      <c r="P167" s="68">
        <f t="shared" si="4"/>
        <v>24.023586794307136</v>
      </c>
      <c r="Q167" s="69">
        <v>500000</v>
      </c>
      <c r="R167" s="64">
        <v>22872.083333333332</v>
      </c>
      <c r="S167" s="68">
        <f t="shared" si="5"/>
        <v>21.8607108374474</v>
      </c>
      <c r="T167" s="64">
        <v>500000</v>
      </c>
      <c r="U167" s="64">
        <v>22850</v>
      </c>
      <c r="V167" s="68">
        <f t="shared" si="6"/>
        <v>21.881838074398249</v>
      </c>
      <c r="W167" s="70">
        <f t="shared" si="7"/>
        <v>22.588711902050928</v>
      </c>
      <c r="X167" s="71">
        <f t="shared" si="8"/>
        <v>516666.66666666669</v>
      </c>
      <c r="AD167" s="52"/>
      <c r="AG167" s="52"/>
      <c r="AJ167" s="52"/>
      <c r="AK167" s="52"/>
      <c r="AL167" s="55"/>
      <c r="AO167" s="52"/>
      <c r="AR167" s="52"/>
      <c r="AU167" s="52"/>
      <c r="AV167" s="52"/>
      <c r="AW167" s="55"/>
    </row>
    <row r="168" spans="1:49" ht="15.75" customHeight="1">
      <c r="A168" s="16">
        <v>40103</v>
      </c>
      <c r="B168" s="63" t="s">
        <v>174</v>
      </c>
      <c r="C168" s="64">
        <v>0</v>
      </c>
      <c r="D168" s="64">
        <v>8725</v>
      </c>
      <c r="E168" s="65">
        <f t="shared" si="0"/>
        <v>0</v>
      </c>
      <c r="F168" s="64">
        <v>0</v>
      </c>
      <c r="G168" s="64">
        <v>8831</v>
      </c>
      <c r="H168" s="65">
        <f t="shared" si="1"/>
        <v>0</v>
      </c>
      <c r="I168" s="64">
        <v>0</v>
      </c>
      <c r="J168" s="64">
        <v>8937</v>
      </c>
      <c r="K168" s="65">
        <f t="shared" si="2"/>
        <v>0</v>
      </c>
      <c r="L168" s="66">
        <f t="shared" si="3"/>
        <v>0</v>
      </c>
      <c r="M168" s="67">
        <f t="shared" si="25"/>
        <v>0</v>
      </c>
      <c r="N168" s="64">
        <v>0</v>
      </c>
      <c r="O168" s="64">
        <v>9785</v>
      </c>
      <c r="P168" s="68">
        <f t="shared" si="4"/>
        <v>0</v>
      </c>
      <c r="Q168" s="69">
        <v>0</v>
      </c>
      <c r="R168" s="64">
        <v>9891</v>
      </c>
      <c r="S168" s="68">
        <f t="shared" si="5"/>
        <v>0</v>
      </c>
      <c r="T168" s="64">
        <v>60000</v>
      </c>
      <c r="U168" s="64">
        <v>9997</v>
      </c>
      <c r="V168" s="68">
        <f t="shared" si="6"/>
        <v>6.0018005401620487</v>
      </c>
      <c r="W168" s="70">
        <f t="shared" si="7"/>
        <v>2.0006001800540161</v>
      </c>
      <c r="X168" s="71">
        <f t="shared" si="8"/>
        <v>20000</v>
      </c>
      <c r="AD168" s="52"/>
      <c r="AG168" s="52"/>
      <c r="AJ168" s="52"/>
      <c r="AK168" s="52"/>
      <c r="AL168" s="55"/>
      <c r="AO168" s="52"/>
      <c r="AR168" s="52"/>
      <c r="AU168" s="52"/>
      <c r="AV168" s="52"/>
      <c r="AW168" s="55"/>
    </row>
    <row r="169" spans="1:49" ht="15.75" customHeight="1">
      <c r="A169" s="16">
        <v>40104</v>
      </c>
      <c r="B169" s="63" t="s">
        <v>175</v>
      </c>
      <c r="C169" s="64">
        <v>0</v>
      </c>
      <c r="D169" s="64">
        <v>12846</v>
      </c>
      <c r="E169" s="65">
        <f t="shared" si="0"/>
        <v>0</v>
      </c>
      <c r="F169" s="64">
        <v>0</v>
      </c>
      <c r="G169" s="64">
        <v>13089.166666666666</v>
      </c>
      <c r="H169" s="65">
        <f t="shared" si="1"/>
        <v>0</v>
      </c>
      <c r="I169" s="64">
        <v>0</v>
      </c>
      <c r="J169" s="64">
        <v>13332.333333333334</v>
      </c>
      <c r="K169" s="65">
        <f t="shared" si="2"/>
        <v>0</v>
      </c>
      <c r="L169" s="66">
        <f t="shared" si="3"/>
        <v>0</v>
      </c>
      <c r="M169" s="67">
        <f t="shared" si="25"/>
        <v>0</v>
      </c>
      <c r="N169" s="64">
        <v>0</v>
      </c>
      <c r="O169" s="64">
        <v>15277.666666666666</v>
      </c>
      <c r="P169" s="68">
        <f t="shared" si="4"/>
        <v>0</v>
      </c>
      <c r="Q169" s="69">
        <v>0</v>
      </c>
      <c r="R169" s="64">
        <v>15520.833333333332</v>
      </c>
      <c r="S169" s="68">
        <f t="shared" si="5"/>
        <v>0</v>
      </c>
      <c r="T169" s="64">
        <v>0</v>
      </c>
      <c r="U169" s="64">
        <v>15764</v>
      </c>
      <c r="V169" s="68">
        <f t="shared" si="6"/>
        <v>0</v>
      </c>
      <c r="W169" s="70">
        <f t="shared" si="7"/>
        <v>0</v>
      </c>
      <c r="X169" s="71">
        <f t="shared" si="8"/>
        <v>0</v>
      </c>
      <c r="AD169" s="52"/>
      <c r="AG169" s="52"/>
      <c r="AJ169" s="52"/>
      <c r="AK169" s="52"/>
      <c r="AL169" s="55"/>
      <c r="AO169" s="52"/>
      <c r="AR169" s="52"/>
      <c r="AU169" s="52"/>
      <c r="AV169" s="52"/>
      <c r="AW169" s="55"/>
    </row>
    <row r="170" spans="1:49" ht="15.75" customHeight="1">
      <c r="A170" s="16">
        <v>40201</v>
      </c>
      <c r="B170" s="63" t="s">
        <v>176</v>
      </c>
      <c r="C170" s="64">
        <v>210462</v>
      </c>
      <c r="D170" s="64">
        <v>28918</v>
      </c>
      <c r="E170" s="65">
        <f t="shared" si="0"/>
        <v>7.2778892039560139</v>
      </c>
      <c r="F170" s="64">
        <v>450000</v>
      </c>
      <c r="G170" s="64">
        <v>29460.416666666668</v>
      </c>
      <c r="H170" s="65">
        <f t="shared" si="1"/>
        <v>15.274733045753482</v>
      </c>
      <c r="I170" s="64">
        <v>0</v>
      </c>
      <c r="J170" s="64">
        <v>30002.833333333332</v>
      </c>
      <c r="K170" s="65">
        <f t="shared" si="2"/>
        <v>0</v>
      </c>
      <c r="L170" s="66">
        <f t="shared" si="3"/>
        <v>7.5175407499031657</v>
      </c>
      <c r="M170" s="67">
        <f t="shared" si="25"/>
        <v>220154</v>
      </c>
      <c r="N170" s="64">
        <v>895535</v>
      </c>
      <c r="O170" s="64">
        <v>34342.166666666664</v>
      </c>
      <c r="P170" s="68">
        <f t="shared" si="4"/>
        <v>26.076834600806592</v>
      </c>
      <c r="Q170" s="69">
        <v>895535</v>
      </c>
      <c r="R170" s="64">
        <v>34884.583333333336</v>
      </c>
      <c r="S170" s="68">
        <f t="shared" si="5"/>
        <v>25.671368680052076</v>
      </c>
      <c r="T170" s="64">
        <v>895535</v>
      </c>
      <c r="U170" s="64">
        <v>35427</v>
      </c>
      <c r="V170" s="68">
        <f t="shared" si="6"/>
        <v>25.278318796398228</v>
      </c>
      <c r="W170" s="70">
        <f t="shared" si="7"/>
        <v>25.675507359085632</v>
      </c>
      <c r="X170" s="71">
        <f t="shared" si="8"/>
        <v>895535</v>
      </c>
      <c r="AD170" s="52"/>
      <c r="AG170" s="52"/>
      <c r="AJ170" s="52"/>
      <c r="AK170" s="52"/>
      <c r="AL170" s="55"/>
      <c r="AO170" s="52"/>
      <c r="AR170" s="52"/>
      <c r="AU170" s="52"/>
      <c r="AV170" s="52"/>
      <c r="AW170" s="55"/>
    </row>
    <row r="171" spans="1:49" ht="15.75" customHeight="1">
      <c r="A171" s="16">
        <v>40202</v>
      </c>
      <c r="B171" s="63" t="s">
        <v>177</v>
      </c>
      <c r="C171" s="64">
        <v>0</v>
      </c>
      <c r="D171" s="64">
        <v>4051</v>
      </c>
      <c r="E171" s="65">
        <f t="shared" si="0"/>
        <v>0</v>
      </c>
      <c r="F171" s="64">
        <v>0</v>
      </c>
      <c r="G171" s="64">
        <v>4143.5</v>
      </c>
      <c r="H171" s="65">
        <f t="shared" si="1"/>
        <v>0</v>
      </c>
      <c r="I171" s="64">
        <v>0</v>
      </c>
      <c r="J171" s="64">
        <v>4236</v>
      </c>
      <c r="K171" s="65">
        <f t="shared" si="2"/>
        <v>0</v>
      </c>
      <c r="L171" s="66">
        <f t="shared" si="3"/>
        <v>0</v>
      </c>
      <c r="M171" s="67">
        <f t="shared" si="25"/>
        <v>0</v>
      </c>
      <c r="N171" s="64">
        <v>0</v>
      </c>
      <c r="O171" s="64">
        <v>4976</v>
      </c>
      <c r="P171" s="68">
        <f t="shared" si="4"/>
        <v>0</v>
      </c>
      <c r="Q171" s="69">
        <v>0</v>
      </c>
      <c r="R171" s="64">
        <v>5068.5</v>
      </c>
      <c r="S171" s="68">
        <f t="shared" si="5"/>
        <v>0</v>
      </c>
      <c r="T171" s="64">
        <v>0</v>
      </c>
      <c r="U171" s="64">
        <v>5161</v>
      </c>
      <c r="V171" s="68">
        <f t="shared" si="6"/>
        <v>0</v>
      </c>
      <c r="W171" s="70">
        <f t="shared" si="7"/>
        <v>0</v>
      </c>
      <c r="X171" s="71">
        <f t="shared" si="8"/>
        <v>0</v>
      </c>
      <c r="AD171" s="52"/>
      <c r="AG171" s="52"/>
      <c r="AJ171" s="52"/>
      <c r="AK171" s="52"/>
      <c r="AL171" s="55"/>
      <c r="AO171" s="52"/>
      <c r="AR171" s="52"/>
      <c r="AU171" s="52"/>
      <c r="AV171" s="52"/>
      <c r="AW171" s="55"/>
    </row>
    <row r="172" spans="1:49" ht="15.75" customHeight="1">
      <c r="A172" s="16">
        <v>40301</v>
      </c>
      <c r="B172" s="63" t="s">
        <v>178</v>
      </c>
      <c r="C172" s="64">
        <v>12000</v>
      </c>
      <c r="D172" s="64">
        <v>9221</v>
      </c>
      <c r="E172" s="65">
        <f t="shared" si="0"/>
        <v>1.3013772909662726</v>
      </c>
      <c r="F172" s="64">
        <v>12000</v>
      </c>
      <c r="G172" s="64">
        <v>9794.3333333333339</v>
      </c>
      <c r="H172" s="65">
        <f t="shared" si="1"/>
        <v>1.2251982438825171</v>
      </c>
      <c r="I172" s="64">
        <v>0</v>
      </c>
      <c r="J172" s="64">
        <v>10367.666666666666</v>
      </c>
      <c r="K172" s="65">
        <f t="shared" si="2"/>
        <v>0</v>
      </c>
      <c r="L172" s="66">
        <f t="shared" si="3"/>
        <v>0.84219184494959654</v>
      </c>
      <c r="M172" s="67">
        <f t="shared" si="25"/>
        <v>8000</v>
      </c>
      <c r="N172" s="64">
        <v>30000</v>
      </c>
      <c r="O172" s="64">
        <v>14954.333333333334</v>
      </c>
      <c r="P172" s="68">
        <f t="shared" si="4"/>
        <v>2.0061074827809109</v>
      </c>
      <c r="Q172" s="69">
        <v>30000</v>
      </c>
      <c r="R172" s="64">
        <v>15527.666666666668</v>
      </c>
      <c r="S172" s="68">
        <f t="shared" si="5"/>
        <v>1.9320352918446642</v>
      </c>
      <c r="T172" s="64">
        <v>30000</v>
      </c>
      <c r="U172" s="64">
        <v>16101</v>
      </c>
      <c r="V172" s="68">
        <f t="shared" si="6"/>
        <v>1.8632383081796162</v>
      </c>
      <c r="W172" s="70">
        <f t="shared" si="7"/>
        <v>1.9337936942683971</v>
      </c>
      <c r="X172" s="71">
        <f t="shared" si="8"/>
        <v>30000</v>
      </c>
      <c r="AD172" s="52"/>
      <c r="AG172" s="52"/>
      <c r="AJ172" s="52"/>
      <c r="AK172" s="52"/>
      <c r="AL172" s="55"/>
      <c r="AO172" s="52"/>
      <c r="AR172" s="52"/>
      <c r="AU172" s="52"/>
      <c r="AV172" s="52"/>
      <c r="AW172" s="55"/>
    </row>
    <row r="173" spans="1:49" ht="15.75" customHeight="1">
      <c r="A173" s="16">
        <v>40302</v>
      </c>
      <c r="B173" s="63" t="s">
        <v>179</v>
      </c>
      <c r="C173" s="64">
        <v>0</v>
      </c>
      <c r="D173" s="64">
        <v>1850</v>
      </c>
      <c r="E173" s="65">
        <f t="shared" si="0"/>
        <v>0</v>
      </c>
      <c r="F173" s="64">
        <v>20000</v>
      </c>
      <c r="G173" s="64">
        <v>1904.5</v>
      </c>
      <c r="H173" s="65">
        <f t="shared" si="1"/>
        <v>10.501443948542924</v>
      </c>
      <c r="I173" s="64">
        <v>0</v>
      </c>
      <c r="J173" s="64">
        <v>1959</v>
      </c>
      <c r="K173" s="65">
        <f t="shared" si="2"/>
        <v>0</v>
      </c>
      <c r="L173" s="66">
        <f t="shared" si="3"/>
        <v>3.5004813161809749</v>
      </c>
      <c r="M173" s="67">
        <f t="shared" si="25"/>
        <v>6666.666666666667</v>
      </c>
      <c r="N173" s="64">
        <v>50000</v>
      </c>
      <c r="O173" s="64">
        <v>2395</v>
      </c>
      <c r="P173" s="68">
        <f t="shared" si="4"/>
        <v>20.876826722338205</v>
      </c>
      <c r="Q173" s="69">
        <v>20000</v>
      </c>
      <c r="R173" s="64">
        <v>2449.5</v>
      </c>
      <c r="S173" s="68">
        <f t="shared" si="5"/>
        <v>8.1649316186976932</v>
      </c>
      <c r="T173" s="64">
        <v>22900</v>
      </c>
      <c r="U173" s="64">
        <v>2504</v>
      </c>
      <c r="V173" s="68">
        <f t="shared" si="6"/>
        <v>9.1453674121405744</v>
      </c>
      <c r="W173" s="70">
        <f t="shared" si="7"/>
        <v>12.729041917725491</v>
      </c>
      <c r="X173" s="71">
        <f t="shared" si="8"/>
        <v>30966.666666666668</v>
      </c>
      <c r="AD173" s="52"/>
      <c r="AG173" s="52"/>
      <c r="AJ173" s="52"/>
      <c r="AK173" s="52"/>
      <c r="AL173" s="55"/>
      <c r="AO173" s="52"/>
      <c r="AR173" s="52"/>
      <c r="AU173" s="52"/>
      <c r="AV173" s="52"/>
      <c r="AW173" s="55"/>
    </row>
    <row r="174" spans="1:49" ht="15.75" customHeight="1">
      <c r="A174" s="16">
        <v>40401</v>
      </c>
      <c r="B174" s="63" t="s">
        <v>180</v>
      </c>
      <c r="C174" s="64">
        <v>50000</v>
      </c>
      <c r="D174" s="64">
        <v>4184</v>
      </c>
      <c r="E174" s="65">
        <f t="shared" si="0"/>
        <v>11.950286806883366</v>
      </c>
      <c r="F174" s="64">
        <v>60000</v>
      </c>
      <c r="G174" s="64">
        <v>4392.25</v>
      </c>
      <c r="H174" s="65">
        <f t="shared" si="1"/>
        <v>13.660424611531676</v>
      </c>
      <c r="I174" s="64">
        <v>0</v>
      </c>
      <c r="J174" s="64">
        <v>4600.5</v>
      </c>
      <c r="K174" s="65">
        <f t="shared" si="2"/>
        <v>0</v>
      </c>
      <c r="L174" s="66">
        <f t="shared" si="3"/>
        <v>8.5369038061383478</v>
      </c>
      <c r="M174" s="67">
        <f t="shared" si="25"/>
        <v>36666.666666666664</v>
      </c>
      <c r="N174" s="64">
        <v>70000</v>
      </c>
      <c r="O174" s="64">
        <v>6266.5</v>
      </c>
      <c r="P174" s="68">
        <f t="shared" si="4"/>
        <v>11.170509853985479</v>
      </c>
      <c r="Q174" s="69">
        <v>70000</v>
      </c>
      <c r="R174" s="64">
        <v>6474.75</v>
      </c>
      <c r="S174" s="68">
        <f t="shared" si="5"/>
        <v>10.811228232750299</v>
      </c>
      <c r="T174" s="64">
        <v>70000</v>
      </c>
      <c r="U174" s="64">
        <v>6683</v>
      </c>
      <c r="V174" s="68">
        <f t="shared" si="6"/>
        <v>10.474337872213077</v>
      </c>
      <c r="W174" s="70">
        <f t="shared" si="7"/>
        <v>10.818691986316287</v>
      </c>
      <c r="X174" s="71">
        <f t="shared" si="8"/>
        <v>70000</v>
      </c>
      <c r="AD174" s="52"/>
      <c r="AG174" s="52"/>
      <c r="AJ174" s="52"/>
      <c r="AK174" s="52"/>
      <c r="AL174" s="55"/>
      <c r="AO174" s="52"/>
      <c r="AR174" s="52"/>
      <c r="AU174" s="52"/>
      <c r="AV174" s="52"/>
      <c r="AW174" s="55"/>
    </row>
    <row r="175" spans="1:49" ht="15.75" customHeight="1">
      <c r="A175" s="16">
        <v>40402</v>
      </c>
      <c r="B175" s="63" t="s">
        <v>181</v>
      </c>
      <c r="C175" s="64">
        <v>30000</v>
      </c>
      <c r="D175" s="64">
        <v>5207</v>
      </c>
      <c r="E175" s="65">
        <f t="shared" si="0"/>
        <v>5.7614749375840217</v>
      </c>
      <c r="F175" s="64">
        <v>50000</v>
      </c>
      <c r="G175" s="64">
        <v>5256.666666666667</v>
      </c>
      <c r="H175" s="65">
        <f t="shared" si="1"/>
        <v>9.5117311350665812</v>
      </c>
      <c r="I175" s="64">
        <v>0</v>
      </c>
      <c r="J175" s="64">
        <v>5306.333333333333</v>
      </c>
      <c r="K175" s="65">
        <f t="shared" si="2"/>
        <v>0</v>
      </c>
      <c r="L175" s="66">
        <f t="shared" si="3"/>
        <v>5.0910686908835343</v>
      </c>
      <c r="M175" s="67">
        <f t="shared" si="25"/>
        <v>26666.666666666668</v>
      </c>
      <c r="N175" s="64">
        <v>55000</v>
      </c>
      <c r="O175" s="64">
        <v>5703.666666666667</v>
      </c>
      <c r="P175" s="68">
        <f t="shared" si="4"/>
        <v>9.6429197592192146</v>
      </c>
      <c r="Q175" s="69">
        <v>70000</v>
      </c>
      <c r="R175" s="64">
        <v>5753.333333333333</v>
      </c>
      <c r="S175" s="68">
        <f t="shared" si="5"/>
        <v>12.166859791425262</v>
      </c>
      <c r="T175" s="64">
        <v>70000</v>
      </c>
      <c r="U175" s="64">
        <v>5803</v>
      </c>
      <c r="V175" s="68">
        <f t="shared" si="6"/>
        <v>12.062726176115802</v>
      </c>
      <c r="W175" s="70">
        <f t="shared" si="7"/>
        <v>11.290835242253427</v>
      </c>
      <c r="X175" s="71">
        <f t="shared" si="8"/>
        <v>65000</v>
      </c>
      <c r="AD175" s="52"/>
      <c r="AG175" s="52"/>
      <c r="AJ175" s="52"/>
      <c r="AK175" s="52"/>
      <c r="AL175" s="55"/>
      <c r="AO175" s="52"/>
      <c r="AR175" s="52"/>
      <c r="AU175" s="52"/>
      <c r="AV175" s="52"/>
      <c r="AW175" s="55"/>
    </row>
    <row r="176" spans="1:49" ht="15.75" customHeight="1">
      <c r="A176" s="16">
        <v>40501</v>
      </c>
      <c r="B176" s="63" t="s">
        <v>182</v>
      </c>
      <c r="C176" s="64">
        <v>0</v>
      </c>
      <c r="D176" s="64">
        <v>1003</v>
      </c>
      <c r="E176" s="65">
        <f t="shared" si="0"/>
        <v>0</v>
      </c>
      <c r="F176" s="64">
        <v>0</v>
      </c>
      <c r="G176" s="64">
        <v>1253.6666666666667</v>
      </c>
      <c r="H176" s="65">
        <f t="shared" si="1"/>
        <v>0</v>
      </c>
      <c r="I176" s="64">
        <v>0</v>
      </c>
      <c r="J176" s="64">
        <v>1504.3333333333333</v>
      </c>
      <c r="K176" s="65">
        <f t="shared" si="2"/>
        <v>0</v>
      </c>
      <c r="L176" s="66">
        <f t="shared" si="3"/>
        <v>0</v>
      </c>
      <c r="M176" s="67">
        <f t="shared" si="25"/>
        <v>0</v>
      </c>
      <c r="N176" s="64">
        <v>0</v>
      </c>
      <c r="O176" s="64">
        <v>3509.6666666666665</v>
      </c>
      <c r="P176" s="68">
        <f t="shared" si="4"/>
        <v>0</v>
      </c>
      <c r="Q176" s="69">
        <v>0</v>
      </c>
      <c r="R176" s="64">
        <v>3760.333333333333</v>
      </c>
      <c r="S176" s="68">
        <f t="shared" si="5"/>
        <v>0</v>
      </c>
      <c r="T176" s="64">
        <v>0</v>
      </c>
      <c r="U176" s="64">
        <v>4011</v>
      </c>
      <c r="V176" s="68">
        <f t="shared" si="6"/>
        <v>0</v>
      </c>
      <c r="W176" s="70">
        <f t="shared" si="7"/>
        <v>0</v>
      </c>
      <c r="X176" s="71">
        <f t="shared" si="8"/>
        <v>0</v>
      </c>
      <c r="AD176" s="52"/>
      <c r="AG176" s="52"/>
      <c r="AJ176" s="52"/>
      <c r="AK176" s="52"/>
      <c r="AL176" s="55"/>
      <c r="AO176" s="52"/>
      <c r="AR176" s="52"/>
      <c r="AU176" s="52"/>
      <c r="AV176" s="52"/>
      <c r="AW176" s="55"/>
    </row>
    <row r="177" spans="1:49" ht="15.75" customHeight="1">
      <c r="A177" s="16">
        <v>40502</v>
      </c>
      <c r="B177" s="63" t="s">
        <v>183</v>
      </c>
      <c r="C177" s="64">
        <v>0</v>
      </c>
      <c r="D177" s="64">
        <v>4223</v>
      </c>
      <c r="E177" s="65">
        <f t="shared" si="0"/>
        <v>0</v>
      </c>
      <c r="F177" s="64">
        <v>0</v>
      </c>
      <c r="G177" s="64">
        <v>4223.666666666667</v>
      </c>
      <c r="H177" s="65">
        <f t="shared" si="1"/>
        <v>0</v>
      </c>
      <c r="I177" s="64">
        <v>0</v>
      </c>
      <c r="J177" s="64">
        <v>4224.333333333333</v>
      </c>
      <c r="K177" s="65">
        <f t="shared" si="2"/>
        <v>0</v>
      </c>
      <c r="L177" s="66">
        <f t="shared" si="3"/>
        <v>0</v>
      </c>
      <c r="M177" s="67">
        <f t="shared" si="25"/>
        <v>0</v>
      </c>
      <c r="N177" s="64">
        <v>0</v>
      </c>
      <c r="O177" s="64">
        <v>4229.666666666667</v>
      </c>
      <c r="P177" s="68">
        <f t="shared" si="4"/>
        <v>0</v>
      </c>
      <c r="Q177" s="69">
        <v>0</v>
      </c>
      <c r="R177" s="64">
        <v>4230.333333333333</v>
      </c>
      <c r="S177" s="68">
        <f t="shared" si="5"/>
        <v>0</v>
      </c>
      <c r="T177" s="64">
        <v>0</v>
      </c>
      <c r="U177" s="64">
        <v>4231</v>
      </c>
      <c r="V177" s="68">
        <f t="shared" si="6"/>
        <v>0</v>
      </c>
      <c r="W177" s="70">
        <f t="shared" si="7"/>
        <v>0</v>
      </c>
      <c r="X177" s="71">
        <f t="shared" si="8"/>
        <v>0</v>
      </c>
      <c r="AD177" s="52"/>
      <c r="AG177" s="52"/>
      <c r="AJ177" s="52"/>
      <c r="AK177" s="52"/>
      <c r="AL177" s="55"/>
      <c r="AO177" s="52"/>
      <c r="AR177" s="52"/>
      <c r="AU177" s="52"/>
      <c r="AV177" s="52"/>
      <c r="AW177" s="55"/>
    </row>
    <row r="178" spans="1:49" ht="15.75" customHeight="1">
      <c r="A178" s="16">
        <v>40503</v>
      </c>
      <c r="B178" s="63" t="s">
        <v>184</v>
      </c>
      <c r="C178" s="64">
        <v>0</v>
      </c>
      <c r="D178" s="64">
        <v>1967</v>
      </c>
      <c r="E178" s="65">
        <f t="shared" si="0"/>
        <v>0</v>
      </c>
      <c r="F178" s="64">
        <v>0</v>
      </c>
      <c r="G178" s="64">
        <v>1929.5</v>
      </c>
      <c r="H178" s="65">
        <f t="shared" si="1"/>
        <v>0</v>
      </c>
      <c r="I178" s="64">
        <v>0</v>
      </c>
      <c r="J178" s="64">
        <v>1892</v>
      </c>
      <c r="K178" s="65">
        <f t="shared" si="2"/>
        <v>0</v>
      </c>
      <c r="L178" s="66">
        <f t="shared" si="3"/>
        <v>0</v>
      </c>
      <c r="M178" s="67">
        <f t="shared" si="25"/>
        <v>0</v>
      </c>
      <c r="N178" s="64">
        <v>0</v>
      </c>
      <c r="O178" s="64">
        <v>1592</v>
      </c>
      <c r="P178" s="68">
        <f t="shared" si="4"/>
        <v>0</v>
      </c>
      <c r="Q178" s="69">
        <v>0</v>
      </c>
      <c r="R178" s="64">
        <v>1554.5</v>
      </c>
      <c r="S178" s="68">
        <f t="shared" si="5"/>
        <v>0</v>
      </c>
      <c r="T178" s="64">
        <v>0</v>
      </c>
      <c r="U178" s="64">
        <v>1517</v>
      </c>
      <c r="V178" s="68">
        <f t="shared" si="6"/>
        <v>0</v>
      </c>
      <c r="W178" s="70">
        <f t="shared" si="7"/>
        <v>0</v>
      </c>
      <c r="X178" s="71">
        <f t="shared" si="8"/>
        <v>0</v>
      </c>
      <c r="AD178" s="52"/>
      <c r="AG178" s="52"/>
      <c r="AJ178" s="52"/>
      <c r="AK178" s="52"/>
      <c r="AL178" s="55"/>
      <c r="AO178" s="52"/>
      <c r="AR178" s="52"/>
      <c r="AU178" s="52"/>
      <c r="AV178" s="52"/>
      <c r="AW178" s="55"/>
    </row>
    <row r="179" spans="1:49" ht="15.75" customHeight="1">
      <c r="A179" s="16">
        <v>40504</v>
      </c>
      <c r="B179" s="63" t="s">
        <v>185</v>
      </c>
      <c r="C179" s="64">
        <v>0</v>
      </c>
      <c r="D179" s="63">
        <v>514</v>
      </c>
      <c r="E179" s="65">
        <f t="shared" si="0"/>
        <v>0</v>
      </c>
      <c r="F179" s="64">
        <v>0</v>
      </c>
      <c r="G179" s="65">
        <v>544.08333333333337</v>
      </c>
      <c r="H179" s="65">
        <f t="shared" si="1"/>
        <v>0</v>
      </c>
      <c r="I179" s="64">
        <v>0</v>
      </c>
      <c r="J179" s="65">
        <v>574.16666666666663</v>
      </c>
      <c r="K179" s="65">
        <f t="shared" si="2"/>
        <v>0</v>
      </c>
      <c r="L179" s="66">
        <f t="shared" si="3"/>
        <v>0</v>
      </c>
      <c r="M179" s="67">
        <f t="shared" si="25"/>
        <v>0</v>
      </c>
      <c r="N179" s="64">
        <v>0</v>
      </c>
      <c r="O179" s="63">
        <v>814.83333333333326</v>
      </c>
      <c r="P179" s="68">
        <f t="shared" si="4"/>
        <v>0</v>
      </c>
      <c r="Q179" s="69">
        <v>0</v>
      </c>
      <c r="R179" s="63">
        <v>844.91666666666663</v>
      </c>
      <c r="S179" s="68">
        <f t="shared" si="5"/>
        <v>0</v>
      </c>
      <c r="T179" s="64">
        <v>0</v>
      </c>
      <c r="U179" s="63">
        <v>875</v>
      </c>
      <c r="V179" s="68">
        <f t="shared" si="6"/>
        <v>0</v>
      </c>
      <c r="W179" s="70">
        <f t="shared" si="7"/>
        <v>0</v>
      </c>
      <c r="X179" s="71">
        <f t="shared" si="8"/>
        <v>0</v>
      </c>
      <c r="AD179" s="52"/>
      <c r="AG179" s="52"/>
      <c r="AJ179" s="52"/>
      <c r="AK179" s="52"/>
      <c r="AL179" s="55"/>
      <c r="AO179" s="52"/>
      <c r="AR179" s="52"/>
      <c r="AU179" s="52"/>
      <c r="AV179" s="52"/>
      <c r="AW179" s="55"/>
    </row>
    <row r="180" spans="1:49" ht="15.75" customHeight="1">
      <c r="A180" s="16">
        <v>40505</v>
      </c>
      <c r="B180" s="63" t="s">
        <v>186</v>
      </c>
      <c r="C180" s="64">
        <v>0</v>
      </c>
      <c r="D180" s="64">
        <v>2702</v>
      </c>
      <c r="E180" s="65">
        <f t="shared" si="0"/>
        <v>0</v>
      </c>
      <c r="F180" s="64">
        <v>0</v>
      </c>
      <c r="G180" s="64">
        <v>2800.3333333333335</v>
      </c>
      <c r="H180" s="65">
        <f t="shared" si="1"/>
        <v>0</v>
      </c>
      <c r="I180" s="64">
        <v>0</v>
      </c>
      <c r="J180" s="64">
        <v>2898.6666666666665</v>
      </c>
      <c r="K180" s="65">
        <f t="shared" si="2"/>
        <v>0</v>
      </c>
      <c r="L180" s="66">
        <f t="shared" si="3"/>
        <v>0</v>
      </c>
      <c r="M180" s="67">
        <f t="shared" si="25"/>
        <v>0</v>
      </c>
      <c r="N180" s="64">
        <v>0</v>
      </c>
      <c r="O180" s="64">
        <v>3685.333333333333</v>
      </c>
      <c r="P180" s="68">
        <f t="shared" si="4"/>
        <v>0</v>
      </c>
      <c r="Q180" s="69">
        <v>0</v>
      </c>
      <c r="R180" s="64">
        <v>3783.6666666666665</v>
      </c>
      <c r="S180" s="68">
        <f t="shared" si="5"/>
        <v>0</v>
      </c>
      <c r="T180" s="64">
        <v>0</v>
      </c>
      <c r="U180" s="64">
        <v>3882</v>
      </c>
      <c r="V180" s="68">
        <f t="shared" si="6"/>
        <v>0</v>
      </c>
      <c r="W180" s="70">
        <f t="shared" si="7"/>
        <v>0</v>
      </c>
      <c r="X180" s="71">
        <f t="shared" si="8"/>
        <v>0</v>
      </c>
      <c r="AD180" s="52"/>
      <c r="AG180" s="52"/>
      <c r="AJ180" s="52"/>
      <c r="AK180" s="52"/>
      <c r="AL180" s="55"/>
      <c r="AO180" s="52"/>
      <c r="AR180" s="52"/>
      <c r="AU180" s="52"/>
      <c r="AV180" s="52"/>
      <c r="AW180" s="55"/>
    </row>
    <row r="181" spans="1:49" ht="15.75" customHeight="1">
      <c r="A181" s="16">
        <v>40601</v>
      </c>
      <c r="B181" s="63" t="s">
        <v>187</v>
      </c>
      <c r="C181" s="64">
        <v>20000</v>
      </c>
      <c r="D181" s="64">
        <v>7587</v>
      </c>
      <c r="E181" s="65">
        <f t="shared" si="0"/>
        <v>2.6360880453407143</v>
      </c>
      <c r="F181" s="64">
        <v>30000</v>
      </c>
      <c r="G181" s="64">
        <v>7720.5</v>
      </c>
      <c r="H181" s="65">
        <f t="shared" si="1"/>
        <v>3.8857586943850788</v>
      </c>
      <c r="I181" s="64">
        <v>0</v>
      </c>
      <c r="J181" s="64">
        <v>7854</v>
      </c>
      <c r="K181" s="65">
        <f t="shared" si="2"/>
        <v>0</v>
      </c>
      <c r="L181" s="66">
        <f t="shared" si="3"/>
        <v>2.1739489132419312</v>
      </c>
      <c r="M181" s="67">
        <f t="shared" si="25"/>
        <v>16666.666666666668</v>
      </c>
      <c r="N181" s="64">
        <v>90000</v>
      </c>
      <c r="O181" s="64">
        <v>8922</v>
      </c>
      <c r="P181" s="68">
        <f t="shared" si="4"/>
        <v>10.087424344317418</v>
      </c>
      <c r="Q181" s="69">
        <v>120000</v>
      </c>
      <c r="R181" s="64">
        <v>9055.5</v>
      </c>
      <c r="S181" s="68">
        <f t="shared" si="5"/>
        <v>13.25161504058307</v>
      </c>
      <c r="T181" s="64">
        <v>170000</v>
      </c>
      <c r="U181" s="64">
        <v>9189</v>
      </c>
      <c r="V181" s="68">
        <f t="shared" si="6"/>
        <v>18.500380890194798</v>
      </c>
      <c r="W181" s="70">
        <f t="shared" si="7"/>
        <v>13.946473425031762</v>
      </c>
      <c r="X181" s="71">
        <f t="shared" si="8"/>
        <v>126666.66666666667</v>
      </c>
      <c r="AD181" s="52"/>
      <c r="AG181" s="52"/>
      <c r="AJ181" s="52"/>
      <c r="AK181" s="52"/>
      <c r="AL181" s="55"/>
      <c r="AO181" s="52"/>
      <c r="AR181" s="52"/>
      <c r="AU181" s="52"/>
      <c r="AV181" s="52"/>
      <c r="AW181" s="55"/>
    </row>
    <row r="182" spans="1:49" ht="15.75" customHeight="1">
      <c r="A182" s="16">
        <v>40602</v>
      </c>
      <c r="B182" s="63" t="s">
        <v>188</v>
      </c>
      <c r="C182" s="64">
        <v>5000</v>
      </c>
      <c r="D182" s="64">
        <v>5955</v>
      </c>
      <c r="E182" s="65">
        <f t="shared" si="0"/>
        <v>0.83963056255247692</v>
      </c>
      <c r="F182" s="64">
        <v>5000</v>
      </c>
      <c r="G182" s="64">
        <v>5813</v>
      </c>
      <c r="H182" s="65">
        <f t="shared" si="1"/>
        <v>0.86014106313435401</v>
      </c>
      <c r="I182" s="64">
        <v>0</v>
      </c>
      <c r="J182" s="64">
        <v>5671</v>
      </c>
      <c r="K182" s="65">
        <f t="shared" si="2"/>
        <v>0</v>
      </c>
      <c r="L182" s="66">
        <f t="shared" si="3"/>
        <v>0.56659054189561031</v>
      </c>
      <c r="M182" s="67">
        <f t="shared" si="25"/>
        <v>3333.3333333333335</v>
      </c>
      <c r="N182" s="64">
        <v>26000</v>
      </c>
      <c r="O182" s="64">
        <v>4535</v>
      </c>
      <c r="P182" s="68">
        <f t="shared" si="4"/>
        <v>5.7331863285556777</v>
      </c>
      <c r="Q182" s="69">
        <v>35000</v>
      </c>
      <c r="R182" s="64">
        <v>4393</v>
      </c>
      <c r="S182" s="68">
        <f t="shared" si="5"/>
        <v>7.9672205781925793</v>
      </c>
      <c r="T182" s="64">
        <v>35000</v>
      </c>
      <c r="U182" s="64">
        <v>4251</v>
      </c>
      <c r="V182" s="68">
        <f t="shared" si="6"/>
        <v>8.2333568572100688</v>
      </c>
      <c r="W182" s="70">
        <f t="shared" si="7"/>
        <v>7.3112545879861086</v>
      </c>
      <c r="X182" s="71">
        <f t="shared" si="8"/>
        <v>32000</v>
      </c>
      <c r="AD182" s="52"/>
      <c r="AG182" s="52"/>
      <c r="AJ182" s="52"/>
      <c r="AK182" s="52"/>
      <c r="AL182" s="55"/>
      <c r="AO182" s="52"/>
      <c r="AR182" s="52"/>
      <c r="AU182" s="52"/>
      <c r="AV182" s="52"/>
      <c r="AW182" s="55"/>
    </row>
    <row r="183" spans="1:49" ht="15.75" customHeight="1">
      <c r="A183" s="16">
        <v>40603</v>
      </c>
      <c r="B183" s="63" t="s">
        <v>189</v>
      </c>
      <c r="C183" s="64">
        <v>5000</v>
      </c>
      <c r="D183" s="64">
        <v>3264</v>
      </c>
      <c r="E183" s="65">
        <f t="shared" si="0"/>
        <v>1.5318627450980393</v>
      </c>
      <c r="F183" s="64">
        <v>25000</v>
      </c>
      <c r="G183" s="64">
        <v>3297.5</v>
      </c>
      <c r="H183" s="65">
        <f t="shared" si="1"/>
        <v>7.5815011372251702</v>
      </c>
      <c r="I183" s="64">
        <v>0</v>
      </c>
      <c r="J183" s="64">
        <v>3331</v>
      </c>
      <c r="K183" s="65">
        <f t="shared" si="2"/>
        <v>0</v>
      </c>
      <c r="L183" s="66">
        <f t="shared" si="3"/>
        <v>3.0377879607744034</v>
      </c>
      <c r="M183" s="67">
        <f t="shared" si="25"/>
        <v>10000</v>
      </c>
      <c r="N183" s="64">
        <v>60000</v>
      </c>
      <c r="O183" s="64">
        <v>3599</v>
      </c>
      <c r="P183" s="68">
        <f t="shared" si="4"/>
        <v>16.67129758266185</v>
      </c>
      <c r="Q183" s="69">
        <v>60000</v>
      </c>
      <c r="R183" s="64">
        <v>3632.5</v>
      </c>
      <c r="S183" s="68">
        <f t="shared" si="5"/>
        <v>16.517549896765313</v>
      </c>
      <c r="T183" s="64">
        <v>100000</v>
      </c>
      <c r="U183" s="64">
        <v>3666</v>
      </c>
      <c r="V183" s="68">
        <f t="shared" si="6"/>
        <v>27.277686852154936</v>
      </c>
      <c r="W183" s="70">
        <f t="shared" si="7"/>
        <v>20.1555114438607</v>
      </c>
      <c r="X183" s="71">
        <f t="shared" si="8"/>
        <v>73333.333333333328</v>
      </c>
      <c r="AD183" s="52"/>
      <c r="AG183" s="52"/>
      <c r="AJ183" s="52"/>
      <c r="AK183" s="52"/>
      <c r="AL183" s="55"/>
      <c r="AO183" s="52"/>
      <c r="AR183" s="52"/>
      <c r="AU183" s="52"/>
      <c r="AV183" s="52"/>
      <c r="AW183" s="55"/>
    </row>
    <row r="184" spans="1:49" ht="15.75" customHeight="1">
      <c r="A184" s="16">
        <v>40701</v>
      </c>
      <c r="B184" s="63" t="s">
        <v>190</v>
      </c>
      <c r="C184" s="64">
        <v>200000</v>
      </c>
      <c r="D184" s="64">
        <v>24677</v>
      </c>
      <c r="E184" s="65">
        <f t="shared" si="0"/>
        <v>8.1047128905458532</v>
      </c>
      <c r="F184" s="64">
        <v>200000</v>
      </c>
      <c r="G184" s="64">
        <v>24297.083333333332</v>
      </c>
      <c r="H184" s="65">
        <f t="shared" si="1"/>
        <v>8.2314406736062296</v>
      </c>
      <c r="I184" s="64">
        <v>0</v>
      </c>
      <c r="J184" s="64">
        <v>23917.166666666668</v>
      </c>
      <c r="K184" s="65">
        <f t="shared" si="2"/>
        <v>0</v>
      </c>
      <c r="L184" s="66">
        <f t="shared" si="3"/>
        <v>5.4453845213840282</v>
      </c>
      <c r="M184" s="67">
        <f t="shared" si="25"/>
        <v>133333.33333333334</v>
      </c>
      <c r="N184" s="64">
        <v>1282653</v>
      </c>
      <c r="O184" s="64">
        <v>20877.833333333332</v>
      </c>
      <c r="P184" s="68">
        <f t="shared" si="4"/>
        <v>61.436116455251586</v>
      </c>
      <c r="Q184" s="69">
        <v>1336653</v>
      </c>
      <c r="R184" s="64">
        <v>20497.916666666664</v>
      </c>
      <c r="S184" s="68">
        <f t="shared" si="5"/>
        <v>65.209212318325044</v>
      </c>
      <c r="T184" s="64">
        <v>1351363</v>
      </c>
      <c r="U184" s="64">
        <v>20118</v>
      </c>
      <c r="V184" s="68">
        <f t="shared" si="6"/>
        <v>67.171836166616956</v>
      </c>
      <c r="W184" s="70">
        <f t="shared" si="7"/>
        <v>64.605721646731197</v>
      </c>
      <c r="X184" s="71">
        <f t="shared" si="8"/>
        <v>1323556.3333333333</v>
      </c>
      <c r="AD184" s="52"/>
      <c r="AG184" s="52"/>
      <c r="AJ184" s="52"/>
      <c r="AK184" s="52"/>
      <c r="AL184" s="55"/>
      <c r="AO184" s="52"/>
      <c r="AR184" s="52"/>
      <c r="AU184" s="52"/>
      <c r="AV184" s="52"/>
      <c r="AW184" s="55"/>
    </row>
    <row r="185" spans="1:49" ht="15.75" customHeight="1">
      <c r="A185" s="16">
        <v>40702</v>
      </c>
      <c r="B185" s="63" t="s">
        <v>191</v>
      </c>
      <c r="C185" s="64">
        <v>0</v>
      </c>
      <c r="D185" s="64">
        <v>4820</v>
      </c>
      <c r="E185" s="65">
        <f t="shared" si="0"/>
        <v>0</v>
      </c>
      <c r="F185" s="64">
        <v>0</v>
      </c>
      <c r="G185" s="64">
        <v>4928.333333333333</v>
      </c>
      <c r="H185" s="65">
        <f t="shared" si="1"/>
        <v>0</v>
      </c>
      <c r="I185" s="64">
        <v>0</v>
      </c>
      <c r="J185" s="64">
        <v>5036.666666666667</v>
      </c>
      <c r="K185" s="65">
        <f t="shared" si="2"/>
        <v>0</v>
      </c>
      <c r="L185" s="66">
        <f t="shared" si="3"/>
        <v>0</v>
      </c>
      <c r="M185" s="67">
        <f t="shared" si="25"/>
        <v>0</v>
      </c>
      <c r="N185" s="64">
        <v>77000</v>
      </c>
      <c r="O185" s="64">
        <v>5903.333333333333</v>
      </c>
      <c r="P185" s="68">
        <f t="shared" si="4"/>
        <v>13.043478260869566</v>
      </c>
      <c r="Q185" s="69">
        <v>85000</v>
      </c>
      <c r="R185" s="64">
        <v>6011.6666666666661</v>
      </c>
      <c r="S185" s="68">
        <f t="shared" si="5"/>
        <v>14.139173828666483</v>
      </c>
      <c r="T185" s="64">
        <v>124853</v>
      </c>
      <c r="U185" s="64">
        <v>6120</v>
      </c>
      <c r="V185" s="68">
        <f t="shared" si="6"/>
        <v>20.400816993464051</v>
      </c>
      <c r="W185" s="70">
        <f t="shared" si="7"/>
        <v>15.861156361000033</v>
      </c>
      <c r="X185" s="71">
        <f t="shared" si="8"/>
        <v>95617.666666666672</v>
      </c>
      <c r="AD185" s="52"/>
      <c r="AG185" s="52"/>
      <c r="AJ185" s="52"/>
      <c r="AK185" s="52"/>
      <c r="AL185" s="55"/>
      <c r="AO185" s="52"/>
      <c r="AR185" s="52"/>
      <c r="AU185" s="52"/>
      <c r="AV185" s="52"/>
      <c r="AW185" s="55"/>
    </row>
    <row r="186" spans="1:49" ht="15.75" customHeight="1">
      <c r="A186" s="16">
        <v>40801</v>
      </c>
      <c r="B186" s="63" t="s">
        <v>192</v>
      </c>
      <c r="C186" s="64">
        <v>0</v>
      </c>
      <c r="D186" s="64">
        <v>11878</v>
      </c>
      <c r="E186" s="65">
        <f t="shared" si="0"/>
        <v>0</v>
      </c>
      <c r="F186" s="64">
        <v>0</v>
      </c>
      <c r="G186" s="64">
        <v>12216</v>
      </c>
      <c r="H186" s="65">
        <f t="shared" si="1"/>
        <v>0</v>
      </c>
      <c r="I186" s="64">
        <v>0</v>
      </c>
      <c r="J186" s="64">
        <v>12554</v>
      </c>
      <c r="K186" s="65">
        <f t="shared" si="2"/>
        <v>0</v>
      </c>
      <c r="L186" s="66">
        <f t="shared" si="3"/>
        <v>0</v>
      </c>
      <c r="M186" s="67">
        <f t="shared" si="25"/>
        <v>0</v>
      </c>
      <c r="N186" s="64">
        <v>0</v>
      </c>
      <c r="O186" s="64">
        <v>15258</v>
      </c>
      <c r="P186" s="68">
        <f t="shared" si="4"/>
        <v>0</v>
      </c>
      <c r="Q186" s="69">
        <v>10000</v>
      </c>
      <c r="R186" s="64">
        <v>15596</v>
      </c>
      <c r="S186" s="68">
        <f t="shared" si="5"/>
        <v>0.64119004873044372</v>
      </c>
      <c r="T186" s="64">
        <v>45000</v>
      </c>
      <c r="U186" s="64">
        <v>15934</v>
      </c>
      <c r="V186" s="68">
        <f t="shared" si="6"/>
        <v>2.8241496171708298</v>
      </c>
      <c r="W186" s="70">
        <f t="shared" si="7"/>
        <v>1.1551132219670912</v>
      </c>
      <c r="X186" s="71">
        <f t="shared" si="8"/>
        <v>18333.333333333332</v>
      </c>
      <c r="AD186" s="52"/>
      <c r="AG186" s="52"/>
      <c r="AJ186" s="52"/>
      <c r="AK186" s="52"/>
      <c r="AL186" s="55"/>
      <c r="AO186" s="52"/>
      <c r="AR186" s="52"/>
      <c r="AU186" s="52"/>
      <c r="AV186" s="52"/>
      <c r="AW186" s="55"/>
    </row>
    <row r="187" spans="1:49" ht="15.75" customHeight="1">
      <c r="A187" s="16">
        <v>40802</v>
      </c>
      <c r="B187" s="63" t="s">
        <v>193</v>
      </c>
      <c r="C187" s="64">
        <v>25000</v>
      </c>
      <c r="D187" s="64">
        <v>2973</v>
      </c>
      <c r="E187" s="65">
        <f t="shared" si="0"/>
        <v>8.409014463504878</v>
      </c>
      <c r="F187" s="64">
        <v>30000</v>
      </c>
      <c r="G187" s="64">
        <v>2991.6666666666665</v>
      </c>
      <c r="H187" s="65">
        <f t="shared" si="1"/>
        <v>10.027855153203344</v>
      </c>
      <c r="I187" s="64">
        <v>0</v>
      </c>
      <c r="J187" s="64">
        <v>3010.3333333333335</v>
      </c>
      <c r="K187" s="65">
        <f t="shared" si="2"/>
        <v>0</v>
      </c>
      <c r="L187" s="66">
        <f t="shared" si="3"/>
        <v>6.1456232055694073</v>
      </c>
      <c r="M187" s="67">
        <f t="shared" si="25"/>
        <v>18333.333333333332</v>
      </c>
      <c r="N187" s="64">
        <v>40000</v>
      </c>
      <c r="O187" s="64">
        <v>3159.6666666666665</v>
      </c>
      <c r="P187" s="68">
        <f t="shared" si="4"/>
        <v>12.659563245068046</v>
      </c>
      <c r="Q187" s="69">
        <v>60940</v>
      </c>
      <c r="R187" s="64">
        <v>3178.3333333333335</v>
      </c>
      <c r="S187" s="68">
        <f t="shared" si="5"/>
        <v>19.173571054011536</v>
      </c>
      <c r="T187" s="64">
        <v>60400</v>
      </c>
      <c r="U187" s="64">
        <v>3197</v>
      </c>
      <c r="V187" s="68">
        <f t="shared" si="6"/>
        <v>18.892711917422584</v>
      </c>
      <c r="W187" s="70">
        <f t="shared" si="7"/>
        <v>16.908615405500722</v>
      </c>
      <c r="X187" s="71">
        <f t="shared" si="8"/>
        <v>53780</v>
      </c>
      <c r="AD187" s="52"/>
      <c r="AG187" s="52"/>
      <c r="AJ187" s="52"/>
      <c r="AK187" s="52"/>
      <c r="AL187" s="55"/>
      <c r="AO187" s="52"/>
      <c r="AR187" s="52"/>
      <c r="AU187" s="52"/>
      <c r="AV187" s="52"/>
      <c r="AW187" s="55"/>
    </row>
    <row r="188" spans="1:49" ht="15.75" customHeight="1">
      <c r="A188" s="16">
        <v>40901</v>
      </c>
      <c r="B188" s="63" t="s">
        <v>194</v>
      </c>
      <c r="C188" s="64">
        <v>0</v>
      </c>
      <c r="D188" s="64">
        <v>8018</v>
      </c>
      <c r="E188" s="65">
        <f t="shared" si="0"/>
        <v>0</v>
      </c>
      <c r="F188" s="64">
        <v>30000</v>
      </c>
      <c r="G188" s="64">
        <v>8641.8333333333339</v>
      </c>
      <c r="H188" s="65">
        <f t="shared" si="1"/>
        <v>3.4714856029777628</v>
      </c>
      <c r="I188" s="64">
        <v>0</v>
      </c>
      <c r="J188" s="64">
        <v>9265.6666666666661</v>
      </c>
      <c r="K188" s="65">
        <f t="shared" si="2"/>
        <v>0</v>
      </c>
      <c r="L188" s="66">
        <f t="shared" si="3"/>
        <v>1.1571618676592543</v>
      </c>
      <c r="M188" s="67">
        <f t="shared" si="25"/>
        <v>10000</v>
      </c>
      <c r="N188" s="64">
        <v>80000</v>
      </c>
      <c r="O188" s="64">
        <v>14256.333333333334</v>
      </c>
      <c r="P188" s="68">
        <f t="shared" si="4"/>
        <v>5.6115410694662016</v>
      </c>
      <c r="Q188" s="69">
        <v>80000</v>
      </c>
      <c r="R188" s="64">
        <v>14880.166666666668</v>
      </c>
      <c r="S188" s="68">
        <f t="shared" si="5"/>
        <v>5.376283867788219</v>
      </c>
      <c r="T188" s="64">
        <v>100000</v>
      </c>
      <c r="U188" s="64">
        <v>15504</v>
      </c>
      <c r="V188" s="68">
        <f t="shared" si="6"/>
        <v>6.4499484004127963</v>
      </c>
      <c r="W188" s="70">
        <f t="shared" si="7"/>
        <v>5.8125911125557392</v>
      </c>
      <c r="X188" s="71">
        <f t="shared" si="8"/>
        <v>86666.666666666672</v>
      </c>
      <c r="AD188" s="52"/>
      <c r="AG188" s="52"/>
      <c r="AJ188" s="52"/>
      <c r="AK188" s="52"/>
      <c r="AL188" s="55"/>
      <c r="AO188" s="52"/>
      <c r="AR188" s="52"/>
      <c r="AU188" s="52"/>
      <c r="AV188" s="52"/>
      <c r="AW188" s="55"/>
    </row>
    <row r="189" spans="1:49" ht="15.75" customHeight="1">
      <c r="A189" s="16">
        <v>40902</v>
      </c>
      <c r="B189" s="63" t="s">
        <v>195</v>
      </c>
      <c r="C189" s="64">
        <v>0</v>
      </c>
      <c r="D189" s="63">
        <v>903</v>
      </c>
      <c r="E189" s="65">
        <f t="shared" si="0"/>
        <v>0</v>
      </c>
      <c r="F189" s="64">
        <v>0</v>
      </c>
      <c r="G189" s="65">
        <v>944.91666666666663</v>
      </c>
      <c r="H189" s="65">
        <f t="shared" si="1"/>
        <v>0</v>
      </c>
      <c r="I189" s="64">
        <v>0</v>
      </c>
      <c r="J189" s="65">
        <v>986.83333333333337</v>
      </c>
      <c r="K189" s="65">
        <f t="shared" si="2"/>
        <v>0</v>
      </c>
      <c r="L189" s="66">
        <f t="shared" si="3"/>
        <v>0</v>
      </c>
      <c r="M189" s="67">
        <f t="shared" si="25"/>
        <v>0</v>
      </c>
      <c r="N189" s="64">
        <v>6000</v>
      </c>
      <c r="O189" s="63">
        <v>1322.1666666666665</v>
      </c>
      <c r="P189" s="68">
        <f t="shared" si="4"/>
        <v>4.5380057985629652</v>
      </c>
      <c r="Q189" s="69">
        <v>3000</v>
      </c>
      <c r="R189" s="63">
        <v>1364.0833333333333</v>
      </c>
      <c r="S189" s="68">
        <f t="shared" si="5"/>
        <v>2.1992791251756372</v>
      </c>
      <c r="T189" s="64">
        <v>20000</v>
      </c>
      <c r="U189" s="64">
        <v>1406</v>
      </c>
      <c r="V189" s="68">
        <f t="shared" si="6"/>
        <v>14.22475106685633</v>
      </c>
      <c r="W189" s="70">
        <f t="shared" si="7"/>
        <v>6.9873453301983117</v>
      </c>
      <c r="X189" s="71">
        <f t="shared" si="8"/>
        <v>9666.6666666666661</v>
      </c>
      <c r="AD189" s="52"/>
      <c r="AG189" s="52"/>
      <c r="AJ189" s="52"/>
      <c r="AK189" s="52"/>
      <c r="AL189" s="55"/>
      <c r="AO189" s="52"/>
      <c r="AR189" s="52"/>
      <c r="AU189" s="52"/>
      <c r="AV189" s="52"/>
      <c r="AW189" s="55"/>
    </row>
    <row r="190" spans="1:49" ht="15.75" customHeight="1">
      <c r="A190" s="16">
        <v>40903</v>
      </c>
      <c r="B190" s="63" t="s">
        <v>196</v>
      </c>
      <c r="C190" s="64">
        <v>0</v>
      </c>
      <c r="D190" s="64">
        <v>2003</v>
      </c>
      <c r="E190" s="65">
        <f t="shared" si="0"/>
        <v>0</v>
      </c>
      <c r="F190" s="64">
        <v>0</v>
      </c>
      <c r="G190" s="64">
        <v>2032.3333333333333</v>
      </c>
      <c r="H190" s="65">
        <f t="shared" si="1"/>
        <v>0</v>
      </c>
      <c r="I190" s="64">
        <v>0</v>
      </c>
      <c r="J190" s="64">
        <v>2061.6666666666665</v>
      </c>
      <c r="K190" s="65">
        <f t="shared" si="2"/>
        <v>0</v>
      </c>
      <c r="L190" s="66">
        <f t="shared" si="3"/>
        <v>0</v>
      </c>
      <c r="M190" s="67">
        <f t="shared" si="25"/>
        <v>0</v>
      </c>
      <c r="N190" s="64">
        <v>0</v>
      </c>
      <c r="O190" s="64">
        <v>2296.3333333333335</v>
      </c>
      <c r="P190" s="68">
        <f t="shared" si="4"/>
        <v>0</v>
      </c>
      <c r="Q190" s="69">
        <v>6000</v>
      </c>
      <c r="R190" s="64">
        <v>2325.6666666666665</v>
      </c>
      <c r="S190" s="68">
        <f t="shared" si="5"/>
        <v>2.5799054034685396</v>
      </c>
      <c r="T190" s="64">
        <v>6000</v>
      </c>
      <c r="U190" s="64">
        <v>2355</v>
      </c>
      <c r="V190" s="68">
        <f t="shared" si="6"/>
        <v>2.5477707006369426</v>
      </c>
      <c r="W190" s="70">
        <f t="shared" si="7"/>
        <v>1.7092253680351608</v>
      </c>
      <c r="X190" s="71">
        <f t="shared" si="8"/>
        <v>4000</v>
      </c>
      <c r="AD190" s="52"/>
      <c r="AG190" s="52"/>
      <c r="AJ190" s="52"/>
      <c r="AK190" s="52"/>
      <c r="AL190" s="55"/>
      <c r="AO190" s="52"/>
      <c r="AR190" s="52"/>
      <c r="AU190" s="52"/>
      <c r="AV190" s="52"/>
      <c r="AW190" s="55"/>
    </row>
    <row r="191" spans="1:49" ht="15.75" customHeight="1">
      <c r="A191" s="16">
        <v>41001</v>
      </c>
      <c r="B191" s="63" t="s">
        <v>197</v>
      </c>
      <c r="C191" s="64">
        <v>15000</v>
      </c>
      <c r="D191" s="64">
        <v>10149</v>
      </c>
      <c r="E191" s="65">
        <f t="shared" si="0"/>
        <v>1.4779781259237363</v>
      </c>
      <c r="F191" s="64">
        <v>15000</v>
      </c>
      <c r="G191" s="64">
        <v>10320.083333333334</v>
      </c>
      <c r="H191" s="65">
        <f t="shared" si="1"/>
        <v>1.4534766353630864</v>
      </c>
      <c r="I191" s="64">
        <v>0</v>
      </c>
      <c r="J191" s="64">
        <v>10491.166666666666</v>
      </c>
      <c r="K191" s="65">
        <f t="shared" si="2"/>
        <v>0</v>
      </c>
      <c r="L191" s="66">
        <f t="shared" si="3"/>
        <v>0.97715158709560745</v>
      </c>
      <c r="M191" s="67">
        <f t="shared" si="25"/>
        <v>10000</v>
      </c>
      <c r="N191" s="64">
        <v>50000</v>
      </c>
      <c r="O191" s="64">
        <v>11859.833333333334</v>
      </c>
      <c r="P191" s="68">
        <f t="shared" si="4"/>
        <v>4.2159108475386109</v>
      </c>
      <c r="Q191" s="69">
        <v>50000</v>
      </c>
      <c r="R191" s="64">
        <v>12030.916666666666</v>
      </c>
      <c r="S191" s="68">
        <f t="shared" si="5"/>
        <v>4.1559592993052625</v>
      </c>
      <c r="T191" s="64">
        <v>50000</v>
      </c>
      <c r="U191" s="64">
        <v>12202</v>
      </c>
      <c r="V191" s="68">
        <f t="shared" si="6"/>
        <v>4.0976889034584492</v>
      </c>
      <c r="W191" s="70">
        <f t="shared" si="7"/>
        <v>4.1565196834341078</v>
      </c>
      <c r="X191" s="71">
        <f t="shared" si="8"/>
        <v>50000</v>
      </c>
      <c r="AD191" s="52"/>
      <c r="AG191" s="52"/>
      <c r="AJ191" s="52"/>
      <c r="AK191" s="52"/>
      <c r="AL191" s="55"/>
      <c r="AO191" s="52"/>
      <c r="AR191" s="52"/>
      <c r="AU191" s="52"/>
      <c r="AV191" s="52"/>
      <c r="AW191" s="55"/>
    </row>
    <row r="192" spans="1:49" ht="15.75" customHeight="1">
      <c r="A192" s="16">
        <v>41101</v>
      </c>
      <c r="B192" s="63" t="s">
        <v>198</v>
      </c>
      <c r="C192" s="64">
        <v>0</v>
      </c>
      <c r="D192" s="64">
        <v>5267</v>
      </c>
      <c r="E192" s="65">
        <f t="shared" si="0"/>
        <v>0</v>
      </c>
      <c r="F192" s="64">
        <v>30000</v>
      </c>
      <c r="G192" s="64">
        <v>5272.666666666667</v>
      </c>
      <c r="H192" s="65">
        <f t="shared" si="1"/>
        <v>5.6897205715008212</v>
      </c>
      <c r="I192" s="64">
        <v>0</v>
      </c>
      <c r="J192" s="64">
        <v>5278.333333333333</v>
      </c>
      <c r="K192" s="65">
        <f t="shared" si="2"/>
        <v>0</v>
      </c>
      <c r="L192" s="66">
        <f t="shared" si="3"/>
        <v>1.896573523833607</v>
      </c>
      <c r="M192" s="67">
        <f t="shared" si="25"/>
        <v>10000</v>
      </c>
      <c r="N192" s="64">
        <v>94500</v>
      </c>
      <c r="O192" s="64">
        <v>5323.666666666667</v>
      </c>
      <c r="P192" s="68">
        <f t="shared" si="4"/>
        <v>17.750923548932438</v>
      </c>
      <c r="Q192" s="69">
        <v>105000</v>
      </c>
      <c r="R192" s="64">
        <v>5329.333333333333</v>
      </c>
      <c r="S192" s="68">
        <f t="shared" si="5"/>
        <v>19.70227670753065</v>
      </c>
      <c r="T192" s="64">
        <v>120000</v>
      </c>
      <c r="U192" s="64">
        <v>5335</v>
      </c>
      <c r="V192" s="68">
        <f t="shared" si="6"/>
        <v>22.492970946579195</v>
      </c>
      <c r="W192" s="70">
        <f t="shared" si="7"/>
        <v>19.98205706768076</v>
      </c>
      <c r="X192" s="71">
        <f t="shared" si="8"/>
        <v>106500</v>
      </c>
      <c r="AD192" s="52"/>
      <c r="AG192" s="52"/>
      <c r="AJ192" s="52"/>
      <c r="AK192" s="52"/>
      <c r="AL192" s="55"/>
      <c r="AO192" s="52"/>
      <c r="AR192" s="52"/>
      <c r="AU192" s="52"/>
      <c r="AV192" s="52"/>
      <c r="AW192" s="55"/>
    </row>
    <row r="193" spans="1:49" ht="15.75" customHeight="1">
      <c r="A193" s="16">
        <v>41201</v>
      </c>
      <c r="B193" s="63" t="s">
        <v>199</v>
      </c>
      <c r="C193" s="64">
        <v>0</v>
      </c>
      <c r="D193" s="64">
        <v>5216</v>
      </c>
      <c r="E193" s="65">
        <f t="shared" si="0"/>
        <v>0</v>
      </c>
      <c r="F193" s="64">
        <v>0</v>
      </c>
      <c r="G193" s="64">
        <v>5307.25</v>
      </c>
      <c r="H193" s="65">
        <f t="shared" si="1"/>
        <v>0</v>
      </c>
      <c r="I193" s="64">
        <v>0</v>
      </c>
      <c r="J193" s="64">
        <v>5398.5</v>
      </c>
      <c r="K193" s="65">
        <f t="shared" si="2"/>
        <v>0</v>
      </c>
      <c r="L193" s="66">
        <f t="shared" si="3"/>
        <v>0</v>
      </c>
      <c r="M193" s="67">
        <f t="shared" si="25"/>
        <v>0</v>
      </c>
      <c r="N193" s="64">
        <v>100000</v>
      </c>
      <c r="O193" s="64">
        <v>6128.5</v>
      </c>
      <c r="P193" s="68">
        <f t="shared" si="4"/>
        <v>16.317206494248186</v>
      </c>
      <c r="Q193" s="69">
        <v>100000</v>
      </c>
      <c r="R193" s="64">
        <v>6219.75</v>
      </c>
      <c r="S193" s="68">
        <f t="shared" si="5"/>
        <v>16.077816632501307</v>
      </c>
      <c r="T193" s="64">
        <v>98000</v>
      </c>
      <c r="U193" s="64">
        <v>6311</v>
      </c>
      <c r="V193" s="68">
        <f t="shared" si="6"/>
        <v>15.528442402154967</v>
      </c>
      <c r="W193" s="70">
        <f t="shared" si="7"/>
        <v>15.974488509634819</v>
      </c>
      <c r="X193" s="71">
        <f t="shared" si="8"/>
        <v>99333.333333333328</v>
      </c>
      <c r="AD193" s="52"/>
      <c r="AG193" s="52"/>
      <c r="AJ193" s="52"/>
      <c r="AK193" s="52"/>
      <c r="AL193" s="55"/>
      <c r="AO193" s="52"/>
      <c r="AR193" s="52"/>
      <c r="AU193" s="52"/>
      <c r="AV193" s="52"/>
      <c r="AW193" s="55"/>
    </row>
    <row r="194" spans="1:49" ht="15.75" customHeight="1">
      <c r="A194" s="16">
        <v>41202</v>
      </c>
      <c r="B194" s="63" t="s">
        <v>200</v>
      </c>
      <c r="C194" s="64">
        <v>20000</v>
      </c>
      <c r="D194" s="64">
        <v>2016</v>
      </c>
      <c r="E194" s="65">
        <f t="shared" si="0"/>
        <v>9.9206349206349209</v>
      </c>
      <c r="F194" s="64">
        <v>0</v>
      </c>
      <c r="G194" s="64">
        <v>2103.0833333333335</v>
      </c>
      <c r="H194" s="65">
        <f t="shared" si="1"/>
        <v>0</v>
      </c>
      <c r="I194" s="64">
        <v>0</v>
      </c>
      <c r="J194" s="64">
        <v>2190.1666666666665</v>
      </c>
      <c r="K194" s="65">
        <f t="shared" si="2"/>
        <v>0</v>
      </c>
      <c r="L194" s="66">
        <f t="shared" si="3"/>
        <v>3.306878306878307</v>
      </c>
      <c r="M194" s="67">
        <f t="shared" si="25"/>
        <v>6666.666666666667</v>
      </c>
      <c r="N194" s="64">
        <v>0</v>
      </c>
      <c r="O194" s="64">
        <v>2886.833333333333</v>
      </c>
      <c r="P194" s="68">
        <f t="shared" si="4"/>
        <v>0</v>
      </c>
      <c r="Q194" s="69">
        <v>0</v>
      </c>
      <c r="R194" s="64">
        <v>2973.9166666666665</v>
      </c>
      <c r="S194" s="68">
        <f t="shared" si="5"/>
        <v>0</v>
      </c>
      <c r="T194" s="64">
        <v>0</v>
      </c>
      <c r="U194" s="64">
        <v>3061</v>
      </c>
      <c r="V194" s="68">
        <f t="shared" si="6"/>
        <v>0</v>
      </c>
      <c r="W194" s="70">
        <f t="shared" si="7"/>
        <v>0</v>
      </c>
      <c r="X194" s="71">
        <f t="shared" si="8"/>
        <v>0</v>
      </c>
      <c r="AD194" s="52"/>
      <c r="AG194" s="52"/>
      <c r="AJ194" s="52"/>
      <c r="AK194" s="52"/>
      <c r="AL194" s="55"/>
      <c r="AO194" s="52"/>
      <c r="AR194" s="52"/>
      <c r="AU194" s="52"/>
      <c r="AV194" s="52"/>
      <c r="AW194" s="55"/>
    </row>
    <row r="195" spans="1:49" ht="15.75" customHeight="1">
      <c r="A195" s="16">
        <v>41301</v>
      </c>
      <c r="B195" s="63" t="s">
        <v>154</v>
      </c>
      <c r="C195" s="64">
        <v>0</v>
      </c>
      <c r="D195" s="64">
        <v>5531</v>
      </c>
      <c r="E195" s="65">
        <f t="shared" si="0"/>
        <v>0</v>
      </c>
      <c r="F195" s="64">
        <v>0</v>
      </c>
      <c r="G195" s="64">
        <v>5623.166666666667</v>
      </c>
      <c r="H195" s="65">
        <f t="shared" si="1"/>
        <v>0</v>
      </c>
      <c r="I195" s="64">
        <v>0</v>
      </c>
      <c r="J195" s="64">
        <v>5715.333333333333</v>
      </c>
      <c r="K195" s="65">
        <f t="shared" si="2"/>
        <v>0</v>
      </c>
      <c r="L195" s="66">
        <f t="shared" si="3"/>
        <v>0</v>
      </c>
      <c r="M195" s="67">
        <f t="shared" si="25"/>
        <v>0</v>
      </c>
      <c r="N195" s="64">
        <v>0</v>
      </c>
      <c r="O195" s="64">
        <v>6452.666666666667</v>
      </c>
      <c r="P195" s="68">
        <f t="shared" si="4"/>
        <v>0</v>
      </c>
      <c r="Q195" s="69">
        <v>0</v>
      </c>
      <c r="R195" s="64">
        <v>6544.833333333333</v>
      </c>
      <c r="S195" s="68">
        <f t="shared" si="5"/>
        <v>0</v>
      </c>
      <c r="T195" s="64">
        <v>5000</v>
      </c>
      <c r="U195" s="64">
        <v>6637</v>
      </c>
      <c r="V195" s="68">
        <f t="shared" si="6"/>
        <v>0.75335241826126265</v>
      </c>
      <c r="W195" s="70">
        <f t="shared" si="7"/>
        <v>0.25111747275375423</v>
      </c>
      <c r="X195" s="71">
        <f t="shared" si="8"/>
        <v>1666.6666666666667</v>
      </c>
      <c r="AD195" s="52"/>
      <c r="AG195" s="52"/>
      <c r="AJ195" s="52"/>
      <c r="AK195" s="52"/>
      <c r="AL195" s="55"/>
      <c r="AO195" s="52"/>
      <c r="AR195" s="52"/>
      <c r="AU195" s="52"/>
      <c r="AV195" s="52"/>
      <c r="AW195" s="55"/>
    </row>
    <row r="196" spans="1:49" ht="15.75" customHeight="1">
      <c r="A196" s="16">
        <v>41401</v>
      </c>
      <c r="B196" s="63" t="s">
        <v>201</v>
      </c>
      <c r="C196" s="64">
        <v>50000</v>
      </c>
      <c r="D196" s="64">
        <v>13283</v>
      </c>
      <c r="E196" s="65">
        <f t="shared" si="0"/>
        <v>3.7642098923435969</v>
      </c>
      <c r="F196" s="64">
        <v>50000</v>
      </c>
      <c r="G196" s="64">
        <v>13301.25</v>
      </c>
      <c r="H196" s="65">
        <f t="shared" si="1"/>
        <v>3.7590452025185601</v>
      </c>
      <c r="I196" s="64">
        <v>0</v>
      </c>
      <c r="J196" s="64">
        <v>13319.5</v>
      </c>
      <c r="K196" s="65">
        <f t="shared" si="2"/>
        <v>0</v>
      </c>
      <c r="L196" s="66">
        <f t="shared" si="3"/>
        <v>2.5077516982873855</v>
      </c>
      <c r="M196" s="67">
        <f t="shared" si="25"/>
        <v>33333.333333333336</v>
      </c>
      <c r="N196" s="64">
        <v>200000</v>
      </c>
      <c r="O196" s="64">
        <v>13465.5</v>
      </c>
      <c r="P196" s="68">
        <f t="shared" si="4"/>
        <v>14.852771898555568</v>
      </c>
      <c r="Q196" s="69">
        <v>215000</v>
      </c>
      <c r="R196" s="64">
        <v>13483.75</v>
      </c>
      <c r="S196" s="68">
        <f t="shared" si="5"/>
        <v>15.945119124872532</v>
      </c>
      <c r="T196" s="64">
        <v>205000</v>
      </c>
      <c r="U196" s="64">
        <v>13502</v>
      </c>
      <c r="V196" s="68">
        <f t="shared" si="6"/>
        <v>15.182935861353874</v>
      </c>
      <c r="W196" s="70">
        <f t="shared" si="7"/>
        <v>15.326942294927326</v>
      </c>
      <c r="X196" s="71">
        <f t="shared" si="8"/>
        <v>206666.66666666666</v>
      </c>
      <c r="AD196" s="52"/>
      <c r="AG196" s="52"/>
      <c r="AJ196" s="52"/>
      <c r="AK196" s="52"/>
      <c r="AL196" s="55"/>
      <c r="AO196" s="52"/>
      <c r="AR196" s="52"/>
      <c r="AU196" s="52"/>
      <c r="AV196" s="52"/>
      <c r="AW196" s="55"/>
    </row>
    <row r="197" spans="1:49" ht="15.75" customHeight="1">
      <c r="A197" s="16">
        <v>41501</v>
      </c>
      <c r="B197" s="63" t="s">
        <v>202</v>
      </c>
      <c r="C197" s="64">
        <v>0</v>
      </c>
      <c r="D197" s="63">
        <v>509</v>
      </c>
      <c r="E197" s="65">
        <f t="shared" si="0"/>
        <v>0</v>
      </c>
      <c r="F197" s="64">
        <v>0</v>
      </c>
      <c r="G197" s="65">
        <v>571.75</v>
      </c>
      <c r="H197" s="65">
        <f t="shared" si="1"/>
        <v>0</v>
      </c>
      <c r="I197" s="64">
        <v>0</v>
      </c>
      <c r="J197" s="65">
        <v>634.5</v>
      </c>
      <c r="K197" s="65">
        <f t="shared" si="2"/>
        <v>0</v>
      </c>
      <c r="L197" s="66">
        <f t="shared" si="3"/>
        <v>0</v>
      </c>
      <c r="M197" s="67">
        <f t="shared" si="25"/>
        <v>0</v>
      </c>
      <c r="N197" s="64">
        <v>0</v>
      </c>
      <c r="O197" s="63">
        <v>1136.5</v>
      </c>
      <c r="P197" s="68">
        <f t="shared" si="4"/>
        <v>0</v>
      </c>
      <c r="Q197" s="69">
        <v>0</v>
      </c>
      <c r="R197" s="63">
        <v>1199.25</v>
      </c>
      <c r="S197" s="68">
        <f t="shared" si="5"/>
        <v>0</v>
      </c>
      <c r="T197" s="64">
        <v>0</v>
      </c>
      <c r="U197" s="64">
        <v>1262</v>
      </c>
      <c r="V197" s="68">
        <f t="shared" si="6"/>
        <v>0</v>
      </c>
      <c r="W197" s="70">
        <f t="shared" si="7"/>
        <v>0</v>
      </c>
      <c r="X197" s="71">
        <f t="shared" si="8"/>
        <v>0</v>
      </c>
      <c r="AD197" s="52"/>
      <c r="AG197" s="52"/>
      <c r="AJ197" s="52"/>
      <c r="AK197" s="52"/>
      <c r="AL197" s="55"/>
      <c r="AO197" s="52"/>
      <c r="AR197" s="52"/>
      <c r="AU197" s="52"/>
      <c r="AV197" s="52"/>
      <c r="AW197" s="55"/>
    </row>
    <row r="198" spans="1:49" ht="15.75" customHeight="1">
      <c r="A198" s="16">
        <v>41502</v>
      </c>
      <c r="B198" s="63" t="s">
        <v>203</v>
      </c>
      <c r="C198" s="64">
        <v>0</v>
      </c>
      <c r="D198" s="63">
        <v>727</v>
      </c>
      <c r="E198" s="65">
        <f t="shared" si="0"/>
        <v>0</v>
      </c>
      <c r="F198" s="64">
        <v>0</v>
      </c>
      <c r="G198" s="65">
        <v>761.41666666666663</v>
      </c>
      <c r="H198" s="65">
        <f t="shared" si="1"/>
        <v>0</v>
      </c>
      <c r="I198" s="64">
        <v>0</v>
      </c>
      <c r="J198" s="65">
        <v>795.83333333333337</v>
      </c>
      <c r="K198" s="65">
        <f t="shared" si="2"/>
        <v>0</v>
      </c>
      <c r="L198" s="66">
        <f t="shared" si="3"/>
        <v>0</v>
      </c>
      <c r="M198" s="67">
        <f t="shared" si="25"/>
        <v>0</v>
      </c>
      <c r="N198" s="64">
        <v>0</v>
      </c>
      <c r="O198" s="63">
        <v>1071.1666666666665</v>
      </c>
      <c r="P198" s="68">
        <f t="shared" si="4"/>
        <v>0</v>
      </c>
      <c r="Q198" s="69">
        <v>15000</v>
      </c>
      <c r="R198" s="63">
        <v>1105.5833333333333</v>
      </c>
      <c r="S198" s="68">
        <f t="shared" si="5"/>
        <v>13.567498304062713</v>
      </c>
      <c r="T198" s="64">
        <v>5000</v>
      </c>
      <c r="U198" s="64">
        <v>1140</v>
      </c>
      <c r="V198" s="68">
        <f t="shared" si="6"/>
        <v>4.3859649122807021</v>
      </c>
      <c r="W198" s="70">
        <f t="shared" si="7"/>
        <v>5.9844877387811382</v>
      </c>
      <c r="X198" s="71">
        <f t="shared" si="8"/>
        <v>6666.666666666667</v>
      </c>
      <c r="AD198" s="52"/>
      <c r="AG198" s="52"/>
      <c r="AJ198" s="52"/>
      <c r="AK198" s="52"/>
      <c r="AL198" s="55"/>
      <c r="AO198" s="52"/>
      <c r="AR198" s="52"/>
      <c r="AU198" s="52"/>
      <c r="AV198" s="52"/>
      <c r="AW198" s="55"/>
    </row>
    <row r="199" spans="1:49" ht="15.75" customHeight="1">
      <c r="A199" s="16">
        <v>41503</v>
      </c>
      <c r="B199" s="63" t="s">
        <v>204</v>
      </c>
      <c r="C199" s="64">
        <v>0</v>
      </c>
      <c r="D199" s="63">
        <v>840</v>
      </c>
      <c r="E199" s="65">
        <f t="shared" si="0"/>
        <v>0</v>
      </c>
      <c r="F199" s="64">
        <v>0</v>
      </c>
      <c r="G199" s="65">
        <v>864.08333333333337</v>
      </c>
      <c r="H199" s="65">
        <f t="shared" si="1"/>
        <v>0</v>
      </c>
      <c r="I199" s="64">
        <v>0</v>
      </c>
      <c r="J199" s="65">
        <v>888.16666666666663</v>
      </c>
      <c r="K199" s="65">
        <f t="shared" si="2"/>
        <v>0</v>
      </c>
      <c r="L199" s="66">
        <f t="shared" si="3"/>
        <v>0</v>
      </c>
      <c r="M199" s="67">
        <f t="shared" si="25"/>
        <v>0</v>
      </c>
      <c r="N199" s="64">
        <v>2000</v>
      </c>
      <c r="O199" s="63">
        <v>1080.8333333333333</v>
      </c>
      <c r="P199" s="68">
        <f t="shared" si="4"/>
        <v>1.8504240555127218</v>
      </c>
      <c r="Q199" s="69">
        <v>5000</v>
      </c>
      <c r="R199" s="63">
        <v>1104.9166666666665</v>
      </c>
      <c r="S199" s="68">
        <f t="shared" si="5"/>
        <v>4.5252281469190745</v>
      </c>
      <c r="T199" s="64">
        <v>10000</v>
      </c>
      <c r="U199" s="64">
        <v>1129</v>
      </c>
      <c r="V199" s="68">
        <f t="shared" si="6"/>
        <v>8.8573959255978743</v>
      </c>
      <c r="W199" s="70">
        <f t="shared" si="7"/>
        <v>5.0776827093432235</v>
      </c>
      <c r="X199" s="71">
        <f t="shared" si="8"/>
        <v>5666.666666666667</v>
      </c>
      <c r="AD199" s="52"/>
      <c r="AG199" s="52"/>
      <c r="AJ199" s="52"/>
      <c r="AK199" s="52"/>
      <c r="AL199" s="55"/>
      <c r="AO199" s="52"/>
      <c r="AR199" s="52"/>
      <c r="AU199" s="52"/>
      <c r="AV199" s="52"/>
      <c r="AW199" s="55"/>
    </row>
    <row r="200" spans="1:49" ht="15.75" customHeight="1">
      <c r="A200" s="16">
        <v>41601</v>
      </c>
      <c r="B200" s="63" t="s">
        <v>205</v>
      </c>
      <c r="C200" s="64">
        <v>0</v>
      </c>
      <c r="D200" s="64">
        <v>5502</v>
      </c>
      <c r="E200" s="65">
        <f t="shared" si="0"/>
        <v>0</v>
      </c>
      <c r="F200" s="64">
        <v>0</v>
      </c>
      <c r="G200" s="64">
        <v>5543.166666666667</v>
      </c>
      <c r="H200" s="65">
        <f t="shared" si="1"/>
        <v>0</v>
      </c>
      <c r="I200" s="64">
        <v>0</v>
      </c>
      <c r="J200" s="64">
        <v>5584.333333333333</v>
      </c>
      <c r="K200" s="65">
        <f t="shared" si="2"/>
        <v>0</v>
      </c>
      <c r="L200" s="66">
        <f t="shared" si="3"/>
        <v>0</v>
      </c>
      <c r="M200" s="67">
        <f t="shared" si="25"/>
        <v>0</v>
      </c>
      <c r="N200" s="64">
        <v>15000</v>
      </c>
      <c r="O200" s="64">
        <v>5913.666666666667</v>
      </c>
      <c r="P200" s="68">
        <f t="shared" si="4"/>
        <v>2.5364973789527081</v>
      </c>
      <c r="Q200" s="69">
        <v>15000</v>
      </c>
      <c r="R200" s="64">
        <v>5954.833333333333</v>
      </c>
      <c r="S200" s="68">
        <f t="shared" si="5"/>
        <v>2.5189621875787176</v>
      </c>
      <c r="T200" s="64">
        <v>10000</v>
      </c>
      <c r="U200" s="64">
        <v>5996</v>
      </c>
      <c r="V200" s="68">
        <f t="shared" si="6"/>
        <v>1.667778519012675</v>
      </c>
      <c r="W200" s="70">
        <f t="shared" si="7"/>
        <v>2.2410793618480334</v>
      </c>
      <c r="X200" s="71">
        <f t="shared" si="8"/>
        <v>13333.333333333334</v>
      </c>
      <c r="AD200" s="52"/>
      <c r="AG200" s="52"/>
      <c r="AJ200" s="52"/>
      <c r="AK200" s="52"/>
      <c r="AL200" s="55"/>
      <c r="AO200" s="52"/>
      <c r="AR200" s="52"/>
      <c r="AU200" s="52"/>
      <c r="AV200" s="52"/>
      <c r="AW200" s="55"/>
    </row>
    <row r="201" spans="1:49" ht="15.75" customHeight="1">
      <c r="A201" s="16">
        <v>50101</v>
      </c>
      <c r="B201" s="63" t="s">
        <v>206</v>
      </c>
      <c r="C201" s="64">
        <v>0</v>
      </c>
      <c r="D201" s="64">
        <v>191302</v>
      </c>
      <c r="E201" s="65">
        <f t="shared" si="0"/>
        <v>0</v>
      </c>
      <c r="F201" s="64">
        <v>0</v>
      </c>
      <c r="G201" s="64">
        <v>193585.33333333334</v>
      </c>
      <c r="H201" s="65">
        <f t="shared" si="1"/>
        <v>0</v>
      </c>
      <c r="I201" s="64">
        <v>0</v>
      </c>
      <c r="J201" s="64">
        <v>195868.66666666666</v>
      </c>
      <c r="K201" s="65">
        <f t="shared" si="2"/>
        <v>0</v>
      </c>
      <c r="L201" s="66">
        <f t="shared" si="3"/>
        <v>0</v>
      </c>
      <c r="M201" s="67">
        <f t="shared" si="25"/>
        <v>0</v>
      </c>
      <c r="N201" s="64">
        <v>6406536</v>
      </c>
      <c r="O201" s="64">
        <v>214135.33333333334</v>
      </c>
      <c r="P201" s="68">
        <f t="shared" si="4"/>
        <v>29.91816390257874</v>
      </c>
      <c r="Q201" s="69">
        <v>6320000</v>
      </c>
      <c r="R201" s="64">
        <v>216418.66666666666</v>
      </c>
      <c r="S201" s="68">
        <f t="shared" si="5"/>
        <v>29.202656579222989</v>
      </c>
      <c r="T201" s="64">
        <v>6636000</v>
      </c>
      <c r="U201" s="64">
        <v>218702</v>
      </c>
      <c r="V201" s="68">
        <f t="shared" si="6"/>
        <v>30.342658046108404</v>
      </c>
      <c r="W201" s="70">
        <f t="shared" si="7"/>
        <v>29.821159509303374</v>
      </c>
      <c r="X201" s="71">
        <f t="shared" si="8"/>
        <v>6454178.666666667</v>
      </c>
      <c r="AD201" s="52"/>
      <c r="AG201" s="52"/>
      <c r="AJ201" s="52"/>
      <c r="AK201" s="52"/>
      <c r="AL201" s="55"/>
      <c r="AO201" s="52"/>
      <c r="AR201" s="52"/>
      <c r="AU201" s="52"/>
      <c r="AV201" s="52"/>
      <c r="AW201" s="55"/>
    </row>
    <row r="202" spans="1:49" ht="15.75" customHeight="1">
      <c r="A202" s="16">
        <v>50102</v>
      </c>
      <c r="B202" s="63" t="s">
        <v>207</v>
      </c>
      <c r="C202" s="64">
        <v>40000</v>
      </c>
      <c r="D202" s="64">
        <v>27200</v>
      </c>
      <c r="E202" s="65">
        <f t="shared" si="0"/>
        <v>1.4705882352941178</v>
      </c>
      <c r="F202" s="64">
        <v>90000</v>
      </c>
      <c r="G202" s="64">
        <v>27345.166666666668</v>
      </c>
      <c r="H202" s="65">
        <f t="shared" si="1"/>
        <v>3.2912580529161155</v>
      </c>
      <c r="I202" s="64">
        <v>0</v>
      </c>
      <c r="J202" s="64">
        <v>27490.333333333332</v>
      </c>
      <c r="K202" s="65">
        <f t="shared" si="2"/>
        <v>0</v>
      </c>
      <c r="L202" s="66">
        <f t="shared" si="3"/>
        <v>1.5872820960700775</v>
      </c>
      <c r="M202" s="67">
        <f t="shared" si="25"/>
        <v>43333.333333333336</v>
      </c>
      <c r="N202" s="64">
        <v>18000</v>
      </c>
      <c r="O202" s="64">
        <v>28651.666666666668</v>
      </c>
      <c r="P202" s="68">
        <f t="shared" si="4"/>
        <v>0.62823570472921875</v>
      </c>
      <c r="Q202" s="69">
        <v>18000</v>
      </c>
      <c r="R202" s="64">
        <v>28796.833333333332</v>
      </c>
      <c r="S202" s="68">
        <f t="shared" si="5"/>
        <v>0.62506872862178131</v>
      </c>
      <c r="T202" s="64">
        <v>18000</v>
      </c>
      <c r="U202" s="64">
        <v>28942</v>
      </c>
      <c r="V202" s="68">
        <f t="shared" si="6"/>
        <v>0.6219335222168475</v>
      </c>
      <c r="W202" s="70">
        <f t="shared" si="7"/>
        <v>0.62507931852261578</v>
      </c>
      <c r="X202" s="71">
        <f t="shared" si="8"/>
        <v>18000</v>
      </c>
      <c r="AD202" s="52"/>
      <c r="AG202" s="52"/>
      <c r="AJ202" s="52"/>
      <c r="AK202" s="52"/>
      <c r="AL202" s="55"/>
      <c r="AO202" s="52"/>
      <c r="AR202" s="52"/>
      <c r="AU202" s="52"/>
      <c r="AV202" s="52"/>
      <c r="AW202" s="55"/>
    </row>
    <row r="203" spans="1:49" ht="15.75" customHeight="1">
      <c r="A203" s="16">
        <v>50103</v>
      </c>
      <c r="B203" s="63" t="s">
        <v>208</v>
      </c>
      <c r="C203" s="64">
        <v>0</v>
      </c>
      <c r="D203" s="64">
        <v>8979</v>
      </c>
      <c r="E203" s="65">
        <f t="shared" si="0"/>
        <v>0</v>
      </c>
      <c r="F203" s="64">
        <v>30000</v>
      </c>
      <c r="G203" s="64">
        <v>9251.8333333333339</v>
      </c>
      <c r="H203" s="65">
        <f t="shared" si="1"/>
        <v>3.2426005656536541</v>
      </c>
      <c r="I203" s="64">
        <v>0</v>
      </c>
      <c r="J203" s="64">
        <v>9524.6666666666661</v>
      </c>
      <c r="K203" s="65">
        <f t="shared" si="2"/>
        <v>0</v>
      </c>
      <c r="L203" s="66">
        <f t="shared" si="3"/>
        <v>1.0808668552178846</v>
      </c>
      <c r="M203" s="67">
        <f t="shared" si="25"/>
        <v>10000</v>
      </c>
      <c r="N203" s="64">
        <v>0</v>
      </c>
      <c r="O203" s="64">
        <v>11707.333333333332</v>
      </c>
      <c r="P203" s="68">
        <f t="shared" si="4"/>
        <v>0</v>
      </c>
      <c r="Q203" s="69">
        <v>0</v>
      </c>
      <c r="R203" s="64">
        <v>11980.166666666666</v>
      </c>
      <c r="S203" s="68">
        <f t="shared" si="5"/>
        <v>0</v>
      </c>
      <c r="T203" s="64">
        <v>20000</v>
      </c>
      <c r="U203" s="64">
        <v>12253</v>
      </c>
      <c r="V203" s="68">
        <f t="shared" si="6"/>
        <v>1.6322533257161511</v>
      </c>
      <c r="W203" s="70">
        <f t="shared" si="7"/>
        <v>0.54408444190538374</v>
      </c>
      <c r="X203" s="71">
        <f t="shared" si="8"/>
        <v>6666.666666666667</v>
      </c>
      <c r="AD203" s="52"/>
      <c r="AG203" s="52"/>
      <c r="AJ203" s="52"/>
      <c r="AK203" s="52"/>
      <c r="AL203" s="55"/>
      <c r="AO203" s="52"/>
      <c r="AR203" s="52"/>
      <c r="AU203" s="52"/>
      <c r="AV203" s="52"/>
      <c r="AW203" s="55"/>
    </row>
    <row r="204" spans="1:49" ht="15.75" customHeight="1">
      <c r="A204" s="16">
        <v>50104</v>
      </c>
      <c r="B204" s="63" t="s">
        <v>209</v>
      </c>
      <c r="C204" s="64">
        <v>0</v>
      </c>
      <c r="D204" s="64">
        <v>2759</v>
      </c>
      <c r="E204" s="65">
        <f t="shared" si="0"/>
        <v>0</v>
      </c>
      <c r="F204" s="64">
        <v>0</v>
      </c>
      <c r="G204" s="64">
        <v>2789.1666666666665</v>
      </c>
      <c r="H204" s="65">
        <f t="shared" si="1"/>
        <v>0</v>
      </c>
      <c r="I204" s="64">
        <v>0</v>
      </c>
      <c r="J204" s="64">
        <v>2819.3333333333335</v>
      </c>
      <c r="K204" s="65">
        <f t="shared" si="2"/>
        <v>0</v>
      </c>
      <c r="L204" s="66">
        <f t="shared" si="3"/>
        <v>0</v>
      </c>
      <c r="M204" s="67">
        <f t="shared" si="25"/>
        <v>0</v>
      </c>
      <c r="N204" s="64">
        <v>3500</v>
      </c>
      <c r="O204" s="64">
        <v>3060.6666666666665</v>
      </c>
      <c r="P204" s="68">
        <f t="shared" si="4"/>
        <v>1.1435417120453062</v>
      </c>
      <c r="Q204" s="69">
        <v>3500</v>
      </c>
      <c r="R204" s="64">
        <v>3090.8333333333335</v>
      </c>
      <c r="S204" s="68">
        <f t="shared" si="5"/>
        <v>1.1323806956052844</v>
      </c>
      <c r="T204" s="64">
        <v>3500</v>
      </c>
      <c r="U204" s="64">
        <v>3121</v>
      </c>
      <c r="V204" s="68">
        <f t="shared" si="6"/>
        <v>1.1214354373598205</v>
      </c>
      <c r="W204" s="70">
        <f t="shared" si="7"/>
        <v>1.1324526150034704</v>
      </c>
      <c r="X204" s="71">
        <f t="shared" si="8"/>
        <v>3500</v>
      </c>
      <c r="AD204" s="52"/>
      <c r="AG204" s="52"/>
      <c r="AJ204" s="52"/>
      <c r="AK204" s="52"/>
      <c r="AL204" s="55"/>
      <c r="AO204" s="52"/>
      <c r="AR204" s="52"/>
      <c r="AU204" s="52"/>
      <c r="AV204" s="52"/>
      <c r="AW204" s="55"/>
    </row>
    <row r="205" spans="1:49" ht="15.75" customHeight="1">
      <c r="A205" s="16">
        <v>50201</v>
      </c>
      <c r="B205" s="63" t="s">
        <v>210</v>
      </c>
      <c r="C205" s="64">
        <v>16776</v>
      </c>
      <c r="D205" s="64">
        <v>22020</v>
      </c>
      <c r="E205" s="65">
        <f t="shared" si="0"/>
        <v>0.76185286103542238</v>
      </c>
      <c r="F205" s="64">
        <v>0</v>
      </c>
      <c r="G205" s="64">
        <v>22082.333333333332</v>
      </c>
      <c r="H205" s="65">
        <f t="shared" si="1"/>
        <v>0</v>
      </c>
      <c r="I205" s="64">
        <v>0</v>
      </c>
      <c r="J205" s="64">
        <v>22144.666666666668</v>
      </c>
      <c r="K205" s="65">
        <f t="shared" si="2"/>
        <v>0</v>
      </c>
      <c r="L205" s="66">
        <f t="shared" si="3"/>
        <v>0.25395095367847415</v>
      </c>
      <c r="M205" s="67">
        <f t="shared" si="25"/>
        <v>5592</v>
      </c>
      <c r="N205" s="64">
        <v>196652</v>
      </c>
      <c r="O205" s="64">
        <v>22643.333333333332</v>
      </c>
      <c r="P205" s="68">
        <f t="shared" si="4"/>
        <v>8.6847637273664073</v>
      </c>
      <c r="Q205" s="69">
        <v>203320</v>
      </c>
      <c r="R205" s="64">
        <v>22705.666666666668</v>
      </c>
      <c r="S205" s="68">
        <f t="shared" si="5"/>
        <v>8.954592832919829</v>
      </c>
      <c r="T205" s="64">
        <v>212774</v>
      </c>
      <c r="U205" s="64">
        <v>22768</v>
      </c>
      <c r="V205" s="68">
        <f t="shared" si="6"/>
        <v>9.3453092059030212</v>
      </c>
      <c r="W205" s="70">
        <f t="shared" si="7"/>
        <v>8.9948885887297525</v>
      </c>
      <c r="X205" s="71">
        <f t="shared" si="8"/>
        <v>204248.66666666666</v>
      </c>
      <c r="AD205" s="52"/>
      <c r="AG205" s="52"/>
      <c r="AJ205" s="52"/>
      <c r="AK205" s="52"/>
      <c r="AL205" s="55"/>
      <c r="AO205" s="52"/>
      <c r="AR205" s="52"/>
      <c r="AU205" s="52"/>
      <c r="AV205" s="52"/>
      <c r="AW205" s="55"/>
    </row>
    <row r="206" spans="1:49" ht="15.75" customHeight="1">
      <c r="A206" s="16">
        <v>50202</v>
      </c>
      <c r="B206" s="63" t="s">
        <v>211</v>
      </c>
      <c r="C206" s="64">
        <v>5000</v>
      </c>
      <c r="D206" s="64">
        <v>16129</v>
      </c>
      <c r="E206" s="65">
        <f t="shared" si="0"/>
        <v>0.31000062000124001</v>
      </c>
      <c r="F206" s="64">
        <v>0</v>
      </c>
      <c r="G206" s="64">
        <v>16120</v>
      </c>
      <c r="H206" s="65">
        <f t="shared" si="1"/>
        <v>0</v>
      </c>
      <c r="I206" s="64">
        <v>0</v>
      </c>
      <c r="J206" s="64">
        <v>16111</v>
      </c>
      <c r="K206" s="65">
        <f t="shared" si="2"/>
        <v>0</v>
      </c>
      <c r="L206" s="66">
        <f t="shared" si="3"/>
        <v>0.10333354000041334</v>
      </c>
      <c r="M206" s="67">
        <f t="shared" si="25"/>
        <v>1666.6666666666667</v>
      </c>
      <c r="N206" s="64">
        <v>30000</v>
      </c>
      <c r="O206" s="64">
        <v>16039</v>
      </c>
      <c r="P206" s="68">
        <f t="shared" si="4"/>
        <v>1.8704408005486626</v>
      </c>
      <c r="Q206" s="69">
        <v>30000</v>
      </c>
      <c r="R206" s="64">
        <v>16030</v>
      </c>
      <c r="S206" s="68">
        <f t="shared" si="5"/>
        <v>1.8714909544603868</v>
      </c>
      <c r="T206" s="64">
        <v>50000</v>
      </c>
      <c r="U206" s="64">
        <v>16021</v>
      </c>
      <c r="V206" s="68">
        <f t="shared" si="6"/>
        <v>3.1209038137444605</v>
      </c>
      <c r="W206" s="70">
        <f t="shared" si="7"/>
        <v>2.28761185625117</v>
      </c>
      <c r="X206" s="71">
        <f t="shared" si="8"/>
        <v>36666.666666666664</v>
      </c>
      <c r="AD206" s="52"/>
      <c r="AG206" s="52"/>
      <c r="AJ206" s="52"/>
      <c r="AK206" s="52"/>
      <c r="AL206" s="55"/>
      <c r="AO206" s="52"/>
      <c r="AR206" s="52"/>
      <c r="AU206" s="52"/>
      <c r="AV206" s="52"/>
      <c r="AW206" s="55"/>
    </row>
    <row r="207" spans="1:49" ht="15.75" customHeight="1">
      <c r="A207" s="16">
        <v>50203</v>
      </c>
      <c r="B207" s="63" t="s">
        <v>212</v>
      </c>
      <c r="C207" s="64">
        <v>0</v>
      </c>
      <c r="D207" s="64">
        <v>41104</v>
      </c>
      <c r="E207" s="65">
        <f t="shared" si="0"/>
        <v>0</v>
      </c>
      <c r="F207" s="64">
        <v>0</v>
      </c>
      <c r="G207" s="64">
        <v>41152.5</v>
      </c>
      <c r="H207" s="65">
        <f t="shared" si="1"/>
        <v>0</v>
      </c>
      <c r="I207" s="64">
        <v>0</v>
      </c>
      <c r="J207" s="64">
        <v>41201</v>
      </c>
      <c r="K207" s="65">
        <f t="shared" si="2"/>
        <v>0</v>
      </c>
      <c r="L207" s="66">
        <f t="shared" si="3"/>
        <v>0</v>
      </c>
      <c r="M207" s="67">
        <f t="shared" si="25"/>
        <v>0</v>
      </c>
      <c r="N207" s="64">
        <v>1020000</v>
      </c>
      <c r="O207" s="64">
        <v>41589</v>
      </c>
      <c r="P207" s="68">
        <f t="shared" si="4"/>
        <v>24.52571593450191</v>
      </c>
      <c r="Q207" s="69">
        <v>1020000</v>
      </c>
      <c r="R207" s="64">
        <v>41637.5</v>
      </c>
      <c r="S207" s="68">
        <f t="shared" si="5"/>
        <v>24.497148003602522</v>
      </c>
      <c r="T207" s="64">
        <v>1004197</v>
      </c>
      <c r="U207" s="64">
        <v>41686</v>
      </c>
      <c r="V207" s="68">
        <f t="shared" si="6"/>
        <v>24.089550448591854</v>
      </c>
      <c r="W207" s="70">
        <f t="shared" si="7"/>
        <v>24.37080479556543</v>
      </c>
      <c r="X207" s="71">
        <f t="shared" si="8"/>
        <v>1014732.3333333334</v>
      </c>
      <c r="AD207" s="52"/>
      <c r="AG207" s="52"/>
      <c r="AJ207" s="52"/>
      <c r="AK207" s="52"/>
      <c r="AL207" s="55"/>
      <c r="AO207" s="52"/>
      <c r="AR207" s="52"/>
      <c r="AU207" s="52"/>
      <c r="AV207" s="52"/>
      <c r="AW207" s="55"/>
    </row>
    <row r="208" spans="1:49" ht="15.75" customHeight="1">
      <c r="A208" s="16">
        <v>50204</v>
      </c>
      <c r="B208" s="63" t="s">
        <v>213</v>
      </c>
      <c r="C208" s="64">
        <v>10000</v>
      </c>
      <c r="D208" s="64">
        <v>8019</v>
      </c>
      <c r="E208" s="65">
        <f t="shared" si="0"/>
        <v>1.2470382840753211</v>
      </c>
      <c r="F208" s="64">
        <v>23500</v>
      </c>
      <c r="G208" s="64">
        <v>8035.75</v>
      </c>
      <c r="H208" s="65">
        <f t="shared" si="1"/>
        <v>2.9244314469713468</v>
      </c>
      <c r="I208" s="64">
        <v>0</v>
      </c>
      <c r="J208" s="64">
        <v>8052.5</v>
      </c>
      <c r="K208" s="65">
        <f t="shared" si="2"/>
        <v>0</v>
      </c>
      <c r="L208" s="66">
        <f t="shared" si="3"/>
        <v>1.3904899103488892</v>
      </c>
      <c r="M208" s="67">
        <f t="shared" si="25"/>
        <v>11166.666666666666</v>
      </c>
      <c r="N208" s="64">
        <v>12000</v>
      </c>
      <c r="O208" s="64">
        <v>8186.5</v>
      </c>
      <c r="P208" s="68">
        <f t="shared" si="4"/>
        <v>1.4658278873755572</v>
      </c>
      <c r="Q208" s="69">
        <v>12000</v>
      </c>
      <c r="R208" s="64">
        <v>8203.25</v>
      </c>
      <c r="S208" s="68">
        <f t="shared" si="5"/>
        <v>1.4628348520403498</v>
      </c>
      <c r="T208" s="64">
        <v>10000</v>
      </c>
      <c r="U208" s="64">
        <v>8220</v>
      </c>
      <c r="V208" s="68">
        <f t="shared" si="6"/>
        <v>1.2165450121654502</v>
      </c>
      <c r="W208" s="70">
        <f t="shared" si="7"/>
        <v>1.3817359171937857</v>
      </c>
      <c r="X208" s="71">
        <f t="shared" si="8"/>
        <v>11333.333333333334</v>
      </c>
      <c r="AD208" s="52"/>
      <c r="AG208" s="52"/>
      <c r="AJ208" s="52"/>
      <c r="AK208" s="52"/>
      <c r="AL208" s="55"/>
      <c r="AO208" s="52"/>
      <c r="AR208" s="52"/>
      <c r="AU208" s="52"/>
      <c r="AV208" s="52"/>
      <c r="AW208" s="55"/>
    </row>
    <row r="209" spans="1:49" ht="15.75" customHeight="1">
      <c r="A209" s="16">
        <v>50301</v>
      </c>
      <c r="B209" s="63" t="s">
        <v>214</v>
      </c>
      <c r="C209" s="64">
        <v>33200</v>
      </c>
      <c r="D209" s="64">
        <v>33922</v>
      </c>
      <c r="E209" s="65">
        <f t="shared" si="0"/>
        <v>0.97871587760155654</v>
      </c>
      <c r="F209" s="64">
        <v>33200</v>
      </c>
      <c r="G209" s="64">
        <v>33753.833333333336</v>
      </c>
      <c r="H209" s="65">
        <f t="shared" si="1"/>
        <v>0.98359198708294848</v>
      </c>
      <c r="I209" s="64">
        <v>0</v>
      </c>
      <c r="J209" s="64">
        <v>33585.666666666664</v>
      </c>
      <c r="K209" s="65">
        <f t="shared" si="2"/>
        <v>0</v>
      </c>
      <c r="L209" s="66">
        <f t="shared" si="3"/>
        <v>0.65410262156150167</v>
      </c>
      <c r="M209" s="67">
        <f t="shared" si="25"/>
        <v>22133.333333333332</v>
      </c>
      <c r="N209" s="64">
        <v>1394877</v>
      </c>
      <c r="O209" s="64">
        <v>32240.333333333332</v>
      </c>
      <c r="P209" s="68">
        <f t="shared" si="4"/>
        <v>43.264968310914902</v>
      </c>
      <c r="Q209" s="69">
        <v>400000</v>
      </c>
      <c r="R209" s="64">
        <v>32072.166666666668</v>
      </c>
      <c r="S209" s="68">
        <f t="shared" si="5"/>
        <v>12.471873327339905</v>
      </c>
      <c r="T209" s="64">
        <v>400000</v>
      </c>
      <c r="U209" s="64">
        <v>31904</v>
      </c>
      <c r="V209" s="68">
        <f t="shared" si="6"/>
        <v>12.537612838515546</v>
      </c>
      <c r="W209" s="70">
        <f t="shared" si="7"/>
        <v>22.758151492256786</v>
      </c>
      <c r="X209" s="71">
        <f t="shared" si="8"/>
        <v>731625.66666666663</v>
      </c>
      <c r="AD209" s="52"/>
      <c r="AG209" s="52"/>
      <c r="AJ209" s="52"/>
      <c r="AK209" s="52"/>
      <c r="AL209" s="55"/>
      <c r="AO209" s="52"/>
      <c r="AR209" s="52"/>
      <c r="AU209" s="52"/>
      <c r="AV209" s="52"/>
      <c r="AW209" s="55"/>
    </row>
    <row r="210" spans="1:49" ht="15.75" customHeight="1">
      <c r="A210" s="16">
        <v>50302</v>
      </c>
      <c r="B210" s="63" t="s">
        <v>215</v>
      </c>
      <c r="C210" s="64">
        <v>9999</v>
      </c>
      <c r="D210" s="64">
        <v>9910</v>
      </c>
      <c r="E210" s="65">
        <f t="shared" si="0"/>
        <v>1.0089808274470231</v>
      </c>
      <c r="F210" s="64">
        <v>10000</v>
      </c>
      <c r="G210" s="64">
        <v>9857.9166666666661</v>
      </c>
      <c r="H210" s="65">
        <f t="shared" si="1"/>
        <v>1.0144131197430155</v>
      </c>
      <c r="I210" s="64">
        <v>0</v>
      </c>
      <c r="J210" s="64">
        <v>9805.8333333333339</v>
      </c>
      <c r="K210" s="65">
        <f t="shared" si="2"/>
        <v>0</v>
      </c>
      <c r="L210" s="66">
        <f t="shared" si="3"/>
        <v>0.67446464906334624</v>
      </c>
      <c r="M210" s="67">
        <f t="shared" si="25"/>
        <v>6666.333333333333</v>
      </c>
      <c r="N210" s="64">
        <v>7000</v>
      </c>
      <c r="O210" s="64">
        <v>9389.1666666666661</v>
      </c>
      <c r="P210" s="68">
        <f t="shared" si="4"/>
        <v>0.74554007277891188</v>
      </c>
      <c r="Q210" s="69">
        <v>9000</v>
      </c>
      <c r="R210" s="64">
        <v>9337.0833333333339</v>
      </c>
      <c r="S210" s="68">
        <f t="shared" si="5"/>
        <v>0.96389843366504524</v>
      </c>
      <c r="T210" s="64">
        <v>9000</v>
      </c>
      <c r="U210" s="64">
        <v>9285</v>
      </c>
      <c r="V210" s="68">
        <f t="shared" si="6"/>
        <v>0.96930533117932149</v>
      </c>
      <c r="W210" s="70">
        <f t="shared" si="7"/>
        <v>0.89291461254109283</v>
      </c>
      <c r="X210" s="71">
        <f t="shared" si="8"/>
        <v>8333.3333333333339</v>
      </c>
      <c r="AD210" s="52"/>
      <c r="AG210" s="52"/>
      <c r="AJ210" s="52"/>
      <c r="AK210" s="52"/>
      <c r="AL210" s="55"/>
      <c r="AO210" s="52"/>
      <c r="AR210" s="52"/>
      <c r="AU210" s="52"/>
      <c r="AV210" s="52"/>
      <c r="AW210" s="55"/>
    </row>
    <row r="211" spans="1:49" ht="15.75" customHeight="1">
      <c r="A211" s="16">
        <v>50303</v>
      </c>
      <c r="B211" s="63" t="s">
        <v>216</v>
      </c>
      <c r="C211" s="64">
        <v>10000</v>
      </c>
      <c r="D211" s="64">
        <v>11835</v>
      </c>
      <c r="E211" s="65">
        <f t="shared" si="0"/>
        <v>0.84495141529362061</v>
      </c>
      <c r="F211" s="64">
        <v>30000</v>
      </c>
      <c r="G211" s="64">
        <v>12045.916666666666</v>
      </c>
      <c r="H211" s="65">
        <f t="shared" si="1"/>
        <v>2.4904704913836642</v>
      </c>
      <c r="I211" s="64">
        <v>0</v>
      </c>
      <c r="J211" s="64">
        <v>12256.833333333334</v>
      </c>
      <c r="K211" s="65">
        <f t="shared" si="2"/>
        <v>0</v>
      </c>
      <c r="L211" s="66">
        <f t="shared" si="3"/>
        <v>1.1118073022257615</v>
      </c>
      <c r="M211" s="67">
        <f t="shared" si="25"/>
        <v>13333.333333333334</v>
      </c>
      <c r="N211" s="64">
        <v>80000</v>
      </c>
      <c r="O211" s="64">
        <v>13944.166666666666</v>
      </c>
      <c r="P211" s="68">
        <f t="shared" si="4"/>
        <v>5.7371660790055579</v>
      </c>
      <c r="Q211" s="69">
        <v>62200</v>
      </c>
      <c r="R211" s="64">
        <v>14155.083333333332</v>
      </c>
      <c r="S211" s="68">
        <f t="shared" si="5"/>
        <v>4.3941811245665576</v>
      </c>
      <c r="T211" s="64">
        <v>47200</v>
      </c>
      <c r="U211" s="64">
        <v>14366</v>
      </c>
      <c r="V211" s="68">
        <f t="shared" si="6"/>
        <v>3.285535291660866</v>
      </c>
      <c r="W211" s="70">
        <f t="shared" si="7"/>
        <v>4.4722941650776606</v>
      </c>
      <c r="X211" s="71">
        <f t="shared" si="8"/>
        <v>63133.333333333336</v>
      </c>
      <c r="AD211" s="52"/>
      <c r="AG211" s="52"/>
      <c r="AJ211" s="52"/>
      <c r="AK211" s="52"/>
      <c r="AL211" s="55"/>
      <c r="AO211" s="52"/>
      <c r="AR211" s="52"/>
      <c r="AU211" s="52"/>
      <c r="AV211" s="52"/>
      <c r="AW211" s="55"/>
    </row>
    <row r="212" spans="1:49" ht="15.75" customHeight="1">
      <c r="A212" s="16">
        <v>50401</v>
      </c>
      <c r="B212" s="63" t="s">
        <v>217</v>
      </c>
      <c r="C212" s="64">
        <v>0</v>
      </c>
      <c r="D212" s="64">
        <v>15260</v>
      </c>
      <c r="E212" s="65">
        <f t="shared" si="0"/>
        <v>0</v>
      </c>
      <c r="F212" s="64">
        <v>80000</v>
      </c>
      <c r="G212" s="64">
        <v>15351.916666666666</v>
      </c>
      <c r="H212" s="65">
        <f t="shared" si="1"/>
        <v>5.2110757071592584</v>
      </c>
      <c r="I212" s="64">
        <v>0</v>
      </c>
      <c r="J212" s="64">
        <v>15443.833333333334</v>
      </c>
      <c r="K212" s="65">
        <f t="shared" si="2"/>
        <v>0</v>
      </c>
      <c r="L212" s="66">
        <f t="shared" si="3"/>
        <v>1.7370252357197529</v>
      </c>
      <c r="M212" s="67">
        <f t="shared" si="25"/>
        <v>26666.666666666668</v>
      </c>
      <c r="N212" s="64">
        <v>120400</v>
      </c>
      <c r="O212" s="64">
        <v>16179.166666666666</v>
      </c>
      <c r="P212" s="68">
        <f t="shared" si="4"/>
        <v>7.4416688127736288</v>
      </c>
      <c r="Q212" s="69">
        <v>145400</v>
      </c>
      <c r="R212" s="64">
        <v>16271.083333333334</v>
      </c>
      <c r="S212" s="68">
        <f t="shared" si="5"/>
        <v>8.9360982929839743</v>
      </c>
      <c r="T212" s="64">
        <v>110000</v>
      </c>
      <c r="U212" s="64">
        <v>16363</v>
      </c>
      <c r="V212" s="68">
        <f t="shared" si="6"/>
        <v>6.7224836521420279</v>
      </c>
      <c r="W212" s="70">
        <f t="shared" si="7"/>
        <v>7.7000835859665431</v>
      </c>
      <c r="X212" s="71">
        <f t="shared" si="8"/>
        <v>125266.66666666667</v>
      </c>
      <c r="AD212" s="52"/>
      <c r="AG212" s="52"/>
      <c r="AJ212" s="52"/>
      <c r="AK212" s="52"/>
      <c r="AL212" s="55"/>
      <c r="AO212" s="52"/>
      <c r="AR212" s="52"/>
      <c r="AU212" s="52"/>
      <c r="AV212" s="52"/>
      <c r="AW212" s="55"/>
    </row>
    <row r="213" spans="1:49" ht="15.75" customHeight="1">
      <c r="A213" s="16">
        <v>50402</v>
      </c>
      <c r="B213" s="63" t="s">
        <v>218</v>
      </c>
      <c r="C213" s="64">
        <v>0</v>
      </c>
      <c r="D213" s="64">
        <v>21213</v>
      </c>
      <c r="E213" s="65">
        <f t="shared" si="0"/>
        <v>0</v>
      </c>
      <c r="F213" s="64">
        <v>0</v>
      </c>
      <c r="G213" s="64">
        <v>20854.333333333332</v>
      </c>
      <c r="H213" s="65">
        <f t="shared" si="1"/>
        <v>0</v>
      </c>
      <c r="I213" s="64">
        <v>0</v>
      </c>
      <c r="J213" s="64">
        <v>20495.666666666668</v>
      </c>
      <c r="K213" s="65">
        <f t="shared" si="2"/>
        <v>0</v>
      </c>
      <c r="L213" s="66">
        <f t="shared" si="3"/>
        <v>0</v>
      </c>
      <c r="M213" s="67">
        <f t="shared" si="25"/>
        <v>0</v>
      </c>
      <c r="N213" s="64">
        <v>50000</v>
      </c>
      <c r="O213" s="64">
        <v>17626.333333333332</v>
      </c>
      <c r="P213" s="68">
        <f t="shared" si="4"/>
        <v>2.8366648385937707</v>
      </c>
      <c r="Q213" s="69">
        <v>50000</v>
      </c>
      <c r="R213" s="64">
        <v>17267.666666666668</v>
      </c>
      <c r="S213" s="68">
        <f t="shared" si="5"/>
        <v>2.8955851977684688</v>
      </c>
      <c r="T213" s="64">
        <v>50000</v>
      </c>
      <c r="U213" s="64">
        <v>16909</v>
      </c>
      <c r="V213" s="68">
        <f t="shared" si="6"/>
        <v>2.9570051451889525</v>
      </c>
      <c r="W213" s="70">
        <f t="shared" si="7"/>
        <v>2.8964183938503978</v>
      </c>
      <c r="X213" s="71">
        <f t="shared" si="8"/>
        <v>50000</v>
      </c>
      <c r="AD213" s="52"/>
      <c r="AG213" s="52"/>
      <c r="AJ213" s="52"/>
      <c r="AK213" s="52"/>
      <c r="AL213" s="55"/>
      <c r="AO213" s="52"/>
      <c r="AR213" s="52"/>
      <c r="AU213" s="52"/>
      <c r="AV213" s="52"/>
      <c r="AW213" s="55"/>
    </row>
    <row r="214" spans="1:49" ht="15.75" customHeight="1">
      <c r="A214" s="16">
        <v>50403</v>
      </c>
      <c r="B214" s="63" t="s">
        <v>219</v>
      </c>
      <c r="C214" s="64">
        <v>0</v>
      </c>
      <c r="D214" s="64">
        <v>26330</v>
      </c>
      <c r="E214" s="65">
        <f t="shared" si="0"/>
        <v>0</v>
      </c>
      <c r="F214" s="64">
        <v>0</v>
      </c>
      <c r="G214" s="64">
        <v>26855.916666666668</v>
      </c>
      <c r="H214" s="65">
        <f t="shared" si="1"/>
        <v>0</v>
      </c>
      <c r="I214" s="64">
        <v>0</v>
      </c>
      <c r="J214" s="64">
        <v>27381.833333333332</v>
      </c>
      <c r="K214" s="65">
        <f t="shared" si="2"/>
        <v>0</v>
      </c>
      <c r="L214" s="66">
        <f t="shared" si="3"/>
        <v>0</v>
      </c>
      <c r="M214" s="67">
        <f t="shared" si="25"/>
        <v>0</v>
      </c>
      <c r="N214" s="64">
        <v>50000</v>
      </c>
      <c r="O214" s="64">
        <v>31589.166666666664</v>
      </c>
      <c r="P214" s="68">
        <f t="shared" si="4"/>
        <v>1.5828211148336719</v>
      </c>
      <c r="Q214" s="69">
        <v>100000</v>
      </c>
      <c r="R214" s="64">
        <v>32115.083333333332</v>
      </c>
      <c r="S214" s="68">
        <f t="shared" si="5"/>
        <v>3.1138016664028587</v>
      </c>
      <c r="T214" s="64">
        <v>100000</v>
      </c>
      <c r="U214" s="64">
        <v>32641</v>
      </c>
      <c r="V214" s="68">
        <f t="shared" si="6"/>
        <v>3.0636316289329373</v>
      </c>
      <c r="W214" s="70">
        <f t="shared" si="7"/>
        <v>2.5867514700564893</v>
      </c>
      <c r="X214" s="71">
        <f t="shared" si="8"/>
        <v>83333.333333333328</v>
      </c>
      <c r="AD214" s="52"/>
      <c r="AG214" s="52"/>
      <c r="AJ214" s="52"/>
      <c r="AK214" s="52"/>
      <c r="AL214" s="55"/>
      <c r="AO214" s="52"/>
      <c r="AR214" s="52"/>
      <c r="AU214" s="52"/>
      <c r="AV214" s="52"/>
      <c r="AW214" s="55"/>
    </row>
    <row r="215" spans="1:49" ht="15.75" customHeight="1">
      <c r="A215" s="16">
        <v>50404</v>
      </c>
      <c r="B215" s="63" t="s">
        <v>220</v>
      </c>
      <c r="C215" s="64">
        <v>0</v>
      </c>
      <c r="D215" s="64">
        <v>16118</v>
      </c>
      <c r="E215" s="65">
        <f t="shared" si="0"/>
        <v>0</v>
      </c>
      <c r="F215" s="64">
        <v>20000</v>
      </c>
      <c r="G215" s="64">
        <v>15985.833333333334</v>
      </c>
      <c r="H215" s="65">
        <f t="shared" si="1"/>
        <v>1.2511077516551112</v>
      </c>
      <c r="I215" s="64">
        <v>0</v>
      </c>
      <c r="J215" s="64">
        <v>15853.666666666666</v>
      </c>
      <c r="K215" s="65">
        <f t="shared" si="2"/>
        <v>0</v>
      </c>
      <c r="L215" s="66">
        <f t="shared" si="3"/>
        <v>0.41703591721837041</v>
      </c>
      <c r="M215" s="67">
        <f t="shared" si="25"/>
        <v>6666.666666666667</v>
      </c>
      <c r="N215" s="64">
        <v>101667</v>
      </c>
      <c r="O215" s="64">
        <v>14796.333333333334</v>
      </c>
      <c r="P215" s="68">
        <f t="shared" si="4"/>
        <v>6.8710941900020268</v>
      </c>
      <c r="Q215" s="69">
        <v>101667</v>
      </c>
      <c r="R215" s="64">
        <v>14664.166666666666</v>
      </c>
      <c r="S215" s="68">
        <f t="shared" si="5"/>
        <v>6.9330226743194867</v>
      </c>
      <c r="T215" s="64">
        <v>101667</v>
      </c>
      <c r="U215" s="64">
        <v>14532</v>
      </c>
      <c r="V215" s="68">
        <f t="shared" si="6"/>
        <v>6.9960776218001648</v>
      </c>
      <c r="W215" s="70">
        <f t="shared" si="7"/>
        <v>6.93339816204056</v>
      </c>
      <c r="X215" s="71">
        <f t="shared" si="8"/>
        <v>101667</v>
      </c>
      <c r="AD215" s="52"/>
      <c r="AG215" s="52"/>
      <c r="AJ215" s="52"/>
      <c r="AK215" s="52"/>
      <c r="AL215" s="55"/>
      <c r="AO215" s="52"/>
      <c r="AR215" s="52"/>
      <c r="AU215" s="52"/>
      <c r="AV215" s="52"/>
      <c r="AW215" s="55"/>
    </row>
    <row r="216" spans="1:49" ht="15.75" customHeight="1">
      <c r="A216" s="38">
        <v>50405</v>
      </c>
      <c r="B216" s="72" t="s">
        <v>221</v>
      </c>
      <c r="C216" s="64">
        <v>0</v>
      </c>
      <c r="D216" s="64">
        <v>19939</v>
      </c>
      <c r="E216" s="65">
        <f t="shared" si="0"/>
        <v>0</v>
      </c>
      <c r="F216" s="64">
        <v>80000</v>
      </c>
      <c r="G216" s="64">
        <v>20028.333333333332</v>
      </c>
      <c r="H216" s="65">
        <f t="shared" si="1"/>
        <v>3.9943413497545146</v>
      </c>
      <c r="I216" s="64">
        <v>0</v>
      </c>
      <c r="J216" s="64">
        <v>20117.666666666668</v>
      </c>
      <c r="K216" s="65">
        <f t="shared" si="2"/>
        <v>0</v>
      </c>
      <c r="L216" s="66">
        <f t="shared" si="3"/>
        <v>1.3314471165848383</v>
      </c>
      <c r="M216" s="67">
        <f t="shared" si="25"/>
        <v>26666.666666666668</v>
      </c>
      <c r="N216" s="64">
        <v>0</v>
      </c>
      <c r="O216" s="64">
        <v>20832.333333333332</v>
      </c>
      <c r="P216" s="68">
        <f t="shared" si="4"/>
        <v>0</v>
      </c>
      <c r="Q216" s="69">
        <v>16136</v>
      </c>
      <c r="R216" s="64">
        <v>20921.666666666668</v>
      </c>
      <c r="S216" s="68">
        <f t="shared" si="5"/>
        <v>0.7712578666454234</v>
      </c>
      <c r="T216" s="64">
        <v>29000</v>
      </c>
      <c r="U216" s="64">
        <v>21011</v>
      </c>
      <c r="V216" s="68">
        <f t="shared" si="6"/>
        <v>1.3802294036457095</v>
      </c>
      <c r="W216" s="70">
        <f t="shared" si="7"/>
        <v>0.71716242343037762</v>
      </c>
      <c r="X216" s="71">
        <f t="shared" si="8"/>
        <v>15045.333333333334</v>
      </c>
      <c r="AD216" s="52"/>
      <c r="AG216" s="52"/>
      <c r="AJ216" s="52"/>
      <c r="AK216" s="52"/>
      <c r="AL216" s="55"/>
      <c r="AO216" s="52"/>
      <c r="AR216" s="52"/>
      <c r="AU216" s="52"/>
      <c r="AV216" s="52"/>
      <c r="AW216" s="55"/>
    </row>
    <row r="217" spans="1:49" ht="15.75" customHeight="1">
      <c r="A217" s="16">
        <v>50501</v>
      </c>
      <c r="B217" s="63" t="s">
        <v>222</v>
      </c>
      <c r="C217" s="64">
        <v>150000</v>
      </c>
      <c r="D217" s="64">
        <v>30012</v>
      </c>
      <c r="E217" s="65">
        <f t="shared" si="0"/>
        <v>4.9980007996801277</v>
      </c>
      <c r="F217" s="64">
        <v>150000</v>
      </c>
      <c r="G217" s="64">
        <v>29879</v>
      </c>
      <c r="H217" s="65">
        <f t="shared" si="1"/>
        <v>5.0202483349509688</v>
      </c>
      <c r="I217" s="64">
        <v>0</v>
      </c>
      <c r="J217" s="64">
        <v>29746</v>
      </c>
      <c r="K217" s="65">
        <f t="shared" si="2"/>
        <v>0</v>
      </c>
      <c r="L217" s="66">
        <f t="shared" si="3"/>
        <v>3.3394163782103656</v>
      </c>
      <c r="M217" s="67">
        <f t="shared" si="25"/>
        <v>100000</v>
      </c>
      <c r="N217" s="64">
        <v>83435</v>
      </c>
      <c r="O217" s="64">
        <v>28682</v>
      </c>
      <c r="P217" s="68">
        <f t="shared" si="4"/>
        <v>2.9089672965623037</v>
      </c>
      <c r="Q217" s="69">
        <v>80000</v>
      </c>
      <c r="R217" s="64">
        <v>28549</v>
      </c>
      <c r="S217" s="68">
        <f t="shared" si="5"/>
        <v>2.8021997267855268</v>
      </c>
      <c r="T217" s="64">
        <v>50000</v>
      </c>
      <c r="U217" s="64">
        <v>28416</v>
      </c>
      <c r="V217" s="68">
        <f t="shared" si="6"/>
        <v>1.759572072072072</v>
      </c>
      <c r="W217" s="70">
        <f t="shared" si="7"/>
        <v>2.4902463651399676</v>
      </c>
      <c r="X217" s="71">
        <f t="shared" si="8"/>
        <v>71145</v>
      </c>
      <c r="AD217" s="52"/>
      <c r="AG217" s="52"/>
      <c r="AJ217" s="52"/>
      <c r="AK217" s="52"/>
      <c r="AL217" s="55"/>
      <c r="AO217" s="52"/>
      <c r="AR217" s="52"/>
      <c r="AU217" s="52"/>
      <c r="AV217" s="52"/>
      <c r="AW217" s="55"/>
    </row>
    <row r="218" spans="1:49" ht="15.75" customHeight="1">
      <c r="A218" s="16">
        <v>50502</v>
      </c>
      <c r="B218" s="63" t="s">
        <v>223</v>
      </c>
      <c r="C218" s="64">
        <v>25000</v>
      </c>
      <c r="D218" s="64">
        <v>10870</v>
      </c>
      <c r="E218" s="65">
        <f t="shared" si="0"/>
        <v>2.2999080036798527</v>
      </c>
      <c r="F218" s="64">
        <v>51000</v>
      </c>
      <c r="G218" s="64">
        <v>10857</v>
      </c>
      <c r="H218" s="65">
        <f t="shared" si="1"/>
        <v>4.6974302293451231</v>
      </c>
      <c r="I218" s="64">
        <v>0</v>
      </c>
      <c r="J218" s="64">
        <v>10844</v>
      </c>
      <c r="K218" s="65">
        <f t="shared" si="2"/>
        <v>0</v>
      </c>
      <c r="L218" s="66">
        <f t="shared" si="3"/>
        <v>2.3324460776749922</v>
      </c>
      <c r="M218" s="67">
        <f t="shared" si="25"/>
        <v>25333.333333333332</v>
      </c>
      <c r="N218" s="64">
        <v>92000</v>
      </c>
      <c r="O218" s="64">
        <v>10740</v>
      </c>
      <c r="P218" s="68">
        <f t="shared" si="4"/>
        <v>8.5661080074487899</v>
      </c>
      <c r="Q218" s="69">
        <v>115000</v>
      </c>
      <c r="R218" s="64">
        <v>10727</v>
      </c>
      <c r="S218" s="68">
        <f t="shared" si="5"/>
        <v>10.720611540971381</v>
      </c>
      <c r="T218" s="64">
        <v>110000</v>
      </c>
      <c r="U218" s="64">
        <v>10714</v>
      </c>
      <c r="V218" s="68">
        <f t="shared" si="6"/>
        <v>10.266940451745381</v>
      </c>
      <c r="W218" s="70">
        <f t="shared" si="7"/>
        <v>9.8512200000551839</v>
      </c>
      <c r="X218" s="71">
        <f t="shared" si="8"/>
        <v>105666.66666666667</v>
      </c>
      <c r="AD218" s="52"/>
      <c r="AG218" s="52"/>
      <c r="AJ218" s="52"/>
      <c r="AK218" s="52"/>
      <c r="AL218" s="55"/>
      <c r="AO218" s="52"/>
      <c r="AR218" s="52"/>
      <c r="AU218" s="52"/>
      <c r="AV218" s="52"/>
      <c r="AW218" s="55"/>
    </row>
    <row r="219" spans="1:49" ht="15.75" customHeight="1">
      <c r="A219" s="16">
        <v>50601</v>
      </c>
      <c r="B219" s="63" t="s">
        <v>224</v>
      </c>
      <c r="C219" s="64">
        <v>0</v>
      </c>
      <c r="D219" s="64">
        <v>31801</v>
      </c>
      <c r="E219" s="65">
        <f t="shared" si="0"/>
        <v>0</v>
      </c>
      <c r="F219" s="64">
        <v>0</v>
      </c>
      <c r="G219" s="64">
        <v>31586</v>
      </c>
      <c r="H219" s="65">
        <f t="shared" si="1"/>
        <v>0</v>
      </c>
      <c r="I219" s="64">
        <v>0</v>
      </c>
      <c r="J219" s="64">
        <v>31371</v>
      </c>
      <c r="K219" s="65">
        <f t="shared" si="2"/>
        <v>0</v>
      </c>
      <c r="L219" s="66">
        <f t="shared" si="3"/>
        <v>0</v>
      </c>
      <c r="M219" s="67">
        <f t="shared" si="25"/>
        <v>0</v>
      </c>
      <c r="N219" s="64">
        <v>0</v>
      </c>
      <c r="O219" s="64">
        <v>29651</v>
      </c>
      <c r="P219" s="68">
        <f t="shared" si="4"/>
        <v>0</v>
      </c>
      <c r="Q219" s="69">
        <v>0</v>
      </c>
      <c r="R219" s="64">
        <v>29436</v>
      </c>
      <c r="S219" s="68">
        <f t="shared" si="5"/>
        <v>0</v>
      </c>
      <c r="T219" s="64">
        <v>0</v>
      </c>
      <c r="U219" s="64">
        <v>29221</v>
      </c>
      <c r="V219" s="68">
        <f t="shared" si="6"/>
        <v>0</v>
      </c>
      <c r="W219" s="70">
        <f t="shared" si="7"/>
        <v>0</v>
      </c>
      <c r="X219" s="71">
        <f t="shared" si="8"/>
        <v>0</v>
      </c>
      <c r="AD219" s="52"/>
      <c r="AG219" s="52"/>
      <c r="AJ219" s="52"/>
      <c r="AK219" s="52"/>
      <c r="AL219" s="55"/>
      <c r="AO219" s="52"/>
      <c r="AR219" s="52"/>
      <c r="AU219" s="52"/>
      <c r="AV219" s="52"/>
      <c r="AW219" s="55"/>
    </row>
    <row r="220" spans="1:49" ht="15.75" customHeight="1">
      <c r="A220" s="16">
        <v>50602</v>
      </c>
      <c r="B220" s="63" t="s">
        <v>225</v>
      </c>
      <c r="C220" s="64">
        <v>0</v>
      </c>
      <c r="D220" s="64">
        <v>10646</v>
      </c>
      <c r="E220" s="65">
        <f t="shared" si="0"/>
        <v>0</v>
      </c>
      <c r="F220" s="64">
        <v>0</v>
      </c>
      <c r="G220" s="64">
        <v>10607.5</v>
      </c>
      <c r="H220" s="65">
        <f t="shared" si="1"/>
        <v>0</v>
      </c>
      <c r="I220" s="64">
        <v>0</v>
      </c>
      <c r="J220" s="64">
        <v>10569</v>
      </c>
      <c r="K220" s="65">
        <f t="shared" si="2"/>
        <v>0</v>
      </c>
      <c r="L220" s="66">
        <f t="shared" si="3"/>
        <v>0</v>
      </c>
      <c r="M220" s="67">
        <f t="shared" si="25"/>
        <v>0</v>
      </c>
      <c r="N220" s="64">
        <v>0</v>
      </c>
      <c r="O220" s="64">
        <v>10261</v>
      </c>
      <c r="P220" s="68">
        <f t="shared" si="4"/>
        <v>0</v>
      </c>
      <c r="Q220" s="69">
        <v>40000</v>
      </c>
      <c r="R220" s="64">
        <v>10222.5</v>
      </c>
      <c r="S220" s="68">
        <f t="shared" si="5"/>
        <v>3.9129371484470532</v>
      </c>
      <c r="T220" s="64">
        <v>42000</v>
      </c>
      <c r="U220" s="64">
        <v>10184</v>
      </c>
      <c r="V220" s="68">
        <f t="shared" si="6"/>
        <v>4.1241162608012569</v>
      </c>
      <c r="W220" s="70">
        <f t="shared" si="7"/>
        <v>2.67901780308277</v>
      </c>
      <c r="X220" s="71">
        <f t="shared" si="8"/>
        <v>27333.333333333332</v>
      </c>
      <c r="AD220" s="52"/>
      <c r="AG220" s="52"/>
      <c r="AJ220" s="52"/>
      <c r="AK220" s="52"/>
      <c r="AL220" s="55"/>
      <c r="AO220" s="52"/>
      <c r="AR220" s="52"/>
      <c r="AU220" s="52"/>
      <c r="AV220" s="52"/>
      <c r="AW220" s="55"/>
    </row>
    <row r="221" spans="1:49" ht="15.75" customHeight="1">
      <c r="A221" s="16">
        <v>50701</v>
      </c>
      <c r="B221" s="63" t="s">
        <v>226</v>
      </c>
      <c r="C221" s="64">
        <v>18593</v>
      </c>
      <c r="D221" s="64">
        <v>19611</v>
      </c>
      <c r="E221" s="65">
        <f t="shared" si="0"/>
        <v>0.94809035745245018</v>
      </c>
      <c r="F221" s="64">
        <v>0</v>
      </c>
      <c r="G221" s="64">
        <v>19410.5</v>
      </c>
      <c r="H221" s="65">
        <f t="shared" si="1"/>
        <v>0</v>
      </c>
      <c r="I221" s="64">
        <v>0</v>
      </c>
      <c r="J221" s="64">
        <v>19210</v>
      </c>
      <c r="K221" s="65">
        <f t="shared" si="2"/>
        <v>0</v>
      </c>
      <c r="L221" s="66">
        <f t="shared" si="3"/>
        <v>0.31603011915081675</v>
      </c>
      <c r="M221" s="67">
        <f t="shared" si="25"/>
        <v>6197.666666666667</v>
      </c>
      <c r="N221" s="64">
        <v>44000</v>
      </c>
      <c r="O221" s="64">
        <v>17606</v>
      </c>
      <c r="P221" s="68">
        <f t="shared" si="4"/>
        <v>2.4991480177212315</v>
      </c>
      <c r="Q221" s="69">
        <v>44000</v>
      </c>
      <c r="R221" s="64">
        <v>17405.5</v>
      </c>
      <c r="S221" s="68">
        <f t="shared" si="5"/>
        <v>2.52793657177329</v>
      </c>
      <c r="T221" s="64">
        <v>52000</v>
      </c>
      <c r="U221" s="64">
        <v>17205</v>
      </c>
      <c r="V221" s="68">
        <f t="shared" si="6"/>
        <v>3.0223772159256028</v>
      </c>
      <c r="W221" s="70">
        <f t="shared" si="7"/>
        <v>2.6831539351400413</v>
      </c>
      <c r="X221" s="71">
        <f t="shared" si="8"/>
        <v>46666.666666666664</v>
      </c>
      <c r="AD221" s="52"/>
      <c r="AG221" s="52"/>
      <c r="AJ221" s="52"/>
      <c r="AK221" s="52"/>
      <c r="AL221" s="55"/>
      <c r="AO221" s="52"/>
      <c r="AR221" s="52"/>
      <c r="AU221" s="52"/>
      <c r="AV221" s="52"/>
      <c r="AW221" s="55"/>
    </row>
    <row r="222" spans="1:49" ht="15.75" customHeight="1">
      <c r="A222" s="16">
        <v>50702</v>
      </c>
      <c r="B222" s="63" t="s">
        <v>227</v>
      </c>
      <c r="C222" s="64">
        <v>20017</v>
      </c>
      <c r="D222" s="64">
        <v>8704</v>
      </c>
      <c r="E222" s="65">
        <f t="shared" si="0"/>
        <v>2.2997472426470589</v>
      </c>
      <c r="F222" s="64">
        <v>16793</v>
      </c>
      <c r="G222" s="64">
        <v>8683.5</v>
      </c>
      <c r="H222" s="65">
        <f t="shared" si="1"/>
        <v>1.9338976219266424</v>
      </c>
      <c r="I222" s="64">
        <v>0</v>
      </c>
      <c r="J222" s="64">
        <v>8663</v>
      </c>
      <c r="K222" s="65">
        <f t="shared" si="2"/>
        <v>0</v>
      </c>
      <c r="L222" s="66">
        <f t="shared" si="3"/>
        <v>1.4112149548579005</v>
      </c>
      <c r="M222" s="67">
        <f t="shared" si="25"/>
        <v>12270</v>
      </c>
      <c r="N222" s="64">
        <v>29550</v>
      </c>
      <c r="O222" s="64">
        <v>8499</v>
      </c>
      <c r="P222" s="68">
        <f t="shared" si="4"/>
        <v>3.4768796328979881</v>
      </c>
      <c r="Q222" s="69">
        <v>29200</v>
      </c>
      <c r="R222" s="64">
        <v>8478.5</v>
      </c>
      <c r="S222" s="68">
        <f t="shared" si="5"/>
        <v>3.4440054254879993</v>
      </c>
      <c r="T222" s="64">
        <v>29400</v>
      </c>
      <c r="U222" s="64">
        <v>8458</v>
      </c>
      <c r="V222" s="68">
        <f t="shared" si="6"/>
        <v>3.4759990541499173</v>
      </c>
      <c r="W222" s="70">
        <f t="shared" si="7"/>
        <v>3.4656280375119679</v>
      </c>
      <c r="X222" s="71">
        <f t="shared" si="8"/>
        <v>29383.333333333332</v>
      </c>
      <c r="AD222" s="52"/>
      <c r="AG222" s="52"/>
      <c r="AJ222" s="52"/>
      <c r="AK222" s="52"/>
      <c r="AL222" s="55"/>
      <c r="AO222" s="52"/>
      <c r="AR222" s="52"/>
      <c r="AU222" s="52"/>
      <c r="AV222" s="52"/>
      <c r="AW222" s="55"/>
    </row>
    <row r="223" spans="1:49" ht="15.75" customHeight="1">
      <c r="A223" s="16">
        <v>50801</v>
      </c>
      <c r="B223" s="63" t="s">
        <v>228</v>
      </c>
      <c r="C223" s="64">
        <v>303000</v>
      </c>
      <c r="D223" s="64">
        <v>44814</v>
      </c>
      <c r="E223" s="65">
        <f t="shared" si="0"/>
        <v>6.7612799571562459</v>
      </c>
      <c r="F223" s="64">
        <v>1136499</v>
      </c>
      <c r="G223" s="64">
        <v>44878.666666666664</v>
      </c>
      <c r="H223" s="65">
        <f t="shared" si="1"/>
        <v>25.323813838794976</v>
      </c>
      <c r="I223" s="64">
        <v>0</v>
      </c>
      <c r="J223" s="64">
        <v>44943.333333333336</v>
      </c>
      <c r="K223" s="65">
        <f t="shared" si="2"/>
        <v>0</v>
      </c>
      <c r="L223" s="66">
        <f t="shared" si="3"/>
        <v>10.695031265317075</v>
      </c>
      <c r="M223" s="67">
        <f t="shared" si="25"/>
        <v>479833</v>
      </c>
      <c r="N223" s="64">
        <v>1656300</v>
      </c>
      <c r="O223" s="64">
        <v>45460.666666666664</v>
      </c>
      <c r="P223" s="68">
        <f t="shared" si="4"/>
        <v>36.433693595929086</v>
      </c>
      <c r="Q223" s="69">
        <v>1456300</v>
      </c>
      <c r="R223" s="64">
        <v>45525.333333333336</v>
      </c>
      <c r="S223" s="68">
        <f t="shared" si="5"/>
        <v>31.988782802249297</v>
      </c>
      <c r="T223" s="64">
        <v>3100010</v>
      </c>
      <c r="U223" s="64">
        <v>45590</v>
      </c>
      <c r="V223" s="68">
        <f t="shared" si="6"/>
        <v>67.997587190173277</v>
      </c>
      <c r="W223" s="70">
        <f t="shared" si="7"/>
        <v>45.473354529450553</v>
      </c>
      <c r="X223" s="71">
        <f t="shared" si="8"/>
        <v>2070870</v>
      </c>
      <c r="AD223" s="52"/>
      <c r="AG223" s="52"/>
      <c r="AJ223" s="52"/>
      <c r="AK223" s="52"/>
      <c r="AL223" s="55"/>
      <c r="AO223" s="52"/>
      <c r="AR223" s="52"/>
      <c r="AU223" s="52"/>
      <c r="AV223" s="52"/>
      <c r="AW223" s="55"/>
    </row>
    <row r="224" spans="1:49" ht="15.75" customHeight="1">
      <c r="A224" s="16">
        <v>50802</v>
      </c>
      <c r="B224" s="63" t="s">
        <v>229</v>
      </c>
      <c r="C224" s="64">
        <v>210209</v>
      </c>
      <c r="D224" s="64">
        <v>11234</v>
      </c>
      <c r="E224" s="65">
        <f t="shared" si="0"/>
        <v>18.711856863094177</v>
      </c>
      <c r="F224" s="64">
        <v>174860</v>
      </c>
      <c r="G224" s="64">
        <v>11098.666666666666</v>
      </c>
      <c r="H224" s="65">
        <f t="shared" si="1"/>
        <v>15.755045651129265</v>
      </c>
      <c r="I224" s="64">
        <v>0</v>
      </c>
      <c r="J224" s="64">
        <v>10963.333333333334</v>
      </c>
      <c r="K224" s="65">
        <f t="shared" si="2"/>
        <v>0</v>
      </c>
      <c r="L224" s="66">
        <f t="shared" si="3"/>
        <v>11.488967504741147</v>
      </c>
      <c r="M224" s="67">
        <f t="shared" si="25"/>
        <v>128356.33333333333</v>
      </c>
      <c r="N224" s="64">
        <v>315935</v>
      </c>
      <c r="O224" s="64">
        <v>9880.6666666666661</v>
      </c>
      <c r="P224" s="68">
        <f t="shared" si="4"/>
        <v>31.975069158626276</v>
      </c>
      <c r="Q224" s="69">
        <v>452881</v>
      </c>
      <c r="R224" s="64">
        <v>9745.3333333333339</v>
      </c>
      <c r="S224" s="68">
        <f t="shared" si="5"/>
        <v>46.4715761390067</v>
      </c>
      <c r="T224" s="64">
        <v>352868</v>
      </c>
      <c r="U224" s="64">
        <v>9610</v>
      </c>
      <c r="V224" s="68">
        <f t="shared" si="6"/>
        <v>36.718834547346511</v>
      </c>
      <c r="W224" s="70">
        <f t="shared" si="7"/>
        <v>38.388493281659834</v>
      </c>
      <c r="X224" s="71">
        <f t="shared" si="8"/>
        <v>373894.66666666669</v>
      </c>
      <c r="AD224" s="52"/>
      <c r="AG224" s="52"/>
      <c r="AJ224" s="52"/>
      <c r="AK224" s="52"/>
      <c r="AL224" s="55"/>
      <c r="AO224" s="52"/>
      <c r="AR224" s="52"/>
      <c r="AU224" s="52"/>
      <c r="AV224" s="52"/>
      <c r="AW224" s="55"/>
    </row>
    <row r="225" spans="1:49" ht="15.75" customHeight="1">
      <c r="A225" s="16">
        <v>50901</v>
      </c>
      <c r="B225" s="63" t="s">
        <v>230</v>
      </c>
      <c r="C225" s="64">
        <v>107000</v>
      </c>
      <c r="D225" s="64">
        <v>12997</v>
      </c>
      <c r="E225" s="65">
        <f t="shared" si="0"/>
        <v>8.232669077479418</v>
      </c>
      <c r="F225" s="64">
        <v>74000</v>
      </c>
      <c r="G225" s="64">
        <v>12975.583333333334</v>
      </c>
      <c r="H225" s="65">
        <f t="shared" si="1"/>
        <v>5.7030191320878316</v>
      </c>
      <c r="I225" s="64">
        <v>0</v>
      </c>
      <c r="J225" s="64">
        <v>12954.166666666666</v>
      </c>
      <c r="K225" s="65">
        <f t="shared" si="2"/>
        <v>0</v>
      </c>
      <c r="L225" s="66">
        <f t="shared" si="3"/>
        <v>4.6452294031890835</v>
      </c>
      <c r="M225" s="67">
        <f t="shared" si="25"/>
        <v>60333.333333333336</v>
      </c>
      <c r="N225" s="64">
        <v>1760000</v>
      </c>
      <c r="O225" s="64">
        <v>12782.833333333334</v>
      </c>
      <c r="P225" s="68">
        <f t="shared" si="4"/>
        <v>137.68465520163761</v>
      </c>
      <c r="Q225" s="69">
        <v>2382676</v>
      </c>
      <c r="R225" s="64">
        <v>12761.416666666666</v>
      </c>
      <c r="S225" s="68">
        <f t="shared" si="5"/>
        <v>186.70936481712454</v>
      </c>
      <c r="T225" s="64">
        <v>3223496</v>
      </c>
      <c r="U225" s="64">
        <v>12740</v>
      </c>
      <c r="V225" s="68">
        <f t="shared" si="6"/>
        <v>253.02166405023547</v>
      </c>
      <c r="W225" s="70">
        <f t="shared" si="7"/>
        <v>192.47189468966587</v>
      </c>
      <c r="X225" s="71">
        <f t="shared" si="8"/>
        <v>2455390.6666666665</v>
      </c>
      <c r="AD225" s="52"/>
      <c r="AG225" s="52"/>
      <c r="AJ225" s="52"/>
      <c r="AK225" s="52"/>
      <c r="AL225" s="55"/>
      <c r="AO225" s="52"/>
      <c r="AR225" s="52"/>
      <c r="AU225" s="52"/>
      <c r="AV225" s="52"/>
      <c r="AW225" s="55"/>
    </row>
    <row r="226" spans="1:49" ht="15.75" customHeight="1">
      <c r="A226" s="16">
        <v>50902</v>
      </c>
      <c r="B226" s="63" t="s">
        <v>231</v>
      </c>
      <c r="C226" s="64">
        <v>0</v>
      </c>
      <c r="D226" s="64">
        <v>1060</v>
      </c>
      <c r="E226" s="65">
        <f t="shared" si="0"/>
        <v>0</v>
      </c>
      <c r="F226" s="64">
        <v>0</v>
      </c>
      <c r="G226" s="64">
        <v>1106.75</v>
      </c>
      <c r="H226" s="65">
        <f t="shared" si="1"/>
        <v>0</v>
      </c>
      <c r="I226" s="64">
        <v>0</v>
      </c>
      <c r="J226" s="64">
        <v>1153.5</v>
      </c>
      <c r="K226" s="65">
        <f t="shared" si="2"/>
        <v>0</v>
      </c>
      <c r="L226" s="66">
        <f t="shared" si="3"/>
        <v>0</v>
      </c>
      <c r="M226" s="67">
        <f t="shared" si="25"/>
        <v>0</v>
      </c>
      <c r="N226" s="64">
        <v>0</v>
      </c>
      <c r="O226" s="64">
        <v>1527.5</v>
      </c>
      <c r="P226" s="68">
        <f t="shared" si="4"/>
        <v>0</v>
      </c>
      <c r="Q226" s="69">
        <v>0</v>
      </c>
      <c r="R226" s="64">
        <v>1574.25</v>
      </c>
      <c r="S226" s="68">
        <f t="shared" si="5"/>
        <v>0</v>
      </c>
      <c r="T226" s="64">
        <v>0</v>
      </c>
      <c r="U226" s="64">
        <v>1621</v>
      </c>
      <c r="V226" s="68">
        <f t="shared" si="6"/>
        <v>0</v>
      </c>
      <c r="W226" s="70">
        <f t="shared" si="7"/>
        <v>0</v>
      </c>
      <c r="X226" s="71">
        <f t="shared" si="8"/>
        <v>0</v>
      </c>
      <c r="AD226" s="52"/>
      <c r="AG226" s="52"/>
      <c r="AJ226" s="52"/>
      <c r="AK226" s="52"/>
      <c r="AL226" s="55"/>
      <c r="AO226" s="52"/>
      <c r="AR226" s="52"/>
      <c r="AU226" s="52"/>
      <c r="AV226" s="52"/>
      <c r="AW226" s="55"/>
    </row>
    <row r="227" spans="1:49" ht="15.75" customHeight="1">
      <c r="A227" s="16">
        <v>51001</v>
      </c>
      <c r="B227" s="63" t="s">
        <v>232</v>
      </c>
      <c r="C227" s="64">
        <v>0</v>
      </c>
      <c r="D227" s="64">
        <v>3371</v>
      </c>
      <c r="E227" s="65">
        <f t="shared" si="0"/>
        <v>0</v>
      </c>
      <c r="F227" s="64">
        <v>0</v>
      </c>
      <c r="G227" s="64">
        <v>3352.5833333333335</v>
      </c>
      <c r="H227" s="65">
        <f t="shared" si="1"/>
        <v>0</v>
      </c>
      <c r="I227" s="64">
        <v>0</v>
      </c>
      <c r="J227" s="64">
        <v>3334.1666666666665</v>
      </c>
      <c r="K227" s="65">
        <f t="shared" si="2"/>
        <v>0</v>
      </c>
      <c r="L227" s="66">
        <f t="shared" si="3"/>
        <v>0</v>
      </c>
      <c r="M227" s="67">
        <f t="shared" si="25"/>
        <v>0</v>
      </c>
      <c r="N227" s="64">
        <v>15000</v>
      </c>
      <c r="O227" s="64">
        <v>3186.8333333333335</v>
      </c>
      <c r="P227" s="68">
        <f t="shared" si="4"/>
        <v>4.7068667956696819</v>
      </c>
      <c r="Q227" s="69">
        <v>7000</v>
      </c>
      <c r="R227" s="64">
        <v>3168.4166666666665</v>
      </c>
      <c r="S227" s="68">
        <f t="shared" si="5"/>
        <v>2.2093053838668104</v>
      </c>
      <c r="T227" s="64">
        <v>7000</v>
      </c>
      <c r="U227" s="64">
        <v>3150</v>
      </c>
      <c r="V227" s="68">
        <f t="shared" si="6"/>
        <v>2.2222222222222223</v>
      </c>
      <c r="W227" s="70">
        <f t="shared" si="7"/>
        <v>3.0461314672529043</v>
      </c>
      <c r="X227" s="71">
        <f t="shared" si="8"/>
        <v>9666.6666666666661</v>
      </c>
      <c r="AD227" s="52"/>
      <c r="AG227" s="52"/>
      <c r="AJ227" s="52"/>
      <c r="AK227" s="52"/>
      <c r="AL227" s="55"/>
      <c r="AO227" s="52"/>
      <c r="AR227" s="52"/>
      <c r="AU227" s="52"/>
      <c r="AV227" s="52"/>
      <c r="AW227" s="55"/>
    </row>
    <row r="228" spans="1:49" ht="15.75" customHeight="1">
      <c r="A228" s="16">
        <v>51002</v>
      </c>
      <c r="B228" s="63" t="s">
        <v>233</v>
      </c>
      <c r="C228" s="64">
        <v>0</v>
      </c>
      <c r="D228" s="64">
        <v>1180</v>
      </c>
      <c r="E228" s="65">
        <f t="shared" si="0"/>
        <v>0</v>
      </c>
      <c r="F228" s="64">
        <v>0</v>
      </c>
      <c r="G228" s="64">
        <v>1167.0833333333333</v>
      </c>
      <c r="H228" s="65">
        <f t="shared" si="1"/>
        <v>0</v>
      </c>
      <c r="I228" s="64">
        <v>0</v>
      </c>
      <c r="J228" s="64">
        <v>1154.1666666666667</v>
      </c>
      <c r="K228" s="65">
        <f t="shared" si="2"/>
        <v>0</v>
      </c>
      <c r="L228" s="66">
        <f t="shared" si="3"/>
        <v>0</v>
      </c>
      <c r="M228" s="67">
        <f t="shared" si="25"/>
        <v>0</v>
      </c>
      <c r="N228" s="64">
        <v>2500</v>
      </c>
      <c r="O228" s="64">
        <v>1050.8333333333333</v>
      </c>
      <c r="P228" s="68">
        <f t="shared" si="4"/>
        <v>2.3790642347343378</v>
      </c>
      <c r="Q228" s="69">
        <v>1500</v>
      </c>
      <c r="R228" s="64">
        <v>1037.9166666666667</v>
      </c>
      <c r="S228" s="68">
        <f t="shared" si="5"/>
        <v>1.4452027298273784</v>
      </c>
      <c r="T228" s="64">
        <v>1500</v>
      </c>
      <c r="U228" s="64">
        <v>1025</v>
      </c>
      <c r="V228" s="68">
        <f t="shared" si="6"/>
        <v>1.4634146341463414</v>
      </c>
      <c r="W228" s="70">
        <f t="shared" si="7"/>
        <v>1.7625605329026861</v>
      </c>
      <c r="X228" s="71">
        <f t="shared" si="8"/>
        <v>1833.3333333333333</v>
      </c>
      <c r="AD228" s="52"/>
      <c r="AG228" s="52"/>
      <c r="AJ228" s="52"/>
      <c r="AK228" s="52"/>
      <c r="AL228" s="55"/>
      <c r="AO228" s="52"/>
      <c r="AR228" s="52"/>
      <c r="AU228" s="52"/>
      <c r="AV228" s="52"/>
      <c r="AW228" s="55"/>
    </row>
    <row r="229" spans="1:49" ht="15.75" customHeight="1">
      <c r="A229" s="16">
        <v>51003</v>
      </c>
      <c r="B229" s="63" t="s">
        <v>234</v>
      </c>
      <c r="C229" s="64">
        <v>0</v>
      </c>
      <c r="D229" s="64">
        <v>2284</v>
      </c>
      <c r="E229" s="65">
        <f t="shared" si="0"/>
        <v>0</v>
      </c>
      <c r="F229" s="64">
        <v>0</v>
      </c>
      <c r="G229" s="64">
        <v>2255</v>
      </c>
      <c r="H229" s="65">
        <f t="shared" si="1"/>
        <v>0</v>
      </c>
      <c r="I229" s="64">
        <v>0</v>
      </c>
      <c r="J229" s="64">
        <v>2226</v>
      </c>
      <c r="K229" s="65">
        <f t="shared" si="2"/>
        <v>0</v>
      </c>
      <c r="L229" s="66">
        <f t="shared" si="3"/>
        <v>0</v>
      </c>
      <c r="M229" s="67">
        <f t="shared" si="25"/>
        <v>0</v>
      </c>
      <c r="N229" s="64">
        <v>0</v>
      </c>
      <c r="O229" s="64">
        <v>1994</v>
      </c>
      <c r="P229" s="68">
        <f t="shared" si="4"/>
        <v>0</v>
      </c>
      <c r="Q229" s="69">
        <v>0</v>
      </c>
      <c r="R229" s="64">
        <v>1965</v>
      </c>
      <c r="S229" s="68">
        <f t="shared" si="5"/>
        <v>0</v>
      </c>
      <c r="T229" s="64">
        <v>0</v>
      </c>
      <c r="U229" s="64">
        <v>1936</v>
      </c>
      <c r="V229" s="68">
        <f t="shared" si="6"/>
        <v>0</v>
      </c>
      <c r="W229" s="70">
        <f t="shared" si="7"/>
        <v>0</v>
      </c>
      <c r="X229" s="71">
        <f t="shared" si="8"/>
        <v>0</v>
      </c>
      <c r="AD229" s="52"/>
      <c r="AG229" s="52"/>
      <c r="AJ229" s="52"/>
      <c r="AK229" s="52"/>
      <c r="AL229" s="55"/>
      <c r="AO229" s="52"/>
      <c r="AR229" s="52"/>
      <c r="AU229" s="52"/>
      <c r="AV229" s="52"/>
      <c r="AW229" s="55"/>
    </row>
    <row r="230" spans="1:49" ht="15.75" customHeight="1">
      <c r="A230" s="16">
        <v>51101</v>
      </c>
      <c r="B230" s="63" t="s">
        <v>235</v>
      </c>
      <c r="C230" s="64">
        <v>10000</v>
      </c>
      <c r="D230" s="64">
        <v>21917</v>
      </c>
      <c r="E230" s="65">
        <f t="shared" si="0"/>
        <v>0.45626682483916592</v>
      </c>
      <c r="F230" s="64">
        <v>10000</v>
      </c>
      <c r="G230" s="64">
        <v>21456.333333333332</v>
      </c>
      <c r="H230" s="65">
        <f t="shared" si="1"/>
        <v>0.46606285634389227</v>
      </c>
      <c r="I230" s="64">
        <v>0</v>
      </c>
      <c r="J230" s="64">
        <v>20995.666666666668</v>
      </c>
      <c r="K230" s="65">
        <f t="shared" si="2"/>
        <v>0</v>
      </c>
      <c r="L230" s="66">
        <f t="shared" si="3"/>
        <v>0.3074432270610194</v>
      </c>
      <c r="M230" s="67">
        <f t="shared" si="25"/>
        <v>6666.666666666667</v>
      </c>
      <c r="N230" s="64">
        <v>30000</v>
      </c>
      <c r="O230" s="64">
        <v>17310.333333333332</v>
      </c>
      <c r="P230" s="68">
        <f t="shared" si="4"/>
        <v>1.7330688798598142</v>
      </c>
      <c r="Q230" s="69">
        <v>26354</v>
      </c>
      <c r="R230" s="64">
        <v>16849.666666666664</v>
      </c>
      <c r="S230" s="68">
        <f t="shared" si="5"/>
        <v>1.5640665492888091</v>
      </c>
      <c r="T230" s="64">
        <v>29988</v>
      </c>
      <c r="U230" s="64">
        <v>16389</v>
      </c>
      <c r="V230" s="68">
        <f t="shared" si="6"/>
        <v>1.829763866007688</v>
      </c>
      <c r="W230" s="70">
        <f t="shared" si="7"/>
        <v>1.7089664317187705</v>
      </c>
      <c r="X230" s="71">
        <f t="shared" si="8"/>
        <v>28780.666666666668</v>
      </c>
      <c r="AD230" s="52"/>
      <c r="AG230" s="52"/>
      <c r="AJ230" s="52"/>
      <c r="AK230" s="52"/>
      <c r="AL230" s="55"/>
      <c r="AO230" s="52"/>
      <c r="AR230" s="52"/>
      <c r="AU230" s="52"/>
      <c r="AV230" s="52"/>
      <c r="AW230" s="55"/>
    </row>
    <row r="231" spans="1:49" ht="15.75" customHeight="1">
      <c r="A231" s="16">
        <v>51102</v>
      </c>
      <c r="B231" s="63" t="s">
        <v>236</v>
      </c>
      <c r="C231" s="64">
        <v>18500</v>
      </c>
      <c r="D231" s="64">
        <v>12067</v>
      </c>
      <c r="E231" s="65">
        <f t="shared" si="0"/>
        <v>1.5331068202535842</v>
      </c>
      <c r="F231" s="64">
        <v>18500</v>
      </c>
      <c r="G231" s="64">
        <v>12144.666666666666</v>
      </c>
      <c r="H231" s="65">
        <f t="shared" si="1"/>
        <v>1.5233024098369656</v>
      </c>
      <c r="I231" s="64">
        <v>0</v>
      </c>
      <c r="J231" s="64">
        <v>12222.333333333334</v>
      </c>
      <c r="K231" s="65">
        <f t="shared" si="2"/>
        <v>0</v>
      </c>
      <c r="L231" s="66">
        <f t="shared" si="3"/>
        <v>1.0188030766968499</v>
      </c>
      <c r="M231" s="67">
        <f t="shared" si="25"/>
        <v>12333.333333333334</v>
      </c>
      <c r="N231" s="64">
        <v>41100</v>
      </c>
      <c r="O231" s="64">
        <v>12843.666666666666</v>
      </c>
      <c r="P231" s="68">
        <f t="shared" si="4"/>
        <v>3.2000207625029198</v>
      </c>
      <c r="Q231" s="69">
        <v>41400</v>
      </c>
      <c r="R231" s="64">
        <v>12921.333333333334</v>
      </c>
      <c r="S231" s="68">
        <f t="shared" si="5"/>
        <v>3.2040037147869156</v>
      </c>
      <c r="T231" s="64">
        <v>20000</v>
      </c>
      <c r="U231" s="64">
        <v>12999</v>
      </c>
      <c r="V231" s="68">
        <f t="shared" si="6"/>
        <v>1.5385798907608277</v>
      </c>
      <c r="W231" s="70">
        <f t="shared" si="7"/>
        <v>2.647534789350221</v>
      </c>
      <c r="X231" s="71">
        <f t="shared" si="8"/>
        <v>34166.666666666664</v>
      </c>
      <c r="AD231" s="52"/>
      <c r="AG231" s="52"/>
      <c r="AJ231" s="52"/>
      <c r="AK231" s="52"/>
      <c r="AL231" s="55"/>
      <c r="AO231" s="52"/>
      <c r="AR231" s="52"/>
      <c r="AU231" s="52"/>
      <c r="AV231" s="52"/>
      <c r="AW231" s="55"/>
    </row>
    <row r="232" spans="1:49" ht="15.75" customHeight="1">
      <c r="A232" s="16">
        <v>51103</v>
      </c>
      <c r="B232" s="63" t="s">
        <v>237</v>
      </c>
      <c r="C232" s="64">
        <v>25000</v>
      </c>
      <c r="D232" s="64">
        <v>15812</v>
      </c>
      <c r="E232" s="65">
        <f t="shared" si="0"/>
        <v>1.5810776625347838</v>
      </c>
      <c r="F232" s="64">
        <v>28560</v>
      </c>
      <c r="G232" s="64">
        <v>15689.166666666666</v>
      </c>
      <c r="H232" s="65">
        <f t="shared" si="1"/>
        <v>1.8203643703192225</v>
      </c>
      <c r="I232" s="64">
        <v>0</v>
      </c>
      <c r="J232" s="64">
        <v>15566.333333333334</v>
      </c>
      <c r="K232" s="65">
        <f t="shared" si="2"/>
        <v>0</v>
      </c>
      <c r="L232" s="66">
        <f t="shared" si="3"/>
        <v>1.1338140109513353</v>
      </c>
      <c r="M232" s="67">
        <f t="shared" si="25"/>
        <v>17853.333333333332</v>
      </c>
      <c r="N232" s="64">
        <v>0</v>
      </c>
      <c r="O232" s="64">
        <v>14583.666666666666</v>
      </c>
      <c r="P232" s="68">
        <f t="shared" si="4"/>
        <v>0</v>
      </c>
      <c r="Q232" s="69">
        <v>0</v>
      </c>
      <c r="R232" s="64">
        <v>14460.833333333334</v>
      </c>
      <c r="S232" s="68">
        <f t="shared" si="5"/>
        <v>0</v>
      </c>
      <c r="T232" s="64">
        <v>0</v>
      </c>
      <c r="U232" s="64">
        <v>14338</v>
      </c>
      <c r="V232" s="68">
        <f t="shared" si="6"/>
        <v>0</v>
      </c>
      <c r="W232" s="70">
        <f t="shared" si="7"/>
        <v>0</v>
      </c>
      <c r="X232" s="71">
        <f t="shared" si="8"/>
        <v>0</v>
      </c>
      <c r="AD232" s="52"/>
      <c r="AG232" s="52"/>
      <c r="AJ232" s="52"/>
      <c r="AK232" s="52"/>
      <c r="AL232" s="55"/>
      <c r="AO232" s="52"/>
      <c r="AR232" s="52"/>
      <c r="AU232" s="52"/>
      <c r="AV232" s="52"/>
      <c r="AW232" s="55"/>
    </row>
    <row r="233" spans="1:49" ht="15.75" customHeight="1">
      <c r="A233" s="16">
        <v>51201</v>
      </c>
      <c r="B233" s="63" t="s">
        <v>238</v>
      </c>
      <c r="C233" s="64">
        <v>230000</v>
      </c>
      <c r="D233" s="64">
        <v>29672</v>
      </c>
      <c r="E233" s="65">
        <f t="shared" si="0"/>
        <v>7.7514154758695062</v>
      </c>
      <c r="F233" s="64">
        <v>330000</v>
      </c>
      <c r="G233" s="64">
        <v>30142.5</v>
      </c>
      <c r="H233" s="65">
        <f t="shared" si="1"/>
        <v>10.947997014182633</v>
      </c>
      <c r="I233" s="64">
        <v>0</v>
      </c>
      <c r="J233" s="64">
        <v>30613</v>
      </c>
      <c r="K233" s="65">
        <f t="shared" si="2"/>
        <v>0</v>
      </c>
      <c r="L233" s="66">
        <f t="shared" si="3"/>
        <v>6.2331374966840469</v>
      </c>
      <c r="M233" s="67">
        <f t="shared" si="25"/>
        <v>186666.66666666666</v>
      </c>
      <c r="N233" s="64">
        <v>1074399</v>
      </c>
      <c r="O233" s="64">
        <v>34377</v>
      </c>
      <c r="P233" s="68">
        <f t="shared" si="4"/>
        <v>31.253425255257877</v>
      </c>
      <c r="Q233" s="69">
        <v>1252873</v>
      </c>
      <c r="R233" s="64">
        <v>34847.5</v>
      </c>
      <c r="S233" s="68">
        <f t="shared" si="5"/>
        <v>35.953023889805579</v>
      </c>
      <c r="T233" s="64">
        <v>1403859</v>
      </c>
      <c r="U233" s="64">
        <v>35318</v>
      </c>
      <c r="V233" s="68">
        <f t="shared" si="6"/>
        <v>39.749108103516619</v>
      </c>
      <c r="W233" s="70">
        <f t="shared" si="7"/>
        <v>35.651852416193357</v>
      </c>
      <c r="X233" s="71">
        <f t="shared" si="8"/>
        <v>1243710.3333333333</v>
      </c>
      <c r="AD233" s="52"/>
      <c r="AG233" s="52"/>
      <c r="AJ233" s="52"/>
      <c r="AK233" s="52"/>
      <c r="AL233" s="55"/>
      <c r="AO233" s="52"/>
      <c r="AR233" s="52"/>
      <c r="AU233" s="52"/>
      <c r="AV233" s="52"/>
      <c r="AW233" s="55"/>
    </row>
    <row r="234" spans="1:49" ht="15.75" customHeight="1">
      <c r="A234" s="16">
        <v>51202</v>
      </c>
      <c r="B234" s="63" t="s">
        <v>239</v>
      </c>
      <c r="C234" s="64">
        <v>15000</v>
      </c>
      <c r="D234" s="64">
        <v>8854</v>
      </c>
      <c r="E234" s="65">
        <f t="shared" si="0"/>
        <v>1.69414953693246</v>
      </c>
      <c r="F234" s="64">
        <v>22000</v>
      </c>
      <c r="G234" s="64">
        <v>8769.9166666666661</v>
      </c>
      <c r="H234" s="65">
        <f t="shared" si="1"/>
        <v>2.5085757181273105</v>
      </c>
      <c r="I234" s="64">
        <v>0</v>
      </c>
      <c r="J234" s="64">
        <v>8685.8333333333339</v>
      </c>
      <c r="K234" s="65">
        <f t="shared" si="2"/>
        <v>0</v>
      </c>
      <c r="L234" s="66">
        <f t="shared" si="3"/>
        <v>1.400908418353257</v>
      </c>
      <c r="M234" s="67">
        <f t="shared" si="25"/>
        <v>12333.333333333334</v>
      </c>
      <c r="N234" s="64">
        <v>46500</v>
      </c>
      <c r="O234" s="64">
        <v>8013.166666666667</v>
      </c>
      <c r="P234" s="68">
        <f t="shared" si="4"/>
        <v>5.8029493125896963</v>
      </c>
      <c r="Q234" s="69">
        <v>44080</v>
      </c>
      <c r="R234" s="64">
        <v>7929.083333333333</v>
      </c>
      <c r="S234" s="68">
        <f t="shared" si="5"/>
        <v>5.559280707101494</v>
      </c>
      <c r="T234" s="64">
        <v>46380</v>
      </c>
      <c r="U234" s="64">
        <v>7845</v>
      </c>
      <c r="V234" s="68">
        <f t="shared" si="6"/>
        <v>5.9120458891013383</v>
      </c>
      <c r="W234" s="70">
        <f t="shared" si="7"/>
        <v>5.7580919695975092</v>
      </c>
      <c r="X234" s="71">
        <f t="shared" si="8"/>
        <v>45653.333333333336</v>
      </c>
      <c r="AD234" s="52"/>
      <c r="AG234" s="52"/>
      <c r="AJ234" s="52"/>
      <c r="AK234" s="52"/>
      <c r="AL234" s="55"/>
      <c r="AO234" s="52"/>
      <c r="AR234" s="52"/>
      <c r="AU234" s="52"/>
      <c r="AV234" s="52"/>
      <c r="AW234" s="55"/>
    </row>
    <row r="235" spans="1:49" ht="15.75" customHeight="1">
      <c r="A235" s="16">
        <v>51203</v>
      </c>
      <c r="B235" s="63" t="s">
        <v>240</v>
      </c>
      <c r="C235" s="64">
        <v>70000</v>
      </c>
      <c r="D235" s="64">
        <v>10866</v>
      </c>
      <c r="E235" s="65">
        <f t="shared" si="0"/>
        <v>6.442113013068286</v>
      </c>
      <c r="F235" s="64">
        <v>72400</v>
      </c>
      <c r="G235" s="64">
        <v>11181.666666666666</v>
      </c>
      <c r="H235" s="65">
        <f t="shared" si="1"/>
        <v>6.4748844835295873</v>
      </c>
      <c r="I235" s="64">
        <v>0</v>
      </c>
      <c r="J235" s="64">
        <v>11497.333333333334</v>
      </c>
      <c r="K235" s="65">
        <f t="shared" si="2"/>
        <v>0</v>
      </c>
      <c r="L235" s="66">
        <f t="shared" si="3"/>
        <v>4.3056658321992911</v>
      </c>
      <c r="M235" s="67">
        <f t="shared" si="25"/>
        <v>47466.666666666664</v>
      </c>
      <c r="N235" s="64">
        <v>77000</v>
      </c>
      <c r="O235" s="64">
        <v>14022.666666666668</v>
      </c>
      <c r="P235" s="68">
        <f t="shared" si="4"/>
        <v>5.4911096320243411</v>
      </c>
      <c r="Q235" s="69">
        <v>107000</v>
      </c>
      <c r="R235" s="64">
        <v>14338.333333333334</v>
      </c>
      <c r="S235" s="68">
        <f t="shared" si="5"/>
        <v>7.4625130768336625</v>
      </c>
      <c r="T235" s="64">
        <v>107000</v>
      </c>
      <c r="U235" s="64">
        <v>14654</v>
      </c>
      <c r="V235" s="68">
        <f t="shared" si="6"/>
        <v>7.3017606114371505</v>
      </c>
      <c r="W235" s="70">
        <f t="shared" si="7"/>
        <v>6.7517944400983838</v>
      </c>
      <c r="X235" s="71">
        <f t="shared" si="8"/>
        <v>97000</v>
      </c>
      <c r="AD235" s="52"/>
      <c r="AG235" s="52"/>
      <c r="AJ235" s="52"/>
      <c r="AK235" s="52"/>
      <c r="AL235" s="55"/>
      <c r="AO235" s="52"/>
      <c r="AR235" s="52"/>
      <c r="AU235" s="52"/>
      <c r="AV235" s="52"/>
      <c r="AW235" s="55"/>
    </row>
    <row r="236" spans="1:49" ht="15.75" customHeight="1">
      <c r="A236" s="16">
        <v>51204</v>
      </c>
      <c r="B236" s="63" t="s">
        <v>241</v>
      </c>
      <c r="C236" s="64">
        <v>0</v>
      </c>
      <c r="D236" s="64">
        <v>5935</v>
      </c>
      <c r="E236" s="65">
        <f t="shared" si="0"/>
        <v>0</v>
      </c>
      <c r="F236" s="64">
        <v>0</v>
      </c>
      <c r="G236" s="64">
        <v>5925.333333333333</v>
      </c>
      <c r="H236" s="65">
        <f t="shared" si="1"/>
        <v>0</v>
      </c>
      <c r="I236" s="64">
        <v>0</v>
      </c>
      <c r="J236" s="64">
        <v>5915.666666666667</v>
      </c>
      <c r="K236" s="65">
        <f t="shared" si="2"/>
        <v>0</v>
      </c>
      <c r="L236" s="66">
        <f t="shared" si="3"/>
        <v>0</v>
      </c>
      <c r="M236" s="67">
        <f t="shared" si="25"/>
        <v>0</v>
      </c>
      <c r="N236" s="64">
        <v>0</v>
      </c>
      <c r="O236" s="64">
        <v>5838.333333333333</v>
      </c>
      <c r="P236" s="68">
        <f t="shared" si="4"/>
        <v>0</v>
      </c>
      <c r="Q236" s="69">
        <v>4000</v>
      </c>
      <c r="R236" s="64">
        <v>5828.666666666667</v>
      </c>
      <c r="S236" s="68">
        <f t="shared" si="5"/>
        <v>0.68626329635136674</v>
      </c>
      <c r="T236" s="64">
        <v>4000</v>
      </c>
      <c r="U236" s="64">
        <v>5819</v>
      </c>
      <c r="V236" s="68">
        <f t="shared" si="6"/>
        <v>0.68740333390616948</v>
      </c>
      <c r="W236" s="70">
        <f t="shared" si="7"/>
        <v>0.45788887675251205</v>
      </c>
      <c r="X236" s="71">
        <f t="shared" si="8"/>
        <v>2666.6666666666665</v>
      </c>
      <c r="AD236" s="52"/>
      <c r="AG236" s="52"/>
      <c r="AJ236" s="52"/>
      <c r="AK236" s="52"/>
      <c r="AL236" s="55"/>
      <c r="AO236" s="52"/>
      <c r="AR236" s="52"/>
      <c r="AU236" s="52"/>
      <c r="AV236" s="52"/>
      <c r="AW236" s="55"/>
    </row>
    <row r="237" spans="1:49" ht="15.75" customHeight="1">
      <c r="A237" s="16">
        <v>51301</v>
      </c>
      <c r="B237" s="63" t="s">
        <v>242</v>
      </c>
      <c r="C237" s="64">
        <v>15000</v>
      </c>
      <c r="D237" s="64">
        <v>4170</v>
      </c>
      <c r="E237" s="65">
        <f t="shared" si="0"/>
        <v>3.5971223021582732</v>
      </c>
      <c r="F237" s="64">
        <v>19000</v>
      </c>
      <c r="G237" s="64">
        <v>4128</v>
      </c>
      <c r="H237" s="65">
        <f t="shared" si="1"/>
        <v>4.6027131782945734</v>
      </c>
      <c r="I237" s="64">
        <v>0</v>
      </c>
      <c r="J237" s="64">
        <v>4086</v>
      </c>
      <c r="K237" s="65">
        <f t="shared" si="2"/>
        <v>0</v>
      </c>
      <c r="L237" s="66">
        <f t="shared" si="3"/>
        <v>2.7332784934842826</v>
      </c>
      <c r="M237" s="67">
        <f t="shared" si="25"/>
        <v>11333.333333333334</v>
      </c>
      <c r="N237" s="64">
        <v>5000</v>
      </c>
      <c r="O237" s="64">
        <v>3750</v>
      </c>
      <c r="P237" s="68">
        <f t="shared" si="4"/>
        <v>1.3333333333333333</v>
      </c>
      <c r="Q237" s="69">
        <v>10000</v>
      </c>
      <c r="R237" s="64">
        <v>3708</v>
      </c>
      <c r="S237" s="68">
        <f t="shared" si="5"/>
        <v>2.6968716289104639</v>
      </c>
      <c r="T237" s="64">
        <v>10000</v>
      </c>
      <c r="U237" s="64">
        <v>3666</v>
      </c>
      <c r="V237" s="68">
        <f t="shared" si="6"/>
        <v>2.7277686852154939</v>
      </c>
      <c r="W237" s="70">
        <f t="shared" si="7"/>
        <v>2.2526578824864303</v>
      </c>
      <c r="X237" s="71">
        <f t="shared" si="8"/>
        <v>8333.3333333333339</v>
      </c>
      <c r="AD237" s="52"/>
      <c r="AG237" s="52"/>
      <c r="AJ237" s="52"/>
      <c r="AK237" s="52"/>
      <c r="AL237" s="55"/>
      <c r="AO237" s="52"/>
      <c r="AR237" s="52"/>
      <c r="AU237" s="52"/>
      <c r="AV237" s="52"/>
      <c r="AW237" s="55"/>
    </row>
    <row r="238" spans="1:49" ht="15.75" customHeight="1">
      <c r="A238" s="16">
        <v>51302</v>
      </c>
      <c r="B238" s="63" t="s">
        <v>243</v>
      </c>
      <c r="C238" s="64">
        <v>45000</v>
      </c>
      <c r="D238" s="64">
        <v>6161</v>
      </c>
      <c r="E238" s="65">
        <f t="shared" si="0"/>
        <v>7.3040090894335332</v>
      </c>
      <c r="F238" s="64">
        <v>45000</v>
      </c>
      <c r="G238" s="64">
        <v>6020.166666666667</v>
      </c>
      <c r="H238" s="65">
        <f t="shared" si="1"/>
        <v>7.4748761108496442</v>
      </c>
      <c r="I238" s="64">
        <v>0</v>
      </c>
      <c r="J238" s="64">
        <v>5879.333333333333</v>
      </c>
      <c r="K238" s="65">
        <f t="shared" si="2"/>
        <v>0</v>
      </c>
      <c r="L238" s="66">
        <f t="shared" si="3"/>
        <v>4.9262950667610594</v>
      </c>
      <c r="M238" s="67">
        <f t="shared" si="25"/>
        <v>30000</v>
      </c>
      <c r="N238" s="64">
        <v>10000</v>
      </c>
      <c r="O238" s="64">
        <v>4752.6666666666661</v>
      </c>
      <c r="P238" s="68">
        <f t="shared" si="4"/>
        <v>2.1040819189227102</v>
      </c>
      <c r="Q238" s="69">
        <v>160128</v>
      </c>
      <c r="R238" s="64">
        <v>4611.833333333333</v>
      </c>
      <c r="S238" s="68">
        <f t="shared" si="5"/>
        <v>34.721115969787867</v>
      </c>
      <c r="T238" s="64">
        <v>10000</v>
      </c>
      <c r="U238" s="64">
        <v>4471</v>
      </c>
      <c r="V238" s="68">
        <f t="shared" si="6"/>
        <v>2.2366360993066428</v>
      </c>
      <c r="W238" s="70">
        <f t="shared" si="7"/>
        <v>13.020611329339074</v>
      </c>
      <c r="X238" s="71">
        <f t="shared" si="8"/>
        <v>60042.666666666664</v>
      </c>
      <c r="AD238" s="52"/>
      <c r="AG238" s="52"/>
      <c r="AJ238" s="52"/>
      <c r="AK238" s="52"/>
      <c r="AL238" s="55"/>
      <c r="AO238" s="52"/>
      <c r="AR238" s="52"/>
      <c r="AU238" s="52"/>
      <c r="AV238" s="52"/>
      <c r="AW238" s="55"/>
    </row>
    <row r="239" spans="1:49" ht="15.75" customHeight="1">
      <c r="A239" s="16">
        <v>51401</v>
      </c>
      <c r="B239" s="63" t="s">
        <v>244</v>
      </c>
      <c r="C239" s="64">
        <v>30000</v>
      </c>
      <c r="D239" s="64">
        <v>4150</v>
      </c>
      <c r="E239" s="65">
        <f t="shared" si="0"/>
        <v>7.2289156626506026</v>
      </c>
      <c r="F239" s="64">
        <v>38510</v>
      </c>
      <c r="G239" s="64">
        <v>4153.083333333333</v>
      </c>
      <c r="H239" s="65">
        <f t="shared" si="1"/>
        <v>9.2726287697895149</v>
      </c>
      <c r="I239" s="64">
        <v>0</v>
      </c>
      <c r="J239" s="64">
        <v>4156.166666666667</v>
      </c>
      <c r="K239" s="65">
        <f t="shared" si="2"/>
        <v>0</v>
      </c>
      <c r="L239" s="66">
        <f t="shared" si="3"/>
        <v>5.5005148108133719</v>
      </c>
      <c r="M239" s="67">
        <f t="shared" si="25"/>
        <v>22836.666666666668</v>
      </c>
      <c r="N239" s="64">
        <v>134132</v>
      </c>
      <c r="O239" s="64">
        <v>4180.833333333333</v>
      </c>
      <c r="P239" s="68">
        <f t="shared" si="4"/>
        <v>32.082599162846321</v>
      </c>
      <c r="Q239" s="69">
        <v>106278</v>
      </c>
      <c r="R239" s="64">
        <v>4183.916666666667</v>
      </c>
      <c r="S239" s="68">
        <f t="shared" si="5"/>
        <v>25.401557551735813</v>
      </c>
      <c r="T239" s="64">
        <v>51384</v>
      </c>
      <c r="U239" s="64">
        <v>4187</v>
      </c>
      <c r="V239" s="68">
        <f t="shared" si="6"/>
        <v>12.272271315978028</v>
      </c>
      <c r="W239" s="70">
        <f t="shared" si="7"/>
        <v>23.252142676853385</v>
      </c>
      <c r="X239" s="71">
        <f t="shared" si="8"/>
        <v>97264.666666666672</v>
      </c>
      <c r="AD239" s="52"/>
      <c r="AG239" s="52"/>
      <c r="AJ239" s="52"/>
      <c r="AK239" s="52"/>
      <c r="AL239" s="55"/>
      <c r="AO239" s="52"/>
      <c r="AR239" s="52"/>
      <c r="AU239" s="52"/>
      <c r="AV239" s="52"/>
      <c r="AW239" s="55"/>
    </row>
    <row r="240" spans="1:49" ht="15.75" customHeight="1">
      <c r="A240" s="16">
        <v>51402</v>
      </c>
      <c r="B240" s="63" t="s">
        <v>245</v>
      </c>
      <c r="C240" s="64">
        <v>0</v>
      </c>
      <c r="D240" s="64">
        <v>1700</v>
      </c>
      <c r="E240" s="65">
        <f t="shared" si="0"/>
        <v>0</v>
      </c>
      <c r="F240" s="64">
        <v>3000</v>
      </c>
      <c r="G240" s="64">
        <v>1687.1666666666667</v>
      </c>
      <c r="H240" s="65">
        <f t="shared" si="1"/>
        <v>1.7781290131383976</v>
      </c>
      <c r="I240" s="64">
        <v>0</v>
      </c>
      <c r="J240" s="64">
        <v>1674.3333333333333</v>
      </c>
      <c r="K240" s="65">
        <f t="shared" si="2"/>
        <v>0</v>
      </c>
      <c r="L240" s="66">
        <f t="shared" si="3"/>
        <v>0.59270967104613248</v>
      </c>
      <c r="M240" s="67">
        <f t="shared" si="25"/>
        <v>1000</v>
      </c>
      <c r="N240" s="64">
        <v>0</v>
      </c>
      <c r="O240" s="64">
        <v>1571.6666666666667</v>
      </c>
      <c r="P240" s="68">
        <f t="shared" si="4"/>
        <v>0</v>
      </c>
      <c r="Q240" s="69">
        <v>0</v>
      </c>
      <c r="R240" s="64">
        <v>1558.8333333333333</v>
      </c>
      <c r="S240" s="68">
        <f t="shared" si="5"/>
        <v>0</v>
      </c>
      <c r="T240" s="64">
        <v>0</v>
      </c>
      <c r="U240" s="64">
        <v>1546</v>
      </c>
      <c r="V240" s="68">
        <f t="shared" si="6"/>
        <v>0</v>
      </c>
      <c r="W240" s="70">
        <f t="shared" si="7"/>
        <v>0</v>
      </c>
      <c r="X240" s="71">
        <f t="shared" si="8"/>
        <v>0</v>
      </c>
      <c r="AD240" s="52"/>
      <c r="AG240" s="52"/>
      <c r="AJ240" s="52"/>
      <c r="AK240" s="52"/>
      <c r="AL240" s="55"/>
      <c r="AO240" s="52"/>
      <c r="AR240" s="52"/>
      <c r="AU240" s="52"/>
      <c r="AV240" s="52"/>
      <c r="AW240" s="55"/>
    </row>
    <row r="241" spans="1:49" ht="15.75" customHeight="1">
      <c r="A241" s="16">
        <v>51501</v>
      </c>
      <c r="B241" s="63" t="s">
        <v>246</v>
      </c>
      <c r="C241" s="64">
        <v>700000</v>
      </c>
      <c r="D241" s="64">
        <v>44906</v>
      </c>
      <c r="E241" s="65">
        <f t="shared" si="0"/>
        <v>15.588117400792767</v>
      </c>
      <c r="F241" s="64">
        <v>1000000</v>
      </c>
      <c r="G241" s="64">
        <v>45275.5</v>
      </c>
      <c r="H241" s="65">
        <f t="shared" si="1"/>
        <v>22.087000695740521</v>
      </c>
      <c r="I241" s="64">
        <v>0</v>
      </c>
      <c r="J241" s="64">
        <v>45645</v>
      </c>
      <c r="K241" s="65">
        <f t="shared" si="2"/>
        <v>0</v>
      </c>
      <c r="L241" s="66">
        <f t="shared" si="3"/>
        <v>12.55837269884443</v>
      </c>
      <c r="M241" s="67">
        <f t="shared" si="25"/>
        <v>566666.66666666663</v>
      </c>
      <c r="N241" s="64">
        <v>2500000</v>
      </c>
      <c r="O241" s="64">
        <v>48601</v>
      </c>
      <c r="P241" s="68">
        <f t="shared" si="4"/>
        <v>51.439270796897183</v>
      </c>
      <c r="Q241" s="69">
        <v>2958410</v>
      </c>
      <c r="R241" s="64">
        <v>48970.5</v>
      </c>
      <c r="S241" s="68">
        <f t="shared" si="5"/>
        <v>60.412084826579267</v>
      </c>
      <c r="T241" s="64">
        <v>3326072</v>
      </c>
      <c r="U241" s="64">
        <v>49340</v>
      </c>
      <c r="V241" s="68">
        <f t="shared" si="6"/>
        <v>67.411268747466565</v>
      </c>
      <c r="W241" s="70">
        <f t="shared" si="7"/>
        <v>59.754208123647665</v>
      </c>
      <c r="X241" s="71">
        <f t="shared" si="8"/>
        <v>2928160.6666666665</v>
      </c>
      <c r="AD241" s="52"/>
      <c r="AG241" s="52"/>
      <c r="AJ241" s="52"/>
      <c r="AK241" s="52"/>
      <c r="AL241" s="55"/>
      <c r="AO241" s="52"/>
      <c r="AR241" s="52"/>
      <c r="AU241" s="52"/>
      <c r="AV241" s="52"/>
      <c r="AW241" s="55"/>
    </row>
    <row r="242" spans="1:49" ht="15.75" customHeight="1">
      <c r="A242" s="16">
        <v>51601</v>
      </c>
      <c r="B242" s="63" t="s">
        <v>247</v>
      </c>
      <c r="C242" s="64">
        <v>0</v>
      </c>
      <c r="D242" s="64">
        <v>1684</v>
      </c>
      <c r="E242" s="65">
        <f t="shared" si="0"/>
        <v>0</v>
      </c>
      <c r="F242" s="64">
        <v>0</v>
      </c>
      <c r="G242" s="64">
        <v>1720.8333333333333</v>
      </c>
      <c r="H242" s="65">
        <f t="shared" si="1"/>
        <v>0</v>
      </c>
      <c r="I242" s="64">
        <v>0</v>
      </c>
      <c r="J242" s="64">
        <v>1757.6666666666667</v>
      </c>
      <c r="K242" s="65">
        <f t="shared" si="2"/>
        <v>0</v>
      </c>
      <c r="L242" s="66">
        <f t="shared" si="3"/>
        <v>0</v>
      </c>
      <c r="M242" s="67">
        <f t="shared" si="25"/>
        <v>0</v>
      </c>
      <c r="N242" s="64">
        <v>0</v>
      </c>
      <c r="O242" s="64">
        <v>2052.3333333333335</v>
      </c>
      <c r="P242" s="68">
        <f t="shared" si="4"/>
        <v>0</v>
      </c>
      <c r="Q242" s="69">
        <v>0</v>
      </c>
      <c r="R242" s="64">
        <v>2089.1666666666665</v>
      </c>
      <c r="S242" s="68">
        <f t="shared" si="5"/>
        <v>0</v>
      </c>
      <c r="T242" s="64">
        <v>0</v>
      </c>
      <c r="U242" s="64">
        <v>2126</v>
      </c>
      <c r="V242" s="68">
        <f t="shared" si="6"/>
        <v>0</v>
      </c>
      <c r="W242" s="70">
        <f t="shared" si="7"/>
        <v>0</v>
      </c>
      <c r="X242" s="71">
        <f t="shared" si="8"/>
        <v>0</v>
      </c>
      <c r="AD242" s="52"/>
      <c r="AG242" s="52"/>
      <c r="AJ242" s="52"/>
      <c r="AK242" s="52"/>
      <c r="AL242" s="55"/>
      <c r="AO242" s="52"/>
      <c r="AR242" s="52"/>
      <c r="AU242" s="52"/>
      <c r="AV242" s="52"/>
      <c r="AW242" s="55"/>
    </row>
    <row r="243" spans="1:49" ht="15.75" customHeight="1">
      <c r="A243" s="16">
        <v>60101</v>
      </c>
      <c r="B243" s="63" t="s">
        <v>248</v>
      </c>
      <c r="C243" s="64">
        <v>11749782</v>
      </c>
      <c r="D243" s="64">
        <v>205375</v>
      </c>
      <c r="E243" s="65">
        <f t="shared" si="0"/>
        <v>57.211354838709674</v>
      </c>
      <c r="F243" s="64">
        <v>13332154</v>
      </c>
      <c r="G243" s="64">
        <v>208156.16666666666</v>
      </c>
      <c r="H243" s="65">
        <f t="shared" si="1"/>
        <v>64.04880630488168</v>
      </c>
      <c r="I243" s="64">
        <v>245857</v>
      </c>
      <c r="J243" s="64">
        <v>210937.33333333334</v>
      </c>
      <c r="K243" s="65">
        <f t="shared" si="2"/>
        <v>1.1655452172209124</v>
      </c>
      <c r="L243" s="66">
        <f t="shared" si="3"/>
        <v>40.808568786937421</v>
      </c>
      <c r="M243" s="67">
        <f t="shared" si="25"/>
        <v>8442597.666666666</v>
      </c>
      <c r="N243" s="64">
        <v>22583322</v>
      </c>
      <c r="O243" s="64">
        <v>233186.66666666666</v>
      </c>
      <c r="P243" s="68">
        <f t="shared" si="4"/>
        <v>96.84654068271486</v>
      </c>
      <c r="Q243" s="69">
        <v>22783322</v>
      </c>
      <c r="R243" s="64">
        <v>235967.83333333334</v>
      </c>
      <c r="S243" s="68">
        <f t="shared" si="5"/>
        <v>96.55266007301843</v>
      </c>
      <c r="T243" s="64">
        <v>25763393</v>
      </c>
      <c r="U243" s="64">
        <v>238749</v>
      </c>
      <c r="V243" s="68">
        <f t="shared" si="6"/>
        <v>107.90995145529405</v>
      </c>
      <c r="W243" s="70">
        <f t="shared" si="7"/>
        <v>100.43638407034246</v>
      </c>
      <c r="X243" s="71">
        <f t="shared" si="8"/>
        <v>23710012.333333332</v>
      </c>
      <c r="AD243" s="52"/>
      <c r="AG243" s="52"/>
      <c r="AJ243" s="52"/>
      <c r="AK243" s="52"/>
      <c r="AL243" s="55"/>
      <c r="AO243" s="52"/>
      <c r="AR243" s="52"/>
      <c r="AU243" s="52"/>
      <c r="AV243" s="52"/>
      <c r="AW243" s="55"/>
    </row>
    <row r="244" spans="1:49" ht="15.75" customHeight="1">
      <c r="A244" s="16">
        <v>60201</v>
      </c>
      <c r="B244" s="63" t="s">
        <v>249</v>
      </c>
      <c r="C244" s="64">
        <v>156300</v>
      </c>
      <c r="D244" s="64">
        <v>18681</v>
      </c>
      <c r="E244" s="65">
        <f t="shared" si="0"/>
        <v>8.3667897864140031</v>
      </c>
      <c r="F244" s="64">
        <v>296500</v>
      </c>
      <c r="G244" s="64">
        <v>18609</v>
      </c>
      <c r="H244" s="65">
        <f t="shared" si="1"/>
        <v>15.933150626041163</v>
      </c>
      <c r="I244" s="64">
        <v>0</v>
      </c>
      <c r="J244" s="64">
        <v>18537</v>
      </c>
      <c r="K244" s="65">
        <f t="shared" si="2"/>
        <v>0</v>
      </c>
      <c r="L244" s="66">
        <f t="shared" si="3"/>
        <v>8.0999801374850549</v>
      </c>
      <c r="M244" s="67">
        <f t="shared" si="25"/>
        <v>150933.33333333334</v>
      </c>
      <c r="N244" s="64">
        <v>120000</v>
      </c>
      <c r="O244" s="64">
        <v>17961</v>
      </c>
      <c r="P244" s="68">
        <f t="shared" si="4"/>
        <v>6.6811424753632869</v>
      </c>
      <c r="Q244" s="69">
        <v>140000</v>
      </c>
      <c r="R244" s="64">
        <v>17889</v>
      </c>
      <c r="S244" s="68">
        <f t="shared" si="5"/>
        <v>7.826038347587903</v>
      </c>
      <c r="T244" s="64">
        <v>187632</v>
      </c>
      <c r="U244" s="64">
        <v>17817</v>
      </c>
      <c r="V244" s="68">
        <f t="shared" si="6"/>
        <v>10.531065835999327</v>
      </c>
      <c r="W244" s="70">
        <f t="shared" si="7"/>
        <v>8.3460822196501727</v>
      </c>
      <c r="X244" s="71">
        <f t="shared" si="8"/>
        <v>149210.66666666666</v>
      </c>
      <c r="AD244" s="52"/>
      <c r="AG244" s="52"/>
      <c r="AJ244" s="52"/>
      <c r="AK244" s="52"/>
      <c r="AL244" s="55"/>
      <c r="AO244" s="52"/>
      <c r="AR244" s="52"/>
      <c r="AU244" s="52"/>
      <c r="AV244" s="52"/>
      <c r="AW244" s="55"/>
    </row>
    <row r="245" spans="1:49" ht="15.75" customHeight="1">
      <c r="A245" s="16">
        <v>60202</v>
      </c>
      <c r="B245" s="63" t="s">
        <v>250</v>
      </c>
      <c r="C245" s="64">
        <v>715257</v>
      </c>
      <c r="D245" s="64">
        <v>34505</v>
      </c>
      <c r="E245" s="65">
        <f t="shared" si="0"/>
        <v>20.729082741631647</v>
      </c>
      <c r="F245" s="64">
        <v>1000000</v>
      </c>
      <c r="G245" s="64">
        <v>34710.416666666664</v>
      </c>
      <c r="H245" s="65">
        <f t="shared" si="1"/>
        <v>28.809795330412342</v>
      </c>
      <c r="I245" s="64">
        <v>0</v>
      </c>
      <c r="J245" s="64">
        <v>34915.833333333336</v>
      </c>
      <c r="K245" s="65">
        <f t="shared" si="2"/>
        <v>0</v>
      </c>
      <c r="L245" s="66">
        <f t="shared" si="3"/>
        <v>16.512959357347995</v>
      </c>
      <c r="M245" s="67">
        <f t="shared" si="25"/>
        <v>571752.33333333337</v>
      </c>
      <c r="N245" s="64">
        <v>1856979</v>
      </c>
      <c r="O245" s="64">
        <v>36559.166666666664</v>
      </c>
      <c r="P245" s="68">
        <f t="shared" si="4"/>
        <v>50.793800004558825</v>
      </c>
      <c r="Q245" s="69">
        <v>1488590</v>
      </c>
      <c r="R245" s="64">
        <v>36764.583333333336</v>
      </c>
      <c r="S245" s="68">
        <f t="shared" si="5"/>
        <v>40.48978296594322</v>
      </c>
      <c r="T245" s="64">
        <v>1727650</v>
      </c>
      <c r="U245" s="64">
        <v>36970</v>
      </c>
      <c r="V245" s="68">
        <f t="shared" si="6"/>
        <v>46.731133351365969</v>
      </c>
      <c r="W245" s="70">
        <f t="shared" si="7"/>
        <v>46.004905440622672</v>
      </c>
      <c r="X245" s="71">
        <f t="shared" si="8"/>
        <v>1691073</v>
      </c>
      <c r="AD245" s="52"/>
      <c r="AG245" s="52"/>
      <c r="AJ245" s="52"/>
      <c r="AK245" s="52"/>
      <c r="AL245" s="55"/>
      <c r="AO245" s="52"/>
      <c r="AR245" s="52"/>
      <c r="AU245" s="52"/>
      <c r="AV245" s="52"/>
      <c r="AW245" s="55"/>
    </row>
    <row r="246" spans="1:49" ht="15.75" customHeight="1">
      <c r="A246" s="16">
        <v>60301</v>
      </c>
      <c r="B246" s="63" t="s">
        <v>251</v>
      </c>
      <c r="C246" s="64">
        <v>4380000</v>
      </c>
      <c r="D246" s="64">
        <v>92245</v>
      </c>
      <c r="E246" s="65">
        <f t="shared" si="0"/>
        <v>47.482248360344734</v>
      </c>
      <c r="F246" s="64">
        <v>5204500</v>
      </c>
      <c r="G246" s="64">
        <v>92694.083333333328</v>
      </c>
      <c r="H246" s="65">
        <f t="shared" si="1"/>
        <v>56.147057210591477</v>
      </c>
      <c r="I246" s="64">
        <v>0</v>
      </c>
      <c r="J246" s="64">
        <v>93143.166666666672</v>
      </c>
      <c r="K246" s="65">
        <f t="shared" si="2"/>
        <v>0</v>
      </c>
      <c r="L246" s="66">
        <f t="shared" si="3"/>
        <v>34.543101856978737</v>
      </c>
      <c r="M246" s="67">
        <f t="shared" si="25"/>
        <v>3194833.3333333335</v>
      </c>
      <c r="N246" s="64">
        <v>7408383</v>
      </c>
      <c r="O246" s="64">
        <v>96735.833333333328</v>
      </c>
      <c r="P246" s="68">
        <f t="shared" si="4"/>
        <v>76.583647907100953</v>
      </c>
      <c r="Q246" s="69">
        <v>8107951</v>
      </c>
      <c r="R246" s="64">
        <v>97184.916666666672</v>
      </c>
      <c r="S246" s="68">
        <f t="shared" si="5"/>
        <v>83.428079974687421</v>
      </c>
      <c r="T246" s="64">
        <v>6146667</v>
      </c>
      <c r="U246" s="64">
        <v>97634</v>
      </c>
      <c r="V246" s="68">
        <f t="shared" si="6"/>
        <v>62.956214023803184</v>
      </c>
      <c r="W246" s="70">
        <f t="shared" si="7"/>
        <v>74.322647301863853</v>
      </c>
      <c r="X246" s="71">
        <f t="shared" si="8"/>
        <v>7221000.333333333</v>
      </c>
      <c r="AD246" s="52"/>
      <c r="AG246" s="52"/>
      <c r="AJ246" s="52"/>
      <c r="AK246" s="52"/>
      <c r="AL246" s="55"/>
      <c r="AO246" s="52"/>
      <c r="AR246" s="52"/>
      <c r="AU246" s="52"/>
      <c r="AV246" s="52"/>
      <c r="AW246" s="55"/>
    </row>
    <row r="247" spans="1:49" ht="15.75" customHeight="1">
      <c r="A247" s="16">
        <v>60302</v>
      </c>
      <c r="B247" s="63" t="s">
        <v>252</v>
      </c>
      <c r="C247" s="64">
        <v>790200</v>
      </c>
      <c r="D247" s="64">
        <v>15366</v>
      </c>
      <c r="E247" s="65">
        <f t="shared" si="0"/>
        <v>51.425224521671225</v>
      </c>
      <c r="F247" s="64">
        <v>1208600</v>
      </c>
      <c r="G247" s="64">
        <v>15382.083333333334</v>
      </c>
      <c r="H247" s="65">
        <f t="shared" si="1"/>
        <v>78.57193163041417</v>
      </c>
      <c r="I247" s="64">
        <v>50000</v>
      </c>
      <c r="J247" s="64">
        <v>15398.166666666666</v>
      </c>
      <c r="K247" s="65">
        <f t="shared" si="2"/>
        <v>3.2471398110164631</v>
      </c>
      <c r="L247" s="66">
        <f t="shared" si="3"/>
        <v>44.414765321033947</v>
      </c>
      <c r="M247" s="67">
        <f t="shared" si="25"/>
        <v>682933.33333333337</v>
      </c>
      <c r="N247" s="64">
        <v>830969</v>
      </c>
      <c r="O247" s="64">
        <v>15526.833333333334</v>
      </c>
      <c r="P247" s="68">
        <f t="shared" si="4"/>
        <v>53.518253346357376</v>
      </c>
      <c r="Q247" s="69">
        <v>1035727</v>
      </c>
      <c r="R247" s="64">
        <v>15542.916666666666</v>
      </c>
      <c r="S247" s="68">
        <f t="shared" si="5"/>
        <v>66.636592231187848</v>
      </c>
      <c r="T247" s="64">
        <v>1011014</v>
      </c>
      <c r="U247" s="64">
        <v>15559</v>
      </c>
      <c r="V247" s="68">
        <f t="shared" si="6"/>
        <v>64.979368854039464</v>
      </c>
      <c r="W247" s="70">
        <f t="shared" si="7"/>
        <v>61.711404810528222</v>
      </c>
      <c r="X247" s="71">
        <f t="shared" si="8"/>
        <v>959236.66666666663</v>
      </c>
      <c r="AD247" s="52"/>
      <c r="AG247" s="52"/>
      <c r="AJ247" s="52"/>
      <c r="AK247" s="52"/>
      <c r="AL247" s="55"/>
      <c r="AO247" s="52"/>
      <c r="AR247" s="52"/>
      <c r="AU247" s="52"/>
      <c r="AV247" s="52"/>
      <c r="AW247" s="55"/>
    </row>
    <row r="248" spans="1:49" ht="15.75" customHeight="1">
      <c r="A248" s="16">
        <v>60303</v>
      </c>
      <c r="B248" s="63" t="s">
        <v>253</v>
      </c>
      <c r="C248" s="64">
        <v>585000</v>
      </c>
      <c r="D248" s="64">
        <v>39867</v>
      </c>
      <c r="E248" s="65">
        <f t="shared" si="0"/>
        <v>14.67379035292347</v>
      </c>
      <c r="F248" s="64">
        <v>911000</v>
      </c>
      <c r="G248" s="64">
        <v>40384</v>
      </c>
      <c r="H248" s="65">
        <f t="shared" si="1"/>
        <v>22.558438985736924</v>
      </c>
      <c r="I248" s="64">
        <v>0</v>
      </c>
      <c r="J248" s="64">
        <v>40901</v>
      </c>
      <c r="K248" s="65">
        <f t="shared" si="2"/>
        <v>0</v>
      </c>
      <c r="L248" s="66">
        <f t="shared" si="3"/>
        <v>12.410743112886799</v>
      </c>
      <c r="M248" s="67">
        <f t="shared" si="25"/>
        <v>498666.66666666669</v>
      </c>
      <c r="N248" s="64">
        <v>3209700</v>
      </c>
      <c r="O248" s="64">
        <v>45037</v>
      </c>
      <c r="P248" s="68">
        <f t="shared" si="4"/>
        <v>71.268068477029999</v>
      </c>
      <c r="Q248" s="69">
        <v>3209686</v>
      </c>
      <c r="R248" s="64">
        <v>45554</v>
      </c>
      <c r="S248" s="68">
        <f t="shared" si="5"/>
        <v>70.458927865829565</v>
      </c>
      <c r="T248" s="64">
        <v>2998964</v>
      </c>
      <c r="U248" s="64">
        <v>46071</v>
      </c>
      <c r="V248" s="68">
        <f t="shared" si="6"/>
        <v>65.094397777343659</v>
      </c>
      <c r="W248" s="70">
        <f t="shared" si="7"/>
        <v>68.940464706734403</v>
      </c>
      <c r="X248" s="71">
        <f t="shared" si="8"/>
        <v>3139450</v>
      </c>
      <c r="AD248" s="52"/>
      <c r="AG248" s="52"/>
      <c r="AJ248" s="52"/>
      <c r="AK248" s="52"/>
      <c r="AL248" s="55"/>
      <c r="AO248" s="52"/>
      <c r="AR248" s="52"/>
      <c r="AU248" s="52"/>
      <c r="AV248" s="52"/>
      <c r="AW248" s="55"/>
    </row>
    <row r="249" spans="1:49" ht="15.75" customHeight="1">
      <c r="A249" s="16">
        <v>60401</v>
      </c>
      <c r="B249" s="63" t="s">
        <v>254</v>
      </c>
      <c r="C249" s="64">
        <v>97864</v>
      </c>
      <c r="D249" s="64">
        <v>14781</v>
      </c>
      <c r="E249" s="65">
        <f t="shared" si="0"/>
        <v>6.6209322779243625</v>
      </c>
      <c r="F249" s="64">
        <v>210491</v>
      </c>
      <c r="G249" s="64">
        <v>14876.166666666666</v>
      </c>
      <c r="H249" s="65">
        <f t="shared" si="1"/>
        <v>14.149545693895158</v>
      </c>
      <c r="I249" s="64">
        <v>0</v>
      </c>
      <c r="J249" s="64">
        <v>14971.333333333334</v>
      </c>
      <c r="K249" s="65">
        <f t="shared" si="2"/>
        <v>0</v>
      </c>
      <c r="L249" s="66">
        <f t="shared" si="3"/>
        <v>6.9234926572731732</v>
      </c>
      <c r="M249" s="67">
        <f t="shared" si="25"/>
        <v>102785</v>
      </c>
      <c r="N249" s="64">
        <v>212041</v>
      </c>
      <c r="O249" s="64">
        <v>15732.666666666666</v>
      </c>
      <c r="P249" s="68">
        <f t="shared" si="4"/>
        <v>13.477753294631128</v>
      </c>
      <c r="Q249" s="69">
        <v>166800</v>
      </c>
      <c r="R249" s="64">
        <v>15827.833333333334</v>
      </c>
      <c r="S249" s="68">
        <f t="shared" si="5"/>
        <v>10.538397548622152</v>
      </c>
      <c r="T249" s="64">
        <v>300000</v>
      </c>
      <c r="U249" s="64">
        <v>15923</v>
      </c>
      <c r="V249" s="68">
        <f t="shared" si="6"/>
        <v>18.840670727877914</v>
      </c>
      <c r="W249" s="70">
        <f t="shared" si="7"/>
        <v>14.285607190377064</v>
      </c>
      <c r="X249" s="71">
        <f t="shared" si="8"/>
        <v>226280.33333333334</v>
      </c>
      <c r="AD249" s="52"/>
      <c r="AG249" s="52"/>
      <c r="AJ249" s="52"/>
      <c r="AK249" s="52"/>
      <c r="AL249" s="55"/>
      <c r="AO249" s="52"/>
      <c r="AR249" s="52"/>
      <c r="AU249" s="52"/>
      <c r="AV249" s="52"/>
      <c r="AW249" s="55"/>
    </row>
    <row r="250" spans="1:49" ht="15.75" customHeight="1">
      <c r="A250" s="16">
        <v>60402</v>
      </c>
      <c r="B250" s="63" t="s">
        <v>255</v>
      </c>
      <c r="C250" s="64">
        <v>5000</v>
      </c>
      <c r="D250" s="64">
        <v>5490</v>
      </c>
      <c r="E250" s="65">
        <f t="shared" si="0"/>
        <v>0.91074681238615662</v>
      </c>
      <c r="F250" s="64">
        <v>93000</v>
      </c>
      <c r="G250" s="64">
        <v>5428.666666666667</v>
      </c>
      <c r="H250" s="65">
        <f t="shared" si="1"/>
        <v>17.131278398624584</v>
      </c>
      <c r="I250" s="64">
        <v>0</v>
      </c>
      <c r="J250" s="64">
        <v>5367.333333333333</v>
      </c>
      <c r="K250" s="65">
        <f t="shared" si="2"/>
        <v>0</v>
      </c>
      <c r="L250" s="66">
        <f t="shared" si="3"/>
        <v>6.014008403670247</v>
      </c>
      <c r="M250" s="67">
        <f t="shared" si="25"/>
        <v>32666.666666666668</v>
      </c>
      <c r="N250" s="64">
        <v>15735</v>
      </c>
      <c r="O250" s="64">
        <v>4876.666666666667</v>
      </c>
      <c r="P250" s="68">
        <f t="shared" si="4"/>
        <v>3.2265892002734105</v>
      </c>
      <c r="Q250" s="69">
        <v>15581</v>
      </c>
      <c r="R250" s="64">
        <v>4815.333333333333</v>
      </c>
      <c r="S250" s="68">
        <f t="shared" si="5"/>
        <v>3.2357053855738616</v>
      </c>
      <c r="T250" s="64">
        <v>10500</v>
      </c>
      <c r="U250" s="64">
        <v>4754</v>
      </c>
      <c r="V250" s="68">
        <f t="shared" si="6"/>
        <v>2.2086663862010938</v>
      </c>
      <c r="W250" s="70">
        <f t="shared" si="7"/>
        <v>2.8903203240161219</v>
      </c>
      <c r="X250" s="71">
        <f t="shared" si="8"/>
        <v>13938.666666666666</v>
      </c>
      <c r="AD250" s="52"/>
      <c r="AG250" s="52"/>
      <c r="AJ250" s="52"/>
      <c r="AK250" s="52"/>
      <c r="AL250" s="55"/>
      <c r="AO250" s="52"/>
      <c r="AR250" s="52"/>
      <c r="AU250" s="52"/>
      <c r="AV250" s="52"/>
      <c r="AW250" s="55"/>
    </row>
    <row r="251" spans="1:49" ht="15.75" customHeight="1">
      <c r="A251" s="16">
        <v>60501</v>
      </c>
      <c r="B251" s="63" t="s">
        <v>256</v>
      </c>
      <c r="C251" s="64">
        <v>297460</v>
      </c>
      <c r="D251" s="64">
        <v>23863</v>
      </c>
      <c r="E251" s="65">
        <f t="shared" si="0"/>
        <v>12.465322884800738</v>
      </c>
      <c r="F251" s="64">
        <v>635293</v>
      </c>
      <c r="G251" s="64">
        <v>24403.25</v>
      </c>
      <c r="H251" s="65">
        <f t="shared" si="1"/>
        <v>26.033130832983311</v>
      </c>
      <c r="I251" s="64">
        <v>0</v>
      </c>
      <c r="J251" s="64">
        <v>24943.5</v>
      </c>
      <c r="K251" s="65">
        <f t="shared" si="2"/>
        <v>0</v>
      </c>
      <c r="L251" s="66">
        <f t="shared" si="3"/>
        <v>12.832817905928016</v>
      </c>
      <c r="M251" s="67">
        <f t="shared" si="25"/>
        <v>310917.66666666669</v>
      </c>
      <c r="N251" s="64">
        <v>160602</v>
      </c>
      <c r="O251" s="64">
        <v>29265.5</v>
      </c>
      <c r="P251" s="68">
        <f t="shared" si="4"/>
        <v>5.4877586236353384</v>
      </c>
      <c r="Q251" s="69">
        <v>745689</v>
      </c>
      <c r="R251" s="64">
        <v>29805.75</v>
      </c>
      <c r="S251" s="68">
        <f t="shared" si="5"/>
        <v>25.018293450089327</v>
      </c>
      <c r="T251" s="64">
        <v>0</v>
      </c>
      <c r="U251" s="64">
        <v>30346</v>
      </c>
      <c r="V251" s="68">
        <f t="shared" si="6"/>
        <v>0</v>
      </c>
      <c r="W251" s="70">
        <f t="shared" si="7"/>
        <v>10.168684024574889</v>
      </c>
      <c r="X251" s="71">
        <f t="shared" si="8"/>
        <v>302097</v>
      </c>
      <c r="AD251" s="52"/>
      <c r="AG251" s="52"/>
      <c r="AJ251" s="52"/>
      <c r="AK251" s="52"/>
      <c r="AL251" s="55"/>
      <c r="AO251" s="52"/>
      <c r="AR251" s="52"/>
      <c r="AU251" s="52"/>
      <c r="AV251" s="52"/>
      <c r="AW251" s="55"/>
    </row>
    <row r="252" spans="1:49" ht="15.75" customHeight="1">
      <c r="A252" s="16">
        <v>60502</v>
      </c>
      <c r="B252" s="63" t="s">
        <v>257</v>
      </c>
      <c r="C252" s="64">
        <v>50500</v>
      </c>
      <c r="D252" s="64">
        <v>11354</v>
      </c>
      <c r="E252" s="65">
        <f t="shared" si="0"/>
        <v>4.4477717104104277</v>
      </c>
      <c r="F252" s="64">
        <v>52500</v>
      </c>
      <c r="G252" s="64">
        <v>11201.416666666666</v>
      </c>
      <c r="H252" s="65">
        <f t="shared" si="1"/>
        <v>4.6869071620405158</v>
      </c>
      <c r="I252" s="64">
        <v>0</v>
      </c>
      <c r="J252" s="64">
        <v>11048.833333333334</v>
      </c>
      <c r="K252" s="65">
        <f t="shared" si="2"/>
        <v>0</v>
      </c>
      <c r="L252" s="66">
        <f t="shared" si="3"/>
        <v>3.0448929574836483</v>
      </c>
      <c r="M252" s="67">
        <f t="shared" si="25"/>
        <v>34333.333333333336</v>
      </c>
      <c r="N252" s="64">
        <v>71004</v>
      </c>
      <c r="O252" s="64">
        <v>9828.1666666666661</v>
      </c>
      <c r="P252" s="68">
        <f t="shared" si="4"/>
        <v>7.2245417083552379</v>
      </c>
      <c r="Q252" s="69">
        <v>81000</v>
      </c>
      <c r="R252" s="64">
        <v>9675.5833333333339</v>
      </c>
      <c r="S252" s="68">
        <f t="shared" si="5"/>
        <v>8.3715882763313143</v>
      </c>
      <c r="T252" s="64">
        <v>77000</v>
      </c>
      <c r="U252" s="64">
        <v>9523</v>
      </c>
      <c r="V252" s="68">
        <f t="shared" si="6"/>
        <v>8.0856872834190909</v>
      </c>
      <c r="W252" s="70">
        <f t="shared" si="7"/>
        <v>7.8939390893685477</v>
      </c>
      <c r="X252" s="71">
        <f t="shared" si="8"/>
        <v>76334.666666666672</v>
      </c>
      <c r="AD252" s="52"/>
      <c r="AG252" s="52"/>
      <c r="AJ252" s="52"/>
      <c r="AK252" s="52"/>
      <c r="AL252" s="55"/>
      <c r="AO252" s="52"/>
      <c r="AR252" s="52"/>
      <c r="AU252" s="52"/>
      <c r="AV252" s="52"/>
      <c r="AW252" s="55"/>
    </row>
    <row r="253" spans="1:49" ht="15.75" customHeight="1">
      <c r="A253" s="16">
        <v>60601</v>
      </c>
      <c r="B253" s="63" t="s">
        <v>159</v>
      </c>
      <c r="C253" s="64">
        <v>307702</v>
      </c>
      <c r="D253" s="64">
        <v>21991</v>
      </c>
      <c r="E253" s="65">
        <f t="shared" si="0"/>
        <v>13.992178618525761</v>
      </c>
      <c r="F253" s="64">
        <v>322982</v>
      </c>
      <c r="G253" s="64">
        <v>21897.083333333332</v>
      </c>
      <c r="H253" s="65">
        <f t="shared" si="1"/>
        <v>14.750000951420471</v>
      </c>
      <c r="I253" s="64">
        <v>0</v>
      </c>
      <c r="J253" s="64">
        <v>21803.166666666668</v>
      </c>
      <c r="K253" s="65">
        <f t="shared" si="2"/>
        <v>0</v>
      </c>
      <c r="L253" s="66">
        <f t="shared" si="3"/>
        <v>9.5807265233154109</v>
      </c>
      <c r="M253" s="67">
        <f t="shared" si="25"/>
        <v>210228</v>
      </c>
      <c r="N253" s="64">
        <v>268910</v>
      </c>
      <c r="O253" s="64">
        <v>21051.833333333332</v>
      </c>
      <c r="P253" s="68">
        <f t="shared" si="4"/>
        <v>12.773709336479008</v>
      </c>
      <c r="Q253" s="69">
        <v>263439</v>
      </c>
      <c r="R253" s="64">
        <v>20957.916666666668</v>
      </c>
      <c r="S253" s="68">
        <f t="shared" si="5"/>
        <v>12.56990397423408</v>
      </c>
      <c r="T253" s="64">
        <v>312569</v>
      </c>
      <c r="U253" s="64">
        <v>20864</v>
      </c>
      <c r="V253" s="68">
        <f t="shared" si="6"/>
        <v>14.981259585889571</v>
      </c>
      <c r="W253" s="70">
        <f t="shared" si="7"/>
        <v>13.441624298867552</v>
      </c>
      <c r="X253" s="71">
        <f t="shared" si="8"/>
        <v>281639.33333333331</v>
      </c>
      <c r="AD253" s="52"/>
      <c r="AG253" s="52"/>
      <c r="AJ253" s="52"/>
      <c r="AK253" s="52"/>
      <c r="AL253" s="55"/>
      <c r="AO253" s="52"/>
      <c r="AR253" s="52"/>
      <c r="AU253" s="52"/>
      <c r="AV253" s="52"/>
      <c r="AW253" s="55"/>
    </row>
    <row r="254" spans="1:49" ht="15.75" customHeight="1">
      <c r="A254" s="16">
        <v>70101</v>
      </c>
      <c r="B254" s="63" t="s">
        <v>258</v>
      </c>
      <c r="C254" s="64">
        <v>90796579</v>
      </c>
      <c r="D254" s="64">
        <v>1444425</v>
      </c>
      <c r="E254" s="65">
        <f t="shared" si="0"/>
        <v>62.86001626944978</v>
      </c>
      <c r="F254" s="64">
        <v>220257350</v>
      </c>
      <c r="G254" s="64">
        <v>1458304.75</v>
      </c>
      <c r="H254" s="65">
        <f t="shared" si="1"/>
        <v>151.03657174537764</v>
      </c>
      <c r="I254" s="64">
        <v>665000</v>
      </c>
      <c r="J254" s="64">
        <v>1472184.5</v>
      </c>
      <c r="K254" s="65">
        <f t="shared" si="2"/>
        <v>0.4517096872029287</v>
      </c>
      <c r="L254" s="66">
        <f t="shared" si="3"/>
        <v>71.44943256734345</v>
      </c>
      <c r="M254" s="67">
        <f t="shared" si="25"/>
        <v>103906309.66666667</v>
      </c>
      <c r="N254" s="64">
        <v>258147644</v>
      </c>
      <c r="O254" s="64">
        <v>1583222.5</v>
      </c>
      <c r="P254" s="68">
        <f t="shared" si="4"/>
        <v>163.05203090532126</v>
      </c>
      <c r="Q254" s="69">
        <v>315553843</v>
      </c>
      <c r="R254" s="64">
        <v>1597102.25</v>
      </c>
      <c r="S254" s="68">
        <f t="shared" si="5"/>
        <v>197.57898594157012</v>
      </c>
      <c r="T254" s="64">
        <v>352621164</v>
      </c>
      <c r="U254" s="64">
        <v>1610982</v>
      </c>
      <c r="V254" s="68">
        <f t="shared" si="6"/>
        <v>218.88584974878677</v>
      </c>
      <c r="W254" s="70">
        <f t="shared" si="7"/>
        <v>193.17228886522605</v>
      </c>
      <c r="X254" s="71">
        <f t="shared" si="8"/>
        <v>308774217</v>
      </c>
      <c r="AD254" s="52"/>
      <c r="AG254" s="52"/>
      <c r="AJ254" s="52"/>
      <c r="AK254" s="52"/>
      <c r="AL254" s="55"/>
      <c r="AO254" s="52"/>
      <c r="AR254" s="52"/>
      <c r="AU254" s="52"/>
      <c r="AV254" s="52"/>
      <c r="AW254" s="55"/>
    </row>
    <row r="255" spans="1:49" ht="15.75" customHeight="1">
      <c r="A255" s="16">
        <v>70102</v>
      </c>
      <c r="B255" s="63" t="s">
        <v>259</v>
      </c>
      <c r="C255" s="64">
        <v>1430325</v>
      </c>
      <c r="D255" s="64">
        <v>55633</v>
      </c>
      <c r="E255" s="65">
        <f t="shared" si="0"/>
        <v>25.71001024571747</v>
      </c>
      <c r="F255" s="64">
        <v>3350000</v>
      </c>
      <c r="G255" s="64">
        <v>59880.5</v>
      </c>
      <c r="H255" s="65">
        <f t="shared" si="1"/>
        <v>55.944756640308611</v>
      </c>
      <c r="I255" s="64">
        <v>0</v>
      </c>
      <c r="J255" s="64">
        <v>64128</v>
      </c>
      <c r="K255" s="65">
        <f t="shared" si="2"/>
        <v>0</v>
      </c>
      <c r="L255" s="66">
        <f t="shared" si="3"/>
        <v>27.218255628675362</v>
      </c>
      <c r="M255" s="67">
        <f t="shared" si="25"/>
        <v>1593441.6666666667</v>
      </c>
      <c r="N255" s="64">
        <v>3903000</v>
      </c>
      <c r="O255" s="64">
        <v>98108</v>
      </c>
      <c r="P255" s="68">
        <f t="shared" si="4"/>
        <v>39.782688465772416</v>
      </c>
      <c r="Q255" s="69">
        <v>4098150</v>
      </c>
      <c r="R255" s="64">
        <v>102355.5</v>
      </c>
      <c r="S255" s="68">
        <f t="shared" si="5"/>
        <v>40.038395591834345</v>
      </c>
      <c r="T255" s="64">
        <v>4643750</v>
      </c>
      <c r="U255" s="64">
        <v>106603</v>
      </c>
      <c r="V255" s="68">
        <f t="shared" si="6"/>
        <v>43.561156815474234</v>
      </c>
      <c r="W255" s="70">
        <f t="shared" si="7"/>
        <v>41.127413624360329</v>
      </c>
      <c r="X255" s="71">
        <f t="shared" si="8"/>
        <v>4214966.666666667</v>
      </c>
      <c r="AD255" s="52"/>
      <c r="AG255" s="52"/>
      <c r="AJ255" s="52"/>
      <c r="AK255" s="52"/>
      <c r="AL255" s="55"/>
      <c r="AO255" s="52"/>
      <c r="AR255" s="52"/>
      <c r="AU255" s="52"/>
      <c r="AV255" s="52"/>
      <c r="AW255" s="55"/>
    </row>
    <row r="256" spans="1:49" ht="15.75" customHeight="1">
      <c r="A256" s="16">
        <v>70103</v>
      </c>
      <c r="B256" s="63" t="s">
        <v>260</v>
      </c>
      <c r="C256" s="64">
        <v>269573</v>
      </c>
      <c r="D256" s="64">
        <v>15317</v>
      </c>
      <c r="E256" s="65">
        <f t="shared" si="0"/>
        <v>17.599595220996278</v>
      </c>
      <c r="F256" s="64">
        <v>269573</v>
      </c>
      <c r="G256" s="64">
        <v>15967.75</v>
      </c>
      <c r="H256" s="65">
        <f t="shared" si="1"/>
        <v>16.882340968514661</v>
      </c>
      <c r="I256" s="64">
        <v>0</v>
      </c>
      <c r="J256" s="64">
        <v>16618.5</v>
      </c>
      <c r="K256" s="65">
        <f t="shared" si="2"/>
        <v>0</v>
      </c>
      <c r="L256" s="66">
        <f t="shared" si="3"/>
        <v>11.49397872983698</v>
      </c>
      <c r="M256" s="67">
        <f t="shared" si="25"/>
        <v>179715.33333333334</v>
      </c>
      <c r="N256" s="64">
        <v>1681667</v>
      </c>
      <c r="O256" s="64">
        <v>21824.5</v>
      </c>
      <c r="P256" s="68">
        <f t="shared" si="4"/>
        <v>77.054090586267733</v>
      </c>
      <c r="Q256" s="69">
        <v>2476312</v>
      </c>
      <c r="R256" s="64">
        <v>22475.25</v>
      </c>
      <c r="S256" s="68">
        <f t="shared" si="5"/>
        <v>110.1795085705387</v>
      </c>
      <c r="T256" s="64">
        <v>3331829</v>
      </c>
      <c r="U256" s="64">
        <v>23126</v>
      </c>
      <c r="V256" s="68">
        <f t="shared" si="6"/>
        <v>144.07286171408805</v>
      </c>
      <c r="W256" s="70">
        <f t="shared" si="7"/>
        <v>110.43548695696484</v>
      </c>
      <c r="X256" s="71">
        <f t="shared" si="8"/>
        <v>2496602.6666666665</v>
      </c>
      <c r="AD256" s="52"/>
      <c r="AG256" s="52"/>
      <c r="AJ256" s="52"/>
      <c r="AK256" s="52"/>
      <c r="AL256" s="55"/>
      <c r="AO256" s="52"/>
      <c r="AR256" s="52"/>
      <c r="AU256" s="52"/>
      <c r="AV256" s="52"/>
      <c r="AW256" s="55"/>
    </row>
    <row r="257" spans="1:49" ht="15.75" customHeight="1">
      <c r="A257" s="16">
        <v>70104</v>
      </c>
      <c r="B257" s="63" t="s">
        <v>261</v>
      </c>
      <c r="C257" s="64">
        <v>2480000</v>
      </c>
      <c r="D257" s="64">
        <v>89284</v>
      </c>
      <c r="E257" s="65">
        <f t="shared" ref="E257:E344" si="86">C257/D257</f>
        <v>27.776533309439539</v>
      </c>
      <c r="F257" s="64">
        <v>3396000</v>
      </c>
      <c r="G257" s="64">
        <v>94154.166666666672</v>
      </c>
      <c r="H257" s="65">
        <f t="shared" ref="H257:H344" si="87">F257/G257</f>
        <v>36.068504668761335</v>
      </c>
      <c r="I257" s="64">
        <v>1500000</v>
      </c>
      <c r="J257" s="64">
        <v>99024.333333333328</v>
      </c>
      <c r="K257" s="65">
        <f t="shared" ref="K257:K344" si="88">I257/J257</f>
        <v>15.14779195685909</v>
      </c>
      <c r="L257" s="66">
        <f t="shared" ref="L257:L344" si="89">(E257+H257+K257)/3</f>
        <v>26.330943311686656</v>
      </c>
      <c r="M257" s="67">
        <f t="shared" ref="M257:M344" si="90">(C257+F257+I257)/3</f>
        <v>2458666.6666666665</v>
      </c>
      <c r="N257" s="64">
        <v>5200000</v>
      </c>
      <c r="O257" s="64">
        <v>137985.66666666669</v>
      </c>
      <c r="P257" s="68">
        <f t="shared" ref="P257:P344" si="91">N257/O257</f>
        <v>37.685073570443301</v>
      </c>
      <c r="Q257" s="69">
        <v>5400000</v>
      </c>
      <c r="R257" s="64">
        <v>142855.83333333334</v>
      </c>
      <c r="S257" s="68">
        <f t="shared" ref="S257:S344" si="92">Q257/R257</f>
        <v>37.800346503176279</v>
      </c>
      <c r="T257" s="64">
        <v>5278776</v>
      </c>
      <c r="U257" s="64">
        <v>147726</v>
      </c>
      <c r="V257" s="68">
        <f t="shared" ref="V257:V344" si="93">T257/U257</f>
        <v>35.733560781446734</v>
      </c>
      <c r="W257" s="70">
        <f t="shared" ref="W257:W344" si="94">(P257+S257+V257)/3</f>
        <v>37.07299361835544</v>
      </c>
      <c r="X257" s="71">
        <f t="shared" ref="X257:X344" si="95">(N257+Q257+T257)/3</f>
        <v>5292925.333333333</v>
      </c>
      <c r="AD257" s="52"/>
      <c r="AG257" s="52"/>
      <c r="AJ257" s="52"/>
      <c r="AK257" s="52"/>
      <c r="AL257" s="55"/>
      <c r="AO257" s="52"/>
      <c r="AR257" s="52"/>
      <c r="AU257" s="52"/>
      <c r="AV257" s="52"/>
      <c r="AW257" s="55"/>
    </row>
    <row r="258" spans="1:49" ht="15.75" customHeight="1">
      <c r="A258" s="16">
        <v>70105</v>
      </c>
      <c r="B258" s="63" t="s">
        <v>262</v>
      </c>
      <c r="C258" s="64">
        <v>600000</v>
      </c>
      <c r="D258" s="64">
        <v>49652</v>
      </c>
      <c r="E258" s="65">
        <f t="shared" si="86"/>
        <v>12.084105373398856</v>
      </c>
      <c r="F258" s="64">
        <v>1267032</v>
      </c>
      <c r="G258" s="64">
        <v>50155.75</v>
      </c>
      <c r="H258" s="65">
        <f t="shared" si="87"/>
        <v>25.261949028775366</v>
      </c>
      <c r="I258" s="64">
        <v>0</v>
      </c>
      <c r="J258" s="64">
        <v>50659.5</v>
      </c>
      <c r="K258" s="65">
        <f t="shared" si="88"/>
        <v>0</v>
      </c>
      <c r="L258" s="66">
        <f t="shared" si="89"/>
        <v>12.44868480072474</v>
      </c>
      <c r="M258" s="67">
        <f t="shared" si="90"/>
        <v>622344</v>
      </c>
      <c r="N258" s="64">
        <v>1081400</v>
      </c>
      <c r="O258" s="64">
        <v>54689.5</v>
      </c>
      <c r="P258" s="68">
        <f t="shared" si="91"/>
        <v>19.773448285319851</v>
      </c>
      <c r="Q258" s="69">
        <v>1418400</v>
      </c>
      <c r="R258" s="64">
        <v>55193.25</v>
      </c>
      <c r="S258" s="68">
        <f t="shared" si="92"/>
        <v>25.698794689568018</v>
      </c>
      <c r="T258" s="64">
        <v>1892592</v>
      </c>
      <c r="U258" s="64">
        <v>55697</v>
      </c>
      <c r="V258" s="68">
        <f t="shared" si="93"/>
        <v>33.980142557049753</v>
      </c>
      <c r="W258" s="70">
        <f t="shared" si="94"/>
        <v>26.484128510645874</v>
      </c>
      <c r="X258" s="71">
        <f t="shared" si="95"/>
        <v>1464130.6666666667</v>
      </c>
      <c r="AD258" s="52"/>
      <c r="AG258" s="52"/>
      <c r="AJ258" s="52"/>
      <c r="AK258" s="52"/>
      <c r="AL258" s="55"/>
      <c r="AO258" s="52"/>
      <c r="AR258" s="52"/>
      <c r="AU258" s="52"/>
      <c r="AV258" s="52"/>
      <c r="AW258" s="55"/>
    </row>
    <row r="259" spans="1:49" ht="15.75" customHeight="1">
      <c r="A259" s="16">
        <v>70201</v>
      </c>
      <c r="B259" s="63" t="s">
        <v>263</v>
      </c>
      <c r="C259" s="64">
        <v>2424000</v>
      </c>
      <c r="D259" s="64">
        <v>96406</v>
      </c>
      <c r="E259" s="65">
        <f t="shared" si="86"/>
        <v>25.143663257473602</v>
      </c>
      <c r="F259" s="64">
        <v>2725000</v>
      </c>
      <c r="G259" s="64">
        <v>100976.16666666667</v>
      </c>
      <c r="H259" s="65">
        <f t="shared" si="87"/>
        <v>26.986566136893689</v>
      </c>
      <c r="I259" s="64">
        <v>0</v>
      </c>
      <c r="J259" s="64">
        <v>105546.33333333333</v>
      </c>
      <c r="K259" s="65">
        <f t="shared" si="88"/>
        <v>0</v>
      </c>
      <c r="L259" s="66">
        <f t="shared" si="89"/>
        <v>17.376743131455765</v>
      </c>
      <c r="M259" s="67">
        <f t="shared" si="90"/>
        <v>1716333.3333333333</v>
      </c>
      <c r="N259" s="64">
        <v>12950000</v>
      </c>
      <c r="O259" s="64">
        <v>142107.66666666669</v>
      </c>
      <c r="P259" s="68">
        <f t="shared" si="91"/>
        <v>91.128088327394948</v>
      </c>
      <c r="Q259" s="69">
        <v>13500000</v>
      </c>
      <c r="R259" s="64">
        <v>146677.83333333334</v>
      </c>
      <c r="S259" s="68">
        <f t="shared" si="92"/>
        <v>92.038447072779675</v>
      </c>
      <c r="T259" s="64">
        <v>15274600</v>
      </c>
      <c r="U259" s="64">
        <v>151248</v>
      </c>
      <c r="V259" s="68">
        <f t="shared" si="93"/>
        <v>100.99042631968688</v>
      </c>
      <c r="W259" s="70">
        <f t="shared" si="94"/>
        <v>94.718987239953833</v>
      </c>
      <c r="X259" s="71">
        <f t="shared" si="95"/>
        <v>13908200</v>
      </c>
      <c r="AD259" s="52"/>
      <c r="AG259" s="52"/>
      <c r="AJ259" s="52"/>
      <c r="AK259" s="52"/>
      <c r="AL259" s="55"/>
      <c r="AO259" s="52"/>
      <c r="AR259" s="52"/>
      <c r="AU259" s="52"/>
      <c r="AV259" s="52"/>
      <c r="AW259" s="55"/>
    </row>
    <row r="260" spans="1:49" ht="15.75" customHeight="1">
      <c r="A260" s="16">
        <v>70202</v>
      </c>
      <c r="B260" s="63" t="s">
        <v>264</v>
      </c>
      <c r="C260" s="64">
        <v>200000</v>
      </c>
      <c r="D260" s="64">
        <v>12482</v>
      </c>
      <c r="E260" s="65">
        <f t="shared" si="86"/>
        <v>16.023073225444641</v>
      </c>
      <c r="F260" s="64">
        <v>86000</v>
      </c>
      <c r="G260" s="64">
        <v>12330.583333333334</v>
      </c>
      <c r="H260" s="65">
        <f t="shared" si="87"/>
        <v>6.9745281042394582</v>
      </c>
      <c r="I260" s="64">
        <v>0</v>
      </c>
      <c r="J260" s="64">
        <v>12179.166666666666</v>
      </c>
      <c r="K260" s="65">
        <f t="shared" si="88"/>
        <v>0</v>
      </c>
      <c r="L260" s="66">
        <f t="shared" si="89"/>
        <v>7.6658671098946991</v>
      </c>
      <c r="M260" s="67">
        <f t="shared" si="90"/>
        <v>95333.333333333328</v>
      </c>
      <c r="N260" s="64">
        <v>1283594</v>
      </c>
      <c r="O260" s="64">
        <v>10967.833333333334</v>
      </c>
      <c r="P260" s="68">
        <f t="shared" si="91"/>
        <v>117.03259531660765</v>
      </c>
      <c r="Q260" s="69">
        <v>175000</v>
      </c>
      <c r="R260" s="64">
        <v>10816.416666666666</v>
      </c>
      <c r="S260" s="68">
        <f t="shared" si="92"/>
        <v>16.179110457098393</v>
      </c>
      <c r="T260" s="64">
        <v>200000</v>
      </c>
      <c r="U260" s="64">
        <v>10665</v>
      </c>
      <c r="V260" s="68">
        <f t="shared" si="93"/>
        <v>18.75293014533521</v>
      </c>
      <c r="W260" s="70">
        <f t="shared" si="94"/>
        <v>50.654878639680419</v>
      </c>
      <c r="X260" s="71">
        <f t="shared" si="95"/>
        <v>552864.66666666663</v>
      </c>
      <c r="AD260" s="52"/>
      <c r="AG260" s="52"/>
      <c r="AJ260" s="52"/>
      <c r="AK260" s="52"/>
      <c r="AL260" s="55"/>
      <c r="AO260" s="52"/>
      <c r="AR260" s="52"/>
      <c r="AU260" s="52"/>
      <c r="AV260" s="52"/>
      <c r="AW260" s="55"/>
    </row>
    <row r="261" spans="1:49" ht="15.75" customHeight="1">
      <c r="A261" s="16">
        <v>70301</v>
      </c>
      <c r="B261" s="63" t="s">
        <v>265</v>
      </c>
      <c r="C261" s="64">
        <v>950000</v>
      </c>
      <c r="D261" s="64">
        <v>52362</v>
      </c>
      <c r="E261" s="65">
        <f t="shared" si="86"/>
        <v>18.142928077613536</v>
      </c>
      <c r="F261" s="64">
        <v>1050000</v>
      </c>
      <c r="G261" s="64">
        <v>53590.416666666664</v>
      </c>
      <c r="H261" s="65">
        <f t="shared" si="87"/>
        <v>19.593055350381366</v>
      </c>
      <c r="I261" s="64">
        <v>0</v>
      </c>
      <c r="J261" s="64">
        <v>54818.833333333336</v>
      </c>
      <c r="K261" s="65">
        <f t="shared" si="88"/>
        <v>0</v>
      </c>
      <c r="L261" s="66">
        <f t="shared" si="89"/>
        <v>12.578661142664968</v>
      </c>
      <c r="M261" s="67">
        <f t="shared" si="90"/>
        <v>666666.66666666663</v>
      </c>
      <c r="N261" s="64">
        <v>2227256</v>
      </c>
      <c r="O261" s="64">
        <v>64646.166666666672</v>
      </c>
      <c r="P261" s="68">
        <f t="shared" si="91"/>
        <v>34.453025056912367</v>
      </c>
      <c r="Q261" s="69">
        <v>2307855</v>
      </c>
      <c r="R261" s="64">
        <v>65874.583333333328</v>
      </c>
      <c r="S261" s="68">
        <f t="shared" si="92"/>
        <v>35.03407358680321</v>
      </c>
      <c r="T261" s="64">
        <v>2650000</v>
      </c>
      <c r="U261" s="64">
        <v>67103</v>
      </c>
      <c r="V261" s="68">
        <f t="shared" si="93"/>
        <v>39.491527949570063</v>
      </c>
      <c r="W261" s="70">
        <f t="shared" si="94"/>
        <v>36.326208864428544</v>
      </c>
      <c r="X261" s="71">
        <f t="shared" si="95"/>
        <v>2395037</v>
      </c>
      <c r="AD261" s="52"/>
      <c r="AG261" s="52"/>
      <c r="AJ261" s="52"/>
      <c r="AK261" s="52"/>
      <c r="AL261" s="55"/>
      <c r="AO261" s="52"/>
      <c r="AR261" s="52"/>
      <c r="AU261" s="52"/>
      <c r="AV261" s="52"/>
      <c r="AW261" s="55"/>
    </row>
    <row r="262" spans="1:49" ht="15.75" customHeight="1">
      <c r="A262" s="16">
        <v>70302</v>
      </c>
      <c r="B262" s="63" t="s">
        <v>266</v>
      </c>
      <c r="C262" s="64">
        <v>78000</v>
      </c>
      <c r="D262" s="64">
        <v>11327</v>
      </c>
      <c r="E262" s="65">
        <f t="shared" si="86"/>
        <v>6.8862011123863338</v>
      </c>
      <c r="F262" s="64">
        <v>75000</v>
      </c>
      <c r="G262" s="64">
        <v>11653</v>
      </c>
      <c r="H262" s="65">
        <f t="shared" si="87"/>
        <v>6.4361108727366343</v>
      </c>
      <c r="I262" s="64">
        <v>0</v>
      </c>
      <c r="J262" s="64">
        <v>11979</v>
      </c>
      <c r="K262" s="65">
        <f t="shared" si="88"/>
        <v>0</v>
      </c>
      <c r="L262" s="66">
        <f t="shared" si="89"/>
        <v>4.4407706617076563</v>
      </c>
      <c r="M262" s="67">
        <f t="shared" si="90"/>
        <v>51000</v>
      </c>
      <c r="N262" s="64">
        <v>120000</v>
      </c>
      <c r="O262" s="64">
        <v>14587</v>
      </c>
      <c r="P262" s="68">
        <f t="shared" si="91"/>
        <v>8.2265030506615471</v>
      </c>
      <c r="Q262" s="69">
        <v>137000</v>
      </c>
      <c r="R262" s="64">
        <v>14913</v>
      </c>
      <c r="S262" s="68">
        <f t="shared" si="92"/>
        <v>9.1866157044189638</v>
      </c>
      <c r="T262" s="64">
        <v>121670</v>
      </c>
      <c r="U262" s="64">
        <v>15239</v>
      </c>
      <c r="V262" s="68">
        <f t="shared" si="93"/>
        <v>7.9841196928932341</v>
      </c>
      <c r="W262" s="70">
        <f t="shared" si="94"/>
        <v>8.4657461493245822</v>
      </c>
      <c r="X262" s="71">
        <f t="shared" si="95"/>
        <v>126223.33333333333</v>
      </c>
      <c r="AD262" s="52"/>
      <c r="AG262" s="52"/>
      <c r="AJ262" s="52"/>
      <c r="AK262" s="52"/>
      <c r="AL262" s="55"/>
      <c r="AO262" s="52"/>
      <c r="AR262" s="52"/>
      <c r="AU262" s="52"/>
      <c r="AV262" s="52"/>
      <c r="AW262" s="55"/>
    </row>
    <row r="263" spans="1:49" ht="15.75" customHeight="1">
      <c r="A263" s="16">
        <v>70303</v>
      </c>
      <c r="B263" s="63" t="s">
        <v>267</v>
      </c>
      <c r="C263" s="64">
        <v>0</v>
      </c>
      <c r="D263" s="64">
        <v>6139</v>
      </c>
      <c r="E263" s="65">
        <f t="shared" si="86"/>
        <v>0</v>
      </c>
      <c r="F263" s="64">
        <v>20000</v>
      </c>
      <c r="G263" s="64">
        <v>6364.25</v>
      </c>
      <c r="H263" s="65">
        <f t="shared" si="87"/>
        <v>3.1425541108535961</v>
      </c>
      <c r="I263" s="64">
        <v>0</v>
      </c>
      <c r="J263" s="64">
        <v>6589.5</v>
      </c>
      <c r="K263" s="65">
        <f t="shared" si="88"/>
        <v>0</v>
      </c>
      <c r="L263" s="66">
        <f t="shared" si="89"/>
        <v>1.0475180369511987</v>
      </c>
      <c r="M263" s="67">
        <f t="shared" si="90"/>
        <v>6666.666666666667</v>
      </c>
      <c r="N263" s="64">
        <v>53822</v>
      </c>
      <c r="O263" s="64">
        <v>8391.5</v>
      </c>
      <c r="P263" s="68">
        <f t="shared" si="91"/>
        <v>6.4138711791693979</v>
      </c>
      <c r="Q263" s="69">
        <v>36000</v>
      </c>
      <c r="R263" s="64">
        <v>8616.75</v>
      </c>
      <c r="S263" s="68">
        <f t="shared" si="92"/>
        <v>4.1779093045521805</v>
      </c>
      <c r="T263" s="64">
        <v>36000</v>
      </c>
      <c r="U263" s="64">
        <v>8842</v>
      </c>
      <c r="V263" s="68">
        <f t="shared" si="93"/>
        <v>4.0714770413933499</v>
      </c>
      <c r="W263" s="70">
        <f t="shared" si="94"/>
        <v>4.8877525083716433</v>
      </c>
      <c r="X263" s="71">
        <f t="shared" si="95"/>
        <v>41940.666666666664</v>
      </c>
      <c r="AD263" s="52"/>
      <c r="AG263" s="52"/>
      <c r="AJ263" s="52"/>
      <c r="AK263" s="52"/>
      <c r="AL263" s="55"/>
      <c r="AO263" s="52"/>
      <c r="AR263" s="52"/>
      <c r="AU263" s="52"/>
      <c r="AV263" s="52"/>
      <c r="AW263" s="55"/>
    </row>
    <row r="264" spans="1:49" ht="15.75" customHeight="1">
      <c r="A264" s="16">
        <v>70401</v>
      </c>
      <c r="B264" s="63" t="s">
        <v>268</v>
      </c>
      <c r="C264" s="64">
        <v>140000</v>
      </c>
      <c r="D264" s="64">
        <v>12879</v>
      </c>
      <c r="E264" s="65">
        <f t="shared" si="86"/>
        <v>10.870409193260347</v>
      </c>
      <c r="F264" s="64">
        <v>233900</v>
      </c>
      <c r="G264" s="64">
        <v>12943.333333333334</v>
      </c>
      <c r="H264" s="65">
        <f t="shared" si="87"/>
        <v>18.071079062580477</v>
      </c>
      <c r="I264" s="64">
        <v>0</v>
      </c>
      <c r="J264" s="64">
        <v>13007.666666666666</v>
      </c>
      <c r="K264" s="65">
        <f t="shared" si="88"/>
        <v>0</v>
      </c>
      <c r="L264" s="66">
        <f t="shared" si="89"/>
        <v>9.6471627519469418</v>
      </c>
      <c r="M264" s="67">
        <f t="shared" si="90"/>
        <v>124633.33333333333</v>
      </c>
      <c r="N264" s="64">
        <v>163500</v>
      </c>
      <c r="O264" s="64">
        <v>13522.333333333334</v>
      </c>
      <c r="P264" s="68">
        <f t="shared" si="91"/>
        <v>12.091108536495181</v>
      </c>
      <c r="Q264" s="69">
        <v>355600</v>
      </c>
      <c r="R264" s="64">
        <v>13586.666666666666</v>
      </c>
      <c r="S264" s="68">
        <f t="shared" si="92"/>
        <v>26.172718351324828</v>
      </c>
      <c r="T264" s="64">
        <v>0</v>
      </c>
      <c r="U264" s="64">
        <v>13651</v>
      </c>
      <c r="V264" s="68">
        <f t="shared" si="93"/>
        <v>0</v>
      </c>
      <c r="W264" s="70">
        <f t="shared" si="94"/>
        <v>12.754608962606669</v>
      </c>
      <c r="X264" s="71">
        <f t="shared" si="95"/>
        <v>173033.33333333334</v>
      </c>
      <c r="AD264" s="52"/>
      <c r="AG264" s="52"/>
      <c r="AJ264" s="52"/>
      <c r="AK264" s="52"/>
      <c r="AL264" s="55"/>
      <c r="AO264" s="52"/>
      <c r="AR264" s="52"/>
      <c r="AU264" s="52"/>
      <c r="AV264" s="52"/>
      <c r="AW264" s="55"/>
    </row>
    <row r="265" spans="1:49" ht="15.75" customHeight="1">
      <c r="A265" s="16">
        <v>70402</v>
      </c>
      <c r="B265" s="63" t="s">
        <v>269</v>
      </c>
      <c r="C265" s="64">
        <v>85500</v>
      </c>
      <c r="D265" s="64">
        <v>20093</v>
      </c>
      <c r="E265" s="65">
        <f t="shared" si="86"/>
        <v>4.2552132583486788</v>
      </c>
      <c r="F265" s="64">
        <v>108917</v>
      </c>
      <c r="G265" s="64">
        <v>19997.083333333332</v>
      </c>
      <c r="H265" s="65">
        <f t="shared" si="87"/>
        <v>5.4466443022940849</v>
      </c>
      <c r="I265" s="64">
        <v>0</v>
      </c>
      <c r="J265" s="64">
        <v>19901.166666666668</v>
      </c>
      <c r="K265" s="65">
        <f t="shared" si="88"/>
        <v>0</v>
      </c>
      <c r="L265" s="66">
        <f t="shared" si="89"/>
        <v>3.2339525202142547</v>
      </c>
      <c r="M265" s="67">
        <f t="shared" si="90"/>
        <v>64805.666666666664</v>
      </c>
      <c r="N265" s="64">
        <v>400000</v>
      </c>
      <c r="O265" s="64">
        <v>19133.833333333332</v>
      </c>
      <c r="P265" s="68">
        <f t="shared" si="91"/>
        <v>20.905377037185442</v>
      </c>
      <c r="Q265" s="69">
        <v>400000</v>
      </c>
      <c r="R265" s="64">
        <v>19037.916666666668</v>
      </c>
      <c r="S265" s="68">
        <f t="shared" si="92"/>
        <v>21.010702326497558</v>
      </c>
      <c r="T265" s="64">
        <v>400000</v>
      </c>
      <c r="U265" s="64">
        <v>18942</v>
      </c>
      <c r="V265" s="68">
        <f t="shared" si="93"/>
        <v>21.117094287825996</v>
      </c>
      <c r="W265" s="70">
        <f t="shared" si="94"/>
        <v>21.01105788383633</v>
      </c>
      <c r="X265" s="71">
        <f t="shared" si="95"/>
        <v>400000</v>
      </c>
      <c r="AD265" s="52"/>
      <c r="AG265" s="52"/>
      <c r="AJ265" s="52"/>
      <c r="AK265" s="52"/>
      <c r="AL265" s="55"/>
      <c r="AO265" s="52"/>
      <c r="AR265" s="52"/>
      <c r="AU265" s="52"/>
      <c r="AV265" s="52"/>
      <c r="AW265" s="55"/>
    </row>
    <row r="266" spans="1:49" ht="15.75" customHeight="1">
      <c r="A266" s="16">
        <v>70403</v>
      </c>
      <c r="B266" s="63" t="s">
        <v>270</v>
      </c>
      <c r="C266" s="64">
        <v>593642</v>
      </c>
      <c r="D266" s="64">
        <v>50558</v>
      </c>
      <c r="E266" s="65">
        <f t="shared" si="86"/>
        <v>11.741801495312314</v>
      </c>
      <c r="F266" s="64">
        <v>400000</v>
      </c>
      <c r="G266" s="64">
        <v>51161</v>
      </c>
      <c r="H266" s="65">
        <f t="shared" si="87"/>
        <v>7.8184554641230628</v>
      </c>
      <c r="I266" s="64">
        <v>0</v>
      </c>
      <c r="J266" s="64">
        <v>51764</v>
      </c>
      <c r="K266" s="65">
        <f t="shared" si="88"/>
        <v>0</v>
      </c>
      <c r="L266" s="66">
        <f t="shared" si="89"/>
        <v>6.5200856531451263</v>
      </c>
      <c r="M266" s="67">
        <f t="shared" si="90"/>
        <v>331214</v>
      </c>
      <c r="N266" s="64">
        <v>3335689</v>
      </c>
      <c r="O266" s="64">
        <v>56588</v>
      </c>
      <c r="P266" s="68">
        <f t="shared" si="91"/>
        <v>58.94693221177635</v>
      </c>
      <c r="Q266" s="69">
        <v>3825448</v>
      </c>
      <c r="R266" s="64">
        <v>57191</v>
      </c>
      <c r="S266" s="68">
        <f t="shared" si="92"/>
        <v>66.888986029270342</v>
      </c>
      <c r="T266" s="64">
        <v>3781000</v>
      </c>
      <c r="U266" s="64">
        <v>57794</v>
      </c>
      <c r="V266" s="68">
        <f t="shared" si="93"/>
        <v>65.422016126241473</v>
      </c>
      <c r="W266" s="70">
        <f t="shared" si="94"/>
        <v>63.752644789096053</v>
      </c>
      <c r="X266" s="71">
        <f t="shared" si="95"/>
        <v>3647379</v>
      </c>
      <c r="AD266" s="52"/>
      <c r="AG266" s="52"/>
      <c r="AJ266" s="52"/>
      <c r="AK266" s="52"/>
      <c r="AL266" s="55"/>
      <c r="AO266" s="52"/>
      <c r="AR266" s="52"/>
      <c r="AU266" s="52"/>
      <c r="AV266" s="52"/>
      <c r="AW266" s="55"/>
    </row>
    <row r="267" spans="1:49" ht="15.75" customHeight="1">
      <c r="A267" s="16">
        <v>70404</v>
      </c>
      <c r="B267" s="63" t="s">
        <v>271</v>
      </c>
      <c r="C267" s="64">
        <v>80000</v>
      </c>
      <c r="D267" s="64">
        <v>9191</v>
      </c>
      <c r="E267" s="65">
        <f t="shared" si="86"/>
        <v>8.7041671200087034</v>
      </c>
      <c r="F267" s="64">
        <v>100000</v>
      </c>
      <c r="G267" s="64">
        <v>9275.0833333333339</v>
      </c>
      <c r="H267" s="65">
        <f t="shared" si="87"/>
        <v>10.781574289539178</v>
      </c>
      <c r="I267" s="64">
        <v>0</v>
      </c>
      <c r="J267" s="64">
        <v>9359.1666666666661</v>
      </c>
      <c r="K267" s="65">
        <f t="shared" si="88"/>
        <v>0</v>
      </c>
      <c r="L267" s="66">
        <f t="shared" si="89"/>
        <v>6.4952471365159603</v>
      </c>
      <c r="M267" s="67">
        <f t="shared" si="90"/>
        <v>60000</v>
      </c>
      <c r="N267" s="64">
        <v>521031</v>
      </c>
      <c r="O267" s="64">
        <v>10031.833333333334</v>
      </c>
      <c r="P267" s="68">
        <f t="shared" si="91"/>
        <v>51.937764782110278</v>
      </c>
      <c r="Q267" s="69">
        <v>671031</v>
      </c>
      <c r="R267" s="64">
        <v>10115.916666666666</v>
      </c>
      <c r="S267" s="68">
        <f t="shared" si="92"/>
        <v>66.33417633926733</v>
      </c>
      <c r="T267" s="64">
        <v>0</v>
      </c>
      <c r="U267" s="64">
        <v>10200</v>
      </c>
      <c r="V267" s="68">
        <f t="shared" si="93"/>
        <v>0</v>
      </c>
      <c r="W267" s="70">
        <f t="shared" si="94"/>
        <v>39.423980373792539</v>
      </c>
      <c r="X267" s="71">
        <f t="shared" si="95"/>
        <v>397354</v>
      </c>
      <c r="AD267" s="52"/>
      <c r="AG267" s="52"/>
      <c r="AJ267" s="52"/>
      <c r="AK267" s="52"/>
      <c r="AL267" s="55"/>
      <c r="AO267" s="52"/>
      <c r="AR267" s="52"/>
      <c r="AU267" s="52"/>
      <c r="AV267" s="52"/>
      <c r="AW267" s="55"/>
    </row>
    <row r="268" spans="1:49" ht="15.75" customHeight="1">
      <c r="A268" s="16">
        <v>70501</v>
      </c>
      <c r="B268" s="63" t="s">
        <v>272</v>
      </c>
      <c r="C268" s="64">
        <v>555000</v>
      </c>
      <c r="D268" s="64">
        <v>28922</v>
      </c>
      <c r="E268" s="65">
        <f t="shared" si="86"/>
        <v>19.18954429154277</v>
      </c>
      <c r="F268" s="64">
        <v>725000</v>
      </c>
      <c r="G268" s="64">
        <v>29926.333333333332</v>
      </c>
      <c r="H268" s="65">
        <f t="shared" si="87"/>
        <v>24.226155336994175</v>
      </c>
      <c r="I268" s="64">
        <v>0</v>
      </c>
      <c r="J268" s="64">
        <v>30930.666666666668</v>
      </c>
      <c r="K268" s="65">
        <f t="shared" si="88"/>
        <v>0</v>
      </c>
      <c r="L268" s="66">
        <f t="shared" si="89"/>
        <v>14.471899876178981</v>
      </c>
      <c r="M268" s="67">
        <f t="shared" si="90"/>
        <v>426666.66666666669</v>
      </c>
      <c r="N268" s="64">
        <v>546432</v>
      </c>
      <c r="O268" s="64">
        <v>38965.333333333336</v>
      </c>
      <c r="P268" s="68">
        <f t="shared" si="91"/>
        <v>14.023542294004926</v>
      </c>
      <c r="Q268" s="69">
        <v>650307</v>
      </c>
      <c r="R268" s="64">
        <v>39969.666666666672</v>
      </c>
      <c r="S268" s="68">
        <f t="shared" si="92"/>
        <v>16.270013093262389</v>
      </c>
      <c r="T268" s="64">
        <v>448540</v>
      </c>
      <c r="U268" s="64">
        <v>40974</v>
      </c>
      <c r="V268" s="68">
        <f t="shared" si="93"/>
        <v>10.946941963196172</v>
      </c>
      <c r="W268" s="70">
        <f t="shared" si="94"/>
        <v>13.746832450154495</v>
      </c>
      <c r="X268" s="71">
        <f t="shared" si="95"/>
        <v>548426.33333333337</v>
      </c>
      <c r="AD268" s="52"/>
      <c r="AG268" s="52"/>
      <c r="AJ268" s="52"/>
      <c r="AK268" s="52"/>
      <c r="AL268" s="55"/>
      <c r="AO268" s="52"/>
      <c r="AR268" s="52"/>
      <c r="AU268" s="52"/>
      <c r="AV268" s="52"/>
      <c r="AW268" s="55"/>
    </row>
    <row r="269" spans="1:49" ht="15.75" customHeight="1">
      <c r="A269" s="16">
        <v>70502</v>
      </c>
      <c r="B269" s="63" t="s">
        <v>273</v>
      </c>
      <c r="C269" s="64">
        <v>522850</v>
      </c>
      <c r="D269" s="64">
        <v>37866</v>
      </c>
      <c r="E269" s="65">
        <f t="shared" si="86"/>
        <v>13.807901547562457</v>
      </c>
      <c r="F269" s="64">
        <v>0</v>
      </c>
      <c r="G269" s="64">
        <v>39251.75</v>
      </c>
      <c r="H269" s="65">
        <f t="shared" si="87"/>
        <v>0</v>
      </c>
      <c r="I269" s="64">
        <v>0</v>
      </c>
      <c r="J269" s="64">
        <v>40637.5</v>
      </c>
      <c r="K269" s="65">
        <f t="shared" si="88"/>
        <v>0</v>
      </c>
      <c r="L269" s="66">
        <f t="shared" si="89"/>
        <v>4.6026338491874856</v>
      </c>
      <c r="M269" s="67">
        <f t="shared" si="90"/>
        <v>174283.33333333334</v>
      </c>
      <c r="N269" s="64">
        <v>903650</v>
      </c>
      <c r="O269" s="64">
        <v>51723.5</v>
      </c>
      <c r="P269" s="68">
        <f t="shared" si="91"/>
        <v>17.470782139646388</v>
      </c>
      <c r="Q269" s="69">
        <v>903650</v>
      </c>
      <c r="R269" s="64">
        <v>53109.25</v>
      </c>
      <c r="S269" s="68">
        <f t="shared" si="92"/>
        <v>17.014926778291919</v>
      </c>
      <c r="T269" s="64">
        <v>891075</v>
      </c>
      <c r="U269" s="64">
        <v>54495</v>
      </c>
      <c r="V269" s="68">
        <f t="shared" si="93"/>
        <v>16.351500137627305</v>
      </c>
      <c r="W269" s="70">
        <f t="shared" si="94"/>
        <v>16.945736351855206</v>
      </c>
      <c r="X269" s="71">
        <f t="shared" si="95"/>
        <v>899458.33333333337</v>
      </c>
      <c r="AD269" s="52"/>
      <c r="AG269" s="52"/>
      <c r="AJ269" s="52"/>
      <c r="AK269" s="52"/>
      <c r="AL269" s="55"/>
      <c r="AO269" s="52"/>
      <c r="AR269" s="52"/>
      <c r="AU269" s="52"/>
      <c r="AV269" s="52"/>
      <c r="AW269" s="55"/>
    </row>
    <row r="270" spans="1:49" ht="15.75" customHeight="1">
      <c r="A270" s="16">
        <v>70503</v>
      </c>
      <c r="B270" s="63" t="s">
        <v>274</v>
      </c>
      <c r="C270" s="64">
        <v>383000</v>
      </c>
      <c r="D270" s="64">
        <v>15641</v>
      </c>
      <c r="E270" s="65">
        <f t="shared" si="86"/>
        <v>24.486925388402277</v>
      </c>
      <c r="F270" s="64">
        <v>533000</v>
      </c>
      <c r="G270" s="64">
        <v>15901.166666666666</v>
      </c>
      <c r="H270" s="65">
        <f t="shared" si="87"/>
        <v>33.519553072625698</v>
      </c>
      <c r="I270" s="64">
        <v>0</v>
      </c>
      <c r="J270" s="64">
        <v>16161.333333333334</v>
      </c>
      <c r="K270" s="65">
        <f t="shared" si="88"/>
        <v>0</v>
      </c>
      <c r="L270" s="66">
        <f t="shared" si="89"/>
        <v>19.335492820342658</v>
      </c>
      <c r="M270" s="67">
        <f t="shared" si="90"/>
        <v>305333.33333333331</v>
      </c>
      <c r="N270" s="64">
        <v>260500</v>
      </c>
      <c r="O270" s="64">
        <v>18242.666666666668</v>
      </c>
      <c r="P270" s="68">
        <f t="shared" si="91"/>
        <v>14.279710568630316</v>
      </c>
      <c r="Q270" s="69">
        <v>255000</v>
      </c>
      <c r="R270" s="64">
        <v>18502.833333333332</v>
      </c>
      <c r="S270" s="68">
        <f t="shared" si="92"/>
        <v>13.781673077096302</v>
      </c>
      <c r="T270" s="64">
        <v>300000</v>
      </c>
      <c r="U270" s="64">
        <v>18763</v>
      </c>
      <c r="V270" s="68">
        <f t="shared" si="93"/>
        <v>15.988914352715451</v>
      </c>
      <c r="W270" s="70">
        <f t="shared" si="94"/>
        <v>14.683432666147356</v>
      </c>
      <c r="X270" s="71">
        <f t="shared" si="95"/>
        <v>271833.33333333331</v>
      </c>
      <c r="AD270" s="52"/>
      <c r="AG270" s="52"/>
      <c r="AJ270" s="52"/>
      <c r="AK270" s="52"/>
      <c r="AL270" s="55"/>
      <c r="AO270" s="52"/>
      <c r="AR270" s="52"/>
      <c r="AU270" s="52"/>
      <c r="AV270" s="52"/>
      <c r="AW270" s="55"/>
    </row>
    <row r="271" spans="1:49" ht="15.75" customHeight="1">
      <c r="A271" s="16">
        <v>70601</v>
      </c>
      <c r="B271" s="63" t="s">
        <v>275</v>
      </c>
      <c r="C271" s="64">
        <v>517000</v>
      </c>
      <c r="D271" s="64">
        <v>17885</v>
      </c>
      <c r="E271" s="65">
        <f t="shared" si="86"/>
        <v>28.906905227844561</v>
      </c>
      <c r="F271" s="64">
        <v>580000</v>
      </c>
      <c r="G271" s="64">
        <v>18123.166666666668</v>
      </c>
      <c r="H271" s="65">
        <f t="shared" si="87"/>
        <v>32.00323710904091</v>
      </c>
      <c r="I271" s="64">
        <v>0</v>
      </c>
      <c r="J271" s="64">
        <v>18361.333333333332</v>
      </c>
      <c r="K271" s="65">
        <f t="shared" si="88"/>
        <v>0</v>
      </c>
      <c r="L271" s="66">
        <f t="shared" si="89"/>
        <v>20.303380778961824</v>
      </c>
      <c r="M271" s="67">
        <f t="shared" si="90"/>
        <v>365666.66666666669</v>
      </c>
      <c r="N271" s="64">
        <v>1020000</v>
      </c>
      <c r="O271" s="64">
        <v>20266.666666666668</v>
      </c>
      <c r="P271" s="68">
        <f t="shared" si="91"/>
        <v>50.328947368421048</v>
      </c>
      <c r="Q271" s="69">
        <v>1050001</v>
      </c>
      <c r="R271" s="64">
        <v>20504.833333333332</v>
      </c>
      <c r="S271" s="68">
        <f t="shared" si="92"/>
        <v>51.20748766550976</v>
      </c>
      <c r="T271" s="64">
        <v>850000</v>
      </c>
      <c r="U271" s="64">
        <v>20743</v>
      </c>
      <c r="V271" s="68">
        <f t="shared" si="93"/>
        <v>40.977679217085281</v>
      </c>
      <c r="W271" s="70">
        <f t="shared" si="94"/>
        <v>47.504704750338703</v>
      </c>
      <c r="X271" s="71">
        <f t="shared" si="95"/>
        <v>973333.66666666663</v>
      </c>
      <c r="AD271" s="52"/>
      <c r="AG271" s="52"/>
      <c r="AJ271" s="52"/>
      <c r="AK271" s="52"/>
      <c r="AL271" s="55"/>
      <c r="AO271" s="52"/>
      <c r="AR271" s="52"/>
      <c r="AU271" s="52"/>
      <c r="AV271" s="52"/>
      <c r="AW271" s="55"/>
    </row>
    <row r="272" spans="1:49" ht="15.75" customHeight="1">
      <c r="A272" s="16">
        <v>70602</v>
      </c>
      <c r="B272" s="63" t="s">
        <v>276</v>
      </c>
      <c r="C272" s="64">
        <v>117999</v>
      </c>
      <c r="D272" s="64">
        <v>19217</v>
      </c>
      <c r="E272" s="65">
        <f t="shared" si="86"/>
        <v>6.1403444866524435</v>
      </c>
      <c r="F272" s="64">
        <v>97419</v>
      </c>
      <c r="G272" s="64">
        <v>19115.5</v>
      </c>
      <c r="H272" s="65">
        <f t="shared" si="87"/>
        <v>5.0963354345949625</v>
      </c>
      <c r="I272" s="64">
        <v>0</v>
      </c>
      <c r="J272" s="64">
        <v>19014</v>
      </c>
      <c r="K272" s="65">
        <f t="shared" si="88"/>
        <v>0</v>
      </c>
      <c r="L272" s="66">
        <f t="shared" si="89"/>
        <v>3.7455599737491352</v>
      </c>
      <c r="M272" s="67">
        <f t="shared" si="90"/>
        <v>71806</v>
      </c>
      <c r="N272" s="64">
        <v>0</v>
      </c>
      <c r="O272" s="64">
        <v>18202</v>
      </c>
      <c r="P272" s="68">
        <f t="shared" si="91"/>
        <v>0</v>
      </c>
      <c r="Q272" s="69">
        <v>105000</v>
      </c>
      <c r="R272" s="64">
        <v>18100.5</v>
      </c>
      <c r="S272" s="68">
        <f t="shared" si="92"/>
        <v>5.8009447252838315</v>
      </c>
      <c r="T272" s="64">
        <v>105000</v>
      </c>
      <c r="U272" s="64">
        <v>17999</v>
      </c>
      <c r="V272" s="68">
        <f t="shared" si="93"/>
        <v>5.8336574254125226</v>
      </c>
      <c r="W272" s="70">
        <f t="shared" si="94"/>
        <v>3.8782007168987849</v>
      </c>
      <c r="X272" s="71">
        <f t="shared" si="95"/>
        <v>70000</v>
      </c>
      <c r="AD272" s="52"/>
      <c r="AG272" s="52"/>
      <c r="AJ272" s="52"/>
      <c r="AK272" s="52"/>
      <c r="AL272" s="55"/>
      <c r="AO272" s="52"/>
      <c r="AR272" s="52"/>
      <c r="AU272" s="52"/>
      <c r="AV272" s="52"/>
      <c r="AW272" s="55"/>
    </row>
    <row r="273" spans="1:49" ht="15.75" customHeight="1">
      <c r="A273" s="16">
        <v>70603</v>
      </c>
      <c r="B273" s="63" t="s">
        <v>277</v>
      </c>
      <c r="C273" s="64">
        <v>190000</v>
      </c>
      <c r="D273" s="64">
        <v>6069</v>
      </c>
      <c r="E273" s="65">
        <f t="shared" si="86"/>
        <v>31.306640303180096</v>
      </c>
      <c r="F273" s="64">
        <v>170000</v>
      </c>
      <c r="G273" s="64">
        <v>6063.833333333333</v>
      </c>
      <c r="H273" s="65">
        <f t="shared" si="87"/>
        <v>28.035071324519695</v>
      </c>
      <c r="I273" s="64">
        <v>0</v>
      </c>
      <c r="J273" s="64">
        <v>6058.666666666667</v>
      </c>
      <c r="K273" s="65">
        <f t="shared" si="88"/>
        <v>0</v>
      </c>
      <c r="L273" s="66">
        <f t="shared" si="89"/>
        <v>19.780570542566597</v>
      </c>
      <c r="M273" s="67">
        <f t="shared" si="90"/>
        <v>120000</v>
      </c>
      <c r="N273" s="64">
        <v>1716000</v>
      </c>
      <c r="O273" s="64">
        <v>6017.333333333333</v>
      </c>
      <c r="P273" s="68">
        <f t="shared" si="91"/>
        <v>285.17615776645249</v>
      </c>
      <c r="Q273" s="69">
        <v>178000</v>
      </c>
      <c r="R273" s="64">
        <v>6012.166666666667</v>
      </c>
      <c r="S273" s="68">
        <f t="shared" si="92"/>
        <v>29.606630998253539</v>
      </c>
      <c r="T273" s="64">
        <v>99000</v>
      </c>
      <c r="U273" s="64">
        <v>6007</v>
      </c>
      <c r="V273" s="68">
        <f t="shared" si="93"/>
        <v>16.480772432162478</v>
      </c>
      <c r="W273" s="70">
        <f t="shared" si="94"/>
        <v>110.42118706562285</v>
      </c>
      <c r="X273" s="71">
        <f t="shared" si="95"/>
        <v>664333.33333333337</v>
      </c>
      <c r="AD273" s="52"/>
      <c r="AG273" s="52"/>
      <c r="AJ273" s="52"/>
      <c r="AK273" s="52"/>
      <c r="AL273" s="55"/>
      <c r="AO273" s="52"/>
      <c r="AR273" s="52"/>
      <c r="AU273" s="52"/>
      <c r="AV273" s="52"/>
      <c r="AW273" s="55"/>
    </row>
    <row r="274" spans="1:49" ht="15.75" customHeight="1">
      <c r="A274" s="16">
        <v>70701</v>
      </c>
      <c r="B274" s="63" t="s">
        <v>278</v>
      </c>
      <c r="C274" s="64">
        <v>50000</v>
      </c>
      <c r="D274" s="64">
        <v>5366</v>
      </c>
      <c r="E274" s="65">
        <f t="shared" si="86"/>
        <v>9.3179276928811028</v>
      </c>
      <c r="F274" s="64">
        <v>30000</v>
      </c>
      <c r="G274" s="64">
        <v>5414.333333333333</v>
      </c>
      <c r="H274" s="65">
        <f t="shared" si="87"/>
        <v>5.5408483654497322</v>
      </c>
      <c r="I274" s="64">
        <v>0</v>
      </c>
      <c r="J274" s="64">
        <v>5462.666666666667</v>
      </c>
      <c r="K274" s="65">
        <f t="shared" si="88"/>
        <v>0</v>
      </c>
      <c r="L274" s="66">
        <f t="shared" si="89"/>
        <v>4.952925352776945</v>
      </c>
      <c r="M274" s="67">
        <f t="shared" si="90"/>
        <v>26666.666666666668</v>
      </c>
      <c r="N274" s="64">
        <v>30000</v>
      </c>
      <c r="O274" s="64">
        <v>5849.333333333333</v>
      </c>
      <c r="P274" s="68">
        <f t="shared" si="91"/>
        <v>5.1287896056530657</v>
      </c>
      <c r="Q274" s="69">
        <v>30000</v>
      </c>
      <c r="R274" s="64">
        <v>5897.666666666667</v>
      </c>
      <c r="S274" s="68">
        <f t="shared" si="92"/>
        <v>5.0867574747075111</v>
      </c>
      <c r="T274" s="64">
        <v>30000</v>
      </c>
      <c r="U274" s="64">
        <v>5946</v>
      </c>
      <c r="V274" s="68">
        <f t="shared" si="93"/>
        <v>5.0454086781029259</v>
      </c>
      <c r="W274" s="70">
        <f t="shared" si="94"/>
        <v>5.0869852528211679</v>
      </c>
      <c r="X274" s="71">
        <f t="shared" si="95"/>
        <v>30000</v>
      </c>
      <c r="AD274" s="52"/>
      <c r="AG274" s="52"/>
      <c r="AJ274" s="52"/>
      <c r="AK274" s="52"/>
      <c r="AL274" s="55"/>
      <c r="AO274" s="52"/>
      <c r="AR274" s="52"/>
      <c r="AU274" s="52"/>
      <c r="AV274" s="52"/>
      <c r="AW274" s="55"/>
    </row>
    <row r="275" spans="1:49" ht="15.75" customHeight="1">
      <c r="A275" s="16">
        <v>70702</v>
      </c>
      <c r="B275" s="63" t="s">
        <v>279</v>
      </c>
      <c r="C275" s="64">
        <v>0</v>
      </c>
      <c r="D275" s="64">
        <v>32186</v>
      </c>
      <c r="E275" s="65">
        <f t="shared" si="86"/>
        <v>0</v>
      </c>
      <c r="F275" s="64">
        <v>0</v>
      </c>
      <c r="G275" s="64">
        <v>32705.5</v>
      </c>
      <c r="H275" s="65">
        <f t="shared" si="87"/>
        <v>0</v>
      </c>
      <c r="I275" s="64">
        <v>0</v>
      </c>
      <c r="J275" s="64">
        <v>33225</v>
      </c>
      <c r="K275" s="65">
        <f t="shared" si="88"/>
        <v>0</v>
      </c>
      <c r="L275" s="66">
        <f t="shared" si="89"/>
        <v>0</v>
      </c>
      <c r="M275" s="67">
        <f t="shared" si="90"/>
        <v>0</v>
      </c>
      <c r="N275" s="64">
        <v>240808</v>
      </c>
      <c r="O275" s="64">
        <v>37381</v>
      </c>
      <c r="P275" s="68">
        <f t="shared" si="91"/>
        <v>6.4419892458735726</v>
      </c>
      <c r="Q275" s="69">
        <v>0</v>
      </c>
      <c r="R275" s="64">
        <v>37900.5</v>
      </c>
      <c r="S275" s="68">
        <f t="shared" si="92"/>
        <v>0</v>
      </c>
      <c r="T275" s="64">
        <v>0</v>
      </c>
      <c r="U275" s="64">
        <v>38420</v>
      </c>
      <c r="V275" s="68">
        <f t="shared" si="93"/>
        <v>0</v>
      </c>
      <c r="W275" s="70">
        <f t="shared" si="94"/>
        <v>2.1473297486245242</v>
      </c>
      <c r="X275" s="71">
        <f t="shared" si="95"/>
        <v>80269.333333333328</v>
      </c>
      <c r="AD275" s="52"/>
      <c r="AG275" s="52"/>
      <c r="AJ275" s="52"/>
      <c r="AK275" s="52"/>
      <c r="AL275" s="55"/>
      <c r="AO275" s="52"/>
      <c r="AR275" s="52"/>
      <c r="AU275" s="52"/>
      <c r="AV275" s="52"/>
      <c r="AW275" s="55"/>
    </row>
    <row r="276" spans="1:49" ht="15.75" customHeight="1">
      <c r="A276" s="16">
        <v>70703</v>
      </c>
      <c r="B276" s="63" t="s">
        <v>280</v>
      </c>
      <c r="C276" s="64">
        <v>90000</v>
      </c>
      <c r="D276" s="64">
        <v>26434</v>
      </c>
      <c r="E276" s="65">
        <f t="shared" si="86"/>
        <v>3.4047060603767876</v>
      </c>
      <c r="F276" s="64">
        <v>110000</v>
      </c>
      <c r="G276" s="64">
        <v>26977.916666666668</v>
      </c>
      <c r="H276" s="65">
        <f t="shared" si="87"/>
        <v>4.0774089919224057</v>
      </c>
      <c r="I276" s="64">
        <v>0</v>
      </c>
      <c r="J276" s="64">
        <v>27521.833333333332</v>
      </c>
      <c r="K276" s="65">
        <f t="shared" si="88"/>
        <v>0</v>
      </c>
      <c r="L276" s="66">
        <f t="shared" si="89"/>
        <v>2.4940383507663975</v>
      </c>
      <c r="M276" s="67">
        <f t="shared" si="90"/>
        <v>66666.666666666672</v>
      </c>
      <c r="N276" s="64">
        <v>117500</v>
      </c>
      <c r="O276" s="64">
        <v>31873.166666666664</v>
      </c>
      <c r="P276" s="68">
        <f t="shared" si="91"/>
        <v>3.6864865430168536</v>
      </c>
      <c r="Q276" s="69">
        <v>126490</v>
      </c>
      <c r="R276" s="64">
        <v>32417.083333333332</v>
      </c>
      <c r="S276" s="68">
        <f t="shared" si="92"/>
        <v>3.9019549877250936</v>
      </c>
      <c r="T276" s="64">
        <v>124668</v>
      </c>
      <c r="U276" s="64">
        <v>32961</v>
      </c>
      <c r="V276" s="68">
        <f t="shared" si="93"/>
        <v>3.7822881587330484</v>
      </c>
      <c r="W276" s="70">
        <f t="shared" si="94"/>
        <v>3.7902432298249984</v>
      </c>
      <c r="X276" s="71">
        <f t="shared" si="95"/>
        <v>122886</v>
      </c>
      <c r="AD276" s="52"/>
      <c r="AG276" s="52"/>
      <c r="AJ276" s="52"/>
      <c r="AK276" s="52"/>
      <c r="AL276" s="55"/>
      <c r="AO276" s="52"/>
      <c r="AR276" s="52"/>
      <c r="AU276" s="52"/>
      <c r="AV276" s="52"/>
      <c r="AW276" s="55"/>
    </row>
    <row r="277" spans="1:49" ht="15.75" customHeight="1">
      <c r="A277" s="16">
        <v>70704</v>
      </c>
      <c r="B277" s="63" t="s">
        <v>281</v>
      </c>
      <c r="C277" s="64">
        <v>23404</v>
      </c>
      <c r="D277" s="64">
        <v>5052</v>
      </c>
      <c r="E277" s="65">
        <f t="shared" si="86"/>
        <v>4.6326207442596994</v>
      </c>
      <c r="F277" s="64">
        <v>30000</v>
      </c>
      <c r="G277" s="64">
        <v>5075.583333333333</v>
      </c>
      <c r="H277" s="65">
        <f t="shared" si="87"/>
        <v>5.9106506641272762</v>
      </c>
      <c r="I277" s="64">
        <v>0</v>
      </c>
      <c r="J277" s="64">
        <v>5099.166666666667</v>
      </c>
      <c r="K277" s="65">
        <f t="shared" si="88"/>
        <v>0</v>
      </c>
      <c r="L277" s="66">
        <f t="shared" si="89"/>
        <v>3.5144238027956582</v>
      </c>
      <c r="M277" s="67">
        <f t="shared" si="90"/>
        <v>17801.333333333332</v>
      </c>
      <c r="N277" s="64">
        <v>40000</v>
      </c>
      <c r="O277" s="64">
        <v>5287.833333333333</v>
      </c>
      <c r="P277" s="68">
        <f t="shared" si="91"/>
        <v>7.5645349386957488</v>
      </c>
      <c r="Q277" s="69">
        <v>35000</v>
      </c>
      <c r="R277" s="64">
        <v>5311.416666666667</v>
      </c>
      <c r="S277" s="68">
        <f t="shared" si="92"/>
        <v>6.5895790514144057</v>
      </c>
      <c r="T277" s="64">
        <v>50000</v>
      </c>
      <c r="U277" s="64">
        <v>5335</v>
      </c>
      <c r="V277" s="68">
        <f t="shared" si="93"/>
        <v>9.3720712277413316</v>
      </c>
      <c r="W277" s="70">
        <f t="shared" si="94"/>
        <v>7.8420617392838281</v>
      </c>
      <c r="X277" s="71">
        <f t="shared" si="95"/>
        <v>41666.666666666664</v>
      </c>
      <c r="AD277" s="52"/>
      <c r="AG277" s="52"/>
      <c r="AJ277" s="52"/>
      <c r="AK277" s="52"/>
      <c r="AL277" s="55"/>
      <c r="AO277" s="52"/>
      <c r="AR277" s="52"/>
      <c r="AU277" s="52"/>
      <c r="AV277" s="52"/>
      <c r="AW277" s="55"/>
    </row>
    <row r="278" spans="1:49" ht="15.75" customHeight="1">
      <c r="A278" s="16">
        <v>70705</v>
      </c>
      <c r="B278" s="63" t="s">
        <v>282</v>
      </c>
      <c r="C278" s="64">
        <v>5000</v>
      </c>
      <c r="D278" s="64">
        <v>12273</v>
      </c>
      <c r="E278" s="65">
        <f t="shared" si="86"/>
        <v>0.4073983541106494</v>
      </c>
      <c r="F278" s="64">
        <v>5000</v>
      </c>
      <c r="G278" s="64">
        <v>12449.333333333334</v>
      </c>
      <c r="H278" s="65">
        <f t="shared" si="87"/>
        <v>0.40162793188390272</v>
      </c>
      <c r="I278" s="64">
        <v>0</v>
      </c>
      <c r="J278" s="64">
        <v>12625.666666666666</v>
      </c>
      <c r="K278" s="65">
        <f t="shared" si="88"/>
        <v>0</v>
      </c>
      <c r="L278" s="66">
        <f t="shared" si="89"/>
        <v>0.26967542866485067</v>
      </c>
      <c r="M278" s="67">
        <f t="shared" si="90"/>
        <v>3333.3333333333335</v>
      </c>
      <c r="N278" s="64">
        <v>0</v>
      </c>
      <c r="O278" s="64">
        <v>14036.333333333334</v>
      </c>
      <c r="P278" s="68">
        <f t="shared" si="91"/>
        <v>0</v>
      </c>
      <c r="Q278" s="69">
        <v>15000</v>
      </c>
      <c r="R278" s="64">
        <v>14212.666666666666</v>
      </c>
      <c r="S278" s="68">
        <f t="shared" si="92"/>
        <v>1.0553965945869881</v>
      </c>
      <c r="T278" s="64">
        <v>0</v>
      </c>
      <c r="U278" s="64">
        <v>14389</v>
      </c>
      <c r="V278" s="68">
        <f t="shared" si="93"/>
        <v>0</v>
      </c>
      <c r="W278" s="70">
        <f t="shared" si="94"/>
        <v>0.35179886486232936</v>
      </c>
      <c r="X278" s="71">
        <f t="shared" si="95"/>
        <v>5000</v>
      </c>
      <c r="AD278" s="52"/>
      <c r="AG278" s="52"/>
      <c r="AJ278" s="52"/>
      <c r="AK278" s="52"/>
      <c r="AL278" s="55"/>
      <c r="AO278" s="52"/>
      <c r="AR278" s="52"/>
      <c r="AU278" s="52"/>
      <c r="AV278" s="52"/>
      <c r="AW278" s="55"/>
    </row>
    <row r="279" spans="1:49" ht="15.75" customHeight="1">
      <c r="A279" s="16">
        <v>70706</v>
      </c>
      <c r="B279" s="63" t="s">
        <v>283</v>
      </c>
      <c r="C279" s="64">
        <v>1900000</v>
      </c>
      <c r="D279" s="64">
        <v>33838</v>
      </c>
      <c r="E279" s="65">
        <f t="shared" si="86"/>
        <v>56.149890655476092</v>
      </c>
      <c r="F279" s="64">
        <v>2900000</v>
      </c>
      <c r="G279" s="64">
        <v>33708.583333333336</v>
      </c>
      <c r="H279" s="65">
        <f t="shared" si="87"/>
        <v>86.031500384422358</v>
      </c>
      <c r="I279" s="64">
        <v>0</v>
      </c>
      <c r="J279" s="64">
        <v>33579.166666666664</v>
      </c>
      <c r="K279" s="65">
        <f t="shared" si="88"/>
        <v>0</v>
      </c>
      <c r="L279" s="66">
        <f t="shared" si="89"/>
        <v>47.393797013299483</v>
      </c>
      <c r="M279" s="67">
        <f t="shared" si="90"/>
        <v>1600000</v>
      </c>
      <c r="N279" s="64">
        <v>2950000</v>
      </c>
      <c r="O279" s="64">
        <v>32543.833333333332</v>
      </c>
      <c r="P279" s="68">
        <f t="shared" si="91"/>
        <v>90.646973568981323</v>
      </c>
      <c r="Q279" s="69">
        <v>2950000</v>
      </c>
      <c r="R279" s="64">
        <v>32414.416666666668</v>
      </c>
      <c r="S279" s="68">
        <f t="shared" si="92"/>
        <v>91.008887506330765</v>
      </c>
      <c r="T279" s="64">
        <v>2889050</v>
      </c>
      <c r="U279" s="64">
        <v>32285</v>
      </c>
      <c r="V279" s="68">
        <f t="shared" si="93"/>
        <v>89.48582933250735</v>
      </c>
      <c r="W279" s="70">
        <f t="shared" si="94"/>
        <v>90.380563469273156</v>
      </c>
      <c r="X279" s="71">
        <f t="shared" si="95"/>
        <v>2929683.3333333335</v>
      </c>
      <c r="AD279" s="52"/>
      <c r="AG279" s="52"/>
      <c r="AJ279" s="52"/>
      <c r="AK279" s="52"/>
      <c r="AL279" s="55"/>
      <c r="AO279" s="52"/>
      <c r="AR279" s="52"/>
      <c r="AU279" s="52"/>
      <c r="AV279" s="52"/>
      <c r="AW279" s="55"/>
    </row>
    <row r="280" spans="1:49" ht="15.75" customHeight="1">
      <c r="A280" s="16">
        <v>70707</v>
      </c>
      <c r="B280" s="63" t="s">
        <v>284</v>
      </c>
      <c r="C280" s="64">
        <v>45000</v>
      </c>
      <c r="D280" s="64">
        <v>5087</v>
      </c>
      <c r="E280" s="65">
        <f t="shared" si="86"/>
        <v>8.8460782386475323</v>
      </c>
      <c r="F280" s="64">
        <v>90000</v>
      </c>
      <c r="G280" s="64">
        <v>5130.75</v>
      </c>
      <c r="H280" s="65">
        <f t="shared" si="87"/>
        <v>17.5412951322906</v>
      </c>
      <c r="I280" s="64">
        <v>0</v>
      </c>
      <c r="J280" s="64">
        <v>5174.5</v>
      </c>
      <c r="K280" s="65">
        <f t="shared" si="88"/>
        <v>0</v>
      </c>
      <c r="L280" s="66">
        <f t="shared" si="89"/>
        <v>8.795791123646044</v>
      </c>
      <c r="M280" s="67">
        <f t="shared" si="90"/>
        <v>45000</v>
      </c>
      <c r="N280" s="64">
        <v>40000</v>
      </c>
      <c r="O280" s="64">
        <v>5524.5</v>
      </c>
      <c r="P280" s="68">
        <f t="shared" si="91"/>
        <v>7.2404742510634446</v>
      </c>
      <c r="Q280" s="69">
        <v>55000</v>
      </c>
      <c r="R280" s="64">
        <v>5568.25</v>
      </c>
      <c r="S280" s="68">
        <f t="shared" si="92"/>
        <v>9.8774300722848292</v>
      </c>
      <c r="T280" s="64">
        <v>55000</v>
      </c>
      <c r="U280" s="64">
        <v>5612</v>
      </c>
      <c r="V280" s="68">
        <f t="shared" si="93"/>
        <v>9.8004276550249472</v>
      </c>
      <c r="W280" s="70">
        <f t="shared" si="94"/>
        <v>8.9727773261244064</v>
      </c>
      <c r="X280" s="71">
        <f t="shared" si="95"/>
        <v>50000</v>
      </c>
      <c r="AD280" s="52"/>
      <c r="AG280" s="52"/>
      <c r="AJ280" s="52"/>
      <c r="AK280" s="52"/>
      <c r="AL280" s="55"/>
      <c r="AO280" s="52"/>
      <c r="AR280" s="52"/>
      <c r="AU280" s="52"/>
      <c r="AV280" s="52"/>
      <c r="AW280" s="55"/>
    </row>
    <row r="281" spans="1:49" ht="15.75" customHeight="1">
      <c r="A281" s="16">
        <v>70801</v>
      </c>
      <c r="B281" s="63" t="s">
        <v>285</v>
      </c>
      <c r="C281" s="64">
        <v>320000</v>
      </c>
      <c r="D281" s="64">
        <v>17208</v>
      </c>
      <c r="E281" s="65">
        <f t="shared" si="86"/>
        <v>18.596001859600186</v>
      </c>
      <c r="F281" s="64">
        <v>480000</v>
      </c>
      <c r="G281" s="64">
        <v>17211.416666666668</v>
      </c>
      <c r="H281" s="65">
        <f t="shared" si="87"/>
        <v>27.888465504970053</v>
      </c>
      <c r="I281" s="64">
        <v>448000</v>
      </c>
      <c r="J281" s="64">
        <v>17214.833333333332</v>
      </c>
      <c r="K281" s="65">
        <f t="shared" si="88"/>
        <v>26.024068390632113</v>
      </c>
      <c r="L281" s="66">
        <f t="shared" si="89"/>
        <v>24.169511918400783</v>
      </c>
      <c r="M281" s="67">
        <f t="shared" si="90"/>
        <v>416000</v>
      </c>
      <c r="N281" s="64">
        <v>750000</v>
      </c>
      <c r="O281" s="64">
        <v>17242.166666666668</v>
      </c>
      <c r="P281" s="68">
        <f t="shared" si="91"/>
        <v>43.498013590712688</v>
      </c>
      <c r="Q281" s="69">
        <v>750000</v>
      </c>
      <c r="R281" s="64">
        <v>17245.583333333332</v>
      </c>
      <c r="S281" s="68">
        <f t="shared" si="92"/>
        <v>43.489395835648743</v>
      </c>
      <c r="T281" s="64">
        <v>750000</v>
      </c>
      <c r="U281" s="64">
        <v>17249</v>
      </c>
      <c r="V281" s="68">
        <f t="shared" si="93"/>
        <v>43.480781494579396</v>
      </c>
      <c r="W281" s="70">
        <f t="shared" si="94"/>
        <v>43.48939697364694</v>
      </c>
      <c r="X281" s="71">
        <f t="shared" si="95"/>
        <v>750000</v>
      </c>
      <c r="AD281" s="52"/>
      <c r="AG281" s="52"/>
      <c r="AJ281" s="52"/>
      <c r="AK281" s="52"/>
      <c r="AL281" s="55"/>
      <c r="AO281" s="52"/>
      <c r="AR281" s="52"/>
      <c r="AU281" s="52"/>
      <c r="AV281" s="52"/>
      <c r="AW281" s="55"/>
    </row>
    <row r="282" spans="1:49" ht="15.75" customHeight="1">
      <c r="A282" s="16">
        <v>70802</v>
      </c>
      <c r="B282" s="63" t="s">
        <v>286</v>
      </c>
      <c r="C282" s="64">
        <v>3000</v>
      </c>
      <c r="D282" s="64">
        <v>2135</v>
      </c>
      <c r="E282" s="65">
        <f t="shared" si="86"/>
        <v>1.405152224824356</v>
      </c>
      <c r="F282" s="64">
        <v>3000</v>
      </c>
      <c r="G282" s="64">
        <v>2153.6666666666665</v>
      </c>
      <c r="H282" s="65">
        <f t="shared" si="87"/>
        <v>1.3929732239591395</v>
      </c>
      <c r="I282" s="64">
        <v>0</v>
      </c>
      <c r="J282" s="64">
        <v>2172.3333333333335</v>
      </c>
      <c r="K282" s="65">
        <f t="shared" si="88"/>
        <v>0</v>
      </c>
      <c r="L282" s="66">
        <f t="shared" si="89"/>
        <v>0.93270848292783182</v>
      </c>
      <c r="M282" s="67">
        <f t="shared" si="90"/>
        <v>2000</v>
      </c>
      <c r="N282" s="64">
        <v>15000</v>
      </c>
      <c r="O282" s="64">
        <v>2321.6666666666665</v>
      </c>
      <c r="P282" s="68">
        <f t="shared" si="91"/>
        <v>6.4608758076094768</v>
      </c>
      <c r="Q282" s="69">
        <v>10000</v>
      </c>
      <c r="R282" s="64">
        <v>2340.3333333333335</v>
      </c>
      <c r="S282" s="68">
        <f t="shared" si="92"/>
        <v>4.2728955989175326</v>
      </c>
      <c r="T282" s="64">
        <v>20000</v>
      </c>
      <c r="U282" s="64">
        <v>2359</v>
      </c>
      <c r="V282" s="68">
        <f t="shared" si="93"/>
        <v>8.4781687155574392</v>
      </c>
      <c r="W282" s="70">
        <f t="shared" si="94"/>
        <v>6.4039800406948162</v>
      </c>
      <c r="X282" s="71">
        <f t="shared" si="95"/>
        <v>15000</v>
      </c>
      <c r="AD282" s="52"/>
      <c r="AG282" s="52"/>
      <c r="AJ282" s="52"/>
      <c r="AK282" s="52"/>
      <c r="AL282" s="55"/>
      <c r="AO282" s="52"/>
      <c r="AR282" s="52"/>
      <c r="AU282" s="52"/>
      <c r="AV282" s="52"/>
      <c r="AW282" s="55"/>
    </row>
    <row r="283" spans="1:49" ht="15.75" customHeight="1">
      <c r="A283" s="16">
        <v>70803</v>
      </c>
      <c r="B283" s="63" t="s">
        <v>287</v>
      </c>
      <c r="C283" s="64">
        <v>31700</v>
      </c>
      <c r="D283" s="64">
        <v>2767</v>
      </c>
      <c r="E283" s="65">
        <f t="shared" si="86"/>
        <v>11.456451029996385</v>
      </c>
      <c r="F283" s="64">
        <v>35000</v>
      </c>
      <c r="G283" s="64">
        <v>2769.1666666666665</v>
      </c>
      <c r="H283" s="65">
        <f t="shared" si="87"/>
        <v>12.639181462533855</v>
      </c>
      <c r="I283" s="64">
        <v>0</v>
      </c>
      <c r="J283" s="64">
        <v>2771.3333333333335</v>
      </c>
      <c r="K283" s="65">
        <f t="shared" si="88"/>
        <v>0</v>
      </c>
      <c r="L283" s="66">
        <f t="shared" si="89"/>
        <v>8.0318774975100808</v>
      </c>
      <c r="M283" s="67">
        <f t="shared" si="90"/>
        <v>22233.333333333332</v>
      </c>
      <c r="N283" s="64">
        <v>18000</v>
      </c>
      <c r="O283" s="64">
        <v>2788.6666666666665</v>
      </c>
      <c r="P283" s="68">
        <f t="shared" si="91"/>
        <v>6.4546975854649773</v>
      </c>
      <c r="Q283" s="69">
        <v>27141</v>
      </c>
      <c r="R283" s="64">
        <v>2790.8333333333335</v>
      </c>
      <c r="S283" s="68">
        <f t="shared" si="92"/>
        <v>9.7250522544043001</v>
      </c>
      <c r="T283" s="64">
        <v>24600</v>
      </c>
      <c r="U283" s="64">
        <v>2793</v>
      </c>
      <c r="V283" s="68">
        <f t="shared" si="93"/>
        <v>8.8077336197636953</v>
      </c>
      <c r="W283" s="70">
        <f t="shared" si="94"/>
        <v>8.3291611532109915</v>
      </c>
      <c r="X283" s="71">
        <f t="shared" si="95"/>
        <v>23247</v>
      </c>
      <c r="AD283" s="52"/>
      <c r="AG283" s="52"/>
      <c r="AJ283" s="52"/>
      <c r="AK283" s="52"/>
      <c r="AL283" s="55"/>
      <c r="AO283" s="52"/>
      <c r="AR283" s="52"/>
      <c r="AU283" s="52"/>
      <c r="AV283" s="52"/>
      <c r="AW283" s="55"/>
    </row>
    <row r="284" spans="1:49" ht="15.75" customHeight="1">
      <c r="A284" s="16">
        <v>70804</v>
      </c>
      <c r="B284" s="63" t="s">
        <v>288</v>
      </c>
      <c r="C284" s="64">
        <v>12000</v>
      </c>
      <c r="D284" s="64">
        <v>2390</v>
      </c>
      <c r="E284" s="65">
        <f t="shared" si="86"/>
        <v>5.02092050209205</v>
      </c>
      <c r="F284" s="64">
        <v>25000</v>
      </c>
      <c r="G284" s="64">
        <v>2341.3333333333335</v>
      </c>
      <c r="H284" s="65">
        <f t="shared" si="87"/>
        <v>10.677676537585421</v>
      </c>
      <c r="I284" s="64">
        <v>0</v>
      </c>
      <c r="J284" s="64">
        <v>2292.6666666666665</v>
      </c>
      <c r="K284" s="65">
        <f t="shared" si="88"/>
        <v>0</v>
      </c>
      <c r="L284" s="66">
        <f t="shared" si="89"/>
        <v>5.2328656798924902</v>
      </c>
      <c r="M284" s="67">
        <f t="shared" si="90"/>
        <v>12333.333333333334</v>
      </c>
      <c r="N284" s="64">
        <v>30000</v>
      </c>
      <c r="O284" s="64">
        <v>1903.3333333333335</v>
      </c>
      <c r="P284" s="68">
        <f t="shared" si="91"/>
        <v>15.761821366024517</v>
      </c>
      <c r="Q284" s="69">
        <v>0</v>
      </c>
      <c r="R284" s="64">
        <v>1854.6666666666667</v>
      </c>
      <c r="S284" s="68">
        <f t="shared" si="92"/>
        <v>0</v>
      </c>
      <c r="T284" s="64">
        <v>0</v>
      </c>
      <c r="U284" s="64">
        <v>1806</v>
      </c>
      <c r="V284" s="68">
        <f t="shared" si="93"/>
        <v>0</v>
      </c>
      <c r="W284" s="70">
        <f t="shared" si="94"/>
        <v>5.2539404553415059</v>
      </c>
      <c r="X284" s="71">
        <f t="shared" si="95"/>
        <v>10000</v>
      </c>
      <c r="AD284" s="52"/>
      <c r="AG284" s="52"/>
      <c r="AJ284" s="52"/>
      <c r="AK284" s="52"/>
      <c r="AL284" s="55"/>
      <c r="AO284" s="52"/>
      <c r="AR284" s="52"/>
      <c r="AU284" s="52"/>
      <c r="AV284" s="52"/>
      <c r="AW284" s="55"/>
    </row>
    <row r="285" spans="1:49" ht="15.75" customHeight="1">
      <c r="A285" s="16">
        <v>70805</v>
      </c>
      <c r="B285" s="63" t="s">
        <v>289</v>
      </c>
      <c r="C285" s="64">
        <v>10000</v>
      </c>
      <c r="D285" s="64">
        <v>2076</v>
      </c>
      <c r="E285" s="65">
        <f t="shared" si="86"/>
        <v>4.8169556840077075</v>
      </c>
      <c r="F285" s="64">
        <v>20000</v>
      </c>
      <c r="G285" s="64">
        <v>2070.9166666666665</v>
      </c>
      <c r="H285" s="65">
        <f t="shared" si="87"/>
        <v>9.6575590519496206</v>
      </c>
      <c r="I285" s="64">
        <v>0</v>
      </c>
      <c r="J285" s="64">
        <v>2065.8333333333335</v>
      </c>
      <c r="K285" s="65">
        <f t="shared" si="88"/>
        <v>0</v>
      </c>
      <c r="L285" s="66">
        <f t="shared" si="89"/>
        <v>4.8248382453191097</v>
      </c>
      <c r="M285" s="67">
        <f t="shared" si="90"/>
        <v>10000</v>
      </c>
      <c r="N285" s="64">
        <v>50000</v>
      </c>
      <c r="O285" s="64">
        <v>2025.1666666666667</v>
      </c>
      <c r="P285" s="68">
        <f t="shared" si="91"/>
        <v>24.689325981400707</v>
      </c>
      <c r="Q285" s="69">
        <v>45000</v>
      </c>
      <c r="R285" s="64">
        <v>2020.0833333333333</v>
      </c>
      <c r="S285" s="68">
        <f t="shared" si="92"/>
        <v>22.276308733138073</v>
      </c>
      <c r="T285" s="64">
        <v>40000</v>
      </c>
      <c r="U285" s="64">
        <v>2015</v>
      </c>
      <c r="V285" s="68">
        <f t="shared" si="93"/>
        <v>19.851116625310173</v>
      </c>
      <c r="W285" s="70">
        <f t="shared" si="94"/>
        <v>22.272250446616315</v>
      </c>
      <c r="X285" s="71">
        <f t="shared" si="95"/>
        <v>45000</v>
      </c>
      <c r="AD285" s="52"/>
      <c r="AG285" s="52"/>
      <c r="AJ285" s="52"/>
      <c r="AK285" s="52"/>
      <c r="AL285" s="55"/>
      <c r="AO285" s="52"/>
      <c r="AR285" s="52"/>
      <c r="AU285" s="52"/>
      <c r="AV285" s="52"/>
      <c r="AW285" s="55"/>
    </row>
    <row r="286" spans="1:49" ht="15.75" customHeight="1">
      <c r="A286" s="16">
        <v>70901</v>
      </c>
      <c r="B286" s="63" t="s">
        <v>290</v>
      </c>
      <c r="C286" s="64">
        <v>80000</v>
      </c>
      <c r="D286" s="64">
        <v>10472</v>
      </c>
      <c r="E286" s="65">
        <f t="shared" si="86"/>
        <v>7.6394194041252863</v>
      </c>
      <c r="F286" s="64">
        <v>70000</v>
      </c>
      <c r="G286" s="64">
        <v>10586.25</v>
      </c>
      <c r="H286" s="65">
        <f t="shared" si="87"/>
        <v>6.6123509269099063</v>
      </c>
      <c r="I286" s="64">
        <v>0</v>
      </c>
      <c r="J286" s="64">
        <v>10700.5</v>
      </c>
      <c r="K286" s="65">
        <f t="shared" si="88"/>
        <v>0</v>
      </c>
      <c r="L286" s="66">
        <f t="shared" si="89"/>
        <v>4.7505901103450645</v>
      </c>
      <c r="M286" s="67">
        <f t="shared" si="90"/>
        <v>50000</v>
      </c>
      <c r="N286" s="64">
        <v>850978</v>
      </c>
      <c r="O286" s="64">
        <v>11614.5</v>
      </c>
      <c r="P286" s="68">
        <f t="shared" si="91"/>
        <v>73.268586680442553</v>
      </c>
      <c r="Q286" s="69">
        <v>372800</v>
      </c>
      <c r="R286" s="64">
        <v>11728.75</v>
      </c>
      <c r="S286" s="68">
        <f t="shared" si="92"/>
        <v>31.785143344346157</v>
      </c>
      <c r="T286" s="64">
        <v>679130</v>
      </c>
      <c r="U286" s="64">
        <v>11843</v>
      </c>
      <c r="V286" s="68">
        <f t="shared" si="93"/>
        <v>57.344422865827916</v>
      </c>
      <c r="W286" s="70">
        <f t="shared" si="94"/>
        <v>54.132717630205541</v>
      </c>
      <c r="X286" s="71">
        <f t="shared" si="95"/>
        <v>634302.66666666663</v>
      </c>
      <c r="AD286" s="52"/>
      <c r="AG286" s="52"/>
      <c r="AJ286" s="52"/>
      <c r="AK286" s="52"/>
      <c r="AL286" s="55"/>
      <c r="AO286" s="52"/>
      <c r="AR286" s="52"/>
      <c r="AU286" s="52"/>
      <c r="AV286" s="52"/>
      <c r="AW286" s="55"/>
    </row>
    <row r="287" spans="1:49" ht="15.75" customHeight="1">
      <c r="A287" s="16">
        <v>70902</v>
      </c>
      <c r="B287" s="63" t="s">
        <v>291</v>
      </c>
      <c r="C287" s="64">
        <v>36000</v>
      </c>
      <c r="D287" s="64">
        <v>9198</v>
      </c>
      <c r="E287" s="65">
        <f t="shared" si="86"/>
        <v>3.9138943248532287</v>
      </c>
      <c r="F287" s="64">
        <v>35000</v>
      </c>
      <c r="G287" s="64">
        <v>9239.1666666666661</v>
      </c>
      <c r="H287" s="65">
        <f t="shared" si="87"/>
        <v>3.7882204383512224</v>
      </c>
      <c r="I287" s="64">
        <v>0</v>
      </c>
      <c r="J287" s="64">
        <v>9280.3333333333339</v>
      </c>
      <c r="K287" s="65">
        <f t="shared" si="88"/>
        <v>0</v>
      </c>
      <c r="L287" s="66">
        <f t="shared" si="89"/>
        <v>2.5673715877348169</v>
      </c>
      <c r="M287" s="67">
        <f t="shared" si="90"/>
        <v>23666.666666666668</v>
      </c>
      <c r="N287" s="64">
        <v>235700</v>
      </c>
      <c r="O287" s="64">
        <v>9609.6666666666661</v>
      </c>
      <c r="P287" s="68">
        <f t="shared" si="91"/>
        <v>24.527385618647891</v>
      </c>
      <c r="Q287" s="69">
        <v>45000</v>
      </c>
      <c r="R287" s="64">
        <v>9650.8333333333339</v>
      </c>
      <c r="S287" s="68">
        <f t="shared" si="92"/>
        <v>4.662809774630861</v>
      </c>
      <c r="T287" s="64">
        <v>62500</v>
      </c>
      <c r="U287" s="64">
        <v>9692</v>
      </c>
      <c r="V287" s="68">
        <f t="shared" si="93"/>
        <v>6.4486174164259182</v>
      </c>
      <c r="W287" s="70">
        <f t="shared" si="94"/>
        <v>11.879604269901558</v>
      </c>
      <c r="X287" s="71">
        <f t="shared" si="95"/>
        <v>114400</v>
      </c>
      <c r="AD287" s="52"/>
      <c r="AG287" s="52"/>
      <c r="AJ287" s="52"/>
      <c r="AK287" s="52"/>
      <c r="AL287" s="55"/>
      <c r="AO287" s="52"/>
      <c r="AR287" s="52"/>
      <c r="AU287" s="52"/>
      <c r="AV287" s="52"/>
      <c r="AW287" s="55"/>
    </row>
    <row r="288" spans="1:49" ht="15.75" customHeight="1">
      <c r="A288" s="16">
        <v>70903</v>
      </c>
      <c r="B288" s="63" t="s">
        <v>292</v>
      </c>
      <c r="C288" s="64">
        <v>110000</v>
      </c>
      <c r="D288" s="64">
        <v>10177</v>
      </c>
      <c r="E288" s="65">
        <f t="shared" si="86"/>
        <v>10.808686253316301</v>
      </c>
      <c r="F288" s="64">
        <v>130000</v>
      </c>
      <c r="G288" s="64">
        <v>10390.166666666666</v>
      </c>
      <c r="H288" s="65">
        <f t="shared" si="87"/>
        <v>12.511830095763623</v>
      </c>
      <c r="I288" s="64">
        <v>0</v>
      </c>
      <c r="J288" s="64">
        <v>10603.333333333334</v>
      </c>
      <c r="K288" s="65">
        <f t="shared" si="88"/>
        <v>0</v>
      </c>
      <c r="L288" s="66">
        <f t="shared" si="89"/>
        <v>7.7735054496933076</v>
      </c>
      <c r="M288" s="67">
        <f t="shared" si="90"/>
        <v>80000</v>
      </c>
      <c r="N288" s="64">
        <v>257687</v>
      </c>
      <c r="O288" s="64">
        <v>12308.666666666666</v>
      </c>
      <c r="P288" s="68">
        <f t="shared" si="91"/>
        <v>20.935411363267075</v>
      </c>
      <c r="Q288" s="69">
        <v>267687</v>
      </c>
      <c r="R288" s="64">
        <v>12521.833333333332</v>
      </c>
      <c r="S288" s="68">
        <f t="shared" si="92"/>
        <v>21.377620422994504</v>
      </c>
      <c r="T288" s="64">
        <v>295000</v>
      </c>
      <c r="U288" s="64">
        <v>12735</v>
      </c>
      <c r="V288" s="68">
        <f t="shared" si="93"/>
        <v>23.164507263447192</v>
      </c>
      <c r="W288" s="70">
        <f t="shared" si="94"/>
        <v>21.825846349902921</v>
      </c>
      <c r="X288" s="71">
        <f t="shared" si="95"/>
        <v>273458</v>
      </c>
      <c r="AD288" s="52"/>
      <c r="AG288" s="52"/>
      <c r="AJ288" s="52"/>
      <c r="AK288" s="52"/>
      <c r="AL288" s="55"/>
      <c r="AO288" s="52"/>
      <c r="AR288" s="52"/>
      <c r="AU288" s="52"/>
      <c r="AV288" s="52"/>
      <c r="AW288" s="55"/>
    </row>
    <row r="289" spans="1:49" ht="15.75" customHeight="1">
      <c r="A289" s="16">
        <v>70904</v>
      </c>
      <c r="B289" s="63" t="s">
        <v>293</v>
      </c>
      <c r="C289" s="64">
        <v>19000</v>
      </c>
      <c r="D289" s="64">
        <v>2995</v>
      </c>
      <c r="E289" s="65">
        <f t="shared" si="86"/>
        <v>6.3439065108514194</v>
      </c>
      <c r="F289" s="64">
        <v>19000</v>
      </c>
      <c r="G289" s="64">
        <v>3002.5833333333335</v>
      </c>
      <c r="H289" s="65">
        <f t="shared" si="87"/>
        <v>6.3278843218339764</v>
      </c>
      <c r="I289" s="64">
        <v>0</v>
      </c>
      <c r="J289" s="64">
        <v>3010.1666666666665</v>
      </c>
      <c r="K289" s="65">
        <f t="shared" si="88"/>
        <v>0</v>
      </c>
      <c r="L289" s="66">
        <f t="shared" si="89"/>
        <v>4.2239302775617986</v>
      </c>
      <c r="M289" s="67">
        <f t="shared" si="90"/>
        <v>12666.666666666666</v>
      </c>
      <c r="N289" s="64">
        <v>40000</v>
      </c>
      <c r="O289" s="64">
        <v>3070.8333333333335</v>
      </c>
      <c r="P289" s="68">
        <f t="shared" si="91"/>
        <v>13.025780189959294</v>
      </c>
      <c r="Q289" s="69">
        <v>55000</v>
      </c>
      <c r="R289" s="64">
        <v>3078.4166666666665</v>
      </c>
      <c r="S289" s="68">
        <f t="shared" si="92"/>
        <v>17.866327386914268</v>
      </c>
      <c r="T289" s="64">
        <v>58200</v>
      </c>
      <c r="U289" s="64">
        <v>3086</v>
      </c>
      <c r="V289" s="68">
        <f t="shared" si="93"/>
        <v>18.859364873622813</v>
      </c>
      <c r="W289" s="70">
        <f t="shared" si="94"/>
        <v>16.583824150165459</v>
      </c>
      <c r="X289" s="71">
        <f t="shared" si="95"/>
        <v>51066.666666666664</v>
      </c>
      <c r="AD289" s="52"/>
      <c r="AG289" s="52"/>
      <c r="AJ289" s="52"/>
      <c r="AK289" s="52"/>
      <c r="AL289" s="55"/>
      <c r="AO289" s="52"/>
      <c r="AR289" s="52"/>
      <c r="AU289" s="52"/>
      <c r="AV289" s="52"/>
      <c r="AW289" s="55"/>
    </row>
    <row r="290" spans="1:49" ht="15.75" customHeight="1">
      <c r="A290" s="16">
        <v>71001</v>
      </c>
      <c r="B290" s="63" t="s">
        <v>294</v>
      </c>
      <c r="C290" s="64">
        <v>6714500</v>
      </c>
      <c r="D290" s="64">
        <v>109518</v>
      </c>
      <c r="E290" s="65">
        <f t="shared" si="86"/>
        <v>61.309556419949232</v>
      </c>
      <c r="F290" s="64">
        <v>5593420</v>
      </c>
      <c r="G290" s="64">
        <v>110965.33333333333</v>
      </c>
      <c r="H290" s="65">
        <f t="shared" si="87"/>
        <v>50.40691387099875</v>
      </c>
      <c r="I290" s="64">
        <v>755000</v>
      </c>
      <c r="J290" s="64">
        <v>112412.66666666667</v>
      </c>
      <c r="K290" s="65">
        <f t="shared" si="88"/>
        <v>6.7163249693095084</v>
      </c>
      <c r="L290" s="66">
        <f t="shared" si="89"/>
        <v>39.477598420085833</v>
      </c>
      <c r="M290" s="67">
        <f t="shared" si="90"/>
        <v>4354306.666666667</v>
      </c>
      <c r="N290" s="64">
        <v>9878161</v>
      </c>
      <c r="O290" s="64">
        <v>123991.33333333333</v>
      </c>
      <c r="P290" s="68">
        <f t="shared" si="91"/>
        <v>79.668156914192934</v>
      </c>
      <c r="Q290" s="69">
        <v>10584115</v>
      </c>
      <c r="R290" s="64">
        <v>125438.66666666667</v>
      </c>
      <c r="S290" s="68">
        <f t="shared" si="92"/>
        <v>84.376813635349009</v>
      </c>
      <c r="T290" s="64">
        <v>11305943</v>
      </c>
      <c r="U290" s="64">
        <v>126886</v>
      </c>
      <c r="V290" s="68">
        <f t="shared" si="93"/>
        <v>89.103155588481002</v>
      </c>
      <c r="W290" s="70">
        <f t="shared" si="94"/>
        <v>84.382708712674315</v>
      </c>
      <c r="X290" s="71">
        <f t="shared" si="95"/>
        <v>10589406.333333334</v>
      </c>
      <c r="AD290" s="52"/>
      <c r="AG290" s="52"/>
      <c r="AJ290" s="52"/>
      <c r="AK290" s="52"/>
      <c r="AL290" s="55"/>
      <c r="AO290" s="52"/>
      <c r="AR290" s="52"/>
      <c r="AU290" s="52"/>
      <c r="AV290" s="52"/>
      <c r="AW290" s="55"/>
    </row>
    <row r="291" spans="1:49" ht="15.75" customHeight="1">
      <c r="A291" s="16">
        <v>71002</v>
      </c>
      <c r="B291" s="63" t="s">
        <v>295</v>
      </c>
      <c r="C291" s="64">
        <v>125000</v>
      </c>
      <c r="D291" s="64">
        <v>14209</v>
      </c>
      <c r="E291" s="65">
        <f t="shared" si="86"/>
        <v>8.7972411851643333</v>
      </c>
      <c r="F291" s="64">
        <v>150000</v>
      </c>
      <c r="G291" s="64">
        <v>14408.083333333334</v>
      </c>
      <c r="H291" s="65">
        <f t="shared" si="87"/>
        <v>10.410822628501363</v>
      </c>
      <c r="I291" s="64">
        <v>0</v>
      </c>
      <c r="J291" s="64">
        <v>14607.166666666666</v>
      </c>
      <c r="K291" s="65">
        <f t="shared" si="88"/>
        <v>0</v>
      </c>
      <c r="L291" s="66">
        <f t="shared" si="89"/>
        <v>6.4026879378885653</v>
      </c>
      <c r="M291" s="67">
        <f t="shared" si="90"/>
        <v>91666.666666666672</v>
      </c>
      <c r="N291" s="64">
        <v>207259</v>
      </c>
      <c r="O291" s="64">
        <v>16199.833333333334</v>
      </c>
      <c r="P291" s="68">
        <f t="shared" si="91"/>
        <v>12.79389705655408</v>
      </c>
      <c r="Q291" s="69">
        <v>261392</v>
      </c>
      <c r="R291" s="64">
        <v>16398.916666666668</v>
      </c>
      <c r="S291" s="68">
        <f t="shared" si="92"/>
        <v>15.939589505404319</v>
      </c>
      <c r="T291" s="64">
        <v>261392</v>
      </c>
      <c r="U291" s="64">
        <v>16598</v>
      </c>
      <c r="V291" s="68">
        <f t="shared" si="93"/>
        <v>15.748403422099049</v>
      </c>
      <c r="W291" s="70">
        <f t="shared" si="94"/>
        <v>14.827296661352483</v>
      </c>
      <c r="X291" s="71">
        <f t="shared" si="95"/>
        <v>243347.66666666666</v>
      </c>
      <c r="AD291" s="52"/>
      <c r="AG291" s="52"/>
      <c r="AJ291" s="52"/>
      <c r="AK291" s="52"/>
      <c r="AL291" s="55"/>
      <c r="AO291" s="52"/>
      <c r="AR291" s="52"/>
      <c r="AU291" s="52"/>
      <c r="AV291" s="52"/>
      <c r="AW291" s="55"/>
    </row>
    <row r="292" spans="1:49" ht="15.75" customHeight="1">
      <c r="A292" s="16">
        <v>71003</v>
      </c>
      <c r="B292" s="63" t="s">
        <v>296</v>
      </c>
      <c r="C292" s="64">
        <v>355630</v>
      </c>
      <c r="D292" s="64">
        <v>23251</v>
      </c>
      <c r="E292" s="65">
        <f t="shared" si="86"/>
        <v>15.295256118016429</v>
      </c>
      <c r="F292" s="64">
        <v>159000</v>
      </c>
      <c r="G292" s="64">
        <v>23239.25</v>
      </c>
      <c r="H292" s="65">
        <f t="shared" si="87"/>
        <v>6.8418731241326638</v>
      </c>
      <c r="I292" s="64">
        <v>0</v>
      </c>
      <c r="J292" s="64">
        <v>23227.5</v>
      </c>
      <c r="K292" s="65">
        <f t="shared" si="88"/>
        <v>0</v>
      </c>
      <c r="L292" s="66">
        <f t="shared" si="89"/>
        <v>7.3790430807163645</v>
      </c>
      <c r="M292" s="67">
        <f t="shared" si="90"/>
        <v>171543.33333333334</v>
      </c>
      <c r="N292" s="64">
        <v>1202969</v>
      </c>
      <c r="O292" s="64">
        <v>23133.5</v>
      </c>
      <c r="P292" s="68">
        <f t="shared" si="91"/>
        <v>52.001167138565286</v>
      </c>
      <c r="Q292" s="69">
        <v>931950</v>
      </c>
      <c r="R292" s="64">
        <v>23121.75</v>
      </c>
      <c r="S292" s="68">
        <f t="shared" si="92"/>
        <v>40.306205196405983</v>
      </c>
      <c r="T292" s="64">
        <v>1149650</v>
      </c>
      <c r="U292" s="64">
        <v>23110</v>
      </c>
      <c r="V292" s="68">
        <f t="shared" si="93"/>
        <v>49.746862829943744</v>
      </c>
      <c r="W292" s="70">
        <f t="shared" si="94"/>
        <v>47.351411721638335</v>
      </c>
      <c r="X292" s="71">
        <f t="shared" si="95"/>
        <v>1094856.3333333333</v>
      </c>
      <c r="AD292" s="52"/>
      <c r="AG292" s="52"/>
      <c r="AJ292" s="52"/>
      <c r="AK292" s="52"/>
      <c r="AL292" s="55"/>
      <c r="AO292" s="52"/>
      <c r="AR292" s="52"/>
      <c r="AU292" s="52"/>
      <c r="AV292" s="52"/>
      <c r="AW292" s="55"/>
    </row>
    <row r="293" spans="1:49" ht="15.75" customHeight="1">
      <c r="A293" s="16">
        <v>71004</v>
      </c>
      <c r="B293" s="63" t="s">
        <v>297</v>
      </c>
      <c r="C293" s="64">
        <v>98260</v>
      </c>
      <c r="D293" s="64">
        <v>15117</v>
      </c>
      <c r="E293" s="65">
        <f t="shared" si="86"/>
        <v>6.4999669246543625</v>
      </c>
      <c r="F293" s="64">
        <v>99880</v>
      </c>
      <c r="G293" s="64">
        <v>15074.75</v>
      </c>
      <c r="H293" s="65">
        <f t="shared" si="87"/>
        <v>6.625648849898008</v>
      </c>
      <c r="I293" s="64">
        <v>0</v>
      </c>
      <c r="J293" s="64">
        <v>15032.5</v>
      </c>
      <c r="K293" s="65">
        <f t="shared" si="88"/>
        <v>0</v>
      </c>
      <c r="L293" s="66">
        <f t="shared" si="89"/>
        <v>4.3752052581841232</v>
      </c>
      <c r="M293" s="67">
        <f t="shared" si="90"/>
        <v>66046.666666666672</v>
      </c>
      <c r="N293" s="64">
        <v>529536</v>
      </c>
      <c r="O293" s="64">
        <v>14694.5</v>
      </c>
      <c r="P293" s="68">
        <f t="shared" si="91"/>
        <v>36.036340127258498</v>
      </c>
      <c r="Q293" s="69">
        <v>290400</v>
      </c>
      <c r="R293" s="64">
        <v>14652.25</v>
      </c>
      <c r="S293" s="68">
        <f t="shared" si="92"/>
        <v>19.819481649576005</v>
      </c>
      <c r="T293" s="64">
        <v>225864</v>
      </c>
      <c r="U293" s="64">
        <v>14610</v>
      </c>
      <c r="V293" s="68">
        <f t="shared" si="93"/>
        <v>15.459548254620124</v>
      </c>
      <c r="W293" s="70">
        <f t="shared" si="94"/>
        <v>23.771790010484875</v>
      </c>
      <c r="X293" s="71">
        <f t="shared" si="95"/>
        <v>348600</v>
      </c>
      <c r="AD293" s="52"/>
      <c r="AG293" s="52"/>
      <c r="AJ293" s="52"/>
      <c r="AK293" s="52"/>
      <c r="AL293" s="55"/>
      <c r="AO293" s="52"/>
      <c r="AR293" s="52"/>
      <c r="AU293" s="52"/>
      <c r="AV293" s="52"/>
      <c r="AW293" s="55"/>
    </row>
    <row r="294" spans="1:49" ht="15.75" customHeight="1">
      <c r="A294" s="16">
        <v>71005</v>
      </c>
      <c r="B294" s="63" t="s">
        <v>222</v>
      </c>
      <c r="C294" s="64">
        <v>21000</v>
      </c>
      <c r="D294" s="64">
        <v>19103</v>
      </c>
      <c r="E294" s="65">
        <f t="shared" si="86"/>
        <v>1.0993037742762917</v>
      </c>
      <c r="F294" s="64">
        <v>18000</v>
      </c>
      <c r="G294" s="64">
        <v>18781.583333333332</v>
      </c>
      <c r="H294" s="65">
        <f t="shared" si="87"/>
        <v>0.95838565261182285</v>
      </c>
      <c r="I294" s="64">
        <v>0</v>
      </c>
      <c r="J294" s="64">
        <v>18460.166666666668</v>
      </c>
      <c r="K294" s="65">
        <f t="shared" si="88"/>
        <v>0</v>
      </c>
      <c r="L294" s="66">
        <f t="shared" si="89"/>
        <v>0.6858964756293715</v>
      </c>
      <c r="M294" s="67">
        <f t="shared" si="90"/>
        <v>13000</v>
      </c>
      <c r="N294" s="64">
        <v>74450</v>
      </c>
      <c r="O294" s="64">
        <v>15888.833333333332</v>
      </c>
      <c r="P294" s="68">
        <f t="shared" si="91"/>
        <v>4.6856807191633543</v>
      </c>
      <c r="Q294" s="69">
        <v>48450</v>
      </c>
      <c r="R294" s="64">
        <v>15567.416666666666</v>
      </c>
      <c r="S294" s="68">
        <f t="shared" si="92"/>
        <v>3.1122697514573709</v>
      </c>
      <c r="T294" s="64">
        <v>74450</v>
      </c>
      <c r="U294" s="64">
        <v>15246</v>
      </c>
      <c r="V294" s="68">
        <f t="shared" si="93"/>
        <v>4.8832480650662466</v>
      </c>
      <c r="W294" s="70">
        <f t="shared" si="94"/>
        <v>4.2270661785623238</v>
      </c>
      <c r="X294" s="71">
        <f t="shared" si="95"/>
        <v>65783.333333333328</v>
      </c>
      <c r="AD294" s="52"/>
      <c r="AG294" s="52"/>
      <c r="AJ294" s="52"/>
      <c r="AK294" s="52"/>
      <c r="AL294" s="55"/>
      <c r="AO294" s="52"/>
      <c r="AR294" s="52"/>
      <c r="AU294" s="52"/>
      <c r="AV294" s="52"/>
      <c r="AW294" s="55"/>
    </row>
    <row r="295" spans="1:49" ht="15.75" customHeight="1">
      <c r="A295" s="16">
        <v>71101</v>
      </c>
      <c r="B295" s="63" t="s">
        <v>298</v>
      </c>
      <c r="C295" s="64">
        <v>267614</v>
      </c>
      <c r="D295" s="64">
        <v>18800</v>
      </c>
      <c r="E295" s="65">
        <f t="shared" si="86"/>
        <v>14.234787234042553</v>
      </c>
      <c r="F295" s="64">
        <v>334000</v>
      </c>
      <c r="G295" s="64">
        <v>19743.166666666668</v>
      </c>
      <c r="H295" s="65">
        <f t="shared" si="87"/>
        <v>16.917245629289457</v>
      </c>
      <c r="I295" s="64">
        <v>0</v>
      </c>
      <c r="J295" s="64">
        <v>20686.333333333332</v>
      </c>
      <c r="K295" s="65">
        <f t="shared" si="88"/>
        <v>0</v>
      </c>
      <c r="L295" s="66">
        <f t="shared" si="89"/>
        <v>10.384010954444003</v>
      </c>
      <c r="M295" s="67">
        <f t="shared" si="90"/>
        <v>200538</v>
      </c>
      <c r="N295" s="64">
        <v>878140</v>
      </c>
      <c r="O295" s="64">
        <v>28231.666666666664</v>
      </c>
      <c r="P295" s="68">
        <f t="shared" si="91"/>
        <v>31.10478776787296</v>
      </c>
      <c r="Q295" s="69">
        <v>1042800</v>
      </c>
      <c r="R295" s="64">
        <v>29174.833333333332</v>
      </c>
      <c r="S295" s="68">
        <f t="shared" si="92"/>
        <v>35.743134779404627</v>
      </c>
      <c r="T295" s="64">
        <v>940532</v>
      </c>
      <c r="U295" s="64">
        <v>30118</v>
      </c>
      <c r="V295" s="68">
        <f t="shared" si="93"/>
        <v>31.228235606613985</v>
      </c>
      <c r="W295" s="70">
        <f t="shared" si="94"/>
        <v>32.692052717963861</v>
      </c>
      <c r="X295" s="71">
        <f t="shared" si="95"/>
        <v>953824</v>
      </c>
      <c r="AD295" s="52"/>
      <c r="AG295" s="52"/>
      <c r="AJ295" s="52"/>
      <c r="AK295" s="52"/>
      <c r="AL295" s="55"/>
      <c r="AO295" s="52"/>
      <c r="AR295" s="52"/>
      <c r="AU295" s="52"/>
      <c r="AV295" s="52"/>
      <c r="AW295" s="55"/>
    </row>
    <row r="296" spans="1:49" ht="15.75" customHeight="1">
      <c r="A296" s="16">
        <v>71102</v>
      </c>
      <c r="B296" s="63" t="s">
        <v>299</v>
      </c>
      <c r="C296" s="64">
        <v>160000</v>
      </c>
      <c r="D296" s="64">
        <v>13620</v>
      </c>
      <c r="E296" s="65">
        <f t="shared" si="86"/>
        <v>11.747430249632894</v>
      </c>
      <c r="F296" s="64">
        <v>160000</v>
      </c>
      <c r="G296" s="64">
        <v>13725.666666666666</v>
      </c>
      <c r="H296" s="65">
        <f t="shared" si="87"/>
        <v>11.65699298151881</v>
      </c>
      <c r="I296" s="64">
        <v>0</v>
      </c>
      <c r="J296" s="64">
        <v>13831.333333333334</v>
      </c>
      <c r="K296" s="65">
        <f t="shared" si="88"/>
        <v>0</v>
      </c>
      <c r="L296" s="66">
        <f t="shared" si="89"/>
        <v>7.8014744103839009</v>
      </c>
      <c r="M296" s="67">
        <f t="shared" si="90"/>
        <v>106666.66666666667</v>
      </c>
      <c r="N296" s="64">
        <v>540000</v>
      </c>
      <c r="O296" s="64">
        <v>14676.666666666666</v>
      </c>
      <c r="P296" s="68">
        <f t="shared" si="91"/>
        <v>36.793095616625031</v>
      </c>
      <c r="Q296" s="69">
        <v>544500</v>
      </c>
      <c r="R296" s="64">
        <v>14782.333333333334</v>
      </c>
      <c r="S296" s="68">
        <f t="shared" si="92"/>
        <v>36.83450966243489</v>
      </c>
      <c r="T296" s="64">
        <v>510000</v>
      </c>
      <c r="U296" s="64">
        <v>14888</v>
      </c>
      <c r="V296" s="68">
        <f t="shared" si="93"/>
        <v>34.255776464266525</v>
      </c>
      <c r="W296" s="70">
        <f t="shared" si="94"/>
        <v>35.961127247775487</v>
      </c>
      <c r="X296" s="71">
        <f t="shared" si="95"/>
        <v>531500</v>
      </c>
      <c r="AD296" s="52"/>
      <c r="AG296" s="52"/>
      <c r="AJ296" s="52"/>
      <c r="AK296" s="52"/>
      <c r="AL296" s="55"/>
      <c r="AO296" s="52"/>
      <c r="AR296" s="52"/>
      <c r="AU296" s="52"/>
      <c r="AV296" s="52"/>
      <c r="AW296" s="55"/>
    </row>
    <row r="297" spans="1:49" ht="15.75" customHeight="1">
      <c r="A297" s="16">
        <v>71103</v>
      </c>
      <c r="B297" s="63" t="s">
        <v>300</v>
      </c>
      <c r="C297" s="64">
        <v>0</v>
      </c>
      <c r="D297" s="64">
        <v>7490</v>
      </c>
      <c r="E297" s="65">
        <f t="shared" si="86"/>
        <v>0</v>
      </c>
      <c r="F297" s="64">
        <v>267400</v>
      </c>
      <c r="G297" s="64">
        <v>7577.583333333333</v>
      </c>
      <c r="H297" s="65">
        <f t="shared" si="87"/>
        <v>35.288295520779492</v>
      </c>
      <c r="I297" s="64">
        <v>0</v>
      </c>
      <c r="J297" s="64">
        <v>7665.166666666667</v>
      </c>
      <c r="K297" s="65">
        <f t="shared" si="88"/>
        <v>0</v>
      </c>
      <c r="L297" s="66">
        <f t="shared" si="89"/>
        <v>11.762765173593165</v>
      </c>
      <c r="M297" s="67">
        <f t="shared" si="90"/>
        <v>89133.333333333328</v>
      </c>
      <c r="N297" s="64">
        <v>160200</v>
      </c>
      <c r="O297" s="64">
        <v>8365.8333333333339</v>
      </c>
      <c r="P297" s="68">
        <f t="shared" si="91"/>
        <v>19.149317661121625</v>
      </c>
      <c r="Q297" s="69">
        <v>189176</v>
      </c>
      <c r="R297" s="64">
        <v>8453.4166666666661</v>
      </c>
      <c r="S297" s="68">
        <f t="shared" si="92"/>
        <v>22.378643743653949</v>
      </c>
      <c r="T297" s="64">
        <v>176520</v>
      </c>
      <c r="U297" s="64">
        <v>8541</v>
      </c>
      <c r="V297" s="68">
        <f t="shared" si="93"/>
        <v>20.667369160519847</v>
      </c>
      <c r="W297" s="70">
        <f t="shared" si="94"/>
        <v>20.731776855098474</v>
      </c>
      <c r="X297" s="71">
        <f t="shared" si="95"/>
        <v>175298.66666666666</v>
      </c>
      <c r="AD297" s="52"/>
      <c r="AG297" s="52"/>
      <c r="AJ297" s="52"/>
      <c r="AK297" s="52"/>
      <c r="AL297" s="55"/>
      <c r="AO297" s="52"/>
      <c r="AR297" s="52"/>
      <c r="AU297" s="52"/>
      <c r="AV297" s="52"/>
      <c r="AW297" s="55"/>
    </row>
    <row r="298" spans="1:49" ht="15.75" customHeight="1">
      <c r="A298" s="16">
        <v>71104</v>
      </c>
      <c r="B298" s="63" t="s">
        <v>301</v>
      </c>
      <c r="C298" s="64">
        <v>364830</v>
      </c>
      <c r="D298" s="64">
        <v>47416</v>
      </c>
      <c r="E298" s="65">
        <f t="shared" si="86"/>
        <v>7.6942382318204823</v>
      </c>
      <c r="F298" s="64">
        <v>286000</v>
      </c>
      <c r="G298" s="64">
        <v>47207.083333333336</v>
      </c>
      <c r="H298" s="65">
        <f t="shared" si="87"/>
        <v>6.0584128441176723</v>
      </c>
      <c r="I298" s="64">
        <v>0</v>
      </c>
      <c r="J298" s="64">
        <v>46998.166666666664</v>
      </c>
      <c r="K298" s="65">
        <f t="shared" si="88"/>
        <v>0</v>
      </c>
      <c r="L298" s="66">
        <f t="shared" si="89"/>
        <v>4.5842170253127179</v>
      </c>
      <c r="M298" s="67">
        <f t="shared" si="90"/>
        <v>216943.33333333334</v>
      </c>
      <c r="N298" s="64">
        <v>400000</v>
      </c>
      <c r="O298" s="64">
        <v>45326.833333333336</v>
      </c>
      <c r="P298" s="68">
        <f t="shared" si="91"/>
        <v>8.8247947315975441</v>
      </c>
      <c r="Q298" s="69">
        <v>450000</v>
      </c>
      <c r="R298" s="64">
        <v>45117.916666666664</v>
      </c>
      <c r="S298" s="68">
        <f t="shared" si="92"/>
        <v>9.9738647802517484</v>
      </c>
      <c r="T298" s="64">
        <v>694405</v>
      </c>
      <c r="U298" s="64">
        <v>44909</v>
      </c>
      <c r="V298" s="68">
        <f t="shared" si="93"/>
        <v>15.462490814758734</v>
      </c>
      <c r="W298" s="70">
        <f t="shared" si="94"/>
        <v>11.420383442202677</v>
      </c>
      <c r="X298" s="71">
        <f t="shared" si="95"/>
        <v>514801.66666666669</v>
      </c>
      <c r="AD298" s="52"/>
      <c r="AG298" s="52"/>
      <c r="AJ298" s="52"/>
      <c r="AK298" s="52"/>
      <c r="AL298" s="55"/>
      <c r="AO298" s="52"/>
      <c r="AR298" s="52"/>
      <c r="AU298" s="52"/>
      <c r="AV298" s="52"/>
      <c r="AW298" s="55"/>
    </row>
    <row r="299" spans="1:49" ht="15.75" customHeight="1">
      <c r="A299" s="16">
        <v>71105</v>
      </c>
      <c r="B299" s="63" t="s">
        <v>302</v>
      </c>
      <c r="C299" s="64">
        <v>15000</v>
      </c>
      <c r="D299" s="64">
        <v>6481</v>
      </c>
      <c r="E299" s="65">
        <f t="shared" si="86"/>
        <v>2.3144576454250889</v>
      </c>
      <c r="F299" s="64">
        <v>8000</v>
      </c>
      <c r="G299" s="64">
        <v>6471.25</v>
      </c>
      <c r="H299" s="65">
        <f t="shared" si="87"/>
        <v>1.2362372030133282</v>
      </c>
      <c r="I299" s="64">
        <v>0</v>
      </c>
      <c r="J299" s="64">
        <v>6461.5</v>
      </c>
      <c r="K299" s="65">
        <f t="shared" si="88"/>
        <v>0</v>
      </c>
      <c r="L299" s="66">
        <f t="shared" si="89"/>
        <v>1.1835649494794724</v>
      </c>
      <c r="M299" s="67">
        <f t="shared" si="90"/>
        <v>7666.666666666667</v>
      </c>
      <c r="N299" s="64">
        <v>45000</v>
      </c>
      <c r="O299" s="64">
        <v>6383.5</v>
      </c>
      <c r="P299" s="68">
        <f t="shared" si="91"/>
        <v>7.0494242970157437</v>
      </c>
      <c r="Q299" s="69">
        <v>50000</v>
      </c>
      <c r="R299" s="64">
        <v>6373.75</v>
      </c>
      <c r="S299" s="68">
        <f t="shared" si="92"/>
        <v>7.8446754265542262</v>
      </c>
      <c r="T299" s="64">
        <v>50000</v>
      </c>
      <c r="U299" s="64">
        <v>6364</v>
      </c>
      <c r="V299" s="68">
        <f t="shared" si="93"/>
        <v>7.8566939032055307</v>
      </c>
      <c r="W299" s="70">
        <f t="shared" si="94"/>
        <v>7.5835978755918338</v>
      </c>
      <c r="X299" s="71">
        <f t="shared" si="95"/>
        <v>48333.333333333336</v>
      </c>
      <c r="AD299" s="52"/>
      <c r="AG299" s="52"/>
      <c r="AJ299" s="52"/>
      <c r="AK299" s="52"/>
      <c r="AL299" s="55"/>
      <c r="AO299" s="52"/>
      <c r="AR299" s="52"/>
      <c r="AU299" s="52"/>
      <c r="AV299" s="52"/>
      <c r="AW299" s="55"/>
    </row>
    <row r="300" spans="1:49" ht="15.75" customHeight="1">
      <c r="A300" s="16">
        <v>71106</v>
      </c>
      <c r="B300" s="63" t="s">
        <v>303</v>
      </c>
      <c r="C300" s="64">
        <v>60000</v>
      </c>
      <c r="D300" s="64">
        <v>22845</v>
      </c>
      <c r="E300" s="65">
        <f t="shared" si="86"/>
        <v>2.6263952724885096</v>
      </c>
      <c r="F300" s="64">
        <v>100500</v>
      </c>
      <c r="G300" s="64">
        <v>23046.083333333332</v>
      </c>
      <c r="H300" s="65">
        <f t="shared" si="87"/>
        <v>4.360827761767184</v>
      </c>
      <c r="I300" s="64">
        <v>0</v>
      </c>
      <c r="J300" s="64">
        <v>23247.166666666668</v>
      </c>
      <c r="K300" s="65">
        <f t="shared" si="88"/>
        <v>0</v>
      </c>
      <c r="L300" s="66">
        <f t="shared" si="89"/>
        <v>2.329074344751898</v>
      </c>
      <c r="M300" s="67">
        <f t="shared" si="90"/>
        <v>53500</v>
      </c>
      <c r="N300" s="64">
        <v>272000</v>
      </c>
      <c r="O300" s="64">
        <v>24855.833333333332</v>
      </c>
      <c r="P300" s="68">
        <f t="shared" si="91"/>
        <v>10.943105240218594</v>
      </c>
      <c r="Q300" s="69">
        <v>280000</v>
      </c>
      <c r="R300" s="64">
        <v>25056.916666666668</v>
      </c>
      <c r="S300" s="68">
        <f t="shared" si="92"/>
        <v>11.174559253433017</v>
      </c>
      <c r="T300" s="64">
        <v>178820</v>
      </c>
      <c r="U300" s="64">
        <v>25258</v>
      </c>
      <c r="V300" s="68">
        <f t="shared" si="93"/>
        <v>7.0797371129939028</v>
      </c>
      <c r="W300" s="70">
        <f t="shared" si="94"/>
        <v>9.7324672022151706</v>
      </c>
      <c r="X300" s="71">
        <f t="shared" si="95"/>
        <v>243606.66666666666</v>
      </c>
      <c r="AD300" s="52"/>
      <c r="AG300" s="52"/>
      <c r="AJ300" s="52"/>
      <c r="AK300" s="52"/>
      <c r="AL300" s="55"/>
      <c r="AO300" s="52"/>
      <c r="AR300" s="52"/>
      <c r="AU300" s="52"/>
      <c r="AV300" s="52"/>
      <c r="AW300" s="55"/>
    </row>
    <row r="301" spans="1:49" ht="15.75" customHeight="1">
      <c r="A301" s="16">
        <v>71201</v>
      </c>
      <c r="B301" s="63" t="s">
        <v>304</v>
      </c>
      <c r="C301" s="64">
        <v>0</v>
      </c>
      <c r="D301" s="64">
        <v>14470</v>
      </c>
      <c r="E301" s="65">
        <f t="shared" si="86"/>
        <v>0</v>
      </c>
      <c r="F301" s="64">
        <v>100000</v>
      </c>
      <c r="G301" s="64">
        <v>14545.666666666666</v>
      </c>
      <c r="H301" s="65">
        <f t="shared" si="87"/>
        <v>6.8748997410454438</v>
      </c>
      <c r="I301" s="64">
        <v>0</v>
      </c>
      <c r="J301" s="64">
        <v>14621.333333333334</v>
      </c>
      <c r="K301" s="65">
        <f t="shared" si="88"/>
        <v>0</v>
      </c>
      <c r="L301" s="66">
        <f t="shared" si="89"/>
        <v>2.2916332470151479</v>
      </c>
      <c r="M301" s="67">
        <f t="shared" si="90"/>
        <v>33333.333333333336</v>
      </c>
      <c r="N301" s="64">
        <v>240648</v>
      </c>
      <c r="O301" s="64">
        <v>15226.666666666666</v>
      </c>
      <c r="P301" s="68">
        <f t="shared" si="91"/>
        <v>15.804378283712785</v>
      </c>
      <c r="Q301" s="69">
        <v>211100</v>
      </c>
      <c r="R301" s="64">
        <v>15302.333333333334</v>
      </c>
      <c r="S301" s="68">
        <f t="shared" si="92"/>
        <v>13.795281765308122</v>
      </c>
      <c r="T301" s="64">
        <v>227500</v>
      </c>
      <c r="U301" s="64">
        <v>15378</v>
      </c>
      <c r="V301" s="68">
        <f t="shared" si="93"/>
        <v>14.793861360384966</v>
      </c>
      <c r="W301" s="70">
        <f t="shared" si="94"/>
        <v>14.797840469801956</v>
      </c>
      <c r="X301" s="71">
        <f t="shared" si="95"/>
        <v>226416</v>
      </c>
      <c r="AD301" s="52"/>
      <c r="AG301" s="52"/>
      <c r="AJ301" s="52"/>
      <c r="AK301" s="52"/>
      <c r="AL301" s="55"/>
      <c r="AO301" s="52"/>
      <c r="AR301" s="52"/>
      <c r="AU301" s="52"/>
      <c r="AV301" s="52"/>
      <c r="AW301" s="55"/>
    </row>
    <row r="302" spans="1:49" ht="15.75" customHeight="1">
      <c r="A302" s="16">
        <v>71301</v>
      </c>
      <c r="B302" s="63" t="s">
        <v>305</v>
      </c>
      <c r="C302" s="64">
        <v>0</v>
      </c>
      <c r="D302" s="64">
        <v>15919</v>
      </c>
      <c r="E302" s="65">
        <f t="shared" si="86"/>
        <v>0</v>
      </c>
      <c r="F302" s="64">
        <v>315000</v>
      </c>
      <c r="G302" s="64">
        <v>16025.333333333334</v>
      </c>
      <c r="H302" s="65">
        <f t="shared" si="87"/>
        <v>19.656377402446125</v>
      </c>
      <c r="I302" s="64">
        <v>0</v>
      </c>
      <c r="J302" s="64">
        <v>16131.666666666666</v>
      </c>
      <c r="K302" s="65">
        <f t="shared" si="88"/>
        <v>0</v>
      </c>
      <c r="L302" s="66">
        <f t="shared" si="89"/>
        <v>6.5521258008153751</v>
      </c>
      <c r="M302" s="67">
        <f t="shared" si="90"/>
        <v>105000</v>
      </c>
      <c r="N302" s="64">
        <v>407000</v>
      </c>
      <c r="O302" s="64">
        <v>16982.333333333332</v>
      </c>
      <c r="P302" s="68">
        <f t="shared" si="91"/>
        <v>23.966082399356196</v>
      </c>
      <c r="Q302" s="69">
        <v>573360</v>
      </c>
      <c r="R302" s="64">
        <v>17088.666666666668</v>
      </c>
      <c r="S302" s="68">
        <f t="shared" si="92"/>
        <v>33.552061795341942</v>
      </c>
      <c r="T302" s="64">
        <v>450000</v>
      </c>
      <c r="U302" s="64">
        <v>17195</v>
      </c>
      <c r="V302" s="68">
        <f t="shared" si="93"/>
        <v>26.170398371619658</v>
      </c>
      <c r="W302" s="70">
        <f t="shared" si="94"/>
        <v>27.896180855439265</v>
      </c>
      <c r="X302" s="71">
        <f t="shared" si="95"/>
        <v>476786.66666666669</v>
      </c>
      <c r="AD302" s="52"/>
      <c r="AG302" s="52"/>
      <c r="AJ302" s="52"/>
      <c r="AK302" s="52"/>
      <c r="AL302" s="55"/>
      <c r="AO302" s="52"/>
      <c r="AR302" s="52"/>
      <c r="AU302" s="52"/>
      <c r="AV302" s="52"/>
      <c r="AW302" s="55"/>
    </row>
    <row r="303" spans="1:49" ht="15.75" customHeight="1">
      <c r="A303" s="16">
        <v>71302</v>
      </c>
      <c r="B303" s="63" t="s">
        <v>306</v>
      </c>
      <c r="C303" s="64">
        <v>29091</v>
      </c>
      <c r="D303" s="64">
        <v>7390</v>
      </c>
      <c r="E303" s="65">
        <f t="shared" si="86"/>
        <v>3.936535859269283</v>
      </c>
      <c r="F303" s="64">
        <v>38848</v>
      </c>
      <c r="G303" s="64">
        <v>7278.166666666667</v>
      </c>
      <c r="H303" s="65">
        <f t="shared" si="87"/>
        <v>5.3376079140809267</v>
      </c>
      <c r="I303" s="64">
        <v>0</v>
      </c>
      <c r="J303" s="64">
        <v>7166.333333333333</v>
      </c>
      <c r="K303" s="65">
        <f t="shared" si="88"/>
        <v>0</v>
      </c>
      <c r="L303" s="66">
        <f t="shared" si="89"/>
        <v>3.0913812577834032</v>
      </c>
      <c r="M303" s="67">
        <f t="shared" si="90"/>
        <v>22646.333333333332</v>
      </c>
      <c r="N303" s="64">
        <v>65000</v>
      </c>
      <c r="O303" s="64">
        <v>6271.666666666667</v>
      </c>
      <c r="P303" s="68">
        <f t="shared" si="91"/>
        <v>10.364071219771459</v>
      </c>
      <c r="Q303" s="69">
        <v>65000</v>
      </c>
      <c r="R303" s="64">
        <v>6159.8333333333339</v>
      </c>
      <c r="S303" s="68">
        <f t="shared" si="92"/>
        <v>10.552233556102708</v>
      </c>
      <c r="T303" s="64">
        <v>65000</v>
      </c>
      <c r="U303" s="64">
        <v>6048</v>
      </c>
      <c r="V303" s="68">
        <f t="shared" si="93"/>
        <v>10.747354497354497</v>
      </c>
      <c r="W303" s="70">
        <f t="shared" si="94"/>
        <v>10.554553091076221</v>
      </c>
      <c r="X303" s="71">
        <f t="shared" si="95"/>
        <v>65000</v>
      </c>
      <c r="AD303" s="52"/>
      <c r="AG303" s="52"/>
      <c r="AJ303" s="52"/>
      <c r="AK303" s="52"/>
      <c r="AL303" s="55"/>
      <c r="AO303" s="52"/>
      <c r="AR303" s="52"/>
      <c r="AU303" s="52"/>
      <c r="AV303" s="52"/>
      <c r="AW303" s="55"/>
    </row>
    <row r="304" spans="1:49" ht="15.75" customHeight="1">
      <c r="A304" s="16">
        <v>71401</v>
      </c>
      <c r="B304" s="63" t="s">
        <v>307</v>
      </c>
      <c r="C304" s="64">
        <v>0</v>
      </c>
      <c r="D304" s="64">
        <v>19829</v>
      </c>
      <c r="E304" s="65">
        <f t="shared" si="86"/>
        <v>0</v>
      </c>
      <c r="F304" s="64">
        <v>729877</v>
      </c>
      <c r="G304" s="64">
        <v>19628</v>
      </c>
      <c r="H304" s="65">
        <f t="shared" si="87"/>
        <v>37.185500305685757</v>
      </c>
      <c r="I304" s="64">
        <v>0</v>
      </c>
      <c r="J304" s="64">
        <v>19427</v>
      </c>
      <c r="K304" s="65">
        <f t="shared" si="88"/>
        <v>0</v>
      </c>
      <c r="L304" s="66">
        <f t="shared" si="89"/>
        <v>12.39516676856192</v>
      </c>
      <c r="M304" s="67">
        <f t="shared" si="90"/>
        <v>243292.33333333334</v>
      </c>
      <c r="N304" s="64">
        <v>396501</v>
      </c>
      <c r="O304" s="64">
        <v>17819</v>
      </c>
      <c r="P304" s="68">
        <f t="shared" si="91"/>
        <v>22.251585386385319</v>
      </c>
      <c r="Q304" s="69">
        <v>865000</v>
      </c>
      <c r="R304" s="64">
        <v>17618</v>
      </c>
      <c r="S304" s="68">
        <f t="shared" si="92"/>
        <v>49.097513906232265</v>
      </c>
      <c r="T304" s="64">
        <v>1376500</v>
      </c>
      <c r="U304" s="64">
        <v>17417</v>
      </c>
      <c r="V304" s="68">
        <f t="shared" si="93"/>
        <v>79.031980249181828</v>
      </c>
      <c r="W304" s="70">
        <f t="shared" si="94"/>
        <v>50.127026513933139</v>
      </c>
      <c r="X304" s="71">
        <f t="shared" si="95"/>
        <v>879333.66666666663</v>
      </c>
      <c r="AD304" s="52"/>
      <c r="AG304" s="52"/>
      <c r="AJ304" s="52"/>
      <c r="AK304" s="52"/>
      <c r="AL304" s="55"/>
      <c r="AO304" s="52"/>
      <c r="AR304" s="52"/>
      <c r="AU304" s="52"/>
      <c r="AV304" s="52"/>
      <c r="AW304" s="55"/>
    </row>
    <row r="305" spans="1:49" ht="15.75" customHeight="1">
      <c r="A305" s="16">
        <v>71402</v>
      </c>
      <c r="B305" s="63" t="s">
        <v>308</v>
      </c>
      <c r="C305" s="64">
        <v>100000</v>
      </c>
      <c r="D305" s="64">
        <v>16659</v>
      </c>
      <c r="E305" s="65">
        <f t="shared" si="86"/>
        <v>6.0027612701842852</v>
      </c>
      <c r="F305" s="64">
        <v>840000</v>
      </c>
      <c r="G305" s="64">
        <v>16768.583333333332</v>
      </c>
      <c r="H305" s="65">
        <f t="shared" si="87"/>
        <v>50.093677164141283</v>
      </c>
      <c r="I305" s="64">
        <v>0</v>
      </c>
      <c r="J305" s="64">
        <v>16878.166666666668</v>
      </c>
      <c r="K305" s="65">
        <f t="shared" si="88"/>
        <v>0</v>
      </c>
      <c r="L305" s="66">
        <f t="shared" si="89"/>
        <v>18.698812811441858</v>
      </c>
      <c r="M305" s="67">
        <f t="shared" si="90"/>
        <v>313333.33333333331</v>
      </c>
      <c r="N305" s="64">
        <v>780000</v>
      </c>
      <c r="O305" s="64">
        <v>17754.833333333332</v>
      </c>
      <c r="P305" s="68">
        <f t="shared" si="91"/>
        <v>43.931699349472915</v>
      </c>
      <c r="Q305" s="69">
        <v>600000</v>
      </c>
      <c r="R305" s="64">
        <v>17864.416666666668</v>
      </c>
      <c r="S305" s="68">
        <f t="shared" si="92"/>
        <v>33.586319172656999</v>
      </c>
      <c r="T305" s="64">
        <v>650000</v>
      </c>
      <c r="U305" s="64">
        <v>17974</v>
      </c>
      <c r="V305" s="68">
        <f t="shared" si="93"/>
        <v>36.163347056859912</v>
      </c>
      <c r="W305" s="70">
        <f t="shared" si="94"/>
        <v>37.893788526329949</v>
      </c>
      <c r="X305" s="71">
        <f t="shared" si="95"/>
        <v>676666.66666666663</v>
      </c>
      <c r="AD305" s="52"/>
      <c r="AG305" s="52"/>
      <c r="AJ305" s="52"/>
      <c r="AK305" s="52"/>
      <c r="AL305" s="55"/>
      <c r="AO305" s="52"/>
      <c r="AR305" s="52"/>
      <c r="AU305" s="52"/>
      <c r="AV305" s="52"/>
      <c r="AW305" s="55"/>
    </row>
    <row r="306" spans="1:49" ht="15.75" customHeight="1">
      <c r="A306" s="16">
        <v>71403</v>
      </c>
      <c r="B306" s="63" t="s">
        <v>309</v>
      </c>
      <c r="C306" s="64">
        <v>140000</v>
      </c>
      <c r="D306" s="64">
        <v>6342</v>
      </c>
      <c r="E306" s="65">
        <f t="shared" si="86"/>
        <v>22.075055187637968</v>
      </c>
      <c r="F306" s="64">
        <v>135000</v>
      </c>
      <c r="G306" s="64">
        <v>6548.166666666667</v>
      </c>
      <c r="H306" s="65">
        <f t="shared" si="87"/>
        <v>20.616457532642723</v>
      </c>
      <c r="I306" s="64">
        <v>0</v>
      </c>
      <c r="J306" s="64">
        <v>6754.333333333333</v>
      </c>
      <c r="K306" s="65">
        <f t="shared" si="88"/>
        <v>0</v>
      </c>
      <c r="L306" s="66">
        <f t="shared" si="89"/>
        <v>14.230504240093564</v>
      </c>
      <c r="M306" s="67">
        <f t="shared" si="90"/>
        <v>91666.666666666672</v>
      </c>
      <c r="N306" s="64">
        <v>15000</v>
      </c>
      <c r="O306" s="64">
        <v>8403.6666666666661</v>
      </c>
      <c r="P306" s="68">
        <f t="shared" si="91"/>
        <v>1.7849351473563129</v>
      </c>
      <c r="Q306" s="69">
        <v>10000</v>
      </c>
      <c r="R306" s="64">
        <v>8609.8333333333321</v>
      </c>
      <c r="S306" s="68">
        <f t="shared" si="92"/>
        <v>1.1614626686540586</v>
      </c>
      <c r="T306" s="64">
        <v>10000</v>
      </c>
      <c r="U306" s="64">
        <v>8816</v>
      </c>
      <c r="V306" s="68">
        <f t="shared" si="93"/>
        <v>1.1343012704174229</v>
      </c>
      <c r="W306" s="70">
        <f t="shared" si="94"/>
        <v>1.3602330288092646</v>
      </c>
      <c r="X306" s="71">
        <f t="shared" si="95"/>
        <v>11666.666666666666</v>
      </c>
      <c r="AD306" s="52"/>
      <c r="AG306" s="52"/>
      <c r="AJ306" s="52"/>
      <c r="AK306" s="52"/>
      <c r="AL306" s="55"/>
      <c r="AO306" s="52"/>
      <c r="AR306" s="52"/>
      <c r="AU306" s="52"/>
      <c r="AV306" s="52"/>
      <c r="AW306" s="55"/>
    </row>
    <row r="307" spans="1:49" ht="15.75" customHeight="1">
      <c r="A307" s="16">
        <v>71501</v>
      </c>
      <c r="B307" s="63" t="s">
        <v>310</v>
      </c>
      <c r="C307" s="64">
        <v>165000</v>
      </c>
      <c r="D307" s="64">
        <v>27070</v>
      </c>
      <c r="E307" s="65">
        <f t="shared" si="86"/>
        <v>6.095308459549317</v>
      </c>
      <c r="F307" s="64">
        <v>180000</v>
      </c>
      <c r="G307" s="64">
        <v>27654.083333333332</v>
      </c>
      <c r="H307" s="65">
        <f t="shared" si="87"/>
        <v>6.508984508014187</v>
      </c>
      <c r="I307" s="64">
        <v>0</v>
      </c>
      <c r="J307" s="64">
        <v>28238.166666666668</v>
      </c>
      <c r="K307" s="65">
        <f t="shared" si="88"/>
        <v>0</v>
      </c>
      <c r="L307" s="66">
        <f t="shared" si="89"/>
        <v>4.201430989187835</v>
      </c>
      <c r="M307" s="67">
        <f t="shared" si="90"/>
        <v>115000</v>
      </c>
      <c r="N307" s="64">
        <v>444800</v>
      </c>
      <c r="O307" s="64">
        <v>32910.833333333336</v>
      </c>
      <c r="P307" s="68">
        <f t="shared" si="91"/>
        <v>13.515306510014431</v>
      </c>
      <c r="Q307" s="69">
        <v>540000</v>
      </c>
      <c r="R307" s="64">
        <v>33494.916666666664</v>
      </c>
      <c r="S307" s="68">
        <f t="shared" si="92"/>
        <v>16.121849335346909</v>
      </c>
      <c r="T307" s="64">
        <v>1034000</v>
      </c>
      <c r="U307" s="64">
        <v>34079</v>
      </c>
      <c r="V307" s="68">
        <f t="shared" si="93"/>
        <v>30.341265882214852</v>
      </c>
      <c r="W307" s="70">
        <f t="shared" si="94"/>
        <v>19.992807242525398</v>
      </c>
      <c r="X307" s="71">
        <f t="shared" si="95"/>
        <v>672933.33333333337</v>
      </c>
      <c r="AD307" s="52"/>
      <c r="AG307" s="52"/>
      <c r="AJ307" s="52"/>
      <c r="AK307" s="52"/>
      <c r="AL307" s="55"/>
      <c r="AO307" s="52"/>
      <c r="AR307" s="52"/>
      <c r="AU307" s="52"/>
      <c r="AV307" s="52"/>
      <c r="AW307" s="55"/>
    </row>
    <row r="308" spans="1:49" ht="15.75" customHeight="1">
      <c r="A308" s="16">
        <v>71502</v>
      </c>
      <c r="B308" s="63" t="s">
        <v>311</v>
      </c>
      <c r="C308" s="64">
        <v>189005</v>
      </c>
      <c r="D308" s="64">
        <v>7026</v>
      </c>
      <c r="E308" s="65">
        <f t="shared" si="86"/>
        <v>26.900797039567323</v>
      </c>
      <c r="F308" s="64">
        <v>244689</v>
      </c>
      <c r="G308" s="64">
        <v>6986.75</v>
      </c>
      <c r="H308" s="65">
        <f t="shared" si="87"/>
        <v>35.021862811750815</v>
      </c>
      <c r="I308" s="64">
        <v>0</v>
      </c>
      <c r="J308" s="64">
        <v>6947.5</v>
      </c>
      <c r="K308" s="65">
        <f t="shared" si="88"/>
        <v>0</v>
      </c>
      <c r="L308" s="66">
        <f t="shared" si="89"/>
        <v>20.640886617106045</v>
      </c>
      <c r="M308" s="67">
        <f t="shared" si="90"/>
        <v>144564.66666666666</v>
      </c>
      <c r="N308" s="64">
        <v>253932</v>
      </c>
      <c r="O308" s="64">
        <v>6633.5</v>
      </c>
      <c r="P308" s="68">
        <f t="shared" si="91"/>
        <v>38.280244214969471</v>
      </c>
      <c r="Q308" s="69">
        <v>308300</v>
      </c>
      <c r="R308" s="64">
        <v>6594.25</v>
      </c>
      <c r="S308" s="68">
        <f t="shared" si="92"/>
        <v>46.752852864237781</v>
      </c>
      <c r="T308" s="64">
        <v>386700</v>
      </c>
      <c r="U308" s="64">
        <v>6555</v>
      </c>
      <c r="V308" s="68">
        <f t="shared" si="93"/>
        <v>58.993135011441645</v>
      </c>
      <c r="W308" s="70">
        <f t="shared" si="94"/>
        <v>48.008744030216299</v>
      </c>
      <c r="X308" s="71">
        <f t="shared" si="95"/>
        <v>316310.66666666669</v>
      </c>
      <c r="AD308" s="52"/>
      <c r="AG308" s="52"/>
      <c r="AJ308" s="52"/>
      <c r="AK308" s="52"/>
      <c r="AL308" s="55"/>
      <c r="AO308" s="52"/>
      <c r="AR308" s="52"/>
      <c r="AU308" s="52"/>
      <c r="AV308" s="52"/>
      <c r="AW308" s="55"/>
    </row>
    <row r="309" spans="1:49" ht="15.75" customHeight="1">
      <c r="A309" s="16">
        <v>71503</v>
      </c>
      <c r="B309" s="63" t="s">
        <v>257</v>
      </c>
      <c r="C309" s="64">
        <v>46200</v>
      </c>
      <c r="D309" s="64">
        <v>14205</v>
      </c>
      <c r="E309" s="65">
        <f t="shared" si="86"/>
        <v>3.2523759239704328</v>
      </c>
      <c r="F309" s="64">
        <v>46000</v>
      </c>
      <c r="G309" s="64">
        <v>14462.083333333334</v>
      </c>
      <c r="H309" s="65">
        <f t="shared" si="87"/>
        <v>3.1807312224495088</v>
      </c>
      <c r="I309" s="64">
        <v>0</v>
      </c>
      <c r="J309" s="64">
        <v>14719.166666666666</v>
      </c>
      <c r="K309" s="65">
        <f t="shared" si="88"/>
        <v>0</v>
      </c>
      <c r="L309" s="66">
        <f t="shared" si="89"/>
        <v>2.1443690488066474</v>
      </c>
      <c r="M309" s="67">
        <f t="shared" si="90"/>
        <v>30733.333333333332</v>
      </c>
      <c r="N309" s="64">
        <v>169500</v>
      </c>
      <c r="O309" s="64">
        <v>16775.833333333332</v>
      </c>
      <c r="P309" s="68">
        <f t="shared" si="91"/>
        <v>10.103819979136656</v>
      </c>
      <c r="Q309" s="69">
        <v>164000</v>
      </c>
      <c r="R309" s="64">
        <v>17032.916666666668</v>
      </c>
      <c r="S309" s="68">
        <f t="shared" si="92"/>
        <v>9.6284155678954964</v>
      </c>
      <c r="T309" s="64">
        <v>162000</v>
      </c>
      <c r="U309" s="64">
        <v>17290</v>
      </c>
      <c r="V309" s="68">
        <f t="shared" si="93"/>
        <v>9.369577790630423</v>
      </c>
      <c r="W309" s="70">
        <f t="shared" si="94"/>
        <v>9.7006044458875262</v>
      </c>
      <c r="X309" s="71">
        <f t="shared" si="95"/>
        <v>165166.66666666666</v>
      </c>
      <c r="AD309" s="52"/>
      <c r="AG309" s="52"/>
      <c r="AJ309" s="52"/>
      <c r="AK309" s="52"/>
      <c r="AL309" s="55"/>
      <c r="AO309" s="52"/>
      <c r="AR309" s="52"/>
      <c r="AU309" s="52"/>
      <c r="AV309" s="52"/>
      <c r="AW309" s="55"/>
    </row>
    <row r="310" spans="1:49" ht="15.75" customHeight="1">
      <c r="A310" s="16">
        <v>80101</v>
      </c>
      <c r="B310" s="63" t="s">
        <v>312</v>
      </c>
      <c r="C310" s="64">
        <v>8234964</v>
      </c>
      <c r="D310" s="64">
        <v>106596</v>
      </c>
      <c r="E310" s="65">
        <f t="shared" si="86"/>
        <v>77.253968253968253</v>
      </c>
      <c r="F310" s="64">
        <v>7504964</v>
      </c>
      <c r="G310" s="64">
        <v>108428.75</v>
      </c>
      <c r="H310" s="65">
        <f t="shared" si="87"/>
        <v>69.21562777399906</v>
      </c>
      <c r="I310" s="64">
        <v>0</v>
      </c>
      <c r="J310" s="64">
        <v>110261.5</v>
      </c>
      <c r="K310" s="65">
        <f t="shared" si="88"/>
        <v>0</v>
      </c>
      <c r="L310" s="66">
        <f t="shared" si="89"/>
        <v>48.823198675989111</v>
      </c>
      <c r="M310" s="67">
        <f t="shared" si="90"/>
        <v>5246642.666666667</v>
      </c>
      <c r="N310" s="64">
        <v>7179778</v>
      </c>
      <c r="O310" s="64">
        <v>124923.5</v>
      </c>
      <c r="P310" s="68">
        <f t="shared" si="91"/>
        <v>57.473397719404275</v>
      </c>
      <c r="Q310" s="69">
        <v>10910759</v>
      </c>
      <c r="R310" s="64">
        <v>126756.25</v>
      </c>
      <c r="S310" s="68">
        <f t="shared" si="92"/>
        <v>86.0766944430748</v>
      </c>
      <c r="T310" s="64">
        <v>10904867</v>
      </c>
      <c r="U310" s="64">
        <v>128589</v>
      </c>
      <c r="V310" s="68">
        <f t="shared" si="93"/>
        <v>84.80404233643624</v>
      </c>
      <c r="W310" s="70">
        <f t="shared" si="94"/>
        <v>76.118044832971762</v>
      </c>
      <c r="X310" s="71">
        <f t="shared" si="95"/>
        <v>9665134.666666666</v>
      </c>
      <c r="AD310" s="52"/>
      <c r="AG310" s="52"/>
      <c r="AJ310" s="52"/>
      <c r="AK310" s="52"/>
      <c r="AL310" s="55"/>
      <c r="AO310" s="52"/>
      <c r="AR310" s="52"/>
      <c r="AU310" s="52"/>
      <c r="AV310" s="52"/>
      <c r="AW310" s="55"/>
    </row>
    <row r="311" spans="1:49" ht="15.75" customHeight="1">
      <c r="A311" s="16">
        <v>80102</v>
      </c>
      <c r="B311" s="63" t="s">
        <v>299</v>
      </c>
      <c r="C311" s="64">
        <v>19000</v>
      </c>
      <c r="D311" s="64">
        <v>5277</v>
      </c>
      <c r="E311" s="65">
        <f t="shared" si="86"/>
        <v>3.6005306045101384</v>
      </c>
      <c r="F311" s="64">
        <v>15000</v>
      </c>
      <c r="G311" s="64">
        <v>5496.666666666667</v>
      </c>
      <c r="H311" s="65">
        <f t="shared" si="87"/>
        <v>2.7289266221952695</v>
      </c>
      <c r="I311" s="64">
        <v>0</v>
      </c>
      <c r="J311" s="64">
        <v>5716.333333333333</v>
      </c>
      <c r="K311" s="65">
        <f t="shared" si="88"/>
        <v>0</v>
      </c>
      <c r="L311" s="66">
        <f t="shared" si="89"/>
        <v>2.1098190755684691</v>
      </c>
      <c r="M311" s="67">
        <f t="shared" si="90"/>
        <v>11333.333333333334</v>
      </c>
      <c r="N311" s="64">
        <v>50000</v>
      </c>
      <c r="O311" s="64">
        <v>7473.6666666666661</v>
      </c>
      <c r="P311" s="68">
        <f t="shared" si="91"/>
        <v>6.6901565496632625</v>
      </c>
      <c r="Q311" s="69">
        <v>20000</v>
      </c>
      <c r="R311" s="64">
        <v>7693.333333333333</v>
      </c>
      <c r="S311" s="68">
        <f t="shared" si="92"/>
        <v>2.5996533795493937</v>
      </c>
      <c r="T311" s="64">
        <v>50000</v>
      </c>
      <c r="U311" s="64">
        <v>7913</v>
      </c>
      <c r="V311" s="68">
        <f t="shared" si="93"/>
        <v>6.3187160369013018</v>
      </c>
      <c r="W311" s="70">
        <f t="shared" si="94"/>
        <v>5.2028419887046526</v>
      </c>
      <c r="X311" s="71">
        <f t="shared" si="95"/>
        <v>40000</v>
      </c>
      <c r="AD311" s="52"/>
      <c r="AG311" s="52"/>
      <c r="AJ311" s="52"/>
      <c r="AK311" s="52"/>
      <c r="AL311" s="55"/>
      <c r="AO311" s="52"/>
      <c r="AR311" s="52"/>
      <c r="AU311" s="52"/>
      <c r="AV311" s="52"/>
      <c r="AW311" s="55"/>
    </row>
    <row r="312" spans="1:49" ht="15.75" customHeight="1">
      <c r="A312" s="16">
        <v>80201</v>
      </c>
      <c r="B312" s="63" t="s">
        <v>313</v>
      </c>
      <c r="C312" s="64">
        <v>2460214</v>
      </c>
      <c r="D312" s="64">
        <v>89022</v>
      </c>
      <c r="E312" s="65">
        <f t="shared" si="86"/>
        <v>27.636022556222059</v>
      </c>
      <c r="F312" s="64">
        <v>3383734</v>
      </c>
      <c r="G312" s="64">
        <v>90795.333333333328</v>
      </c>
      <c r="H312" s="65">
        <f t="shared" si="87"/>
        <v>37.267708325684879</v>
      </c>
      <c r="I312" s="64">
        <v>0</v>
      </c>
      <c r="J312" s="64">
        <v>92568.666666666672</v>
      </c>
      <c r="K312" s="65">
        <f t="shared" si="88"/>
        <v>0</v>
      </c>
      <c r="L312" s="66">
        <f t="shared" si="89"/>
        <v>21.634576960635645</v>
      </c>
      <c r="M312" s="67">
        <f t="shared" si="90"/>
        <v>1947982.6666666667</v>
      </c>
      <c r="N312" s="64">
        <v>0</v>
      </c>
      <c r="O312" s="64">
        <v>106755.33333333333</v>
      </c>
      <c r="P312" s="68">
        <f t="shared" si="91"/>
        <v>0</v>
      </c>
      <c r="Q312" s="69">
        <v>7708159</v>
      </c>
      <c r="R312" s="64">
        <v>108528.66666666666</v>
      </c>
      <c r="S312" s="68">
        <f t="shared" si="92"/>
        <v>71.024174872383952</v>
      </c>
      <c r="T312" s="64">
        <v>7708159</v>
      </c>
      <c r="U312" s="64">
        <v>110302</v>
      </c>
      <c r="V312" s="68">
        <f t="shared" si="93"/>
        <v>69.882314010625379</v>
      </c>
      <c r="W312" s="70">
        <f t="shared" si="94"/>
        <v>46.968829627669777</v>
      </c>
      <c r="X312" s="71">
        <f t="shared" si="95"/>
        <v>5138772.666666667</v>
      </c>
      <c r="AD312" s="52"/>
      <c r="AG312" s="52"/>
      <c r="AJ312" s="52"/>
      <c r="AK312" s="52"/>
      <c r="AL312" s="55"/>
      <c r="AO312" s="52"/>
      <c r="AR312" s="52"/>
      <c r="AU312" s="52"/>
      <c r="AV312" s="52"/>
      <c r="AW312" s="55"/>
    </row>
    <row r="313" spans="1:49" ht="15.75" customHeight="1">
      <c r="A313" s="16">
        <v>80202</v>
      </c>
      <c r="B313" s="63" t="s">
        <v>314</v>
      </c>
      <c r="C313" s="64">
        <v>1839140</v>
      </c>
      <c r="D313" s="64">
        <v>41814</v>
      </c>
      <c r="E313" s="65">
        <f t="shared" si="86"/>
        <v>43.98383316592529</v>
      </c>
      <c r="F313" s="64">
        <v>1800000</v>
      </c>
      <c r="G313" s="64">
        <v>41832.083333333336</v>
      </c>
      <c r="H313" s="65">
        <f t="shared" si="87"/>
        <v>43.029174178511305</v>
      </c>
      <c r="I313" s="64">
        <v>0</v>
      </c>
      <c r="J313" s="64">
        <v>41850.166666666664</v>
      </c>
      <c r="K313" s="65">
        <f t="shared" si="88"/>
        <v>0</v>
      </c>
      <c r="L313" s="66">
        <f t="shared" si="89"/>
        <v>29.004335781478868</v>
      </c>
      <c r="M313" s="67">
        <f t="shared" si="90"/>
        <v>1213046.6666666667</v>
      </c>
      <c r="N313" s="64">
        <v>1400000</v>
      </c>
      <c r="O313" s="64">
        <v>41994.833333333336</v>
      </c>
      <c r="P313" s="68">
        <f t="shared" si="91"/>
        <v>33.33743436692609</v>
      </c>
      <c r="Q313" s="69">
        <v>1600000</v>
      </c>
      <c r="R313" s="64">
        <v>42012.916666666664</v>
      </c>
      <c r="S313" s="68">
        <f t="shared" si="92"/>
        <v>38.083525899772887</v>
      </c>
      <c r="T313" s="64">
        <v>1600000</v>
      </c>
      <c r="U313" s="64">
        <v>42031</v>
      </c>
      <c r="V313" s="68">
        <f t="shared" si="93"/>
        <v>38.067140919797289</v>
      </c>
      <c r="W313" s="70">
        <f t="shared" si="94"/>
        <v>36.496033728832089</v>
      </c>
      <c r="X313" s="71">
        <f t="shared" si="95"/>
        <v>1533333.3333333333</v>
      </c>
      <c r="AD313" s="52"/>
      <c r="AG313" s="52"/>
      <c r="AJ313" s="52"/>
      <c r="AK313" s="52"/>
      <c r="AL313" s="55"/>
      <c r="AO313" s="52"/>
      <c r="AR313" s="52"/>
      <c r="AU313" s="52"/>
      <c r="AV313" s="52"/>
      <c r="AW313" s="55"/>
    </row>
    <row r="314" spans="1:49" ht="15.75" customHeight="1">
      <c r="A314" s="16">
        <v>80301</v>
      </c>
      <c r="B314" s="63" t="s">
        <v>315</v>
      </c>
      <c r="C314" s="64">
        <v>100000</v>
      </c>
      <c r="D314" s="64">
        <v>13246</v>
      </c>
      <c r="E314" s="65">
        <f t="shared" si="86"/>
        <v>7.5494488902310133</v>
      </c>
      <c r="F314" s="64">
        <v>100000</v>
      </c>
      <c r="G314" s="64">
        <v>13098.666666666666</v>
      </c>
      <c r="H314" s="65">
        <f t="shared" si="87"/>
        <v>7.6343648208469057</v>
      </c>
      <c r="I314" s="64">
        <v>0</v>
      </c>
      <c r="J314" s="64">
        <v>12951.333333333334</v>
      </c>
      <c r="K314" s="65">
        <f t="shared" si="88"/>
        <v>0</v>
      </c>
      <c r="L314" s="66">
        <f t="shared" si="89"/>
        <v>5.0612712370259727</v>
      </c>
      <c r="M314" s="67">
        <f t="shared" si="90"/>
        <v>66666.666666666672</v>
      </c>
      <c r="N314" s="64">
        <v>446033</v>
      </c>
      <c r="O314" s="64">
        <v>11772.666666666666</v>
      </c>
      <c r="P314" s="68">
        <f t="shared" si="91"/>
        <v>37.887168016308969</v>
      </c>
      <c r="Q314" s="69">
        <v>0</v>
      </c>
      <c r="R314" s="64">
        <v>11625.333333333334</v>
      </c>
      <c r="S314" s="68">
        <f t="shared" si="92"/>
        <v>0</v>
      </c>
      <c r="T314" s="64">
        <v>0</v>
      </c>
      <c r="U314" s="64">
        <v>11478</v>
      </c>
      <c r="V314" s="68">
        <f t="shared" si="93"/>
        <v>0</v>
      </c>
      <c r="W314" s="70">
        <f t="shared" si="94"/>
        <v>12.629056005436324</v>
      </c>
      <c r="X314" s="71">
        <f t="shared" si="95"/>
        <v>148677.66666666666</v>
      </c>
      <c r="AD314" s="52"/>
      <c r="AG314" s="52"/>
      <c r="AJ314" s="52"/>
      <c r="AK314" s="52"/>
      <c r="AL314" s="55"/>
      <c r="AO314" s="52"/>
      <c r="AR314" s="52"/>
      <c r="AU314" s="52"/>
      <c r="AV314" s="52"/>
      <c r="AW314" s="55"/>
    </row>
    <row r="315" spans="1:49" ht="15.75" customHeight="1">
      <c r="A315" s="16">
        <v>80302</v>
      </c>
      <c r="B315" s="63" t="s">
        <v>316</v>
      </c>
      <c r="C315" s="64">
        <v>424560</v>
      </c>
      <c r="D315" s="64">
        <v>40864</v>
      </c>
      <c r="E315" s="65">
        <f t="shared" si="86"/>
        <v>10.389584964761159</v>
      </c>
      <c r="F315" s="64">
        <v>793000</v>
      </c>
      <c r="G315" s="64">
        <v>41275.166666666664</v>
      </c>
      <c r="H315" s="65">
        <f t="shared" si="87"/>
        <v>19.212520845867775</v>
      </c>
      <c r="I315" s="64">
        <v>0</v>
      </c>
      <c r="J315" s="64">
        <v>41686.333333333336</v>
      </c>
      <c r="K315" s="65">
        <f t="shared" si="88"/>
        <v>0</v>
      </c>
      <c r="L315" s="66">
        <f t="shared" si="89"/>
        <v>9.8673686035429782</v>
      </c>
      <c r="M315" s="67">
        <f t="shared" si="90"/>
        <v>405853.33333333331</v>
      </c>
      <c r="N315" s="64">
        <v>2125000</v>
      </c>
      <c r="O315" s="64">
        <v>44975.666666666664</v>
      </c>
      <c r="P315" s="68">
        <f t="shared" si="91"/>
        <v>47.247771016920261</v>
      </c>
      <c r="Q315" s="69">
        <v>2224000</v>
      </c>
      <c r="R315" s="64">
        <v>45386.833333333336</v>
      </c>
      <c r="S315" s="68">
        <f t="shared" si="92"/>
        <v>49.000995149107119</v>
      </c>
      <c r="T315" s="64">
        <v>2315689</v>
      </c>
      <c r="U315" s="64">
        <v>45798</v>
      </c>
      <c r="V315" s="68">
        <f t="shared" si="93"/>
        <v>50.563103192279137</v>
      </c>
      <c r="W315" s="70">
        <f t="shared" si="94"/>
        <v>48.937289786102177</v>
      </c>
      <c r="X315" s="71">
        <f t="shared" si="95"/>
        <v>2221563</v>
      </c>
      <c r="AD315" s="52"/>
      <c r="AG315" s="52"/>
      <c r="AJ315" s="52"/>
      <c r="AK315" s="52"/>
      <c r="AL315" s="55"/>
      <c r="AO315" s="52"/>
      <c r="AR315" s="52"/>
      <c r="AU315" s="52"/>
      <c r="AV315" s="52"/>
      <c r="AW315" s="55"/>
    </row>
    <row r="316" spans="1:49" ht="15.75" customHeight="1">
      <c r="A316" s="16">
        <v>80303</v>
      </c>
      <c r="B316" s="63" t="s">
        <v>276</v>
      </c>
      <c r="C316" s="64">
        <v>269150</v>
      </c>
      <c r="D316" s="64">
        <v>9478</v>
      </c>
      <c r="E316" s="65">
        <f t="shared" si="86"/>
        <v>28.397341211225996</v>
      </c>
      <c r="F316" s="64">
        <v>350435</v>
      </c>
      <c r="G316" s="64">
        <v>9615</v>
      </c>
      <c r="H316" s="65">
        <f t="shared" si="87"/>
        <v>36.446697867914715</v>
      </c>
      <c r="I316" s="64">
        <v>0</v>
      </c>
      <c r="J316" s="64">
        <v>9752</v>
      </c>
      <c r="K316" s="65">
        <f t="shared" si="88"/>
        <v>0</v>
      </c>
      <c r="L316" s="66">
        <f t="shared" si="89"/>
        <v>21.614679693046906</v>
      </c>
      <c r="M316" s="67">
        <f t="shared" si="90"/>
        <v>206528.33333333334</v>
      </c>
      <c r="N316" s="64">
        <v>271400</v>
      </c>
      <c r="O316" s="64">
        <v>10848</v>
      </c>
      <c r="P316" s="68">
        <f t="shared" si="91"/>
        <v>25.018436578171091</v>
      </c>
      <c r="Q316" s="69">
        <v>271400</v>
      </c>
      <c r="R316" s="64">
        <v>10985</v>
      </c>
      <c r="S316" s="68">
        <f t="shared" si="92"/>
        <v>24.706417842512518</v>
      </c>
      <c r="T316" s="64">
        <v>231400</v>
      </c>
      <c r="U316" s="64">
        <v>11122</v>
      </c>
      <c r="V316" s="68">
        <f t="shared" si="93"/>
        <v>20.805610501708326</v>
      </c>
      <c r="W316" s="70">
        <f t="shared" si="94"/>
        <v>23.510154974130646</v>
      </c>
      <c r="X316" s="71">
        <f t="shared" si="95"/>
        <v>258066.66666666666</v>
      </c>
      <c r="AD316" s="52"/>
      <c r="AG316" s="52"/>
      <c r="AJ316" s="52"/>
      <c r="AK316" s="52"/>
      <c r="AL316" s="55"/>
      <c r="AO316" s="52"/>
      <c r="AR316" s="52"/>
      <c r="AU316" s="52"/>
      <c r="AV316" s="52"/>
      <c r="AW316" s="55"/>
    </row>
    <row r="317" spans="1:49" ht="15.75" customHeight="1">
      <c r="A317" s="16">
        <v>80304</v>
      </c>
      <c r="B317" s="63" t="s">
        <v>317</v>
      </c>
      <c r="C317" s="64">
        <v>350000</v>
      </c>
      <c r="D317" s="64">
        <v>19195</v>
      </c>
      <c r="E317" s="65">
        <f t="shared" si="86"/>
        <v>18.233915082052619</v>
      </c>
      <c r="F317" s="64">
        <v>350000</v>
      </c>
      <c r="G317" s="64">
        <v>19365.416666666668</v>
      </c>
      <c r="H317" s="65">
        <f t="shared" si="87"/>
        <v>18.073455687759537</v>
      </c>
      <c r="I317" s="64">
        <v>0</v>
      </c>
      <c r="J317" s="64">
        <v>19535.833333333332</v>
      </c>
      <c r="K317" s="65">
        <f t="shared" si="88"/>
        <v>0</v>
      </c>
      <c r="L317" s="66">
        <f t="shared" si="89"/>
        <v>12.102456923270717</v>
      </c>
      <c r="M317" s="67">
        <f t="shared" si="90"/>
        <v>233333.33333333334</v>
      </c>
      <c r="N317" s="64">
        <v>558299</v>
      </c>
      <c r="O317" s="64">
        <v>20899.166666666668</v>
      </c>
      <c r="P317" s="68">
        <f t="shared" si="91"/>
        <v>26.713935962358946</v>
      </c>
      <c r="Q317" s="69">
        <v>988299</v>
      </c>
      <c r="R317" s="64">
        <v>21069.583333333332</v>
      </c>
      <c r="S317" s="68">
        <f t="shared" si="92"/>
        <v>46.906433049221825</v>
      </c>
      <c r="T317" s="64">
        <v>1268299</v>
      </c>
      <c r="U317" s="64">
        <v>21240</v>
      </c>
      <c r="V317" s="68">
        <f t="shared" si="93"/>
        <v>59.712758945386064</v>
      </c>
      <c r="W317" s="70">
        <f t="shared" si="94"/>
        <v>44.444375985655618</v>
      </c>
      <c r="X317" s="71">
        <f t="shared" si="95"/>
        <v>938299</v>
      </c>
      <c r="AD317" s="52"/>
      <c r="AG317" s="52"/>
      <c r="AJ317" s="52"/>
      <c r="AK317" s="52"/>
      <c r="AL317" s="55"/>
      <c r="AO317" s="52"/>
      <c r="AR317" s="52"/>
      <c r="AU317" s="52"/>
      <c r="AV317" s="52"/>
      <c r="AW317" s="55"/>
    </row>
    <row r="318" spans="1:49" ht="15.75" customHeight="1">
      <c r="A318" s="16">
        <v>80401</v>
      </c>
      <c r="B318" s="63" t="s">
        <v>318</v>
      </c>
      <c r="C318" s="64">
        <v>250000</v>
      </c>
      <c r="D318" s="64">
        <v>17069</v>
      </c>
      <c r="E318" s="65">
        <f t="shared" si="86"/>
        <v>14.646435057706954</v>
      </c>
      <c r="F318" s="64">
        <v>1000000</v>
      </c>
      <c r="G318" s="64">
        <v>17153.916666666668</v>
      </c>
      <c r="H318" s="65">
        <f t="shared" si="87"/>
        <v>58.295724494406038</v>
      </c>
      <c r="I318" s="64">
        <v>0</v>
      </c>
      <c r="J318" s="64">
        <v>17238.833333333332</v>
      </c>
      <c r="K318" s="65">
        <f t="shared" si="88"/>
        <v>0</v>
      </c>
      <c r="L318" s="66">
        <f t="shared" si="89"/>
        <v>24.314053184037665</v>
      </c>
      <c r="M318" s="67">
        <f t="shared" si="90"/>
        <v>416666.66666666669</v>
      </c>
      <c r="N318" s="64">
        <v>263000</v>
      </c>
      <c r="O318" s="64">
        <v>17918.166666666668</v>
      </c>
      <c r="P318" s="68">
        <f t="shared" si="91"/>
        <v>14.677840924945817</v>
      </c>
      <c r="Q318" s="69">
        <v>516760</v>
      </c>
      <c r="R318" s="64">
        <v>18003.083333333332</v>
      </c>
      <c r="S318" s="68">
        <f t="shared" si="92"/>
        <v>28.703972004795478</v>
      </c>
      <c r="T318" s="64">
        <v>580318</v>
      </c>
      <c r="U318" s="64">
        <v>18088</v>
      </c>
      <c r="V318" s="68">
        <f t="shared" si="93"/>
        <v>32.083038478549312</v>
      </c>
      <c r="W318" s="70">
        <f t="shared" si="94"/>
        <v>25.154950469430201</v>
      </c>
      <c r="X318" s="71">
        <f t="shared" si="95"/>
        <v>453359.33333333331</v>
      </c>
      <c r="AD318" s="52"/>
      <c r="AG318" s="52"/>
      <c r="AJ318" s="52"/>
      <c r="AK318" s="52"/>
      <c r="AL318" s="55"/>
      <c r="AO318" s="52"/>
      <c r="AR318" s="52"/>
      <c r="AU318" s="52"/>
      <c r="AV318" s="52"/>
      <c r="AW318" s="55"/>
    </row>
    <row r="319" spans="1:49" ht="15.75" customHeight="1">
      <c r="A319" s="16">
        <v>80402</v>
      </c>
      <c r="B319" s="63" t="s">
        <v>319</v>
      </c>
      <c r="C319" s="64">
        <v>0</v>
      </c>
      <c r="D319" s="64">
        <v>6362</v>
      </c>
      <c r="E319" s="65">
        <f t="shared" si="86"/>
        <v>0</v>
      </c>
      <c r="F319" s="64">
        <v>102500</v>
      </c>
      <c r="G319" s="64">
        <v>6499.5</v>
      </c>
      <c r="H319" s="65">
        <f t="shared" si="87"/>
        <v>15.770443880298485</v>
      </c>
      <c r="I319" s="64">
        <v>0</v>
      </c>
      <c r="J319" s="64">
        <v>6637</v>
      </c>
      <c r="K319" s="65">
        <f t="shared" si="88"/>
        <v>0</v>
      </c>
      <c r="L319" s="66">
        <f t="shared" si="89"/>
        <v>5.256814626766162</v>
      </c>
      <c r="M319" s="67">
        <f t="shared" si="90"/>
        <v>34166.666666666664</v>
      </c>
      <c r="N319" s="64">
        <v>70000</v>
      </c>
      <c r="O319" s="64">
        <v>7737</v>
      </c>
      <c r="P319" s="68">
        <f t="shared" si="91"/>
        <v>9.0474344061005549</v>
      </c>
      <c r="Q319" s="69">
        <v>130000</v>
      </c>
      <c r="R319" s="64">
        <v>7874.5</v>
      </c>
      <c r="S319" s="68">
        <f t="shared" si="92"/>
        <v>16.508984697441107</v>
      </c>
      <c r="T319" s="64">
        <v>0</v>
      </c>
      <c r="U319" s="64">
        <v>8012</v>
      </c>
      <c r="V319" s="68">
        <f t="shared" si="93"/>
        <v>0</v>
      </c>
      <c r="W319" s="70">
        <f t="shared" si="94"/>
        <v>8.5188063678472208</v>
      </c>
      <c r="X319" s="71">
        <f t="shared" si="95"/>
        <v>66666.666666666672</v>
      </c>
      <c r="AD319" s="52"/>
      <c r="AG319" s="52"/>
      <c r="AJ319" s="52"/>
      <c r="AK319" s="52"/>
      <c r="AL319" s="55"/>
      <c r="AO319" s="52"/>
      <c r="AR319" s="52"/>
      <c r="AU319" s="52"/>
      <c r="AV319" s="52"/>
      <c r="AW319" s="55"/>
    </row>
    <row r="320" spans="1:49" ht="15.75" customHeight="1">
      <c r="A320" s="16">
        <v>80501</v>
      </c>
      <c r="B320" s="63" t="s">
        <v>265</v>
      </c>
      <c r="C320" s="64">
        <v>181672</v>
      </c>
      <c r="D320" s="64">
        <v>19252</v>
      </c>
      <c r="E320" s="65">
        <f t="shared" si="86"/>
        <v>9.4365260752129654</v>
      </c>
      <c r="F320" s="64">
        <v>80137</v>
      </c>
      <c r="G320" s="64">
        <v>19446.333333333332</v>
      </c>
      <c r="H320" s="65">
        <f t="shared" si="87"/>
        <v>4.1209311095493586</v>
      </c>
      <c r="I320" s="64">
        <v>0</v>
      </c>
      <c r="J320" s="64">
        <v>19640.666666666668</v>
      </c>
      <c r="K320" s="65">
        <f t="shared" si="88"/>
        <v>0</v>
      </c>
      <c r="L320" s="66">
        <f t="shared" si="89"/>
        <v>4.5191523949207744</v>
      </c>
      <c r="M320" s="67">
        <f t="shared" si="90"/>
        <v>87269.666666666672</v>
      </c>
      <c r="N320" s="64">
        <v>0</v>
      </c>
      <c r="O320" s="64">
        <v>21195.333333333332</v>
      </c>
      <c r="P320" s="68">
        <f t="shared" si="91"/>
        <v>0</v>
      </c>
      <c r="Q320" s="69">
        <v>479705</v>
      </c>
      <c r="R320" s="64">
        <v>21389.666666666668</v>
      </c>
      <c r="S320" s="68">
        <f t="shared" si="92"/>
        <v>22.426950708285933</v>
      </c>
      <c r="T320" s="64">
        <v>479605</v>
      </c>
      <c r="U320" s="64">
        <v>21584</v>
      </c>
      <c r="V320" s="68">
        <f t="shared" si="93"/>
        <v>22.220394736842106</v>
      </c>
      <c r="W320" s="70">
        <f t="shared" si="94"/>
        <v>14.882448481709346</v>
      </c>
      <c r="X320" s="71">
        <f t="shared" si="95"/>
        <v>319770</v>
      </c>
      <c r="AD320" s="52"/>
      <c r="AG320" s="52"/>
      <c r="AJ320" s="52"/>
      <c r="AK320" s="52"/>
      <c r="AL320" s="55"/>
      <c r="AO320" s="52"/>
      <c r="AR320" s="52"/>
      <c r="AU320" s="52"/>
      <c r="AV320" s="52"/>
      <c r="AW320" s="55"/>
    </row>
    <row r="321" spans="1:49" ht="15.75" customHeight="1">
      <c r="A321" s="16">
        <v>80601</v>
      </c>
      <c r="B321" s="63" t="s">
        <v>320</v>
      </c>
      <c r="C321" s="64">
        <v>0</v>
      </c>
      <c r="D321" s="64">
        <v>3828</v>
      </c>
      <c r="E321" s="65">
        <f t="shared" si="86"/>
        <v>0</v>
      </c>
      <c r="F321" s="64">
        <v>0</v>
      </c>
      <c r="G321" s="64">
        <v>3864.75</v>
      </c>
      <c r="H321" s="65">
        <f t="shared" si="87"/>
        <v>0</v>
      </c>
      <c r="I321" s="64">
        <v>0</v>
      </c>
      <c r="J321" s="64">
        <v>3901.5</v>
      </c>
      <c r="K321" s="65">
        <f t="shared" si="88"/>
        <v>0</v>
      </c>
      <c r="L321" s="66">
        <f t="shared" si="89"/>
        <v>0</v>
      </c>
      <c r="M321" s="67">
        <f t="shared" si="90"/>
        <v>0</v>
      </c>
      <c r="N321" s="64">
        <v>0</v>
      </c>
      <c r="O321" s="64">
        <v>4195.5</v>
      </c>
      <c r="P321" s="68">
        <f t="shared" si="91"/>
        <v>0</v>
      </c>
      <c r="Q321" s="69">
        <v>0</v>
      </c>
      <c r="R321" s="64">
        <v>4232.25</v>
      </c>
      <c r="S321" s="68">
        <f t="shared" si="92"/>
        <v>0</v>
      </c>
      <c r="T321" s="64">
        <v>0</v>
      </c>
      <c r="U321" s="64">
        <v>4269</v>
      </c>
      <c r="V321" s="68">
        <f t="shared" si="93"/>
        <v>0</v>
      </c>
      <c r="W321" s="70">
        <f t="shared" si="94"/>
        <v>0</v>
      </c>
      <c r="X321" s="71">
        <f t="shared" si="95"/>
        <v>0</v>
      </c>
      <c r="AD321" s="52"/>
      <c r="AG321" s="52"/>
      <c r="AJ321" s="52"/>
      <c r="AK321" s="52"/>
      <c r="AL321" s="55"/>
      <c r="AO321" s="52"/>
      <c r="AR321" s="52"/>
      <c r="AU321" s="52"/>
      <c r="AV321" s="52"/>
      <c r="AW321" s="55"/>
    </row>
    <row r="322" spans="1:49" ht="15.75" customHeight="1">
      <c r="A322" s="16">
        <v>80602</v>
      </c>
      <c r="B322" s="63" t="s">
        <v>321</v>
      </c>
      <c r="C322" s="64">
        <v>0</v>
      </c>
      <c r="D322" s="64">
        <v>12503</v>
      </c>
      <c r="E322" s="65">
        <f t="shared" si="86"/>
        <v>0</v>
      </c>
      <c r="F322" s="64">
        <v>0</v>
      </c>
      <c r="G322" s="64">
        <v>12758.583333333334</v>
      </c>
      <c r="H322" s="65">
        <f t="shared" si="87"/>
        <v>0</v>
      </c>
      <c r="I322" s="64">
        <v>0</v>
      </c>
      <c r="J322" s="64">
        <v>13014.166666666666</v>
      </c>
      <c r="K322" s="65">
        <f t="shared" si="88"/>
        <v>0</v>
      </c>
      <c r="L322" s="66">
        <f t="shared" si="89"/>
        <v>0</v>
      </c>
      <c r="M322" s="67">
        <f t="shared" si="90"/>
        <v>0</v>
      </c>
      <c r="N322" s="64">
        <v>0</v>
      </c>
      <c r="O322" s="64">
        <v>15058.833333333334</v>
      </c>
      <c r="P322" s="68">
        <f t="shared" si="91"/>
        <v>0</v>
      </c>
      <c r="Q322" s="69">
        <v>0</v>
      </c>
      <c r="R322" s="64">
        <v>15314.416666666668</v>
      </c>
      <c r="S322" s="68">
        <f t="shared" si="92"/>
        <v>0</v>
      </c>
      <c r="T322" s="64">
        <v>0</v>
      </c>
      <c r="U322" s="64">
        <v>15570</v>
      </c>
      <c r="V322" s="68">
        <f t="shared" si="93"/>
        <v>0</v>
      </c>
      <c r="W322" s="70">
        <f t="shared" si="94"/>
        <v>0</v>
      </c>
      <c r="X322" s="71">
        <f t="shared" si="95"/>
        <v>0</v>
      </c>
      <c r="AD322" s="52"/>
      <c r="AG322" s="52"/>
      <c r="AJ322" s="52"/>
      <c r="AK322" s="52"/>
      <c r="AL322" s="55"/>
      <c r="AO322" s="52"/>
      <c r="AR322" s="52"/>
      <c r="AU322" s="52"/>
      <c r="AV322" s="52"/>
      <c r="AW322" s="55"/>
    </row>
    <row r="323" spans="1:49" ht="15.75" customHeight="1">
      <c r="A323" s="16">
        <v>80701</v>
      </c>
      <c r="B323" s="63" t="s">
        <v>322</v>
      </c>
      <c r="C323" s="64">
        <v>470000</v>
      </c>
      <c r="D323" s="64">
        <v>6917</v>
      </c>
      <c r="E323" s="65">
        <f t="shared" si="86"/>
        <v>67.948532600838519</v>
      </c>
      <c r="F323" s="64">
        <v>450000</v>
      </c>
      <c r="G323" s="64">
        <v>6907.916666666667</v>
      </c>
      <c r="H323" s="65">
        <f t="shared" si="87"/>
        <v>65.142650340792571</v>
      </c>
      <c r="I323" s="64">
        <v>0</v>
      </c>
      <c r="J323" s="64">
        <v>6898.833333333333</v>
      </c>
      <c r="K323" s="65">
        <f t="shared" si="88"/>
        <v>0</v>
      </c>
      <c r="L323" s="66">
        <f t="shared" si="89"/>
        <v>44.363727647210361</v>
      </c>
      <c r="M323" s="67">
        <f t="shared" si="90"/>
        <v>306666.66666666669</v>
      </c>
      <c r="N323" s="64">
        <v>395984</v>
      </c>
      <c r="O323" s="64">
        <v>6826.166666666667</v>
      </c>
      <c r="P323" s="68">
        <f t="shared" si="91"/>
        <v>58.009717508606585</v>
      </c>
      <c r="Q323" s="69">
        <v>456628</v>
      </c>
      <c r="R323" s="64">
        <v>6817.083333333333</v>
      </c>
      <c r="S323" s="68">
        <f t="shared" si="92"/>
        <v>66.982898355846217</v>
      </c>
      <c r="T323" s="64">
        <v>470318</v>
      </c>
      <c r="U323" s="64">
        <v>6808</v>
      </c>
      <c r="V323" s="68">
        <f t="shared" si="93"/>
        <v>69.083137485311397</v>
      </c>
      <c r="W323" s="70">
        <f t="shared" si="94"/>
        <v>64.691917783254738</v>
      </c>
      <c r="X323" s="71">
        <f t="shared" si="95"/>
        <v>440976.66666666669</v>
      </c>
      <c r="AD323" s="52"/>
      <c r="AG323" s="52"/>
      <c r="AJ323" s="52"/>
      <c r="AK323" s="52"/>
      <c r="AL323" s="55"/>
      <c r="AO323" s="52"/>
      <c r="AR323" s="52"/>
      <c r="AU323" s="52"/>
      <c r="AV323" s="52"/>
      <c r="AW323" s="55"/>
    </row>
    <row r="324" spans="1:49" ht="15.75" customHeight="1">
      <c r="A324" s="16">
        <v>80702</v>
      </c>
      <c r="B324" s="63" t="s">
        <v>300</v>
      </c>
      <c r="C324" s="64">
        <v>174452</v>
      </c>
      <c r="D324" s="64">
        <v>4955</v>
      </c>
      <c r="E324" s="65">
        <f t="shared" si="86"/>
        <v>35.207265388496467</v>
      </c>
      <c r="F324" s="64">
        <v>0</v>
      </c>
      <c r="G324" s="64">
        <v>4999.5</v>
      </c>
      <c r="H324" s="65">
        <f t="shared" si="87"/>
        <v>0</v>
      </c>
      <c r="I324" s="64">
        <v>0</v>
      </c>
      <c r="J324" s="64">
        <v>5044</v>
      </c>
      <c r="K324" s="65">
        <f t="shared" si="88"/>
        <v>0</v>
      </c>
      <c r="L324" s="66">
        <f t="shared" si="89"/>
        <v>11.735755129498822</v>
      </c>
      <c r="M324" s="67">
        <f t="shared" si="90"/>
        <v>58150.666666666664</v>
      </c>
      <c r="N324" s="64">
        <v>140600</v>
      </c>
      <c r="O324" s="64">
        <v>5400</v>
      </c>
      <c r="P324" s="68">
        <f t="shared" si="91"/>
        <v>26.037037037037038</v>
      </c>
      <c r="Q324" s="69">
        <v>327176</v>
      </c>
      <c r="R324" s="64">
        <v>5444.5</v>
      </c>
      <c r="S324" s="68">
        <f t="shared" si="92"/>
        <v>60.092937827165031</v>
      </c>
      <c r="T324" s="64">
        <v>1396224</v>
      </c>
      <c r="U324" s="64">
        <v>5489</v>
      </c>
      <c r="V324" s="68">
        <f t="shared" si="93"/>
        <v>254.36764437966843</v>
      </c>
      <c r="W324" s="70">
        <f t="shared" si="94"/>
        <v>113.49920641462352</v>
      </c>
      <c r="X324" s="71">
        <f t="shared" si="95"/>
        <v>621333.33333333337</v>
      </c>
      <c r="AD324" s="52"/>
      <c r="AG324" s="52"/>
      <c r="AJ324" s="52"/>
      <c r="AK324" s="52"/>
      <c r="AL324" s="55"/>
      <c r="AO324" s="52"/>
      <c r="AR324" s="52"/>
      <c r="AU324" s="52"/>
      <c r="AV324" s="52"/>
      <c r="AW324" s="55"/>
    </row>
    <row r="325" spans="1:49" ht="15.75" customHeight="1">
      <c r="A325" s="16">
        <v>80703</v>
      </c>
      <c r="B325" s="63" t="s">
        <v>323</v>
      </c>
      <c r="C325" s="64">
        <v>0</v>
      </c>
      <c r="D325" s="63">
        <v>945</v>
      </c>
      <c r="E325" s="65">
        <f t="shared" si="86"/>
        <v>0</v>
      </c>
      <c r="F325" s="64">
        <v>0</v>
      </c>
      <c r="G325" s="65">
        <v>957.16666666666663</v>
      </c>
      <c r="H325" s="65">
        <f t="shared" si="87"/>
        <v>0</v>
      </c>
      <c r="I325" s="64">
        <v>0</v>
      </c>
      <c r="J325" s="65">
        <v>969.33333333333337</v>
      </c>
      <c r="K325" s="65">
        <f t="shared" si="88"/>
        <v>0</v>
      </c>
      <c r="L325" s="66">
        <f t="shared" si="89"/>
        <v>0</v>
      </c>
      <c r="M325" s="67">
        <f t="shared" si="90"/>
        <v>0</v>
      </c>
      <c r="N325" s="64">
        <v>0</v>
      </c>
      <c r="O325" s="63">
        <v>1066.6666666666667</v>
      </c>
      <c r="P325" s="68">
        <f t="shared" si="91"/>
        <v>0</v>
      </c>
      <c r="Q325" s="69">
        <v>0</v>
      </c>
      <c r="R325" s="63">
        <v>1078.8333333333333</v>
      </c>
      <c r="S325" s="68">
        <f t="shared" si="92"/>
        <v>0</v>
      </c>
      <c r="T325" s="64">
        <v>15000</v>
      </c>
      <c r="U325" s="64">
        <v>1091</v>
      </c>
      <c r="V325" s="68">
        <f t="shared" si="93"/>
        <v>13.748854262144821</v>
      </c>
      <c r="W325" s="70">
        <f t="shared" si="94"/>
        <v>4.5829514207149407</v>
      </c>
      <c r="X325" s="71">
        <f t="shared" si="95"/>
        <v>5000</v>
      </c>
      <c r="AD325" s="52"/>
      <c r="AG325" s="52"/>
      <c r="AJ325" s="52"/>
      <c r="AK325" s="52"/>
      <c r="AL325" s="55"/>
      <c r="AO325" s="52"/>
      <c r="AR325" s="52"/>
      <c r="AU325" s="52"/>
      <c r="AV325" s="52"/>
      <c r="AW325" s="55"/>
    </row>
    <row r="326" spans="1:49" ht="15.75" customHeight="1">
      <c r="A326" s="16">
        <v>80801</v>
      </c>
      <c r="B326" s="63" t="s">
        <v>324</v>
      </c>
      <c r="C326" s="64">
        <v>0</v>
      </c>
      <c r="D326" s="64">
        <v>11377</v>
      </c>
      <c r="E326" s="65">
        <f t="shared" si="86"/>
        <v>0</v>
      </c>
      <c r="F326" s="64">
        <v>0</v>
      </c>
      <c r="G326" s="64">
        <v>11494.333333333334</v>
      </c>
      <c r="H326" s="65">
        <f t="shared" si="87"/>
        <v>0</v>
      </c>
      <c r="I326" s="64">
        <v>0</v>
      </c>
      <c r="J326" s="64">
        <v>11611.666666666666</v>
      </c>
      <c r="K326" s="65">
        <f t="shared" si="88"/>
        <v>0</v>
      </c>
      <c r="L326" s="66">
        <f t="shared" si="89"/>
        <v>0</v>
      </c>
      <c r="M326" s="67">
        <f t="shared" si="90"/>
        <v>0</v>
      </c>
      <c r="N326" s="64">
        <v>109500</v>
      </c>
      <c r="O326" s="64">
        <v>12550.333333333334</v>
      </c>
      <c r="P326" s="68">
        <f t="shared" si="91"/>
        <v>8.7248678653953409</v>
      </c>
      <c r="Q326" s="69">
        <v>132000</v>
      </c>
      <c r="R326" s="64">
        <v>12667.666666666666</v>
      </c>
      <c r="S326" s="68">
        <f t="shared" si="92"/>
        <v>10.420229981843539</v>
      </c>
      <c r="T326" s="64">
        <v>132000</v>
      </c>
      <c r="U326" s="64">
        <v>12785</v>
      </c>
      <c r="V326" s="68">
        <f t="shared" si="93"/>
        <v>10.324599139616739</v>
      </c>
      <c r="W326" s="70">
        <f t="shared" si="94"/>
        <v>9.8232323289518728</v>
      </c>
      <c r="X326" s="71">
        <f t="shared" si="95"/>
        <v>124500</v>
      </c>
      <c r="AD326" s="52"/>
      <c r="AG326" s="52"/>
      <c r="AJ326" s="52"/>
      <c r="AK326" s="52"/>
      <c r="AL326" s="55"/>
      <c r="AO326" s="52"/>
      <c r="AR326" s="52"/>
      <c r="AU326" s="52"/>
      <c r="AV326" s="52"/>
      <c r="AW326" s="55"/>
    </row>
    <row r="327" spans="1:49" ht="15.75" customHeight="1">
      <c r="A327" s="16">
        <v>80802</v>
      </c>
      <c r="B327" s="63" t="s">
        <v>325</v>
      </c>
      <c r="C327" s="64">
        <v>21000</v>
      </c>
      <c r="D327" s="64">
        <v>5965</v>
      </c>
      <c r="E327" s="65">
        <f t="shared" si="86"/>
        <v>3.5205364626990781</v>
      </c>
      <c r="F327" s="64">
        <v>36000</v>
      </c>
      <c r="G327" s="64">
        <v>6091.916666666667</v>
      </c>
      <c r="H327" s="65">
        <f t="shared" si="87"/>
        <v>5.9094701995814125</v>
      </c>
      <c r="I327" s="64">
        <v>0</v>
      </c>
      <c r="J327" s="64">
        <v>6218.833333333333</v>
      </c>
      <c r="K327" s="65">
        <f t="shared" si="88"/>
        <v>0</v>
      </c>
      <c r="L327" s="66">
        <f t="shared" si="89"/>
        <v>3.1433355540934969</v>
      </c>
      <c r="M327" s="67">
        <f t="shared" si="90"/>
        <v>19000</v>
      </c>
      <c r="N327" s="64">
        <v>121500</v>
      </c>
      <c r="O327" s="64">
        <v>7234.166666666667</v>
      </c>
      <c r="P327" s="68">
        <f t="shared" si="91"/>
        <v>16.795300080635872</v>
      </c>
      <c r="Q327" s="69">
        <v>129280</v>
      </c>
      <c r="R327" s="64">
        <v>7361.0833333333339</v>
      </c>
      <c r="S327" s="68">
        <f t="shared" si="92"/>
        <v>17.562632311820042</v>
      </c>
      <c r="T327" s="64">
        <v>129240</v>
      </c>
      <c r="U327" s="64">
        <v>7488</v>
      </c>
      <c r="V327" s="68">
        <f t="shared" si="93"/>
        <v>17.259615384615383</v>
      </c>
      <c r="W327" s="70">
        <f t="shared" si="94"/>
        <v>17.205849259023765</v>
      </c>
      <c r="X327" s="71">
        <f t="shared" si="95"/>
        <v>126673.33333333333</v>
      </c>
      <c r="AD327" s="52"/>
      <c r="AG327" s="52"/>
      <c r="AJ327" s="52"/>
      <c r="AK327" s="52"/>
      <c r="AL327" s="55"/>
      <c r="AO327" s="52"/>
      <c r="AR327" s="52"/>
      <c r="AU327" s="52"/>
      <c r="AV327" s="52"/>
      <c r="AW327" s="55"/>
    </row>
    <row r="328" spans="1:49" ht="15.75" customHeight="1">
      <c r="A328" s="16">
        <v>80803</v>
      </c>
      <c r="B328" s="63" t="s">
        <v>326</v>
      </c>
      <c r="C328" s="64">
        <v>0</v>
      </c>
      <c r="D328" s="64">
        <v>4111</v>
      </c>
      <c r="E328" s="65">
        <f t="shared" si="86"/>
        <v>0</v>
      </c>
      <c r="F328" s="64">
        <v>0</v>
      </c>
      <c r="G328" s="64">
        <v>4154.25</v>
      </c>
      <c r="H328" s="65">
        <f t="shared" si="87"/>
        <v>0</v>
      </c>
      <c r="I328" s="64">
        <v>0</v>
      </c>
      <c r="J328" s="64">
        <v>4197.5</v>
      </c>
      <c r="K328" s="65">
        <f t="shared" si="88"/>
        <v>0</v>
      </c>
      <c r="L328" s="66">
        <f t="shared" si="89"/>
        <v>0</v>
      </c>
      <c r="M328" s="67">
        <f t="shared" si="90"/>
        <v>0</v>
      </c>
      <c r="N328" s="64">
        <v>235000</v>
      </c>
      <c r="O328" s="64">
        <v>4543.5</v>
      </c>
      <c r="P328" s="68">
        <f t="shared" si="91"/>
        <v>51.722240563442277</v>
      </c>
      <c r="Q328" s="69">
        <v>235000</v>
      </c>
      <c r="R328" s="64">
        <v>4586.75</v>
      </c>
      <c r="S328" s="68">
        <f t="shared" si="92"/>
        <v>51.234534256281684</v>
      </c>
      <c r="T328" s="64">
        <v>245000</v>
      </c>
      <c r="U328" s="64">
        <v>4630</v>
      </c>
      <c r="V328" s="68">
        <f t="shared" si="93"/>
        <v>52.915766738660906</v>
      </c>
      <c r="W328" s="70">
        <f t="shared" si="94"/>
        <v>51.957513852794953</v>
      </c>
      <c r="X328" s="71">
        <f t="shared" si="95"/>
        <v>238333.33333333334</v>
      </c>
      <c r="AD328" s="52"/>
      <c r="AG328" s="52"/>
      <c r="AJ328" s="52"/>
      <c r="AK328" s="52"/>
      <c r="AL328" s="55"/>
      <c r="AO328" s="52"/>
      <c r="AR328" s="52"/>
      <c r="AU328" s="52"/>
      <c r="AV328" s="52"/>
      <c r="AW328" s="55"/>
    </row>
    <row r="329" spans="1:49" ht="15.75" customHeight="1">
      <c r="A329" s="16">
        <v>80901</v>
      </c>
      <c r="B329" s="63" t="s">
        <v>327</v>
      </c>
      <c r="C329" s="64">
        <v>0</v>
      </c>
      <c r="D329" s="64">
        <v>3232</v>
      </c>
      <c r="E329" s="65">
        <f t="shared" si="86"/>
        <v>0</v>
      </c>
      <c r="F329" s="64">
        <v>0</v>
      </c>
      <c r="G329" s="64">
        <v>3293.75</v>
      </c>
      <c r="H329" s="65">
        <f t="shared" si="87"/>
        <v>0</v>
      </c>
      <c r="I329" s="64">
        <v>0</v>
      </c>
      <c r="J329" s="64">
        <v>3355.5</v>
      </c>
      <c r="K329" s="65">
        <f t="shared" si="88"/>
        <v>0</v>
      </c>
      <c r="L329" s="66">
        <f t="shared" si="89"/>
        <v>0</v>
      </c>
      <c r="M329" s="67">
        <f t="shared" si="90"/>
        <v>0</v>
      </c>
      <c r="N329" s="64">
        <v>0</v>
      </c>
      <c r="O329" s="64">
        <v>3849.5</v>
      </c>
      <c r="P329" s="68">
        <f t="shared" si="91"/>
        <v>0</v>
      </c>
      <c r="Q329" s="69">
        <v>0</v>
      </c>
      <c r="R329" s="64">
        <v>3911.25</v>
      </c>
      <c r="S329" s="68">
        <f t="shared" si="92"/>
        <v>0</v>
      </c>
      <c r="T329" s="64">
        <v>0</v>
      </c>
      <c r="U329" s="64">
        <v>3973</v>
      </c>
      <c r="V329" s="68">
        <f t="shared" si="93"/>
        <v>0</v>
      </c>
      <c r="W329" s="70">
        <f t="shared" si="94"/>
        <v>0</v>
      </c>
      <c r="X329" s="71">
        <f t="shared" si="95"/>
        <v>0</v>
      </c>
      <c r="AD329" s="52"/>
      <c r="AG329" s="52"/>
      <c r="AJ329" s="52"/>
      <c r="AK329" s="52"/>
      <c r="AL329" s="55"/>
      <c r="AO329" s="52"/>
      <c r="AR329" s="52"/>
      <c r="AU329" s="52"/>
      <c r="AV329" s="52"/>
      <c r="AW329" s="55"/>
    </row>
    <row r="330" spans="1:49" ht="15.75" customHeight="1">
      <c r="A330" s="16">
        <v>90101</v>
      </c>
      <c r="B330" s="63" t="s">
        <v>328</v>
      </c>
      <c r="C330" s="64">
        <v>1358360</v>
      </c>
      <c r="D330" s="64">
        <v>46267</v>
      </c>
      <c r="E330" s="65">
        <f t="shared" si="86"/>
        <v>29.359154472950483</v>
      </c>
      <c r="F330" s="64">
        <v>2753305</v>
      </c>
      <c r="G330" s="64">
        <v>47004.25</v>
      </c>
      <c r="H330" s="65">
        <f t="shared" si="87"/>
        <v>58.575660711531405</v>
      </c>
      <c r="I330" s="64">
        <v>0</v>
      </c>
      <c r="J330" s="64">
        <v>47741.5</v>
      </c>
      <c r="K330" s="65">
        <f t="shared" si="88"/>
        <v>0</v>
      </c>
      <c r="L330" s="66">
        <f t="shared" si="89"/>
        <v>29.311605061493964</v>
      </c>
      <c r="M330" s="67">
        <f t="shared" si="90"/>
        <v>1370555</v>
      </c>
      <c r="N330" s="64">
        <v>4250000</v>
      </c>
      <c r="O330" s="64">
        <v>53639.5</v>
      </c>
      <c r="P330" s="68">
        <f t="shared" si="91"/>
        <v>79.23265503966293</v>
      </c>
      <c r="Q330" s="69">
        <v>4700002</v>
      </c>
      <c r="R330" s="64">
        <v>54376.75</v>
      </c>
      <c r="S330" s="68">
        <f t="shared" si="92"/>
        <v>86.434036605718433</v>
      </c>
      <c r="T330" s="64">
        <v>4700001</v>
      </c>
      <c r="U330" s="64">
        <v>55114</v>
      </c>
      <c r="V330" s="68">
        <f t="shared" si="93"/>
        <v>85.277806002104725</v>
      </c>
      <c r="W330" s="70">
        <f t="shared" si="94"/>
        <v>83.648165882495377</v>
      </c>
      <c r="X330" s="71">
        <f t="shared" si="95"/>
        <v>4550001</v>
      </c>
      <c r="AD330" s="52"/>
      <c r="AG330" s="52"/>
      <c r="AJ330" s="52"/>
      <c r="AK330" s="52"/>
      <c r="AL330" s="55"/>
      <c r="AO330" s="52"/>
      <c r="AR330" s="52"/>
      <c r="AU330" s="52"/>
      <c r="AV330" s="52"/>
      <c r="AW330" s="55"/>
    </row>
    <row r="331" spans="1:49" ht="15.75" customHeight="1">
      <c r="A331" s="16">
        <v>90102</v>
      </c>
      <c r="B331" s="63" t="s">
        <v>329</v>
      </c>
      <c r="C331" s="64">
        <v>700000</v>
      </c>
      <c r="D331" s="64">
        <v>7948</v>
      </c>
      <c r="E331" s="65">
        <f t="shared" si="86"/>
        <v>88.072471061902363</v>
      </c>
      <c r="F331" s="64">
        <v>420000</v>
      </c>
      <c r="G331" s="64">
        <v>8065.083333333333</v>
      </c>
      <c r="H331" s="65">
        <f t="shared" si="87"/>
        <v>52.076337297610067</v>
      </c>
      <c r="I331" s="64">
        <v>0</v>
      </c>
      <c r="J331" s="64">
        <v>8182.166666666667</v>
      </c>
      <c r="K331" s="65">
        <f t="shared" si="88"/>
        <v>0</v>
      </c>
      <c r="L331" s="66">
        <f t="shared" si="89"/>
        <v>46.71626945317081</v>
      </c>
      <c r="M331" s="67">
        <f t="shared" si="90"/>
        <v>373333.33333333331</v>
      </c>
      <c r="N331" s="64">
        <v>263500</v>
      </c>
      <c r="O331" s="64">
        <v>9118.8333333333339</v>
      </c>
      <c r="P331" s="68">
        <f t="shared" si="91"/>
        <v>28.896240381627766</v>
      </c>
      <c r="Q331" s="69">
        <v>374572</v>
      </c>
      <c r="R331" s="64">
        <v>9235.9166666666661</v>
      </c>
      <c r="S331" s="68">
        <f t="shared" si="92"/>
        <v>40.556017720673822</v>
      </c>
      <c r="T331" s="64">
        <v>374572</v>
      </c>
      <c r="U331" s="64">
        <v>9353</v>
      </c>
      <c r="V331" s="68">
        <f t="shared" si="93"/>
        <v>40.048326740083397</v>
      </c>
      <c r="W331" s="70">
        <f t="shared" si="94"/>
        <v>36.500194947461658</v>
      </c>
      <c r="X331" s="71">
        <f t="shared" si="95"/>
        <v>337548</v>
      </c>
      <c r="AD331" s="52"/>
      <c r="AG331" s="52"/>
      <c r="AJ331" s="52"/>
      <c r="AK331" s="52"/>
      <c r="AL331" s="55"/>
      <c r="AO331" s="52"/>
      <c r="AR331" s="52"/>
      <c r="AU331" s="52"/>
      <c r="AV331" s="52"/>
      <c r="AW331" s="55"/>
    </row>
    <row r="332" spans="1:49" ht="15.75" customHeight="1">
      <c r="A332" s="16">
        <v>90103</v>
      </c>
      <c r="B332" s="63" t="s">
        <v>330</v>
      </c>
      <c r="C332" s="64">
        <v>0</v>
      </c>
      <c r="D332" s="64">
        <v>2173</v>
      </c>
      <c r="E332" s="65">
        <f t="shared" si="86"/>
        <v>0</v>
      </c>
      <c r="F332" s="64">
        <v>0</v>
      </c>
      <c r="G332" s="64">
        <v>2195</v>
      </c>
      <c r="H332" s="65">
        <f t="shared" si="87"/>
        <v>0</v>
      </c>
      <c r="I332" s="64">
        <v>0</v>
      </c>
      <c r="J332" s="64">
        <v>2217</v>
      </c>
      <c r="K332" s="65">
        <f t="shared" si="88"/>
        <v>0</v>
      </c>
      <c r="L332" s="66">
        <f t="shared" si="89"/>
        <v>0</v>
      </c>
      <c r="M332" s="67">
        <f t="shared" si="90"/>
        <v>0</v>
      </c>
      <c r="N332" s="64">
        <v>0</v>
      </c>
      <c r="O332" s="64">
        <v>2393</v>
      </c>
      <c r="P332" s="68">
        <f t="shared" si="91"/>
        <v>0</v>
      </c>
      <c r="Q332" s="69">
        <v>0</v>
      </c>
      <c r="R332" s="64">
        <v>2415</v>
      </c>
      <c r="S332" s="68">
        <f t="shared" si="92"/>
        <v>0</v>
      </c>
      <c r="T332" s="64">
        <v>0</v>
      </c>
      <c r="U332" s="64">
        <v>2437</v>
      </c>
      <c r="V332" s="68">
        <f t="shared" si="93"/>
        <v>0</v>
      </c>
      <c r="W332" s="70">
        <f t="shared" si="94"/>
        <v>0</v>
      </c>
      <c r="X332" s="71">
        <f t="shared" si="95"/>
        <v>0</v>
      </c>
      <c r="AD332" s="52"/>
      <c r="AG332" s="52"/>
      <c r="AJ332" s="52"/>
      <c r="AK332" s="52"/>
      <c r="AL332" s="55"/>
      <c r="AO332" s="52"/>
      <c r="AR332" s="52"/>
      <c r="AU332" s="52"/>
      <c r="AV332" s="52"/>
      <c r="AW332" s="55"/>
    </row>
    <row r="333" spans="1:49" ht="15.75" customHeight="1">
      <c r="A333" s="16">
        <v>90104</v>
      </c>
      <c r="B333" s="63" t="s">
        <v>331</v>
      </c>
      <c r="C333" s="64">
        <v>0</v>
      </c>
      <c r="D333" s="64">
        <v>3909</v>
      </c>
      <c r="E333" s="65">
        <f t="shared" si="86"/>
        <v>0</v>
      </c>
      <c r="F333" s="64">
        <v>0</v>
      </c>
      <c r="G333" s="64">
        <v>3885.75</v>
      </c>
      <c r="H333" s="65">
        <f t="shared" si="87"/>
        <v>0</v>
      </c>
      <c r="I333" s="64">
        <v>0</v>
      </c>
      <c r="J333" s="64">
        <v>3862.5</v>
      </c>
      <c r="K333" s="65">
        <f t="shared" si="88"/>
        <v>0</v>
      </c>
      <c r="L333" s="66">
        <f t="shared" si="89"/>
        <v>0</v>
      </c>
      <c r="M333" s="67">
        <f t="shared" si="90"/>
        <v>0</v>
      </c>
      <c r="N333" s="64">
        <v>0</v>
      </c>
      <c r="O333" s="64">
        <v>3676.5</v>
      </c>
      <c r="P333" s="68">
        <f t="shared" si="91"/>
        <v>0</v>
      </c>
      <c r="Q333" s="69">
        <v>149600</v>
      </c>
      <c r="R333" s="64">
        <v>3653.25</v>
      </c>
      <c r="S333" s="68">
        <f t="shared" si="92"/>
        <v>40.94983918428796</v>
      </c>
      <c r="T333" s="64">
        <v>149600</v>
      </c>
      <c r="U333" s="64">
        <v>3630</v>
      </c>
      <c r="V333" s="68">
        <f t="shared" si="93"/>
        <v>41.212121212121211</v>
      </c>
      <c r="W333" s="70">
        <f t="shared" si="94"/>
        <v>27.387320132136391</v>
      </c>
      <c r="X333" s="71">
        <f t="shared" si="95"/>
        <v>99733.333333333328</v>
      </c>
      <c r="AD333" s="52"/>
      <c r="AG333" s="52"/>
      <c r="AJ333" s="52"/>
      <c r="AK333" s="52"/>
      <c r="AL333" s="55"/>
      <c r="AO333" s="52"/>
      <c r="AR333" s="52"/>
      <c r="AU333" s="52"/>
      <c r="AV333" s="52"/>
      <c r="AW333" s="55"/>
    </row>
    <row r="334" spans="1:49" ht="15.75" customHeight="1">
      <c r="A334" s="16">
        <v>90201</v>
      </c>
      <c r="B334" s="63" t="s">
        <v>332</v>
      </c>
      <c r="C334" s="64">
        <v>0</v>
      </c>
      <c r="D334" s="64">
        <v>6239</v>
      </c>
      <c r="E334" s="65">
        <f t="shared" si="86"/>
        <v>0</v>
      </c>
      <c r="F334" s="64">
        <v>0</v>
      </c>
      <c r="G334" s="64">
        <v>6333</v>
      </c>
      <c r="H334" s="65">
        <f t="shared" si="87"/>
        <v>0</v>
      </c>
      <c r="I334" s="64">
        <v>0</v>
      </c>
      <c r="J334" s="64">
        <v>6427</v>
      </c>
      <c r="K334" s="65">
        <f t="shared" si="88"/>
        <v>0</v>
      </c>
      <c r="L334" s="66">
        <f t="shared" si="89"/>
        <v>0</v>
      </c>
      <c r="M334" s="67">
        <f t="shared" si="90"/>
        <v>0</v>
      </c>
      <c r="N334" s="64">
        <v>0</v>
      </c>
      <c r="O334" s="64">
        <v>7179</v>
      </c>
      <c r="P334" s="68">
        <f t="shared" si="91"/>
        <v>0</v>
      </c>
      <c r="Q334" s="69">
        <v>0</v>
      </c>
      <c r="R334" s="64">
        <v>7273</v>
      </c>
      <c r="S334" s="68">
        <f t="shared" si="92"/>
        <v>0</v>
      </c>
      <c r="T334" s="64">
        <v>0</v>
      </c>
      <c r="U334" s="64">
        <v>7367</v>
      </c>
      <c r="V334" s="68">
        <f t="shared" si="93"/>
        <v>0</v>
      </c>
      <c r="W334" s="70">
        <f t="shared" si="94"/>
        <v>0</v>
      </c>
      <c r="X334" s="71">
        <f t="shared" si="95"/>
        <v>0</v>
      </c>
      <c r="AD334" s="52"/>
      <c r="AG334" s="52"/>
      <c r="AJ334" s="52"/>
      <c r="AK334" s="52"/>
      <c r="AL334" s="55"/>
      <c r="AO334" s="52"/>
      <c r="AR334" s="52"/>
      <c r="AU334" s="52"/>
      <c r="AV334" s="52"/>
      <c r="AW334" s="55"/>
    </row>
    <row r="335" spans="1:49" ht="15.75" customHeight="1">
      <c r="A335" s="16">
        <v>90202</v>
      </c>
      <c r="B335" s="63" t="s">
        <v>222</v>
      </c>
      <c r="C335" s="64">
        <v>0</v>
      </c>
      <c r="D335" s="64">
        <v>2991</v>
      </c>
      <c r="E335" s="65">
        <f t="shared" si="86"/>
        <v>0</v>
      </c>
      <c r="F335" s="64">
        <v>0</v>
      </c>
      <c r="G335" s="64">
        <v>3034.9166666666665</v>
      </c>
      <c r="H335" s="65">
        <f t="shared" si="87"/>
        <v>0</v>
      </c>
      <c r="I335" s="64">
        <v>0</v>
      </c>
      <c r="J335" s="64">
        <v>3078.8333333333335</v>
      </c>
      <c r="K335" s="65">
        <f t="shared" si="88"/>
        <v>0</v>
      </c>
      <c r="L335" s="66">
        <f t="shared" si="89"/>
        <v>0</v>
      </c>
      <c r="M335" s="67">
        <f t="shared" si="90"/>
        <v>0</v>
      </c>
      <c r="N335" s="64">
        <v>0</v>
      </c>
      <c r="O335" s="64">
        <v>3430.1666666666665</v>
      </c>
      <c r="P335" s="68">
        <f t="shared" si="91"/>
        <v>0</v>
      </c>
      <c r="Q335" s="69">
        <v>0</v>
      </c>
      <c r="R335" s="64">
        <v>3474.0833333333335</v>
      </c>
      <c r="S335" s="68">
        <f t="shared" si="92"/>
        <v>0</v>
      </c>
      <c r="T335" s="64">
        <v>0</v>
      </c>
      <c r="U335" s="64">
        <v>3518</v>
      </c>
      <c r="V335" s="68">
        <f t="shared" si="93"/>
        <v>0</v>
      </c>
      <c r="W335" s="70">
        <f t="shared" si="94"/>
        <v>0</v>
      </c>
      <c r="X335" s="71">
        <f t="shared" si="95"/>
        <v>0</v>
      </c>
      <c r="AD335" s="52"/>
      <c r="AG335" s="52"/>
      <c r="AJ335" s="52"/>
      <c r="AK335" s="52"/>
      <c r="AL335" s="55"/>
      <c r="AO335" s="52"/>
      <c r="AR335" s="52"/>
      <c r="AU335" s="52"/>
      <c r="AV335" s="52"/>
      <c r="AW335" s="55"/>
    </row>
    <row r="336" spans="1:49" ht="15.75" customHeight="1">
      <c r="A336" s="16">
        <v>90203</v>
      </c>
      <c r="B336" s="63" t="s">
        <v>333</v>
      </c>
      <c r="C336" s="64">
        <v>115217</v>
      </c>
      <c r="D336" s="64">
        <v>5756</v>
      </c>
      <c r="E336" s="65">
        <f t="shared" si="86"/>
        <v>20.016851980542043</v>
      </c>
      <c r="F336" s="64">
        <v>115217</v>
      </c>
      <c r="G336" s="64">
        <v>5946.75</v>
      </c>
      <c r="H336" s="65">
        <f t="shared" si="87"/>
        <v>19.374784546180688</v>
      </c>
      <c r="I336" s="64">
        <v>0</v>
      </c>
      <c r="J336" s="64">
        <v>6137.5</v>
      </c>
      <c r="K336" s="65">
        <f t="shared" si="88"/>
        <v>0</v>
      </c>
      <c r="L336" s="66">
        <f t="shared" si="89"/>
        <v>13.130545508907579</v>
      </c>
      <c r="M336" s="67">
        <f t="shared" si="90"/>
        <v>76811.333333333328</v>
      </c>
      <c r="N336" s="64">
        <v>0</v>
      </c>
      <c r="O336" s="64">
        <v>7663.5</v>
      </c>
      <c r="P336" s="68">
        <f t="shared" si="91"/>
        <v>0</v>
      </c>
      <c r="Q336" s="69">
        <v>60000</v>
      </c>
      <c r="R336" s="64">
        <v>7854.25</v>
      </c>
      <c r="S336" s="68">
        <f t="shared" si="92"/>
        <v>7.639176242161887</v>
      </c>
      <c r="T336" s="64">
        <v>25000</v>
      </c>
      <c r="U336" s="64">
        <v>8045</v>
      </c>
      <c r="V336" s="68">
        <f t="shared" si="93"/>
        <v>3.1075201988812928</v>
      </c>
      <c r="W336" s="70">
        <f t="shared" si="94"/>
        <v>3.5822321470143934</v>
      </c>
      <c r="X336" s="71">
        <f t="shared" si="95"/>
        <v>28333.333333333332</v>
      </c>
      <c r="AD336" s="52"/>
      <c r="AG336" s="52"/>
      <c r="AJ336" s="52"/>
      <c r="AK336" s="52"/>
      <c r="AL336" s="55"/>
      <c r="AO336" s="52"/>
      <c r="AR336" s="52"/>
      <c r="AU336" s="52"/>
      <c r="AV336" s="52"/>
      <c r="AW336" s="55"/>
    </row>
    <row r="337" spans="1:49" ht="15.75" customHeight="1">
      <c r="A337" s="16">
        <v>90301</v>
      </c>
      <c r="B337" s="63" t="s">
        <v>334</v>
      </c>
      <c r="C337" s="64">
        <v>67502</v>
      </c>
      <c r="D337" s="64">
        <v>8160</v>
      </c>
      <c r="E337" s="65">
        <f t="shared" si="86"/>
        <v>8.2723039215686267</v>
      </c>
      <c r="F337" s="64">
        <v>67502</v>
      </c>
      <c r="G337" s="64">
        <v>8515.9166666666661</v>
      </c>
      <c r="H337" s="65">
        <f t="shared" si="87"/>
        <v>7.9265688759284094</v>
      </c>
      <c r="I337" s="64">
        <v>0</v>
      </c>
      <c r="J337" s="64">
        <v>8871.8333333333339</v>
      </c>
      <c r="K337" s="65">
        <f t="shared" si="88"/>
        <v>0</v>
      </c>
      <c r="L337" s="66">
        <f t="shared" si="89"/>
        <v>5.3996242658323448</v>
      </c>
      <c r="M337" s="67">
        <f t="shared" si="90"/>
        <v>45001.333333333336</v>
      </c>
      <c r="N337" s="64">
        <v>0</v>
      </c>
      <c r="O337" s="64">
        <v>11719.166666666668</v>
      </c>
      <c r="P337" s="68">
        <f t="shared" si="91"/>
        <v>0</v>
      </c>
      <c r="Q337" s="69">
        <v>48445</v>
      </c>
      <c r="R337" s="64">
        <v>12075.083333333334</v>
      </c>
      <c r="S337" s="68">
        <f t="shared" si="92"/>
        <v>4.0119805936466966</v>
      </c>
      <c r="T337" s="64">
        <v>48471</v>
      </c>
      <c r="U337" s="64">
        <v>12431</v>
      </c>
      <c r="V337" s="68">
        <f t="shared" si="93"/>
        <v>3.8992036038934921</v>
      </c>
      <c r="W337" s="70">
        <f t="shared" si="94"/>
        <v>2.6370613991800629</v>
      </c>
      <c r="X337" s="71">
        <f t="shared" si="95"/>
        <v>32305.333333333332</v>
      </c>
      <c r="AD337" s="52"/>
      <c r="AG337" s="52"/>
      <c r="AJ337" s="52"/>
      <c r="AK337" s="52"/>
      <c r="AL337" s="55"/>
      <c r="AO337" s="52"/>
      <c r="AR337" s="52"/>
      <c r="AU337" s="52"/>
      <c r="AV337" s="52"/>
      <c r="AW337" s="55"/>
    </row>
    <row r="338" spans="1:49" ht="15.75" customHeight="1">
      <c r="A338" s="16">
        <v>90302</v>
      </c>
      <c r="B338" s="63" t="s">
        <v>256</v>
      </c>
      <c r="C338" s="64">
        <v>0</v>
      </c>
      <c r="D338" s="64">
        <v>7652</v>
      </c>
      <c r="E338" s="65">
        <f t="shared" si="86"/>
        <v>0</v>
      </c>
      <c r="F338" s="64">
        <v>165217</v>
      </c>
      <c r="G338" s="64">
        <v>7833.666666666667</v>
      </c>
      <c r="H338" s="65">
        <f t="shared" si="87"/>
        <v>21.090634441087612</v>
      </c>
      <c r="I338" s="64">
        <v>0</v>
      </c>
      <c r="J338" s="64">
        <v>8015.333333333333</v>
      </c>
      <c r="K338" s="65">
        <f t="shared" si="88"/>
        <v>0</v>
      </c>
      <c r="L338" s="66">
        <f t="shared" si="89"/>
        <v>7.0302114803625377</v>
      </c>
      <c r="M338" s="67">
        <f t="shared" si="90"/>
        <v>55072.333333333336</v>
      </c>
      <c r="N338" s="64">
        <v>48283</v>
      </c>
      <c r="O338" s="64">
        <v>9468.6666666666661</v>
      </c>
      <c r="P338" s="68">
        <f t="shared" si="91"/>
        <v>5.0992395972681832</v>
      </c>
      <c r="Q338" s="69">
        <v>282729</v>
      </c>
      <c r="R338" s="64">
        <v>9650.3333333333339</v>
      </c>
      <c r="S338" s="68">
        <f t="shared" si="92"/>
        <v>29.297329971330868</v>
      </c>
      <c r="T338" s="64">
        <v>258641</v>
      </c>
      <c r="U338" s="64">
        <v>9832</v>
      </c>
      <c r="V338" s="68">
        <f t="shared" si="93"/>
        <v>26.306041497152155</v>
      </c>
      <c r="W338" s="70">
        <f t="shared" si="94"/>
        <v>20.234203688583733</v>
      </c>
      <c r="X338" s="71">
        <f t="shared" si="95"/>
        <v>196551</v>
      </c>
      <c r="AD338" s="52"/>
      <c r="AG338" s="52"/>
      <c r="AJ338" s="52"/>
      <c r="AK338" s="52"/>
      <c r="AL338" s="55"/>
      <c r="AO338" s="52"/>
      <c r="AR338" s="52"/>
      <c r="AU338" s="52"/>
      <c r="AV338" s="52"/>
      <c r="AW338" s="55"/>
    </row>
    <row r="339" spans="1:49" ht="15.75" customHeight="1">
      <c r="A339" s="16">
        <v>90303</v>
      </c>
      <c r="B339" s="63" t="s">
        <v>335</v>
      </c>
      <c r="C339" s="64">
        <v>174972</v>
      </c>
      <c r="D339" s="64">
        <v>8258</v>
      </c>
      <c r="E339" s="65">
        <f t="shared" si="86"/>
        <v>21.188181157665294</v>
      </c>
      <c r="F339" s="64">
        <v>136972</v>
      </c>
      <c r="G339" s="64">
        <v>8446.6666666666661</v>
      </c>
      <c r="H339" s="65">
        <f t="shared" si="87"/>
        <v>16.216101026045777</v>
      </c>
      <c r="I339" s="64">
        <v>0</v>
      </c>
      <c r="J339" s="64">
        <v>8635.3333333333339</v>
      </c>
      <c r="K339" s="65">
        <f t="shared" si="88"/>
        <v>0</v>
      </c>
      <c r="L339" s="66">
        <f t="shared" si="89"/>
        <v>12.468094061237025</v>
      </c>
      <c r="M339" s="67">
        <f t="shared" si="90"/>
        <v>103981.33333333333</v>
      </c>
      <c r="N339" s="64">
        <v>342970</v>
      </c>
      <c r="O339" s="64">
        <v>10144.666666666666</v>
      </c>
      <c r="P339" s="68">
        <f t="shared" si="91"/>
        <v>33.807912203456659</v>
      </c>
      <c r="Q339" s="69">
        <v>281469</v>
      </c>
      <c r="R339" s="64">
        <v>10333.333333333332</v>
      </c>
      <c r="S339" s="68">
        <f t="shared" si="92"/>
        <v>27.238935483870971</v>
      </c>
      <c r="T339" s="64">
        <v>461142</v>
      </c>
      <c r="U339" s="64">
        <v>10522</v>
      </c>
      <c r="V339" s="68">
        <f t="shared" si="93"/>
        <v>43.826458848127736</v>
      </c>
      <c r="W339" s="70">
        <f t="shared" si="94"/>
        <v>34.957768845151783</v>
      </c>
      <c r="X339" s="71">
        <f t="shared" si="95"/>
        <v>361860.33333333331</v>
      </c>
      <c r="AD339" s="52"/>
      <c r="AG339" s="52"/>
      <c r="AJ339" s="52"/>
      <c r="AK339" s="52"/>
      <c r="AL339" s="55"/>
      <c r="AO339" s="52"/>
      <c r="AR339" s="52"/>
      <c r="AU339" s="52"/>
      <c r="AV339" s="52"/>
      <c r="AW339" s="55"/>
    </row>
    <row r="340" spans="1:49" ht="15.75" customHeight="1">
      <c r="A340" s="16">
        <v>90401</v>
      </c>
      <c r="B340" s="63" t="s">
        <v>276</v>
      </c>
      <c r="C340" s="64">
        <v>45745</v>
      </c>
      <c r="D340" s="64">
        <v>2395</v>
      </c>
      <c r="E340" s="65">
        <f t="shared" si="86"/>
        <v>19.100208768267223</v>
      </c>
      <c r="F340" s="64">
        <v>0</v>
      </c>
      <c r="G340" s="64">
        <v>2436.1666666666665</v>
      </c>
      <c r="H340" s="65">
        <f t="shared" si="87"/>
        <v>0</v>
      </c>
      <c r="I340" s="64">
        <v>0</v>
      </c>
      <c r="J340" s="64">
        <v>2477.3333333333335</v>
      </c>
      <c r="K340" s="65">
        <f t="shared" si="88"/>
        <v>0</v>
      </c>
      <c r="L340" s="66">
        <f t="shared" si="89"/>
        <v>6.3667362560890739</v>
      </c>
      <c r="M340" s="67">
        <f t="shared" si="90"/>
        <v>15248.333333333334</v>
      </c>
      <c r="N340" s="64">
        <v>276592</v>
      </c>
      <c r="O340" s="64">
        <v>2806.6666666666665</v>
      </c>
      <c r="P340" s="68">
        <f t="shared" si="91"/>
        <v>98.548218527315925</v>
      </c>
      <c r="Q340" s="69">
        <v>0</v>
      </c>
      <c r="R340" s="64">
        <v>2847.8333333333335</v>
      </c>
      <c r="S340" s="68">
        <f t="shared" si="92"/>
        <v>0</v>
      </c>
      <c r="T340" s="64">
        <v>0</v>
      </c>
      <c r="U340" s="64">
        <v>2889</v>
      </c>
      <c r="V340" s="68">
        <f t="shared" si="93"/>
        <v>0</v>
      </c>
      <c r="W340" s="70">
        <f t="shared" si="94"/>
        <v>32.849406175771975</v>
      </c>
      <c r="X340" s="71">
        <f t="shared" si="95"/>
        <v>92197.333333333328</v>
      </c>
      <c r="AD340" s="52"/>
      <c r="AG340" s="52"/>
      <c r="AJ340" s="52"/>
      <c r="AK340" s="52"/>
      <c r="AL340" s="55"/>
      <c r="AO340" s="52"/>
      <c r="AR340" s="52"/>
      <c r="AU340" s="52"/>
      <c r="AV340" s="52"/>
      <c r="AW340" s="55"/>
    </row>
    <row r="341" spans="1:49" ht="15.75" customHeight="1">
      <c r="A341" s="16">
        <v>90402</v>
      </c>
      <c r="B341" s="63" t="s">
        <v>336</v>
      </c>
      <c r="C341" s="64">
        <v>0</v>
      </c>
      <c r="D341" s="64">
        <v>1654</v>
      </c>
      <c r="E341" s="65">
        <f t="shared" si="86"/>
        <v>0</v>
      </c>
      <c r="F341" s="64">
        <v>0</v>
      </c>
      <c r="G341" s="64">
        <v>1732.8333333333333</v>
      </c>
      <c r="H341" s="65">
        <f t="shared" si="87"/>
        <v>0</v>
      </c>
      <c r="I341" s="64">
        <v>0</v>
      </c>
      <c r="J341" s="64">
        <v>1811.6666666666667</v>
      </c>
      <c r="K341" s="65">
        <f t="shared" si="88"/>
        <v>0</v>
      </c>
      <c r="L341" s="66">
        <f t="shared" si="89"/>
        <v>0</v>
      </c>
      <c r="M341" s="67">
        <f t="shared" si="90"/>
        <v>0</v>
      </c>
      <c r="N341" s="64">
        <v>0</v>
      </c>
      <c r="O341" s="64">
        <v>2442.333333333333</v>
      </c>
      <c r="P341" s="68">
        <f t="shared" si="91"/>
        <v>0</v>
      </c>
      <c r="Q341" s="69">
        <v>0</v>
      </c>
      <c r="R341" s="64">
        <v>2521.1666666666665</v>
      </c>
      <c r="S341" s="68">
        <f t="shared" si="92"/>
        <v>0</v>
      </c>
      <c r="T341" s="64">
        <v>0</v>
      </c>
      <c r="U341" s="64">
        <v>2600</v>
      </c>
      <c r="V341" s="68">
        <f t="shared" si="93"/>
        <v>0</v>
      </c>
      <c r="W341" s="70">
        <f t="shared" si="94"/>
        <v>0</v>
      </c>
      <c r="X341" s="71">
        <f t="shared" si="95"/>
        <v>0</v>
      </c>
      <c r="AD341" s="52"/>
      <c r="AG341" s="52"/>
      <c r="AJ341" s="52"/>
      <c r="AK341" s="52"/>
      <c r="AL341" s="55"/>
      <c r="AO341" s="52"/>
      <c r="AR341" s="52"/>
      <c r="AU341" s="52"/>
      <c r="AV341" s="52"/>
      <c r="AW341" s="55"/>
    </row>
    <row r="342" spans="1:49" ht="15.75" customHeight="1">
      <c r="A342" s="16">
        <v>90501</v>
      </c>
      <c r="B342" s="63" t="s">
        <v>337</v>
      </c>
      <c r="C342" s="64">
        <v>0</v>
      </c>
      <c r="D342" s="64">
        <v>2068</v>
      </c>
      <c r="E342" s="65">
        <f t="shared" si="86"/>
        <v>0</v>
      </c>
      <c r="F342" s="64">
        <v>0</v>
      </c>
      <c r="G342" s="64">
        <v>2028.8333333333333</v>
      </c>
      <c r="H342" s="65">
        <f t="shared" si="87"/>
        <v>0</v>
      </c>
      <c r="I342" s="64">
        <v>0</v>
      </c>
      <c r="J342" s="64">
        <v>1989.6666666666667</v>
      </c>
      <c r="K342" s="65">
        <f t="shared" si="88"/>
        <v>0</v>
      </c>
      <c r="L342" s="66">
        <f t="shared" si="89"/>
        <v>0</v>
      </c>
      <c r="M342" s="67">
        <f t="shared" si="90"/>
        <v>0</v>
      </c>
      <c r="N342" s="64">
        <v>0</v>
      </c>
      <c r="O342" s="64">
        <v>1676.3333333333335</v>
      </c>
      <c r="P342" s="68">
        <f t="shared" si="91"/>
        <v>0</v>
      </c>
      <c r="Q342" s="69">
        <v>0</v>
      </c>
      <c r="R342" s="64">
        <v>1637.1666666666667</v>
      </c>
      <c r="S342" s="68">
        <f t="shared" si="92"/>
        <v>0</v>
      </c>
      <c r="T342" s="64">
        <v>0</v>
      </c>
      <c r="U342" s="64">
        <v>1598</v>
      </c>
      <c r="V342" s="68">
        <f t="shared" si="93"/>
        <v>0</v>
      </c>
      <c r="W342" s="70">
        <f t="shared" si="94"/>
        <v>0</v>
      </c>
      <c r="X342" s="71">
        <f t="shared" si="95"/>
        <v>0</v>
      </c>
      <c r="AD342" s="52"/>
      <c r="AG342" s="52"/>
      <c r="AJ342" s="52"/>
      <c r="AK342" s="52"/>
      <c r="AL342" s="55"/>
      <c r="AO342" s="52"/>
      <c r="AR342" s="52"/>
      <c r="AU342" s="52"/>
      <c r="AV342" s="52"/>
      <c r="AW342" s="55"/>
    </row>
    <row r="343" spans="1:49" ht="15.75" customHeight="1">
      <c r="A343" s="16">
        <v>90502</v>
      </c>
      <c r="B343" s="63" t="s">
        <v>338</v>
      </c>
      <c r="C343" s="64">
        <v>59788</v>
      </c>
      <c r="D343" s="64">
        <v>2801</v>
      </c>
      <c r="E343" s="65">
        <f t="shared" si="86"/>
        <v>21.345233845055336</v>
      </c>
      <c r="F343" s="64">
        <v>0</v>
      </c>
      <c r="G343" s="64">
        <v>2776.8333333333335</v>
      </c>
      <c r="H343" s="65">
        <f t="shared" si="87"/>
        <v>0</v>
      </c>
      <c r="I343" s="64">
        <v>0</v>
      </c>
      <c r="J343" s="64">
        <v>2752.6666666666665</v>
      </c>
      <c r="K343" s="65">
        <f t="shared" si="88"/>
        <v>0</v>
      </c>
      <c r="L343" s="66">
        <f t="shared" si="89"/>
        <v>7.1150779483517788</v>
      </c>
      <c r="M343" s="67">
        <f t="shared" si="90"/>
        <v>19929.333333333332</v>
      </c>
      <c r="N343" s="64">
        <v>0</v>
      </c>
      <c r="O343" s="64">
        <v>2559.3333333333335</v>
      </c>
      <c r="P343" s="68">
        <f t="shared" si="91"/>
        <v>0</v>
      </c>
      <c r="Q343" s="69">
        <v>0</v>
      </c>
      <c r="R343" s="64">
        <v>2535.1666666666665</v>
      </c>
      <c r="S343" s="68">
        <f t="shared" si="92"/>
        <v>0</v>
      </c>
      <c r="T343" s="64">
        <v>0</v>
      </c>
      <c r="U343" s="64">
        <v>2511</v>
      </c>
      <c r="V343" s="68">
        <f t="shared" si="93"/>
        <v>0</v>
      </c>
      <c r="W343" s="70">
        <f t="shared" si="94"/>
        <v>0</v>
      </c>
      <c r="X343" s="71">
        <f t="shared" si="95"/>
        <v>0</v>
      </c>
      <c r="AD343" s="52"/>
      <c r="AG343" s="52"/>
      <c r="AJ343" s="52"/>
      <c r="AK343" s="52"/>
      <c r="AL343" s="55"/>
      <c r="AO343" s="52"/>
      <c r="AR343" s="52"/>
      <c r="AU343" s="52"/>
      <c r="AV343" s="52"/>
      <c r="AW343" s="55"/>
    </row>
    <row r="344" spans="1:49" ht="15.75" customHeight="1">
      <c r="A344" s="16">
        <v>90503</v>
      </c>
      <c r="B344" s="63" t="s">
        <v>339</v>
      </c>
      <c r="C344" s="64">
        <v>6500</v>
      </c>
      <c r="D344" s="64">
        <v>2165</v>
      </c>
      <c r="E344" s="65">
        <f t="shared" si="86"/>
        <v>3.0023094688221708</v>
      </c>
      <c r="F344" s="64">
        <v>30000</v>
      </c>
      <c r="G344" s="64">
        <v>2180.1666666666665</v>
      </c>
      <c r="H344" s="65">
        <f t="shared" si="87"/>
        <v>13.760415870346305</v>
      </c>
      <c r="I344" s="64">
        <v>0</v>
      </c>
      <c r="J344" s="64">
        <v>2195.3333333333335</v>
      </c>
      <c r="K344" s="65">
        <f t="shared" si="88"/>
        <v>0</v>
      </c>
      <c r="L344" s="66">
        <f t="shared" si="89"/>
        <v>5.5875751130561584</v>
      </c>
      <c r="M344" s="67">
        <f t="shared" si="90"/>
        <v>12166.666666666666</v>
      </c>
      <c r="N344" s="64">
        <v>0</v>
      </c>
      <c r="O344" s="64">
        <v>2316.6666666666665</v>
      </c>
      <c r="P344" s="68">
        <f t="shared" si="91"/>
        <v>0</v>
      </c>
      <c r="Q344" s="69">
        <v>0</v>
      </c>
      <c r="R344" s="64">
        <v>2331.8333333333335</v>
      </c>
      <c r="S344" s="68">
        <f t="shared" si="92"/>
        <v>0</v>
      </c>
      <c r="T344" s="64">
        <v>0</v>
      </c>
      <c r="U344" s="64">
        <v>2347</v>
      </c>
      <c r="V344" s="68">
        <f t="shared" si="93"/>
        <v>0</v>
      </c>
      <c r="W344" s="70">
        <f t="shared" si="94"/>
        <v>0</v>
      </c>
      <c r="X344" s="71">
        <f t="shared" si="95"/>
        <v>0</v>
      </c>
      <c r="AD344" s="52"/>
      <c r="AG344" s="52"/>
      <c r="AJ344" s="52"/>
      <c r="AK344" s="52"/>
      <c r="AL344" s="55"/>
      <c r="AO344" s="52"/>
      <c r="AR344" s="52"/>
      <c r="AU344" s="52"/>
      <c r="AV344" s="52"/>
      <c r="AW344" s="55"/>
    </row>
    <row r="345" spans="1:49" ht="15.75" customHeight="1">
      <c r="A345" s="51"/>
      <c r="B345" s="51"/>
      <c r="E345" s="52"/>
      <c r="F345" s="55"/>
      <c r="G345" s="52"/>
      <c r="H345" s="52"/>
      <c r="I345" s="55"/>
      <c r="J345" s="52"/>
      <c r="K345" s="52"/>
      <c r="L345" s="52"/>
      <c r="M345" s="55"/>
      <c r="N345" s="55"/>
      <c r="P345" s="54"/>
      <c r="Q345" s="55"/>
      <c r="S345" s="54"/>
      <c r="T345" s="55"/>
      <c r="V345" s="54"/>
      <c r="W345" s="54"/>
      <c r="X345" s="55"/>
      <c r="AD345" s="52"/>
      <c r="AG345" s="52"/>
      <c r="AJ345" s="52"/>
      <c r="AK345" s="52"/>
      <c r="AL345" s="55"/>
      <c r="AO345" s="52"/>
      <c r="AR345" s="52"/>
      <c r="AU345" s="52"/>
      <c r="AV345" s="52"/>
      <c r="AW345" s="55"/>
    </row>
    <row r="346" spans="1:49" ht="15.75" customHeight="1">
      <c r="A346" s="51"/>
      <c r="B346" s="51"/>
      <c r="F346" s="73"/>
      <c r="G346" s="74"/>
      <c r="H346" s="74"/>
      <c r="I346" s="73"/>
      <c r="J346" s="74"/>
      <c r="K346" s="75" t="s">
        <v>371</v>
      </c>
      <c r="L346" s="74">
        <f>+AVERAGE(L2:L344)</f>
        <v>6.3335565691544824</v>
      </c>
      <c r="M346" s="73"/>
      <c r="N346" s="74">
        <f>+L346+L347</f>
        <v>18.542513950903992</v>
      </c>
      <c r="P346" s="54"/>
      <c r="Q346" s="55"/>
      <c r="S346" s="54"/>
      <c r="T346" s="55"/>
      <c r="V346" s="75"/>
      <c r="W346" s="74"/>
      <c r="X346" s="73"/>
      <c r="Y346" s="74"/>
      <c r="AD346" s="52"/>
      <c r="AG346" s="52"/>
      <c r="AJ346" s="52"/>
      <c r="AK346" s="52"/>
      <c r="AL346" s="55"/>
      <c r="AO346" s="52"/>
      <c r="AR346" s="52"/>
      <c r="AU346" s="52"/>
      <c r="AV346" s="52"/>
      <c r="AW346" s="55"/>
    </row>
    <row r="347" spans="1:49" ht="15.75" customHeight="1">
      <c r="A347" s="51"/>
      <c r="B347" s="51"/>
      <c r="F347" s="73"/>
      <c r="G347" s="74"/>
      <c r="H347" s="74"/>
      <c r="I347" s="73"/>
      <c r="J347" s="74"/>
      <c r="K347" s="75" t="s">
        <v>372</v>
      </c>
      <c r="L347" s="74">
        <f>+STDEVA(L2:L344)</f>
        <v>12.20895738174951</v>
      </c>
      <c r="M347" s="73"/>
      <c r="N347" s="74">
        <f>+L346-L347</f>
        <v>-5.8754008125950277</v>
      </c>
      <c r="P347" s="54"/>
      <c r="Q347" s="55"/>
      <c r="S347" s="54"/>
      <c r="T347" s="55"/>
      <c r="V347" s="75"/>
      <c r="W347" s="74"/>
      <c r="X347" s="73"/>
      <c r="Y347" s="74"/>
      <c r="AD347" s="52"/>
      <c r="AG347" s="52"/>
      <c r="AJ347" s="52"/>
      <c r="AK347" s="52"/>
      <c r="AL347" s="55"/>
      <c r="AO347" s="52"/>
      <c r="AR347" s="52"/>
      <c r="AU347" s="52"/>
      <c r="AV347" s="52"/>
      <c r="AW347" s="55"/>
    </row>
    <row r="348" spans="1:49" ht="15.75" customHeight="1">
      <c r="A348" s="51"/>
      <c r="B348" s="51"/>
      <c r="F348" s="73"/>
      <c r="G348" s="74"/>
      <c r="H348" s="74"/>
      <c r="I348" s="73"/>
      <c r="J348" s="74"/>
      <c r="K348" s="75" t="s">
        <v>373</v>
      </c>
      <c r="L348" s="74">
        <f>+MIN(L2:L344)</f>
        <v>0</v>
      </c>
      <c r="M348" s="73"/>
      <c r="N348" s="76"/>
      <c r="P348" s="54"/>
      <c r="Q348" s="55"/>
      <c r="S348" s="54"/>
      <c r="T348" s="55"/>
      <c r="V348" s="75"/>
      <c r="W348" s="74"/>
      <c r="X348" s="73"/>
      <c r="Y348" s="76"/>
      <c r="AD348" s="52"/>
      <c r="AG348" s="52"/>
      <c r="AJ348" s="52"/>
      <c r="AK348" s="52"/>
      <c r="AL348" s="55"/>
      <c r="AO348" s="52"/>
      <c r="AR348" s="52"/>
      <c r="AU348" s="52"/>
      <c r="AV348" s="52"/>
      <c r="AW348" s="55"/>
    </row>
    <row r="349" spans="1:49" ht="15.75" customHeight="1">
      <c r="A349" s="51"/>
      <c r="B349" s="51"/>
      <c r="F349" s="73"/>
      <c r="G349" s="74"/>
      <c r="H349" s="74"/>
      <c r="I349" s="73"/>
      <c r="J349" s="74"/>
      <c r="K349" s="75" t="s">
        <v>374</v>
      </c>
      <c r="L349" s="74">
        <f>+MAX(L2:L344)</f>
        <v>132.6970021370237</v>
      </c>
      <c r="M349" s="73"/>
      <c r="N349" s="76"/>
      <c r="P349" s="54"/>
      <c r="Q349" s="55"/>
      <c r="S349" s="54"/>
      <c r="T349" s="55"/>
      <c r="V349" s="75"/>
      <c r="W349" s="74"/>
      <c r="X349" s="73"/>
      <c r="Y349" s="76"/>
      <c r="AD349" s="52"/>
      <c r="AG349" s="52"/>
      <c r="AJ349" s="52"/>
      <c r="AK349" s="52"/>
      <c r="AL349" s="55"/>
      <c r="AO349" s="52"/>
      <c r="AR349" s="52"/>
      <c r="AU349" s="52"/>
      <c r="AV349" s="52"/>
      <c r="AW349" s="55"/>
    </row>
    <row r="350" spans="1:49" ht="15.75" customHeight="1">
      <c r="A350" s="51"/>
      <c r="B350" s="51"/>
      <c r="F350" s="73"/>
      <c r="G350" s="77"/>
      <c r="H350" s="77"/>
      <c r="I350" s="73"/>
      <c r="J350" s="77"/>
      <c r="K350" s="75" t="s">
        <v>375</v>
      </c>
      <c r="L350" s="77">
        <v>343</v>
      </c>
      <c r="M350" s="73"/>
      <c r="N350" s="76"/>
      <c r="P350" s="54"/>
      <c r="Q350" s="55"/>
      <c r="S350" s="54"/>
      <c r="T350" s="55"/>
      <c r="V350" s="75"/>
      <c r="W350" s="77"/>
      <c r="X350" s="73"/>
      <c r="Y350" s="76"/>
      <c r="AD350" s="52"/>
      <c r="AG350" s="52"/>
      <c r="AJ350" s="52"/>
      <c r="AK350" s="52"/>
      <c r="AL350" s="55"/>
      <c r="AO350" s="52"/>
      <c r="AR350" s="52"/>
      <c r="AU350" s="52"/>
      <c r="AV350" s="52"/>
      <c r="AW350" s="55"/>
    </row>
    <row r="351" spans="1:49" ht="15.75" customHeight="1">
      <c r="A351" s="51"/>
      <c r="B351" s="51"/>
      <c r="E351" s="52"/>
      <c r="F351" s="55"/>
      <c r="G351" s="52"/>
      <c r="H351" s="52"/>
      <c r="I351" s="55"/>
      <c r="J351" s="52"/>
      <c r="K351" s="52"/>
      <c r="L351" s="52"/>
      <c r="M351" s="55"/>
      <c r="N351" s="55"/>
      <c r="P351" s="54"/>
      <c r="Q351" s="55"/>
      <c r="S351" s="54"/>
      <c r="T351" s="55"/>
      <c r="V351" s="54"/>
      <c r="W351" s="54"/>
      <c r="X351" s="55"/>
      <c r="AD351" s="52"/>
      <c r="AG351" s="52"/>
      <c r="AJ351" s="52"/>
      <c r="AK351" s="52"/>
      <c r="AL351" s="55"/>
      <c r="AO351" s="52"/>
      <c r="AR351" s="52"/>
      <c r="AU351" s="52"/>
      <c r="AV351" s="52"/>
      <c r="AW351" s="55"/>
    </row>
    <row r="352" spans="1:49" ht="15.75" customHeight="1">
      <c r="A352" s="51"/>
      <c r="B352" s="51"/>
      <c r="E352" s="52"/>
      <c r="F352" s="55"/>
      <c r="G352" s="52"/>
      <c r="H352" s="52"/>
      <c r="I352" s="55"/>
      <c r="J352" s="52"/>
      <c r="K352" s="52"/>
      <c r="L352" s="52"/>
      <c r="M352" s="55"/>
      <c r="N352" s="55"/>
      <c r="P352" s="54"/>
      <c r="Q352" s="55"/>
      <c r="S352" s="54"/>
      <c r="T352" s="55"/>
      <c r="V352" s="54"/>
      <c r="W352" s="54"/>
      <c r="X352" s="55"/>
      <c r="AD352" s="52"/>
      <c r="AG352" s="52"/>
      <c r="AJ352" s="52"/>
      <c r="AK352" s="52"/>
      <c r="AL352" s="55"/>
      <c r="AO352" s="52"/>
      <c r="AR352" s="52"/>
      <c r="AU352" s="52"/>
      <c r="AV352" s="52"/>
      <c r="AW352" s="55"/>
    </row>
    <row r="353" spans="1:49" ht="15.75" customHeight="1">
      <c r="A353" s="51"/>
      <c r="B353" s="51"/>
      <c r="E353" s="52"/>
      <c r="F353" s="55"/>
      <c r="G353" s="52"/>
      <c r="H353" s="52"/>
      <c r="I353" s="55"/>
      <c r="J353" s="52"/>
      <c r="K353" s="52"/>
      <c r="L353" s="52"/>
      <c r="M353" s="55"/>
      <c r="N353" s="55"/>
      <c r="P353" s="54"/>
      <c r="Q353" s="55"/>
      <c r="S353" s="54"/>
      <c r="T353" s="55"/>
      <c r="V353" s="54"/>
      <c r="W353" s="54"/>
      <c r="X353" s="55"/>
      <c r="AD353" s="52"/>
      <c r="AG353" s="52"/>
      <c r="AJ353" s="52"/>
      <c r="AK353" s="52"/>
      <c r="AL353" s="55"/>
      <c r="AO353" s="52"/>
      <c r="AR353" s="52"/>
      <c r="AU353" s="52"/>
      <c r="AV353" s="52"/>
      <c r="AW353" s="55"/>
    </row>
    <row r="354" spans="1:49" ht="15.75" customHeight="1">
      <c r="A354" s="51"/>
      <c r="B354" s="51"/>
      <c r="E354" s="52"/>
      <c r="F354" s="55"/>
      <c r="G354" s="52"/>
      <c r="H354" s="52"/>
      <c r="I354" s="55"/>
      <c r="J354" s="52"/>
      <c r="K354" s="52"/>
      <c r="L354" s="52"/>
      <c r="M354" s="55"/>
      <c r="P354" s="54"/>
      <c r="Q354" s="55"/>
      <c r="S354" s="54"/>
      <c r="T354" s="55"/>
      <c r="V354" s="54"/>
      <c r="W354" s="54"/>
      <c r="X354" s="55"/>
      <c r="AD354" s="52"/>
      <c r="AG354" s="52"/>
      <c r="AJ354" s="52"/>
      <c r="AK354" s="52"/>
      <c r="AL354" s="55"/>
      <c r="AO354" s="52"/>
      <c r="AR354" s="52"/>
      <c r="AU354" s="52"/>
      <c r="AV354" s="52"/>
      <c r="AW354" s="55"/>
    </row>
    <row r="355" spans="1:49" ht="15.75" customHeight="1">
      <c r="A355" s="51"/>
      <c r="B355" s="51"/>
      <c r="E355" s="52"/>
      <c r="F355" s="55"/>
      <c r="G355" s="52"/>
      <c r="H355" s="52"/>
      <c r="I355" s="55"/>
      <c r="J355" s="52"/>
      <c r="K355" s="52"/>
      <c r="L355" s="52"/>
      <c r="M355" s="55"/>
      <c r="P355" s="54"/>
      <c r="Q355" s="55"/>
      <c r="S355" s="54"/>
      <c r="T355" s="55"/>
      <c r="V355" s="54"/>
      <c r="W355" s="54"/>
      <c r="X355" s="55"/>
      <c r="AD355" s="52"/>
      <c r="AG355" s="52"/>
      <c r="AJ355" s="52"/>
      <c r="AK355" s="52"/>
      <c r="AL355" s="55"/>
      <c r="AO355" s="52"/>
      <c r="AR355" s="52"/>
      <c r="AU355" s="52"/>
      <c r="AV355" s="52"/>
      <c r="AW355" s="55"/>
    </row>
    <row r="356" spans="1:49" ht="15.75" customHeight="1">
      <c r="A356" s="51"/>
      <c r="B356" s="51"/>
      <c r="E356" s="52"/>
      <c r="F356" s="55"/>
      <c r="G356" s="52"/>
      <c r="H356" s="52"/>
      <c r="I356" s="55"/>
      <c r="J356" s="52"/>
      <c r="K356" s="52"/>
      <c r="L356" s="52"/>
      <c r="M356" s="55"/>
      <c r="P356" s="54"/>
      <c r="Q356" s="55"/>
      <c r="S356" s="54"/>
      <c r="T356" s="55"/>
      <c r="V356" s="54"/>
      <c r="W356" s="54"/>
      <c r="X356" s="55"/>
      <c r="AD356" s="52"/>
      <c r="AG356" s="52"/>
      <c r="AJ356" s="52"/>
      <c r="AK356" s="52"/>
      <c r="AL356" s="55"/>
      <c r="AO356" s="52"/>
      <c r="AR356" s="52"/>
      <c r="AU356" s="52"/>
      <c r="AV356" s="52"/>
      <c r="AW356" s="55"/>
    </row>
    <row r="357" spans="1:49" ht="15.75" customHeight="1">
      <c r="A357" s="51"/>
      <c r="B357" s="51"/>
      <c r="E357" s="52"/>
      <c r="F357" s="55"/>
      <c r="G357" s="52"/>
      <c r="H357" s="52"/>
      <c r="I357" s="55"/>
      <c r="J357" s="52"/>
      <c r="K357" s="52"/>
      <c r="L357" s="52"/>
      <c r="M357" s="55"/>
      <c r="P357" s="54"/>
      <c r="Q357" s="55"/>
      <c r="S357" s="54"/>
      <c r="T357" s="55"/>
      <c r="V357" s="54"/>
      <c r="W357" s="54"/>
      <c r="X357" s="55"/>
      <c r="AD357" s="52"/>
      <c r="AG357" s="52"/>
      <c r="AJ357" s="52"/>
      <c r="AK357" s="52"/>
      <c r="AL357" s="55"/>
      <c r="AO357" s="52"/>
      <c r="AR357" s="52"/>
      <c r="AU357" s="52"/>
      <c r="AV357" s="52"/>
      <c r="AW357" s="55"/>
    </row>
    <row r="358" spans="1:49" ht="15.75" customHeight="1">
      <c r="A358" s="51"/>
      <c r="B358" s="51"/>
      <c r="E358" s="52"/>
      <c r="F358" s="55"/>
      <c r="G358" s="52"/>
      <c r="H358" s="52"/>
      <c r="I358" s="55"/>
      <c r="J358" s="52"/>
      <c r="K358" s="52"/>
      <c r="L358" s="52"/>
      <c r="M358" s="55"/>
      <c r="P358" s="54"/>
      <c r="Q358" s="55"/>
      <c r="S358" s="54"/>
      <c r="T358" s="55"/>
      <c r="V358" s="54"/>
      <c r="W358" s="54"/>
      <c r="X358" s="55"/>
      <c r="AD358" s="52"/>
      <c r="AG358" s="52"/>
      <c r="AJ358" s="52"/>
      <c r="AK358" s="52"/>
      <c r="AL358" s="55"/>
      <c r="AO358" s="52"/>
      <c r="AR358" s="52"/>
      <c r="AU358" s="52"/>
      <c r="AV358" s="52"/>
      <c r="AW358" s="55"/>
    </row>
    <row r="359" spans="1:49" ht="15.75" customHeight="1">
      <c r="A359" s="51"/>
      <c r="B359" s="51"/>
      <c r="E359" s="52"/>
      <c r="F359" s="55"/>
      <c r="G359" s="52"/>
      <c r="H359" s="52"/>
      <c r="I359" s="55"/>
      <c r="J359" s="52"/>
      <c r="K359" s="52"/>
      <c r="L359" s="52"/>
      <c r="M359" s="55"/>
      <c r="P359" s="54"/>
      <c r="Q359" s="55"/>
      <c r="S359" s="54"/>
      <c r="T359" s="55"/>
      <c r="V359" s="54"/>
      <c r="W359" s="54"/>
      <c r="X359" s="55"/>
      <c r="AD359" s="52"/>
      <c r="AG359" s="52"/>
      <c r="AJ359" s="52"/>
      <c r="AK359" s="52"/>
      <c r="AL359" s="55"/>
      <c r="AO359" s="52"/>
      <c r="AR359" s="52"/>
      <c r="AU359" s="52"/>
      <c r="AV359" s="52"/>
      <c r="AW359" s="55"/>
    </row>
    <row r="360" spans="1:49" ht="15.75" customHeight="1">
      <c r="A360" s="51"/>
      <c r="B360" s="51"/>
      <c r="E360" s="52"/>
      <c r="F360" s="55"/>
      <c r="G360" s="52"/>
      <c r="H360" s="52"/>
      <c r="I360" s="55"/>
      <c r="J360" s="52"/>
      <c r="K360" s="52"/>
      <c r="L360" s="52"/>
      <c r="M360" s="55"/>
      <c r="P360" s="54"/>
      <c r="Q360" s="55"/>
      <c r="S360" s="54"/>
      <c r="T360" s="55"/>
      <c r="V360" s="54"/>
      <c r="W360" s="54"/>
      <c r="X360" s="55"/>
      <c r="AD360" s="52"/>
      <c r="AG360" s="52"/>
      <c r="AJ360" s="52"/>
      <c r="AK360" s="52"/>
      <c r="AL360" s="55"/>
      <c r="AO360" s="52"/>
      <c r="AR360" s="52"/>
      <c r="AU360" s="52"/>
      <c r="AV360" s="52"/>
      <c r="AW360" s="55"/>
    </row>
    <row r="361" spans="1:49" ht="15.75" customHeight="1">
      <c r="A361" s="51"/>
      <c r="B361" s="51"/>
      <c r="E361" s="52"/>
      <c r="F361" s="55"/>
      <c r="G361" s="52"/>
      <c r="H361" s="52"/>
      <c r="I361" s="55"/>
      <c r="J361" s="52"/>
      <c r="K361" s="52"/>
      <c r="L361" s="52"/>
      <c r="M361" s="55"/>
      <c r="P361" s="54"/>
      <c r="Q361" s="55"/>
      <c r="S361" s="54"/>
      <c r="T361" s="55"/>
      <c r="V361" s="54"/>
      <c r="W361" s="54"/>
      <c r="X361" s="55"/>
      <c r="AD361" s="52"/>
      <c r="AG361" s="52"/>
      <c r="AJ361" s="52"/>
      <c r="AK361" s="52"/>
      <c r="AL361" s="55"/>
      <c r="AO361" s="52"/>
      <c r="AR361" s="52"/>
      <c r="AU361" s="52"/>
      <c r="AV361" s="52"/>
      <c r="AW361" s="55"/>
    </row>
    <row r="362" spans="1:49" ht="15.75" customHeight="1">
      <c r="A362" s="51"/>
      <c r="B362" s="51"/>
      <c r="E362" s="52"/>
      <c r="F362" s="55"/>
      <c r="G362" s="52"/>
      <c r="H362" s="52"/>
      <c r="I362" s="55"/>
      <c r="J362" s="52"/>
      <c r="K362" s="52"/>
      <c r="L362" s="52"/>
      <c r="M362" s="55"/>
      <c r="P362" s="54"/>
      <c r="Q362" s="55"/>
      <c r="S362" s="54"/>
      <c r="T362" s="55"/>
      <c r="V362" s="54"/>
      <c r="W362" s="54"/>
      <c r="X362" s="55"/>
      <c r="AD362" s="52"/>
      <c r="AG362" s="52"/>
      <c r="AJ362" s="52"/>
      <c r="AK362" s="52"/>
      <c r="AL362" s="55"/>
      <c r="AO362" s="52"/>
      <c r="AR362" s="52"/>
      <c r="AU362" s="52"/>
      <c r="AV362" s="52"/>
      <c r="AW362" s="55"/>
    </row>
    <row r="363" spans="1:49" ht="15.75" customHeight="1">
      <c r="A363" s="51"/>
      <c r="B363" s="51"/>
      <c r="E363" s="52"/>
      <c r="F363" s="55"/>
      <c r="G363" s="52"/>
      <c r="H363" s="52"/>
      <c r="I363" s="55"/>
      <c r="J363" s="52"/>
      <c r="K363" s="52"/>
      <c r="L363" s="52"/>
      <c r="M363" s="55"/>
      <c r="P363" s="54"/>
      <c r="Q363" s="55"/>
      <c r="S363" s="54"/>
      <c r="T363" s="55"/>
      <c r="V363" s="54"/>
      <c r="W363" s="54"/>
      <c r="X363" s="55"/>
      <c r="AD363" s="52"/>
      <c r="AG363" s="52"/>
      <c r="AJ363" s="52"/>
      <c r="AK363" s="52"/>
      <c r="AL363" s="55"/>
      <c r="AO363" s="52"/>
      <c r="AR363" s="52"/>
      <c r="AU363" s="52"/>
      <c r="AV363" s="52"/>
      <c r="AW363" s="55"/>
    </row>
    <row r="364" spans="1:49" ht="15.75" customHeight="1">
      <c r="A364" s="51"/>
      <c r="B364" s="51"/>
      <c r="E364" s="52"/>
      <c r="F364" s="55"/>
      <c r="G364" s="52"/>
      <c r="H364" s="52"/>
      <c r="I364" s="55"/>
      <c r="J364" s="52"/>
      <c r="K364" s="52"/>
      <c r="L364" s="52"/>
      <c r="M364" s="55"/>
      <c r="P364" s="54"/>
      <c r="Q364" s="55"/>
      <c r="S364" s="54"/>
      <c r="T364" s="55"/>
      <c r="V364" s="54"/>
      <c r="W364" s="54"/>
      <c r="X364" s="55"/>
      <c r="AD364" s="52"/>
      <c r="AG364" s="52"/>
      <c r="AJ364" s="52"/>
      <c r="AK364" s="52"/>
      <c r="AL364" s="55"/>
      <c r="AO364" s="52"/>
      <c r="AR364" s="52"/>
      <c r="AU364" s="52"/>
      <c r="AV364" s="52"/>
      <c r="AW364" s="55"/>
    </row>
    <row r="365" spans="1:49" ht="15.75" customHeight="1">
      <c r="A365" s="51"/>
      <c r="B365" s="51"/>
      <c r="E365" s="52"/>
      <c r="F365" s="55"/>
      <c r="G365" s="52"/>
      <c r="H365" s="52"/>
      <c r="I365" s="55"/>
      <c r="J365" s="52"/>
      <c r="K365" s="52"/>
      <c r="L365" s="52"/>
      <c r="M365" s="55"/>
      <c r="P365" s="54"/>
      <c r="Q365" s="55"/>
      <c r="S365" s="54"/>
      <c r="T365" s="55"/>
      <c r="V365" s="54"/>
      <c r="W365" s="54"/>
      <c r="X365" s="55"/>
      <c r="AD365" s="52"/>
      <c r="AG365" s="52"/>
      <c r="AJ365" s="52"/>
      <c r="AK365" s="52"/>
      <c r="AL365" s="55"/>
      <c r="AO365" s="52"/>
      <c r="AR365" s="52"/>
      <c r="AU365" s="52"/>
      <c r="AV365" s="52"/>
      <c r="AW365" s="55"/>
    </row>
    <row r="366" spans="1:49" ht="15.75" customHeight="1">
      <c r="A366" s="51"/>
      <c r="B366" s="51"/>
      <c r="E366" s="52"/>
      <c r="F366" s="55"/>
      <c r="G366" s="52"/>
      <c r="H366" s="52"/>
      <c r="I366" s="55"/>
      <c r="J366" s="52"/>
      <c r="K366" s="52"/>
      <c r="L366" s="52"/>
      <c r="M366" s="55"/>
      <c r="P366" s="54"/>
      <c r="Q366" s="55"/>
      <c r="S366" s="54"/>
      <c r="T366" s="55"/>
      <c r="V366" s="54"/>
      <c r="W366" s="54"/>
      <c r="X366" s="55"/>
      <c r="AD366" s="52"/>
      <c r="AG366" s="52"/>
      <c r="AJ366" s="52"/>
      <c r="AK366" s="52"/>
      <c r="AL366" s="55"/>
      <c r="AO366" s="52"/>
      <c r="AR366" s="52"/>
      <c r="AU366" s="52"/>
      <c r="AV366" s="52"/>
      <c r="AW366" s="55"/>
    </row>
    <row r="367" spans="1:49" ht="15.75" customHeight="1">
      <c r="A367" s="51"/>
      <c r="B367" s="51"/>
      <c r="E367" s="52"/>
      <c r="F367" s="55"/>
      <c r="G367" s="52"/>
      <c r="H367" s="52"/>
      <c r="I367" s="55"/>
      <c r="J367" s="52"/>
      <c r="K367" s="52"/>
      <c r="L367" s="52"/>
      <c r="M367" s="55"/>
      <c r="P367" s="54"/>
      <c r="Q367" s="55"/>
      <c r="S367" s="54"/>
      <c r="T367" s="55"/>
      <c r="V367" s="54"/>
      <c r="W367" s="54"/>
      <c r="X367" s="55"/>
      <c r="AD367" s="52"/>
      <c r="AG367" s="52"/>
      <c r="AJ367" s="52"/>
      <c r="AK367" s="52"/>
      <c r="AL367" s="55"/>
      <c r="AO367" s="52"/>
      <c r="AR367" s="52"/>
      <c r="AU367" s="52"/>
      <c r="AV367" s="52"/>
      <c r="AW367" s="55"/>
    </row>
    <row r="368" spans="1:49" ht="15.75" customHeight="1">
      <c r="A368" s="51"/>
      <c r="B368" s="51"/>
      <c r="E368" s="52"/>
      <c r="F368" s="55"/>
      <c r="G368" s="52"/>
      <c r="H368" s="52"/>
      <c r="I368" s="55"/>
      <c r="J368" s="52"/>
      <c r="K368" s="52"/>
      <c r="L368" s="52"/>
      <c r="M368" s="55"/>
      <c r="P368" s="54"/>
      <c r="Q368" s="55"/>
      <c r="S368" s="54"/>
      <c r="T368" s="55"/>
      <c r="V368" s="54"/>
      <c r="W368" s="54"/>
      <c r="X368" s="55"/>
      <c r="AD368" s="52"/>
      <c r="AG368" s="52"/>
      <c r="AJ368" s="52"/>
      <c r="AK368" s="52"/>
      <c r="AL368" s="55"/>
      <c r="AO368" s="52"/>
      <c r="AR368" s="52"/>
      <c r="AU368" s="52"/>
      <c r="AV368" s="52"/>
      <c r="AW368" s="55"/>
    </row>
    <row r="369" spans="1:49" ht="15.75" customHeight="1">
      <c r="A369" s="51"/>
      <c r="B369" s="51"/>
      <c r="E369" s="52"/>
      <c r="F369" s="55"/>
      <c r="G369" s="52"/>
      <c r="H369" s="52"/>
      <c r="I369" s="55"/>
      <c r="J369" s="52"/>
      <c r="K369" s="52"/>
      <c r="L369" s="52"/>
      <c r="M369" s="55"/>
      <c r="P369" s="54"/>
      <c r="Q369" s="55"/>
      <c r="S369" s="54"/>
      <c r="T369" s="55"/>
      <c r="V369" s="54"/>
      <c r="W369" s="54"/>
      <c r="X369" s="55"/>
      <c r="AD369" s="52"/>
      <c r="AG369" s="52"/>
      <c r="AJ369" s="52"/>
      <c r="AK369" s="52"/>
      <c r="AL369" s="55"/>
      <c r="AO369" s="52"/>
      <c r="AR369" s="52"/>
      <c r="AU369" s="52"/>
      <c r="AV369" s="52"/>
      <c r="AW369" s="55"/>
    </row>
    <row r="370" spans="1:49" ht="15.75" customHeight="1">
      <c r="A370" s="51"/>
      <c r="B370" s="51"/>
      <c r="E370" s="52"/>
      <c r="F370" s="55"/>
      <c r="G370" s="52"/>
      <c r="H370" s="52"/>
      <c r="I370" s="55"/>
      <c r="J370" s="52"/>
      <c r="K370" s="52"/>
      <c r="L370" s="52"/>
      <c r="M370" s="55"/>
      <c r="P370" s="54"/>
      <c r="Q370" s="55"/>
      <c r="S370" s="54"/>
      <c r="T370" s="55"/>
      <c r="V370" s="54"/>
      <c r="W370" s="54"/>
      <c r="X370" s="55"/>
      <c r="AD370" s="52"/>
      <c r="AG370" s="52"/>
      <c r="AJ370" s="52"/>
      <c r="AK370" s="52"/>
      <c r="AL370" s="55"/>
      <c r="AO370" s="52"/>
      <c r="AR370" s="52"/>
      <c r="AU370" s="52"/>
      <c r="AV370" s="52"/>
      <c r="AW370" s="55"/>
    </row>
    <row r="371" spans="1:49" ht="15.75" customHeight="1">
      <c r="A371" s="51"/>
      <c r="B371" s="51"/>
      <c r="E371" s="52"/>
      <c r="F371" s="55"/>
      <c r="G371" s="52"/>
      <c r="H371" s="52"/>
      <c r="I371" s="55"/>
      <c r="J371" s="52"/>
      <c r="K371" s="52"/>
      <c r="L371" s="52"/>
      <c r="M371" s="55"/>
      <c r="P371" s="54"/>
      <c r="Q371" s="55"/>
      <c r="S371" s="54"/>
      <c r="T371" s="55"/>
      <c r="V371" s="54"/>
      <c r="W371" s="54"/>
      <c r="X371" s="55"/>
      <c r="AD371" s="52"/>
      <c r="AG371" s="52"/>
      <c r="AJ371" s="52"/>
      <c r="AK371" s="52"/>
      <c r="AL371" s="55"/>
      <c r="AO371" s="52"/>
      <c r="AR371" s="52"/>
      <c r="AU371" s="52"/>
      <c r="AV371" s="52"/>
      <c r="AW371" s="55"/>
    </row>
    <row r="372" spans="1:49" ht="15.75" customHeight="1">
      <c r="A372" s="51"/>
      <c r="B372" s="51"/>
      <c r="E372" s="52"/>
      <c r="F372" s="55"/>
      <c r="G372" s="52"/>
      <c r="H372" s="52"/>
      <c r="I372" s="55"/>
      <c r="J372" s="52"/>
      <c r="K372" s="52"/>
      <c r="L372" s="52"/>
      <c r="M372" s="55"/>
      <c r="P372" s="54"/>
      <c r="Q372" s="55"/>
      <c r="S372" s="54"/>
      <c r="T372" s="55"/>
      <c r="V372" s="54"/>
      <c r="W372" s="54"/>
      <c r="X372" s="55"/>
      <c r="AD372" s="52"/>
      <c r="AG372" s="52"/>
      <c r="AJ372" s="52"/>
      <c r="AK372" s="52"/>
      <c r="AL372" s="55"/>
      <c r="AO372" s="52"/>
      <c r="AR372" s="52"/>
      <c r="AU372" s="52"/>
      <c r="AV372" s="52"/>
      <c r="AW372" s="55"/>
    </row>
    <row r="373" spans="1:49" ht="15.75" customHeight="1">
      <c r="A373" s="51"/>
      <c r="B373" s="51"/>
      <c r="E373" s="52"/>
      <c r="F373" s="55"/>
      <c r="G373" s="52"/>
      <c r="H373" s="52"/>
      <c r="I373" s="55"/>
      <c r="J373" s="52"/>
      <c r="K373" s="52"/>
      <c r="L373" s="52"/>
      <c r="M373" s="55"/>
      <c r="P373" s="54"/>
      <c r="Q373" s="55"/>
      <c r="S373" s="54"/>
      <c r="T373" s="55"/>
      <c r="V373" s="54"/>
      <c r="W373" s="54"/>
      <c r="X373" s="55"/>
      <c r="AD373" s="52"/>
      <c r="AG373" s="52"/>
      <c r="AJ373" s="52"/>
      <c r="AK373" s="52"/>
      <c r="AL373" s="55"/>
      <c r="AO373" s="52"/>
      <c r="AR373" s="52"/>
      <c r="AU373" s="52"/>
      <c r="AV373" s="52"/>
      <c r="AW373" s="55"/>
    </row>
    <row r="374" spans="1:49" ht="15.75" customHeight="1">
      <c r="A374" s="51"/>
      <c r="B374" s="51"/>
      <c r="E374" s="52"/>
      <c r="F374" s="55"/>
      <c r="G374" s="52"/>
      <c r="H374" s="52"/>
      <c r="I374" s="55"/>
      <c r="J374" s="52"/>
      <c r="K374" s="52"/>
      <c r="L374" s="52"/>
      <c r="M374" s="55"/>
      <c r="P374" s="54"/>
      <c r="Q374" s="55"/>
      <c r="S374" s="54"/>
      <c r="T374" s="55"/>
      <c r="V374" s="54"/>
      <c r="W374" s="54"/>
      <c r="X374" s="55"/>
      <c r="AD374" s="52"/>
      <c r="AG374" s="52"/>
      <c r="AJ374" s="52"/>
      <c r="AK374" s="52"/>
      <c r="AL374" s="55"/>
      <c r="AO374" s="52"/>
      <c r="AR374" s="52"/>
      <c r="AU374" s="52"/>
      <c r="AV374" s="52"/>
      <c r="AW374" s="55"/>
    </row>
    <row r="375" spans="1:49" ht="15.75" customHeight="1">
      <c r="A375" s="51"/>
      <c r="B375" s="51"/>
      <c r="E375" s="52"/>
      <c r="F375" s="55"/>
      <c r="G375" s="52"/>
      <c r="H375" s="52"/>
      <c r="I375" s="55"/>
      <c r="J375" s="52"/>
      <c r="K375" s="52"/>
      <c r="L375" s="52"/>
      <c r="M375" s="55"/>
      <c r="P375" s="54"/>
      <c r="Q375" s="55"/>
      <c r="S375" s="54"/>
      <c r="T375" s="55"/>
      <c r="V375" s="54"/>
      <c r="W375" s="54"/>
      <c r="X375" s="55"/>
      <c r="AD375" s="52"/>
      <c r="AG375" s="52"/>
      <c r="AJ375" s="52"/>
      <c r="AK375" s="52"/>
      <c r="AL375" s="55"/>
      <c r="AO375" s="52"/>
      <c r="AR375" s="52"/>
      <c r="AU375" s="52"/>
      <c r="AV375" s="52"/>
      <c r="AW375" s="55"/>
    </row>
    <row r="376" spans="1:49" ht="15.75" customHeight="1">
      <c r="A376" s="51"/>
      <c r="B376" s="51"/>
      <c r="E376" s="52"/>
      <c r="F376" s="55"/>
      <c r="G376" s="52"/>
      <c r="H376" s="52"/>
      <c r="I376" s="55"/>
      <c r="J376" s="52"/>
      <c r="K376" s="52"/>
      <c r="L376" s="52"/>
      <c r="M376" s="55"/>
      <c r="P376" s="54"/>
      <c r="Q376" s="55"/>
      <c r="S376" s="54"/>
      <c r="V376" s="54"/>
      <c r="W376" s="54"/>
      <c r="X376" s="55"/>
      <c r="AD376" s="52"/>
      <c r="AG376" s="52"/>
      <c r="AJ376" s="52"/>
      <c r="AK376" s="52"/>
      <c r="AL376" s="55"/>
      <c r="AO376" s="52"/>
      <c r="AR376" s="52"/>
      <c r="AU376" s="52"/>
      <c r="AV376" s="52"/>
      <c r="AW376" s="55"/>
    </row>
    <row r="377" spans="1:49" ht="15.75" customHeight="1">
      <c r="A377" s="51"/>
      <c r="B377" s="51"/>
      <c r="E377" s="52"/>
      <c r="F377" s="55"/>
      <c r="G377" s="52"/>
      <c r="H377" s="52"/>
      <c r="I377" s="55"/>
      <c r="J377" s="52"/>
      <c r="K377" s="52"/>
      <c r="L377" s="52"/>
      <c r="M377" s="55"/>
      <c r="P377" s="54"/>
      <c r="Q377" s="55"/>
      <c r="S377" s="54"/>
      <c r="V377" s="54"/>
      <c r="W377" s="54"/>
      <c r="X377" s="55"/>
      <c r="AD377" s="52"/>
      <c r="AG377" s="52"/>
      <c r="AJ377" s="52"/>
      <c r="AK377" s="52"/>
      <c r="AL377" s="55"/>
      <c r="AO377" s="52"/>
      <c r="AR377" s="52"/>
      <c r="AU377" s="52"/>
      <c r="AV377" s="52"/>
      <c r="AW377" s="55"/>
    </row>
    <row r="378" spans="1:49" ht="15.75" customHeight="1">
      <c r="A378" s="51"/>
      <c r="B378" s="51"/>
      <c r="E378" s="52"/>
      <c r="F378" s="55"/>
      <c r="G378" s="52"/>
      <c r="H378" s="52"/>
      <c r="I378" s="55"/>
      <c r="J378" s="52"/>
      <c r="K378" s="52"/>
      <c r="L378" s="52"/>
      <c r="M378" s="55"/>
      <c r="P378" s="54"/>
      <c r="Q378" s="55"/>
      <c r="S378" s="54"/>
      <c r="V378" s="54"/>
      <c r="W378" s="54"/>
      <c r="X378" s="55"/>
      <c r="AD378" s="52"/>
      <c r="AG378" s="52"/>
      <c r="AJ378" s="52"/>
      <c r="AK378" s="52"/>
      <c r="AL378" s="55"/>
      <c r="AO378" s="52"/>
      <c r="AR378" s="52"/>
      <c r="AU378" s="52"/>
      <c r="AV378" s="52"/>
      <c r="AW378" s="55"/>
    </row>
    <row r="379" spans="1:49" ht="15.75" customHeight="1">
      <c r="A379" s="51"/>
      <c r="B379" s="51"/>
      <c r="E379" s="52"/>
      <c r="F379" s="55"/>
      <c r="G379" s="52"/>
      <c r="H379" s="52"/>
      <c r="I379" s="55"/>
      <c r="J379" s="52"/>
      <c r="K379" s="52"/>
      <c r="L379" s="52"/>
      <c r="M379" s="55"/>
      <c r="P379" s="54"/>
      <c r="Q379" s="55"/>
      <c r="S379" s="54"/>
      <c r="V379" s="54"/>
      <c r="W379" s="54"/>
      <c r="X379" s="55"/>
      <c r="AD379" s="52"/>
      <c r="AG379" s="52"/>
      <c r="AJ379" s="52"/>
      <c r="AK379" s="52"/>
      <c r="AL379" s="55"/>
      <c r="AO379" s="52"/>
      <c r="AR379" s="52"/>
      <c r="AU379" s="52"/>
      <c r="AV379" s="52"/>
      <c r="AW379" s="55"/>
    </row>
    <row r="380" spans="1:49" ht="15.75" customHeight="1">
      <c r="A380" s="51"/>
      <c r="B380" s="51"/>
      <c r="E380" s="52"/>
      <c r="F380" s="55"/>
      <c r="G380" s="52"/>
      <c r="H380" s="52"/>
      <c r="I380" s="55"/>
      <c r="J380" s="52"/>
      <c r="K380" s="52"/>
      <c r="L380" s="52"/>
      <c r="M380" s="55"/>
      <c r="P380" s="54"/>
      <c r="Q380" s="55"/>
      <c r="S380" s="54"/>
      <c r="V380" s="54"/>
      <c r="W380" s="54"/>
      <c r="X380" s="55"/>
      <c r="AD380" s="52"/>
      <c r="AG380" s="52"/>
      <c r="AJ380" s="52"/>
      <c r="AK380" s="52"/>
      <c r="AL380" s="55"/>
      <c r="AO380" s="52"/>
      <c r="AR380" s="52"/>
      <c r="AU380" s="52"/>
      <c r="AV380" s="52"/>
      <c r="AW380" s="55"/>
    </row>
    <row r="381" spans="1:49" ht="15.75" customHeight="1">
      <c r="A381" s="51"/>
      <c r="B381" s="51"/>
      <c r="E381" s="52"/>
      <c r="F381" s="55"/>
      <c r="G381" s="52"/>
      <c r="H381" s="52"/>
      <c r="I381" s="55"/>
      <c r="J381" s="52"/>
      <c r="K381" s="52"/>
      <c r="L381" s="52"/>
      <c r="M381" s="55"/>
      <c r="P381" s="54"/>
      <c r="Q381" s="55"/>
      <c r="S381" s="54"/>
      <c r="V381" s="54"/>
      <c r="W381" s="54"/>
      <c r="X381" s="55"/>
      <c r="AD381" s="52"/>
      <c r="AG381" s="52"/>
      <c r="AJ381" s="52"/>
      <c r="AK381" s="52"/>
      <c r="AL381" s="55"/>
      <c r="AO381" s="52"/>
      <c r="AR381" s="52"/>
      <c r="AU381" s="52"/>
      <c r="AV381" s="52"/>
      <c r="AW381" s="55"/>
    </row>
    <row r="382" spans="1:49" ht="15.75" customHeight="1">
      <c r="A382" s="51"/>
      <c r="B382" s="51"/>
      <c r="E382" s="52"/>
      <c r="F382" s="55"/>
      <c r="G382" s="52"/>
      <c r="H382" s="52"/>
      <c r="I382" s="55"/>
      <c r="J382" s="52"/>
      <c r="K382" s="52"/>
      <c r="L382" s="52"/>
      <c r="M382" s="55"/>
      <c r="P382" s="54"/>
      <c r="Q382" s="55"/>
      <c r="S382" s="54"/>
      <c r="V382" s="54"/>
      <c r="W382" s="54"/>
      <c r="X382" s="55"/>
      <c r="AD382" s="52"/>
      <c r="AG382" s="52"/>
      <c r="AJ382" s="52"/>
      <c r="AK382" s="52"/>
      <c r="AL382" s="55"/>
      <c r="AO382" s="52"/>
      <c r="AR382" s="52"/>
      <c r="AU382" s="52"/>
      <c r="AV382" s="52"/>
      <c r="AW382" s="55"/>
    </row>
    <row r="383" spans="1:49" ht="15.75" customHeight="1">
      <c r="A383" s="51"/>
      <c r="B383" s="51"/>
      <c r="E383" s="52"/>
      <c r="F383" s="55"/>
      <c r="G383" s="52"/>
      <c r="H383" s="52"/>
      <c r="I383" s="55"/>
      <c r="J383" s="52"/>
      <c r="K383" s="52"/>
      <c r="L383" s="52"/>
      <c r="M383" s="55"/>
      <c r="P383" s="54"/>
      <c r="Q383" s="55"/>
      <c r="S383" s="54"/>
      <c r="V383" s="54"/>
      <c r="W383" s="54"/>
      <c r="X383" s="55"/>
      <c r="AD383" s="52"/>
      <c r="AG383" s="52"/>
      <c r="AJ383" s="52"/>
      <c r="AK383" s="52"/>
      <c r="AL383" s="55"/>
      <c r="AO383" s="52"/>
      <c r="AR383" s="52"/>
      <c r="AU383" s="52"/>
      <c r="AV383" s="52"/>
      <c r="AW383" s="55"/>
    </row>
    <row r="384" spans="1:49" ht="15.75" customHeight="1">
      <c r="A384" s="51"/>
      <c r="B384" s="51"/>
      <c r="E384" s="52"/>
      <c r="F384" s="55"/>
      <c r="G384" s="52"/>
      <c r="H384" s="52"/>
      <c r="I384" s="55"/>
      <c r="J384" s="52"/>
      <c r="K384" s="52"/>
      <c r="L384" s="52"/>
      <c r="M384" s="55"/>
      <c r="P384" s="54"/>
      <c r="Q384" s="55"/>
      <c r="S384" s="54"/>
      <c r="V384" s="54"/>
      <c r="W384" s="54"/>
      <c r="X384" s="55"/>
      <c r="AD384" s="52"/>
      <c r="AG384" s="52"/>
      <c r="AJ384" s="52"/>
      <c r="AK384" s="52"/>
      <c r="AL384" s="55"/>
      <c r="AO384" s="52"/>
      <c r="AR384" s="52"/>
      <c r="AU384" s="52"/>
      <c r="AV384" s="52"/>
      <c r="AW384" s="55"/>
    </row>
    <row r="385" spans="1:49" ht="15.75" customHeight="1">
      <c r="A385" s="51"/>
      <c r="B385" s="51"/>
      <c r="E385" s="52"/>
      <c r="F385" s="55"/>
      <c r="G385" s="52"/>
      <c r="H385" s="52"/>
      <c r="I385" s="55"/>
      <c r="J385" s="52"/>
      <c r="K385" s="52"/>
      <c r="L385" s="52"/>
      <c r="M385" s="55"/>
      <c r="P385" s="54"/>
      <c r="Q385" s="55"/>
      <c r="S385" s="54"/>
      <c r="V385" s="54"/>
      <c r="W385" s="54"/>
      <c r="X385" s="55"/>
      <c r="AD385" s="52"/>
      <c r="AG385" s="52"/>
      <c r="AJ385" s="52"/>
      <c r="AK385" s="52"/>
      <c r="AL385" s="55"/>
      <c r="AO385" s="52"/>
      <c r="AR385" s="52"/>
      <c r="AU385" s="52"/>
      <c r="AV385" s="52"/>
      <c r="AW385" s="55"/>
    </row>
    <row r="386" spans="1:49" ht="15.75" customHeight="1">
      <c r="A386" s="51"/>
      <c r="B386" s="51"/>
      <c r="E386" s="52"/>
      <c r="F386" s="55"/>
      <c r="G386" s="52"/>
      <c r="H386" s="52"/>
      <c r="I386" s="55"/>
      <c r="J386" s="52"/>
      <c r="K386" s="52"/>
      <c r="L386" s="52"/>
      <c r="M386" s="55"/>
      <c r="P386" s="54"/>
      <c r="Q386" s="55"/>
      <c r="S386" s="54"/>
      <c r="V386" s="54"/>
      <c r="W386" s="54"/>
      <c r="X386" s="55"/>
      <c r="AD386" s="52"/>
      <c r="AG386" s="52"/>
      <c r="AJ386" s="52"/>
      <c r="AK386" s="52"/>
      <c r="AL386" s="55"/>
      <c r="AO386" s="52"/>
      <c r="AR386" s="52"/>
      <c r="AU386" s="52"/>
      <c r="AV386" s="52"/>
      <c r="AW386" s="55"/>
    </row>
    <row r="387" spans="1:49" ht="15.75" customHeight="1">
      <c r="A387" s="51"/>
      <c r="B387" s="51"/>
      <c r="E387" s="52"/>
      <c r="F387" s="55"/>
      <c r="G387" s="52"/>
      <c r="H387" s="52"/>
      <c r="I387" s="55"/>
      <c r="J387" s="52"/>
      <c r="K387" s="52"/>
      <c r="L387" s="52"/>
      <c r="M387" s="55"/>
      <c r="P387" s="54"/>
      <c r="Q387" s="55"/>
      <c r="S387" s="54"/>
      <c r="V387" s="54"/>
      <c r="W387" s="54"/>
      <c r="X387" s="55"/>
      <c r="AD387" s="52"/>
      <c r="AG387" s="52"/>
      <c r="AJ387" s="52"/>
      <c r="AK387" s="52"/>
      <c r="AL387" s="55"/>
      <c r="AO387" s="52"/>
      <c r="AR387" s="52"/>
      <c r="AU387" s="52"/>
      <c r="AV387" s="52"/>
      <c r="AW387" s="55"/>
    </row>
    <row r="388" spans="1:49" ht="15.75" customHeight="1">
      <c r="A388" s="51"/>
      <c r="B388" s="51"/>
      <c r="E388" s="52"/>
      <c r="F388" s="55"/>
      <c r="G388" s="52"/>
      <c r="H388" s="52"/>
      <c r="I388" s="55"/>
      <c r="J388" s="52"/>
      <c r="K388" s="52"/>
      <c r="L388" s="52"/>
      <c r="M388" s="55"/>
      <c r="P388" s="54"/>
      <c r="Q388" s="55"/>
      <c r="S388" s="54"/>
      <c r="V388" s="54"/>
      <c r="W388" s="54"/>
      <c r="X388" s="55"/>
      <c r="AD388" s="52"/>
      <c r="AG388" s="52"/>
      <c r="AJ388" s="52"/>
      <c r="AK388" s="52"/>
      <c r="AL388" s="55"/>
      <c r="AO388" s="52"/>
      <c r="AR388" s="52"/>
      <c r="AU388" s="52"/>
      <c r="AV388" s="52"/>
      <c r="AW388" s="55"/>
    </row>
    <row r="389" spans="1:49" ht="15.75" customHeight="1">
      <c r="A389" s="51"/>
      <c r="B389" s="51"/>
      <c r="E389" s="52"/>
      <c r="F389" s="55"/>
      <c r="G389" s="52"/>
      <c r="H389" s="52"/>
      <c r="I389" s="55"/>
      <c r="J389" s="52"/>
      <c r="K389" s="52"/>
      <c r="L389" s="52"/>
      <c r="M389" s="55"/>
      <c r="P389" s="54"/>
      <c r="Q389" s="55"/>
      <c r="S389" s="54"/>
      <c r="V389" s="54"/>
      <c r="W389" s="54"/>
      <c r="X389" s="55"/>
      <c r="AD389" s="52"/>
      <c r="AG389" s="52"/>
      <c r="AJ389" s="52"/>
      <c r="AK389" s="52"/>
      <c r="AL389" s="55"/>
      <c r="AO389" s="52"/>
      <c r="AR389" s="52"/>
      <c r="AU389" s="52"/>
      <c r="AV389" s="52"/>
      <c r="AW389" s="55"/>
    </row>
    <row r="390" spans="1:49" ht="15.75" customHeight="1">
      <c r="A390" s="51"/>
      <c r="B390" s="51"/>
      <c r="E390" s="52"/>
      <c r="F390" s="55"/>
      <c r="G390" s="52"/>
      <c r="H390" s="52"/>
      <c r="I390" s="55"/>
      <c r="J390" s="52"/>
      <c r="K390" s="52"/>
      <c r="L390" s="52"/>
      <c r="M390" s="55"/>
      <c r="P390" s="54"/>
      <c r="Q390" s="55"/>
      <c r="S390" s="54"/>
      <c r="V390" s="54"/>
      <c r="W390" s="54"/>
      <c r="X390" s="55"/>
      <c r="AD390" s="52"/>
      <c r="AG390" s="52"/>
      <c r="AJ390" s="52"/>
      <c r="AK390" s="52"/>
      <c r="AL390" s="55"/>
      <c r="AO390" s="52"/>
      <c r="AR390" s="52"/>
      <c r="AU390" s="52"/>
      <c r="AV390" s="52"/>
      <c r="AW390" s="55"/>
    </row>
    <row r="391" spans="1:49" ht="15.75" customHeight="1">
      <c r="A391" s="51"/>
      <c r="B391" s="51"/>
      <c r="E391" s="52"/>
      <c r="F391" s="55"/>
      <c r="G391" s="52"/>
      <c r="H391" s="52"/>
      <c r="I391" s="55"/>
      <c r="J391" s="52"/>
      <c r="K391" s="52"/>
      <c r="L391" s="52"/>
      <c r="M391" s="55"/>
      <c r="P391" s="54"/>
      <c r="Q391" s="55"/>
      <c r="S391" s="54"/>
      <c r="V391" s="54"/>
      <c r="W391" s="54"/>
      <c r="X391" s="55"/>
      <c r="AD391" s="52"/>
      <c r="AG391" s="52"/>
      <c r="AJ391" s="52"/>
      <c r="AK391" s="52"/>
      <c r="AL391" s="55"/>
      <c r="AO391" s="52"/>
      <c r="AR391" s="52"/>
      <c r="AU391" s="52"/>
      <c r="AV391" s="52"/>
      <c r="AW391" s="55"/>
    </row>
    <row r="392" spans="1:49" ht="15.75" customHeight="1">
      <c r="A392" s="51"/>
      <c r="B392" s="51"/>
      <c r="E392" s="52"/>
      <c r="F392" s="55"/>
      <c r="G392" s="52"/>
      <c r="H392" s="52"/>
      <c r="I392" s="55"/>
      <c r="J392" s="52"/>
      <c r="K392" s="52"/>
      <c r="L392" s="52"/>
      <c r="M392" s="55"/>
      <c r="P392" s="54"/>
      <c r="Q392" s="55"/>
      <c r="S392" s="54"/>
      <c r="V392" s="54"/>
      <c r="W392" s="54"/>
      <c r="X392" s="55"/>
      <c r="AD392" s="52"/>
      <c r="AG392" s="52"/>
      <c r="AJ392" s="52"/>
      <c r="AK392" s="52"/>
      <c r="AL392" s="55"/>
      <c r="AO392" s="52"/>
      <c r="AR392" s="52"/>
      <c r="AU392" s="52"/>
      <c r="AV392" s="52"/>
      <c r="AW392" s="55"/>
    </row>
    <row r="393" spans="1:49" ht="15.75" customHeight="1">
      <c r="A393" s="51"/>
      <c r="B393" s="51"/>
      <c r="E393" s="52"/>
      <c r="F393" s="55"/>
      <c r="G393" s="52"/>
      <c r="H393" s="52"/>
      <c r="I393" s="55"/>
      <c r="J393" s="52"/>
      <c r="K393" s="52"/>
      <c r="L393" s="52"/>
      <c r="M393" s="55"/>
      <c r="P393" s="54"/>
      <c r="S393" s="54"/>
      <c r="V393" s="54"/>
      <c r="W393" s="54"/>
      <c r="X393" s="55"/>
      <c r="AD393" s="52"/>
      <c r="AG393" s="52"/>
      <c r="AJ393" s="52"/>
      <c r="AK393" s="52"/>
      <c r="AL393" s="55"/>
      <c r="AO393" s="52"/>
      <c r="AR393" s="52"/>
      <c r="AU393" s="52"/>
      <c r="AV393" s="52"/>
      <c r="AW393" s="55"/>
    </row>
    <row r="394" spans="1:49" ht="15.75" customHeight="1">
      <c r="A394" s="51"/>
      <c r="B394" s="51"/>
      <c r="E394" s="52"/>
      <c r="F394" s="55"/>
      <c r="G394" s="52"/>
      <c r="H394" s="52"/>
      <c r="I394" s="55"/>
      <c r="J394" s="52"/>
      <c r="K394" s="52"/>
      <c r="L394" s="52"/>
      <c r="M394" s="55"/>
      <c r="P394" s="54"/>
      <c r="S394" s="54"/>
      <c r="V394" s="54"/>
      <c r="W394" s="54"/>
      <c r="X394" s="55"/>
      <c r="AD394" s="52"/>
      <c r="AG394" s="52"/>
      <c r="AJ394" s="52"/>
      <c r="AK394" s="52"/>
      <c r="AL394" s="55"/>
      <c r="AO394" s="52"/>
      <c r="AR394" s="52"/>
      <c r="AU394" s="52"/>
      <c r="AV394" s="52"/>
      <c r="AW394" s="55"/>
    </row>
    <row r="395" spans="1:49" ht="15.75" customHeight="1">
      <c r="A395" s="51"/>
      <c r="B395" s="51"/>
      <c r="E395" s="52"/>
      <c r="F395" s="55"/>
      <c r="G395" s="52"/>
      <c r="H395" s="52"/>
      <c r="I395" s="55"/>
      <c r="J395" s="52"/>
      <c r="K395" s="52"/>
      <c r="L395" s="52"/>
      <c r="M395" s="55"/>
      <c r="P395" s="54"/>
      <c r="S395" s="54"/>
      <c r="V395" s="54"/>
      <c r="W395" s="54"/>
      <c r="X395" s="55"/>
      <c r="AD395" s="52"/>
      <c r="AG395" s="52"/>
      <c r="AJ395" s="52"/>
      <c r="AK395" s="52"/>
      <c r="AL395" s="55"/>
      <c r="AO395" s="52"/>
      <c r="AR395" s="52"/>
      <c r="AU395" s="52"/>
      <c r="AV395" s="52"/>
      <c r="AW395" s="55"/>
    </row>
    <row r="396" spans="1:49" ht="15.75" customHeight="1">
      <c r="A396" s="51"/>
      <c r="B396" s="51"/>
      <c r="E396" s="52"/>
      <c r="F396" s="55"/>
      <c r="G396" s="52"/>
      <c r="H396" s="52"/>
      <c r="I396" s="55"/>
      <c r="J396" s="52"/>
      <c r="K396" s="52"/>
      <c r="L396" s="52"/>
      <c r="M396" s="55"/>
      <c r="P396" s="54"/>
      <c r="S396" s="54"/>
      <c r="V396" s="54"/>
      <c r="W396" s="54"/>
      <c r="X396" s="55"/>
      <c r="AD396" s="52"/>
      <c r="AG396" s="52"/>
      <c r="AJ396" s="52"/>
      <c r="AK396" s="52"/>
      <c r="AL396" s="55"/>
      <c r="AO396" s="52"/>
      <c r="AR396" s="52"/>
      <c r="AU396" s="52"/>
      <c r="AV396" s="52"/>
      <c r="AW396" s="55"/>
    </row>
    <row r="397" spans="1:49" ht="15.75" customHeight="1">
      <c r="A397" s="51"/>
      <c r="B397" s="51"/>
      <c r="E397" s="52"/>
      <c r="F397" s="55"/>
      <c r="G397" s="52"/>
      <c r="H397" s="52"/>
      <c r="I397" s="55"/>
      <c r="J397" s="52"/>
      <c r="K397" s="52"/>
      <c r="L397" s="52"/>
      <c r="M397" s="55"/>
      <c r="P397" s="54"/>
      <c r="S397" s="54"/>
      <c r="V397" s="54"/>
      <c r="W397" s="54"/>
      <c r="X397" s="55"/>
      <c r="AD397" s="52"/>
      <c r="AG397" s="52"/>
      <c r="AJ397" s="52"/>
      <c r="AK397" s="52"/>
      <c r="AL397" s="55"/>
      <c r="AO397" s="52"/>
      <c r="AR397" s="52"/>
      <c r="AU397" s="52"/>
      <c r="AV397" s="52"/>
      <c r="AW397" s="55"/>
    </row>
    <row r="398" spans="1:49" ht="15.75" customHeight="1">
      <c r="A398" s="51"/>
      <c r="B398" s="51"/>
      <c r="E398" s="52"/>
      <c r="F398" s="55"/>
      <c r="G398" s="52"/>
      <c r="H398" s="52"/>
      <c r="I398" s="55"/>
      <c r="J398" s="52"/>
      <c r="K398" s="52"/>
      <c r="L398" s="52"/>
      <c r="M398" s="55"/>
      <c r="P398" s="54"/>
      <c r="S398" s="54"/>
      <c r="V398" s="54"/>
      <c r="W398" s="54"/>
      <c r="X398" s="55"/>
      <c r="AD398" s="52"/>
      <c r="AG398" s="52"/>
      <c r="AJ398" s="52"/>
      <c r="AK398" s="52"/>
      <c r="AL398" s="55"/>
      <c r="AO398" s="52"/>
      <c r="AR398" s="52"/>
      <c r="AU398" s="52"/>
      <c r="AV398" s="52"/>
      <c r="AW398" s="55"/>
    </row>
    <row r="399" spans="1:49" ht="15.75" customHeight="1">
      <c r="A399" s="51"/>
      <c r="B399" s="51"/>
      <c r="E399" s="52"/>
      <c r="F399" s="55"/>
      <c r="G399" s="52"/>
      <c r="H399" s="52"/>
      <c r="I399" s="55"/>
      <c r="J399" s="52"/>
      <c r="K399" s="52"/>
      <c r="L399" s="52"/>
      <c r="M399" s="55"/>
      <c r="P399" s="54"/>
      <c r="S399" s="54"/>
      <c r="V399" s="54"/>
      <c r="W399" s="54"/>
      <c r="X399" s="55"/>
      <c r="AD399" s="52"/>
      <c r="AG399" s="52"/>
      <c r="AJ399" s="52"/>
      <c r="AK399" s="52"/>
      <c r="AL399" s="55"/>
      <c r="AO399" s="52"/>
      <c r="AR399" s="52"/>
      <c r="AU399" s="52"/>
      <c r="AV399" s="52"/>
      <c r="AW399" s="55"/>
    </row>
    <row r="400" spans="1:49" ht="15.75" customHeight="1">
      <c r="A400" s="51"/>
      <c r="B400" s="51"/>
      <c r="E400" s="52"/>
      <c r="F400" s="55"/>
      <c r="G400" s="52"/>
      <c r="H400" s="52"/>
      <c r="I400" s="55"/>
      <c r="J400" s="52"/>
      <c r="K400" s="52"/>
      <c r="L400" s="52"/>
      <c r="M400" s="55"/>
      <c r="P400" s="54"/>
      <c r="S400" s="54"/>
      <c r="V400" s="54"/>
      <c r="W400" s="54"/>
      <c r="X400" s="55"/>
      <c r="AD400" s="52"/>
      <c r="AG400" s="52"/>
      <c r="AJ400" s="52"/>
      <c r="AK400" s="52"/>
      <c r="AL400" s="55"/>
      <c r="AO400" s="52"/>
      <c r="AR400" s="52"/>
      <c r="AU400" s="52"/>
      <c r="AV400" s="52"/>
      <c r="AW400" s="55"/>
    </row>
    <row r="401" spans="1:49" ht="15.75" customHeight="1">
      <c r="A401" s="51"/>
      <c r="B401" s="51"/>
      <c r="E401" s="52"/>
      <c r="F401" s="55"/>
      <c r="G401" s="52"/>
      <c r="H401" s="52"/>
      <c r="I401" s="55"/>
      <c r="J401" s="52"/>
      <c r="K401" s="52"/>
      <c r="L401" s="52"/>
      <c r="M401" s="55"/>
      <c r="P401" s="54"/>
      <c r="S401" s="54"/>
      <c r="V401" s="54"/>
      <c r="W401" s="54"/>
      <c r="X401" s="55"/>
      <c r="AD401" s="52"/>
      <c r="AG401" s="52"/>
      <c r="AJ401" s="52"/>
      <c r="AK401" s="52"/>
      <c r="AL401" s="55"/>
      <c r="AO401" s="52"/>
      <c r="AR401" s="52"/>
      <c r="AU401" s="52"/>
      <c r="AV401" s="52"/>
      <c r="AW401" s="55"/>
    </row>
    <row r="402" spans="1:49" ht="15.75" customHeight="1">
      <c r="A402" s="51"/>
      <c r="B402" s="51"/>
      <c r="E402" s="52"/>
      <c r="F402" s="55"/>
      <c r="G402" s="52"/>
      <c r="H402" s="52"/>
      <c r="I402" s="55"/>
      <c r="J402" s="52"/>
      <c r="K402" s="52"/>
      <c r="L402" s="52"/>
      <c r="M402" s="55"/>
      <c r="P402" s="54"/>
      <c r="S402" s="54"/>
      <c r="V402" s="54"/>
      <c r="W402" s="54"/>
      <c r="X402" s="55"/>
      <c r="AD402" s="52"/>
      <c r="AG402" s="52"/>
      <c r="AJ402" s="52"/>
      <c r="AK402" s="52"/>
      <c r="AL402" s="55"/>
      <c r="AO402" s="52"/>
      <c r="AR402" s="52"/>
      <c r="AU402" s="52"/>
      <c r="AV402" s="52"/>
      <c r="AW402" s="55"/>
    </row>
    <row r="403" spans="1:49" ht="15.75" customHeight="1">
      <c r="A403" s="51"/>
      <c r="B403" s="51"/>
      <c r="E403" s="52"/>
      <c r="F403" s="55"/>
      <c r="G403" s="52"/>
      <c r="H403" s="52"/>
      <c r="I403" s="55"/>
      <c r="J403" s="52"/>
      <c r="K403" s="52"/>
      <c r="L403" s="52"/>
      <c r="M403" s="55"/>
      <c r="P403" s="54"/>
      <c r="S403" s="54"/>
      <c r="V403" s="54"/>
      <c r="W403" s="54"/>
      <c r="X403" s="55"/>
      <c r="AD403" s="52"/>
      <c r="AG403" s="52"/>
      <c r="AJ403" s="52"/>
      <c r="AK403" s="52"/>
      <c r="AL403" s="55"/>
      <c r="AO403" s="52"/>
      <c r="AR403" s="52"/>
      <c r="AU403" s="52"/>
      <c r="AV403" s="52"/>
      <c r="AW403" s="55"/>
    </row>
    <row r="404" spans="1:49" ht="15.75" customHeight="1">
      <c r="A404" s="51"/>
      <c r="B404" s="51"/>
      <c r="E404" s="52"/>
      <c r="F404" s="55"/>
      <c r="G404" s="52"/>
      <c r="H404" s="52"/>
      <c r="I404" s="55"/>
      <c r="J404" s="52"/>
      <c r="K404" s="52"/>
      <c r="L404" s="52"/>
      <c r="M404" s="55"/>
      <c r="P404" s="54"/>
      <c r="S404" s="54"/>
      <c r="V404" s="54"/>
      <c r="W404" s="54"/>
      <c r="X404" s="55"/>
      <c r="AD404" s="52"/>
      <c r="AG404" s="52"/>
      <c r="AJ404" s="52"/>
      <c r="AK404" s="52"/>
      <c r="AL404" s="55"/>
      <c r="AO404" s="52"/>
      <c r="AR404" s="52"/>
      <c r="AU404" s="52"/>
      <c r="AV404" s="52"/>
      <c r="AW404" s="55"/>
    </row>
    <row r="405" spans="1:49" ht="15.75" customHeight="1">
      <c r="A405" s="51"/>
      <c r="B405" s="51"/>
      <c r="E405" s="52"/>
      <c r="F405" s="55"/>
      <c r="G405" s="52"/>
      <c r="H405" s="52"/>
      <c r="I405" s="55"/>
      <c r="J405" s="52"/>
      <c r="K405" s="52"/>
      <c r="L405" s="52"/>
      <c r="M405" s="55"/>
      <c r="P405" s="54"/>
      <c r="S405" s="54"/>
      <c r="V405" s="54"/>
      <c r="W405" s="54"/>
      <c r="X405" s="55"/>
      <c r="AD405" s="52"/>
      <c r="AG405" s="52"/>
      <c r="AJ405" s="52"/>
      <c r="AK405" s="52"/>
      <c r="AL405" s="55"/>
      <c r="AO405" s="52"/>
      <c r="AR405" s="52"/>
      <c r="AU405" s="52"/>
      <c r="AV405" s="52"/>
      <c r="AW405" s="55"/>
    </row>
    <row r="406" spans="1:49" ht="15.75" customHeight="1">
      <c r="A406" s="51"/>
      <c r="B406" s="51"/>
      <c r="E406" s="52"/>
      <c r="F406" s="55"/>
      <c r="G406" s="52"/>
      <c r="H406" s="52"/>
      <c r="I406" s="55"/>
      <c r="J406" s="52"/>
      <c r="K406" s="52"/>
      <c r="L406" s="52"/>
      <c r="M406" s="55"/>
      <c r="P406" s="54"/>
      <c r="S406" s="54"/>
      <c r="V406" s="54"/>
      <c r="W406" s="54"/>
      <c r="X406" s="55"/>
      <c r="AD406" s="52"/>
      <c r="AG406" s="52"/>
      <c r="AJ406" s="52"/>
      <c r="AK406" s="52"/>
      <c r="AL406" s="55"/>
      <c r="AO406" s="52"/>
      <c r="AR406" s="52"/>
      <c r="AU406" s="52"/>
      <c r="AV406" s="52"/>
      <c r="AW406" s="55"/>
    </row>
    <row r="407" spans="1:49" ht="15.75" customHeight="1">
      <c r="A407" s="51"/>
      <c r="B407" s="51"/>
      <c r="E407" s="52"/>
      <c r="F407" s="55"/>
      <c r="G407" s="52"/>
      <c r="H407" s="52"/>
      <c r="I407" s="55"/>
      <c r="J407" s="52"/>
      <c r="K407" s="52"/>
      <c r="L407" s="52"/>
      <c r="M407" s="55"/>
      <c r="P407" s="54"/>
      <c r="S407" s="54"/>
      <c r="V407" s="54"/>
      <c r="W407" s="54"/>
      <c r="X407" s="55"/>
      <c r="AD407" s="52"/>
      <c r="AG407" s="52"/>
      <c r="AJ407" s="52"/>
      <c r="AK407" s="52"/>
      <c r="AL407" s="55"/>
      <c r="AO407" s="52"/>
      <c r="AR407" s="52"/>
      <c r="AU407" s="52"/>
      <c r="AV407" s="52"/>
      <c r="AW407" s="55"/>
    </row>
    <row r="408" spans="1:49" ht="15.75" customHeight="1">
      <c r="A408" s="51"/>
      <c r="B408" s="51"/>
      <c r="E408" s="52"/>
      <c r="F408" s="55"/>
      <c r="G408" s="52"/>
      <c r="H408" s="52"/>
      <c r="I408" s="55"/>
      <c r="J408" s="52"/>
      <c r="K408" s="52"/>
      <c r="L408" s="52"/>
      <c r="M408" s="55"/>
      <c r="P408" s="54"/>
      <c r="S408" s="54"/>
      <c r="V408" s="54"/>
      <c r="W408" s="54"/>
      <c r="X408" s="55"/>
      <c r="AD408" s="52"/>
      <c r="AG408" s="52"/>
      <c r="AJ408" s="52"/>
      <c r="AK408" s="52"/>
      <c r="AL408" s="55"/>
      <c r="AO408" s="52"/>
      <c r="AR408" s="52"/>
      <c r="AU408" s="52"/>
      <c r="AV408" s="52"/>
      <c r="AW408" s="55"/>
    </row>
    <row r="409" spans="1:49" ht="15.75" customHeight="1">
      <c r="A409" s="51"/>
      <c r="B409" s="51"/>
      <c r="E409" s="52"/>
      <c r="F409" s="55"/>
      <c r="G409" s="52"/>
      <c r="H409" s="52"/>
      <c r="I409" s="55"/>
      <c r="J409" s="52"/>
      <c r="K409" s="52"/>
      <c r="L409" s="52"/>
      <c r="M409" s="55"/>
      <c r="P409" s="54"/>
      <c r="S409" s="54"/>
      <c r="V409" s="54"/>
      <c r="W409" s="54"/>
      <c r="X409" s="55"/>
      <c r="AD409" s="52"/>
      <c r="AG409" s="52"/>
      <c r="AJ409" s="52"/>
      <c r="AK409" s="52"/>
      <c r="AL409" s="55"/>
      <c r="AO409" s="52"/>
      <c r="AR409" s="52"/>
      <c r="AU409" s="52"/>
      <c r="AV409" s="52"/>
      <c r="AW409" s="55"/>
    </row>
    <row r="410" spans="1:49" ht="15.75" customHeight="1">
      <c r="A410" s="51"/>
      <c r="B410" s="51"/>
      <c r="E410" s="52"/>
      <c r="F410" s="55"/>
      <c r="G410" s="52"/>
      <c r="H410" s="52"/>
      <c r="I410" s="55"/>
      <c r="J410" s="52"/>
      <c r="K410" s="52"/>
      <c r="L410" s="52"/>
      <c r="M410" s="55"/>
      <c r="P410" s="54"/>
      <c r="S410" s="54"/>
      <c r="V410" s="54"/>
      <c r="W410" s="54"/>
      <c r="X410" s="55"/>
      <c r="AD410" s="52"/>
      <c r="AG410" s="52"/>
      <c r="AJ410" s="52"/>
      <c r="AK410" s="52"/>
      <c r="AL410" s="55"/>
      <c r="AO410" s="52"/>
      <c r="AR410" s="52"/>
      <c r="AU410" s="52"/>
      <c r="AV410" s="52"/>
      <c r="AW410" s="55"/>
    </row>
    <row r="411" spans="1:49" ht="15.75" customHeight="1">
      <c r="A411" s="51"/>
      <c r="B411" s="51"/>
      <c r="E411" s="52"/>
      <c r="F411" s="55"/>
      <c r="G411" s="52"/>
      <c r="H411" s="52"/>
      <c r="I411" s="55"/>
      <c r="J411" s="52"/>
      <c r="K411" s="52"/>
      <c r="L411" s="52"/>
      <c r="M411" s="55"/>
      <c r="P411" s="54"/>
      <c r="S411" s="54"/>
      <c r="V411" s="54"/>
      <c r="W411" s="54"/>
      <c r="X411" s="55"/>
      <c r="AD411" s="52"/>
      <c r="AG411" s="52"/>
      <c r="AJ411" s="52"/>
      <c r="AK411" s="52"/>
      <c r="AL411" s="55"/>
      <c r="AO411" s="52"/>
      <c r="AR411" s="52"/>
      <c r="AU411" s="52"/>
      <c r="AV411" s="52"/>
      <c r="AW411" s="55"/>
    </row>
    <row r="412" spans="1:49" ht="15.75" customHeight="1">
      <c r="A412" s="51"/>
      <c r="B412" s="51"/>
      <c r="E412" s="52"/>
      <c r="F412" s="55"/>
      <c r="G412" s="52"/>
      <c r="H412" s="52"/>
      <c r="I412" s="55"/>
      <c r="J412" s="52"/>
      <c r="K412" s="52"/>
      <c r="L412" s="52"/>
      <c r="M412" s="55"/>
      <c r="P412" s="54"/>
      <c r="S412" s="54"/>
      <c r="V412" s="54"/>
      <c r="W412" s="54"/>
      <c r="X412" s="55"/>
      <c r="AD412" s="52"/>
      <c r="AG412" s="52"/>
      <c r="AJ412" s="52"/>
      <c r="AK412" s="52"/>
      <c r="AL412" s="55"/>
      <c r="AO412" s="52"/>
      <c r="AR412" s="52"/>
      <c r="AU412" s="52"/>
      <c r="AV412" s="52"/>
      <c r="AW412" s="55"/>
    </row>
    <row r="413" spans="1:49" ht="15.75" customHeight="1">
      <c r="A413" s="51"/>
      <c r="B413" s="51"/>
      <c r="E413" s="52"/>
      <c r="F413" s="55"/>
      <c r="G413" s="52"/>
      <c r="H413" s="52"/>
      <c r="I413" s="55"/>
      <c r="J413" s="52"/>
      <c r="K413" s="52"/>
      <c r="L413" s="52"/>
      <c r="M413" s="55"/>
      <c r="P413" s="54"/>
      <c r="S413" s="54"/>
      <c r="V413" s="54"/>
      <c r="W413" s="54"/>
      <c r="X413" s="55"/>
      <c r="AD413" s="52"/>
      <c r="AG413" s="52"/>
      <c r="AJ413" s="52"/>
      <c r="AK413" s="52"/>
      <c r="AL413" s="55"/>
      <c r="AO413" s="52"/>
      <c r="AR413" s="52"/>
      <c r="AU413" s="52"/>
      <c r="AV413" s="52"/>
      <c r="AW413" s="55"/>
    </row>
    <row r="414" spans="1:49" ht="15.75" customHeight="1">
      <c r="A414" s="51"/>
      <c r="B414" s="51"/>
      <c r="E414" s="52"/>
      <c r="F414" s="55"/>
      <c r="G414" s="52"/>
      <c r="H414" s="52"/>
      <c r="I414" s="55"/>
      <c r="J414" s="52"/>
      <c r="K414" s="52"/>
      <c r="L414" s="52"/>
      <c r="M414" s="55"/>
      <c r="P414" s="54"/>
      <c r="S414" s="54"/>
      <c r="V414" s="54"/>
      <c r="W414" s="54"/>
      <c r="X414" s="55"/>
      <c r="AD414" s="52"/>
      <c r="AG414" s="52"/>
      <c r="AJ414" s="52"/>
      <c r="AK414" s="52"/>
      <c r="AL414" s="55"/>
      <c r="AO414" s="52"/>
      <c r="AR414" s="52"/>
      <c r="AU414" s="52"/>
      <c r="AV414" s="52"/>
      <c r="AW414" s="55"/>
    </row>
    <row r="415" spans="1:49" ht="15.75" customHeight="1">
      <c r="A415" s="51"/>
      <c r="B415" s="51"/>
      <c r="E415" s="52"/>
      <c r="F415" s="55"/>
      <c r="G415" s="52"/>
      <c r="H415" s="52"/>
      <c r="I415" s="55"/>
      <c r="J415" s="52"/>
      <c r="K415" s="52"/>
      <c r="L415" s="52"/>
      <c r="M415" s="55"/>
      <c r="P415" s="54"/>
      <c r="S415" s="54"/>
      <c r="V415" s="54"/>
      <c r="W415" s="54"/>
      <c r="X415" s="55"/>
      <c r="AD415" s="52"/>
      <c r="AG415" s="52"/>
      <c r="AJ415" s="52"/>
      <c r="AK415" s="52"/>
      <c r="AL415" s="55"/>
      <c r="AO415" s="52"/>
      <c r="AR415" s="52"/>
      <c r="AU415" s="52"/>
      <c r="AV415" s="52"/>
      <c r="AW415" s="55"/>
    </row>
    <row r="416" spans="1:49" ht="15.75" customHeight="1">
      <c r="A416" s="51"/>
      <c r="B416" s="51"/>
      <c r="E416" s="52"/>
      <c r="F416" s="55"/>
      <c r="G416" s="52"/>
      <c r="H416" s="52"/>
      <c r="I416" s="55"/>
      <c r="J416" s="52"/>
      <c r="K416" s="52"/>
      <c r="L416" s="52"/>
      <c r="M416" s="55"/>
      <c r="P416" s="54"/>
      <c r="S416" s="54"/>
      <c r="V416" s="54"/>
      <c r="W416" s="54"/>
      <c r="X416" s="55"/>
      <c r="AD416" s="52"/>
      <c r="AG416" s="52"/>
      <c r="AJ416" s="52"/>
      <c r="AK416" s="52"/>
      <c r="AL416" s="55"/>
      <c r="AO416" s="52"/>
      <c r="AR416" s="52"/>
      <c r="AU416" s="52"/>
      <c r="AV416" s="52"/>
      <c r="AW416" s="55"/>
    </row>
    <row r="417" spans="1:49" ht="15.75" customHeight="1">
      <c r="A417" s="51"/>
      <c r="B417" s="51"/>
      <c r="E417" s="52"/>
      <c r="F417" s="55"/>
      <c r="G417" s="52"/>
      <c r="H417" s="52"/>
      <c r="I417" s="55"/>
      <c r="J417" s="52"/>
      <c r="K417" s="52"/>
      <c r="L417" s="52"/>
      <c r="M417" s="55"/>
      <c r="P417" s="54"/>
      <c r="S417" s="54"/>
      <c r="V417" s="54"/>
      <c r="W417" s="54"/>
      <c r="X417" s="55"/>
      <c r="AD417" s="52"/>
      <c r="AG417" s="52"/>
      <c r="AJ417" s="52"/>
      <c r="AK417" s="52"/>
      <c r="AL417" s="55"/>
      <c r="AO417" s="52"/>
      <c r="AR417" s="52"/>
      <c r="AU417" s="52"/>
      <c r="AV417" s="52"/>
      <c r="AW417" s="55"/>
    </row>
    <row r="418" spans="1:49" ht="15.75" customHeight="1">
      <c r="A418" s="51"/>
      <c r="B418" s="51"/>
      <c r="E418" s="52"/>
      <c r="F418" s="55"/>
      <c r="G418" s="52"/>
      <c r="H418" s="52"/>
      <c r="I418" s="55"/>
      <c r="J418" s="52"/>
      <c r="K418" s="52"/>
      <c r="L418" s="52"/>
      <c r="M418" s="55"/>
      <c r="P418" s="54"/>
      <c r="S418" s="54"/>
      <c r="V418" s="54"/>
      <c r="W418" s="54"/>
      <c r="X418" s="55"/>
      <c r="AD418" s="52"/>
      <c r="AG418" s="52"/>
      <c r="AJ418" s="52"/>
      <c r="AK418" s="52"/>
      <c r="AL418" s="55"/>
      <c r="AO418" s="52"/>
      <c r="AR418" s="52"/>
      <c r="AU418" s="52"/>
      <c r="AV418" s="52"/>
      <c r="AW418" s="55"/>
    </row>
    <row r="419" spans="1:49" ht="15.75" customHeight="1">
      <c r="A419" s="51"/>
      <c r="B419" s="51"/>
      <c r="E419" s="52"/>
      <c r="F419" s="55"/>
      <c r="G419" s="52"/>
      <c r="H419" s="52"/>
      <c r="I419" s="55"/>
      <c r="J419" s="52"/>
      <c r="K419" s="52"/>
      <c r="L419" s="52"/>
      <c r="M419" s="55"/>
      <c r="P419" s="54"/>
      <c r="S419" s="54"/>
      <c r="V419" s="54"/>
      <c r="W419" s="54"/>
      <c r="X419" s="55"/>
      <c r="AD419" s="52"/>
      <c r="AG419" s="52"/>
      <c r="AJ419" s="52"/>
      <c r="AK419" s="52"/>
      <c r="AL419" s="55"/>
      <c r="AO419" s="52"/>
      <c r="AR419" s="52"/>
      <c r="AU419" s="52"/>
      <c r="AV419" s="52"/>
      <c r="AW419" s="55"/>
    </row>
    <row r="420" spans="1:49" ht="15.75" customHeight="1">
      <c r="A420" s="51"/>
      <c r="B420" s="51"/>
      <c r="E420" s="52"/>
      <c r="F420" s="55"/>
      <c r="G420" s="52"/>
      <c r="H420" s="52"/>
      <c r="I420" s="55"/>
      <c r="J420" s="52"/>
      <c r="K420" s="52"/>
      <c r="L420" s="52"/>
      <c r="M420" s="55"/>
      <c r="P420" s="54"/>
      <c r="S420" s="54"/>
      <c r="V420" s="54"/>
      <c r="W420" s="54"/>
      <c r="X420" s="55"/>
      <c r="AD420" s="52"/>
      <c r="AG420" s="52"/>
      <c r="AJ420" s="52"/>
      <c r="AK420" s="52"/>
      <c r="AL420" s="55"/>
      <c r="AO420" s="52"/>
      <c r="AR420" s="52"/>
      <c r="AU420" s="52"/>
      <c r="AV420" s="52"/>
      <c r="AW420" s="55"/>
    </row>
    <row r="421" spans="1:49" ht="15.75" customHeight="1">
      <c r="A421" s="51"/>
      <c r="B421" s="51"/>
      <c r="E421" s="52"/>
      <c r="F421" s="55"/>
      <c r="G421" s="52"/>
      <c r="H421" s="52"/>
      <c r="I421" s="55"/>
      <c r="J421" s="52"/>
      <c r="K421" s="52"/>
      <c r="L421" s="52"/>
      <c r="M421" s="55"/>
      <c r="P421" s="54"/>
      <c r="S421" s="54"/>
      <c r="V421" s="54"/>
      <c r="W421" s="54"/>
      <c r="X421" s="55"/>
      <c r="AD421" s="52"/>
      <c r="AG421" s="52"/>
      <c r="AJ421" s="52"/>
      <c r="AK421" s="52"/>
      <c r="AL421" s="55"/>
      <c r="AO421" s="52"/>
      <c r="AR421" s="52"/>
      <c r="AU421" s="52"/>
      <c r="AV421" s="52"/>
      <c r="AW421" s="55"/>
    </row>
    <row r="422" spans="1:49" ht="15.75" customHeight="1">
      <c r="A422" s="51"/>
      <c r="B422" s="51"/>
      <c r="E422" s="52"/>
      <c r="F422" s="55"/>
      <c r="G422" s="52"/>
      <c r="H422" s="52"/>
      <c r="I422" s="55"/>
      <c r="J422" s="52"/>
      <c r="K422" s="52"/>
      <c r="L422" s="52"/>
      <c r="M422" s="55"/>
      <c r="P422" s="54"/>
      <c r="S422" s="54"/>
      <c r="V422" s="54"/>
      <c r="W422" s="54"/>
      <c r="X422" s="55"/>
      <c r="AD422" s="52"/>
      <c r="AG422" s="52"/>
      <c r="AJ422" s="52"/>
      <c r="AK422" s="52"/>
      <c r="AL422" s="55"/>
      <c r="AO422" s="52"/>
      <c r="AR422" s="52"/>
      <c r="AU422" s="52"/>
      <c r="AV422" s="52"/>
      <c r="AW422" s="55"/>
    </row>
    <row r="423" spans="1:49" ht="15.75" customHeight="1">
      <c r="A423" s="51"/>
      <c r="B423" s="51"/>
      <c r="E423" s="52"/>
      <c r="F423" s="55"/>
      <c r="G423" s="52"/>
      <c r="H423" s="52"/>
      <c r="I423" s="55"/>
      <c r="J423" s="52"/>
      <c r="K423" s="52"/>
      <c r="L423" s="52"/>
      <c r="M423" s="55"/>
      <c r="P423" s="54"/>
      <c r="S423" s="54"/>
      <c r="V423" s="54"/>
      <c r="W423" s="54"/>
      <c r="X423" s="55"/>
      <c r="AD423" s="52"/>
      <c r="AG423" s="52"/>
      <c r="AJ423" s="52"/>
      <c r="AK423" s="52"/>
      <c r="AL423" s="55"/>
      <c r="AO423" s="52"/>
      <c r="AR423" s="52"/>
      <c r="AU423" s="52"/>
      <c r="AV423" s="52"/>
      <c r="AW423" s="55"/>
    </row>
    <row r="424" spans="1:49" ht="15.75" customHeight="1">
      <c r="A424" s="51"/>
      <c r="B424" s="51"/>
      <c r="E424" s="52"/>
      <c r="F424" s="55"/>
      <c r="G424" s="52"/>
      <c r="H424" s="52"/>
      <c r="I424" s="55"/>
      <c r="J424" s="52"/>
      <c r="K424" s="52"/>
      <c r="L424" s="52"/>
      <c r="M424" s="55"/>
      <c r="P424" s="54"/>
      <c r="S424" s="54"/>
      <c r="V424" s="54"/>
      <c r="W424" s="54"/>
      <c r="X424" s="55"/>
      <c r="AD424" s="52"/>
      <c r="AG424" s="52"/>
      <c r="AJ424" s="52"/>
      <c r="AK424" s="52"/>
      <c r="AL424" s="55"/>
      <c r="AO424" s="52"/>
      <c r="AR424" s="52"/>
      <c r="AU424" s="52"/>
      <c r="AV424" s="52"/>
      <c r="AW424" s="55"/>
    </row>
    <row r="425" spans="1:49" ht="15.75" customHeight="1">
      <c r="A425" s="51"/>
      <c r="B425" s="51"/>
      <c r="E425" s="52"/>
      <c r="F425" s="55"/>
      <c r="G425" s="52"/>
      <c r="H425" s="52"/>
      <c r="I425" s="55"/>
      <c r="J425" s="52"/>
      <c r="K425" s="52"/>
      <c r="L425" s="52"/>
      <c r="M425" s="55"/>
      <c r="P425" s="54"/>
      <c r="S425" s="54"/>
      <c r="V425" s="54"/>
      <c r="W425" s="54"/>
      <c r="X425" s="55"/>
      <c r="AD425" s="52"/>
      <c r="AG425" s="52"/>
      <c r="AJ425" s="52"/>
      <c r="AK425" s="52"/>
      <c r="AL425" s="55"/>
      <c r="AO425" s="52"/>
      <c r="AR425" s="52"/>
      <c r="AU425" s="52"/>
      <c r="AV425" s="52"/>
      <c r="AW425" s="55"/>
    </row>
    <row r="426" spans="1:49" ht="15.75" customHeight="1">
      <c r="A426" s="51"/>
      <c r="B426" s="51"/>
      <c r="E426" s="52"/>
      <c r="F426" s="55"/>
      <c r="G426" s="52"/>
      <c r="H426" s="52"/>
      <c r="I426" s="55"/>
      <c r="J426" s="52"/>
      <c r="K426" s="52"/>
      <c r="L426" s="52"/>
      <c r="M426" s="55"/>
      <c r="P426" s="54"/>
      <c r="S426" s="54"/>
      <c r="V426" s="54"/>
      <c r="W426" s="54"/>
      <c r="X426" s="55"/>
      <c r="AD426" s="52"/>
      <c r="AG426" s="52"/>
      <c r="AJ426" s="52"/>
      <c r="AK426" s="52"/>
      <c r="AL426" s="55"/>
      <c r="AO426" s="52"/>
      <c r="AR426" s="52"/>
      <c r="AU426" s="52"/>
      <c r="AV426" s="52"/>
      <c r="AW426" s="55"/>
    </row>
    <row r="427" spans="1:49" ht="15.75" customHeight="1">
      <c r="A427" s="51"/>
      <c r="B427" s="51"/>
      <c r="E427" s="52"/>
      <c r="F427" s="55"/>
      <c r="G427" s="52"/>
      <c r="H427" s="52"/>
      <c r="I427" s="55"/>
      <c r="J427" s="52"/>
      <c r="K427" s="52"/>
      <c r="L427" s="52"/>
      <c r="M427" s="55"/>
      <c r="P427" s="54"/>
      <c r="S427" s="54"/>
      <c r="V427" s="54"/>
      <c r="W427" s="54"/>
      <c r="X427" s="55"/>
      <c r="AD427" s="52"/>
      <c r="AG427" s="52"/>
      <c r="AJ427" s="52"/>
      <c r="AK427" s="52"/>
      <c r="AL427" s="55"/>
      <c r="AO427" s="52"/>
      <c r="AR427" s="52"/>
      <c r="AU427" s="52"/>
      <c r="AV427" s="52"/>
      <c r="AW427" s="55"/>
    </row>
    <row r="428" spans="1:49" ht="15.75" customHeight="1">
      <c r="A428" s="51"/>
      <c r="B428" s="51"/>
      <c r="E428" s="52"/>
      <c r="F428" s="55"/>
      <c r="G428" s="52"/>
      <c r="H428" s="52"/>
      <c r="I428" s="55"/>
      <c r="J428" s="52"/>
      <c r="K428" s="52"/>
      <c r="L428" s="52"/>
      <c r="M428" s="55"/>
      <c r="P428" s="54"/>
      <c r="S428" s="54"/>
      <c r="V428" s="54"/>
      <c r="W428" s="54"/>
      <c r="X428" s="55"/>
      <c r="AD428" s="52"/>
      <c r="AG428" s="52"/>
      <c r="AJ428" s="52"/>
      <c r="AK428" s="52"/>
      <c r="AL428" s="55"/>
      <c r="AO428" s="52"/>
      <c r="AR428" s="52"/>
      <c r="AU428" s="52"/>
      <c r="AV428" s="52"/>
      <c r="AW428" s="55"/>
    </row>
    <row r="429" spans="1:49" ht="15.75" customHeight="1">
      <c r="A429" s="51"/>
      <c r="B429" s="51"/>
      <c r="E429" s="52"/>
      <c r="F429" s="55"/>
      <c r="G429" s="52"/>
      <c r="H429" s="52"/>
      <c r="I429" s="55"/>
      <c r="J429" s="52"/>
      <c r="K429" s="52"/>
      <c r="L429" s="52"/>
      <c r="M429" s="55"/>
      <c r="P429" s="54"/>
      <c r="S429" s="54"/>
      <c r="V429" s="54"/>
      <c r="W429" s="54"/>
      <c r="X429" s="55"/>
      <c r="AD429" s="52"/>
      <c r="AG429" s="52"/>
      <c r="AJ429" s="52"/>
      <c r="AK429" s="52"/>
      <c r="AL429" s="55"/>
      <c r="AO429" s="52"/>
      <c r="AR429" s="52"/>
      <c r="AU429" s="52"/>
      <c r="AV429" s="52"/>
      <c r="AW429" s="55"/>
    </row>
    <row r="430" spans="1:49" ht="15.75" customHeight="1">
      <c r="A430" s="51"/>
      <c r="B430" s="51"/>
      <c r="E430" s="52"/>
      <c r="F430" s="55"/>
      <c r="G430" s="52"/>
      <c r="H430" s="52"/>
      <c r="I430" s="55"/>
      <c r="J430" s="52"/>
      <c r="K430" s="52"/>
      <c r="L430" s="52"/>
      <c r="M430" s="55"/>
      <c r="P430" s="54"/>
      <c r="S430" s="54"/>
      <c r="V430" s="54"/>
      <c r="W430" s="54"/>
      <c r="X430" s="55"/>
      <c r="AD430" s="52"/>
      <c r="AG430" s="52"/>
      <c r="AJ430" s="52"/>
      <c r="AK430" s="52"/>
      <c r="AL430" s="55"/>
      <c r="AO430" s="52"/>
      <c r="AR430" s="52"/>
      <c r="AU430" s="52"/>
      <c r="AV430" s="52"/>
      <c r="AW430" s="55"/>
    </row>
    <row r="431" spans="1:49" ht="15.75" customHeight="1">
      <c r="A431" s="51"/>
      <c r="B431" s="51"/>
      <c r="E431" s="52"/>
      <c r="F431" s="55"/>
      <c r="G431" s="52"/>
      <c r="H431" s="52"/>
      <c r="I431" s="55"/>
      <c r="J431" s="52"/>
      <c r="K431" s="52"/>
      <c r="L431" s="52"/>
      <c r="M431" s="55"/>
      <c r="P431" s="54"/>
      <c r="S431" s="54"/>
      <c r="V431" s="54"/>
      <c r="W431" s="54"/>
      <c r="X431" s="55"/>
      <c r="AD431" s="52"/>
      <c r="AG431" s="52"/>
      <c r="AJ431" s="52"/>
      <c r="AK431" s="52"/>
      <c r="AL431" s="55"/>
      <c r="AO431" s="52"/>
      <c r="AR431" s="52"/>
      <c r="AU431" s="52"/>
      <c r="AV431" s="52"/>
      <c r="AW431" s="55"/>
    </row>
    <row r="432" spans="1:49" ht="15.75" customHeight="1">
      <c r="A432" s="51"/>
      <c r="B432" s="51"/>
      <c r="E432" s="52"/>
      <c r="F432" s="55"/>
      <c r="G432" s="52"/>
      <c r="H432" s="52"/>
      <c r="I432" s="55"/>
      <c r="J432" s="52"/>
      <c r="K432" s="52"/>
      <c r="L432" s="52"/>
      <c r="M432" s="55"/>
      <c r="P432" s="54"/>
      <c r="S432" s="54"/>
      <c r="V432" s="54"/>
      <c r="W432" s="54"/>
      <c r="X432" s="55"/>
      <c r="AD432" s="52"/>
      <c r="AG432" s="52"/>
      <c r="AJ432" s="52"/>
      <c r="AK432" s="52"/>
      <c r="AL432" s="55"/>
      <c r="AO432" s="52"/>
      <c r="AR432" s="52"/>
      <c r="AU432" s="52"/>
      <c r="AV432" s="52"/>
      <c r="AW432" s="55"/>
    </row>
    <row r="433" spans="1:49" ht="15.75" customHeight="1">
      <c r="A433" s="51"/>
      <c r="B433" s="51"/>
      <c r="E433" s="52"/>
      <c r="F433" s="55"/>
      <c r="G433" s="52"/>
      <c r="H433" s="52"/>
      <c r="I433" s="55"/>
      <c r="J433" s="52"/>
      <c r="K433" s="52"/>
      <c r="L433" s="52"/>
      <c r="M433" s="55"/>
      <c r="P433" s="54"/>
      <c r="S433" s="54"/>
      <c r="V433" s="54"/>
      <c r="W433" s="54"/>
      <c r="X433" s="55"/>
      <c r="AD433" s="52"/>
      <c r="AG433" s="52"/>
      <c r="AJ433" s="52"/>
      <c r="AK433" s="52"/>
      <c r="AL433" s="55"/>
      <c r="AO433" s="52"/>
      <c r="AR433" s="52"/>
      <c r="AU433" s="52"/>
      <c r="AV433" s="52"/>
      <c r="AW433" s="55"/>
    </row>
    <row r="434" spans="1:49" ht="15.75" customHeight="1">
      <c r="A434" s="51"/>
      <c r="B434" s="51"/>
      <c r="E434" s="52"/>
      <c r="F434" s="55"/>
      <c r="G434" s="52"/>
      <c r="H434" s="52"/>
      <c r="I434" s="55"/>
      <c r="J434" s="52"/>
      <c r="K434" s="52"/>
      <c r="L434" s="52"/>
      <c r="M434" s="55"/>
      <c r="P434" s="54"/>
      <c r="S434" s="54"/>
      <c r="V434" s="54"/>
      <c r="W434" s="54"/>
      <c r="X434" s="55"/>
      <c r="AD434" s="52"/>
      <c r="AG434" s="52"/>
      <c r="AJ434" s="52"/>
      <c r="AK434" s="52"/>
      <c r="AL434" s="55"/>
      <c r="AO434" s="52"/>
      <c r="AR434" s="52"/>
      <c r="AU434" s="52"/>
      <c r="AV434" s="52"/>
      <c r="AW434" s="55"/>
    </row>
    <row r="435" spans="1:49" ht="15.75" customHeight="1">
      <c r="A435" s="51"/>
      <c r="B435" s="51"/>
      <c r="E435" s="52"/>
      <c r="F435" s="55"/>
      <c r="G435" s="52"/>
      <c r="H435" s="52"/>
      <c r="I435" s="55"/>
      <c r="J435" s="52"/>
      <c r="K435" s="52"/>
      <c r="L435" s="52"/>
      <c r="M435" s="55"/>
      <c r="P435" s="54"/>
      <c r="S435" s="54"/>
      <c r="V435" s="54"/>
      <c r="W435" s="54"/>
      <c r="X435" s="55"/>
      <c r="AD435" s="52"/>
      <c r="AG435" s="52"/>
      <c r="AJ435" s="52"/>
      <c r="AK435" s="52"/>
      <c r="AL435" s="55"/>
      <c r="AO435" s="52"/>
      <c r="AR435" s="52"/>
      <c r="AU435" s="52"/>
      <c r="AV435" s="52"/>
      <c r="AW435" s="55"/>
    </row>
    <row r="436" spans="1:49" ht="15.75" customHeight="1">
      <c r="A436" s="51"/>
      <c r="B436" s="51"/>
      <c r="E436" s="52"/>
      <c r="F436" s="55"/>
      <c r="G436" s="52"/>
      <c r="H436" s="52"/>
      <c r="I436" s="55"/>
      <c r="J436" s="52"/>
      <c r="K436" s="52"/>
      <c r="L436" s="52"/>
      <c r="M436" s="55"/>
      <c r="P436" s="54"/>
      <c r="S436" s="54"/>
      <c r="V436" s="54"/>
      <c r="W436" s="54"/>
      <c r="X436" s="55"/>
      <c r="AD436" s="52"/>
      <c r="AG436" s="52"/>
      <c r="AJ436" s="52"/>
      <c r="AK436" s="52"/>
      <c r="AL436" s="55"/>
      <c r="AO436" s="52"/>
      <c r="AR436" s="52"/>
      <c r="AU436" s="52"/>
      <c r="AV436" s="52"/>
      <c r="AW436" s="55"/>
    </row>
    <row r="437" spans="1:49" ht="15.75" customHeight="1">
      <c r="A437" s="51"/>
      <c r="B437" s="51"/>
      <c r="E437" s="52"/>
      <c r="F437" s="55"/>
      <c r="G437" s="52"/>
      <c r="H437" s="52"/>
      <c r="I437" s="55"/>
      <c r="J437" s="52"/>
      <c r="K437" s="52"/>
      <c r="L437" s="52"/>
      <c r="M437" s="55"/>
      <c r="P437" s="54"/>
      <c r="S437" s="54"/>
      <c r="V437" s="54"/>
      <c r="W437" s="54"/>
      <c r="X437" s="55"/>
      <c r="AD437" s="52"/>
      <c r="AG437" s="52"/>
      <c r="AJ437" s="52"/>
      <c r="AK437" s="52"/>
      <c r="AL437" s="55"/>
      <c r="AO437" s="52"/>
      <c r="AR437" s="52"/>
      <c r="AU437" s="52"/>
      <c r="AV437" s="52"/>
      <c r="AW437" s="55"/>
    </row>
    <row r="438" spans="1:49" ht="15.75" customHeight="1">
      <c r="A438" s="51"/>
      <c r="B438" s="51"/>
      <c r="E438" s="52"/>
      <c r="F438" s="55"/>
      <c r="G438" s="52"/>
      <c r="H438" s="52"/>
      <c r="I438" s="55"/>
      <c r="J438" s="52"/>
      <c r="K438" s="52"/>
      <c r="L438" s="52"/>
      <c r="M438" s="55"/>
      <c r="P438" s="54"/>
      <c r="S438" s="54"/>
      <c r="V438" s="54"/>
      <c r="W438" s="54"/>
      <c r="X438" s="55"/>
      <c r="AD438" s="52"/>
      <c r="AG438" s="52"/>
      <c r="AJ438" s="52"/>
      <c r="AK438" s="52"/>
      <c r="AL438" s="55"/>
      <c r="AO438" s="52"/>
      <c r="AR438" s="52"/>
      <c r="AU438" s="52"/>
      <c r="AV438" s="52"/>
      <c r="AW438" s="55"/>
    </row>
    <row r="439" spans="1:49" ht="15.75" customHeight="1">
      <c r="A439" s="51"/>
      <c r="B439" s="51"/>
      <c r="E439" s="52"/>
      <c r="F439" s="55"/>
      <c r="G439" s="52"/>
      <c r="H439" s="52"/>
      <c r="I439" s="55"/>
      <c r="J439" s="52"/>
      <c r="K439" s="52"/>
      <c r="L439" s="52"/>
      <c r="M439" s="55"/>
      <c r="P439" s="54"/>
      <c r="S439" s="54"/>
      <c r="V439" s="54"/>
      <c r="W439" s="54"/>
      <c r="X439" s="55"/>
      <c r="AD439" s="52"/>
      <c r="AG439" s="52"/>
      <c r="AJ439" s="52"/>
      <c r="AK439" s="52"/>
      <c r="AL439" s="55"/>
      <c r="AO439" s="52"/>
      <c r="AR439" s="52"/>
      <c r="AU439" s="52"/>
      <c r="AV439" s="52"/>
      <c r="AW439" s="55"/>
    </row>
    <row r="440" spans="1:49" ht="15.75" customHeight="1">
      <c r="A440" s="51"/>
      <c r="B440" s="51"/>
      <c r="E440" s="52"/>
      <c r="F440" s="55"/>
      <c r="G440" s="52"/>
      <c r="H440" s="52"/>
      <c r="I440" s="55"/>
      <c r="J440" s="52"/>
      <c r="K440" s="52"/>
      <c r="L440" s="52"/>
      <c r="M440" s="55"/>
      <c r="P440" s="54"/>
      <c r="S440" s="54"/>
      <c r="V440" s="54"/>
      <c r="W440" s="54"/>
      <c r="X440" s="55"/>
      <c r="AD440" s="52"/>
      <c r="AG440" s="52"/>
      <c r="AJ440" s="52"/>
      <c r="AK440" s="52"/>
      <c r="AL440" s="55"/>
      <c r="AO440" s="52"/>
      <c r="AR440" s="52"/>
      <c r="AU440" s="52"/>
      <c r="AV440" s="52"/>
      <c r="AW440" s="55"/>
    </row>
    <row r="441" spans="1:49" ht="15.75" customHeight="1">
      <c r="A441" s="51"/>
      <c r="B441" s="51"/>
      <c r="E441" s="52"/>
      <c r="F441" s="55"/>
      <c r="G441" s="52"/>
      <c r="H441" s="52"/>
      <c r="I441" s="55"/>
      <c r="J441" s="52"/>
      <c r="K441" s="52"/>
      <c r="L441" s="52"/>
      <c r="M441" s="55"/>
      <c r="P441" s="54"/>
      <c r="S441" s="54"/>
      <c r="V441" s="54"/>
      <c r="W441" s="54"/>
      <c r="X441" s="55"/>
      <c r="AD441" s="52"/>
      <c r="AG441" s="52"/>
      <c r="AJ441" s="52"/>
      <c r="AK441" s="52"/>
      <c r="AL441" s="55"/>
      <c r="AO441" s="52"/>
      <c r="AR441" s="52"/>
      <c r="AU441" s="52"/>
      <c r="AV441" s="52"/>
      <c r="AW441" s="55"/>
    </row>
    <row r="442" spans="1:49" ht="15.75" customHeight="1">
      <c r="A442" s="51"/>
      <c r="B442" s="51"/>
      <c r="E442" s="52"/>
      <c r="F442" s="55"/>
      <c r="G442" s="52"/>
      <c r="H442" s="52"/>
      <c r="I442" s="55"/>
      <c r="J442" s="52"/>
      <c r="K442" s="52"/>
      <c r="L442" s="52"/>
      <c r="M442" s="55"/>
      <c r="P442" s="54"/>
      <c r="S442" s="54"/>
      <c r="V442" s="54"/>
      <c r="W442" s="54"/>
      <c r="X442" s="55"/>
      <c r="AD442" s="52"/>
      <c r="AG442" s="52"/>
      <c r="AJ442" s="52"/>
      <c r="AK442" s="52"/>
      <c r="AL442" s="55"/>
      <c r="AO442" s="52"/>
      <c r="AR442" s="52"/>
      <c r="AU442" s="52"/>
      <c r="AV442" s="52"/>
      <c r="AW442" s="55"/>
    </row>
    <row r="443" spans="1:49" ht="15.75" customHeight="1">
      <c r="A443" s="51"/>
      <c r="B443" s="51"/>
      <c r="E443" s="52"/>
      <c r="F443" s="55"/>
      <c r="G443" s="52"/>
      <c r="H443" s="52"/>
      <c r="I443" s="55"/>
      <c r="J443" s="52"/>
      <c r="K443" s="52"/>
      <c r="L443" s="52"/>
      <c r="M443" s="55"/>
      <c r="P443" s="54"/>
      <c r="S443" s="54"/>
      <c r="V443" s="54"/>
      <c r="W443" s="54"/>
      <c r="X443" s="55"/>
      <c r="AD443" s="52"/>
      <c r="AG443" s="52"/>
      <c r="AJ443" s="52"/>
      <c r="AK443" s="52"/>
      <c r="AL443" s="55"/>
      <c r="AO443" s="52"/>
      <c r="AR443" s="52"/>
      <c r="AU443" s="52"/>
      <c r="AV443" s="52"/>
      <c r="AW443" s="55"/>
    </row>
    <row r="444" spans="1:49" ht="15.75" customHeight="1">
      <c r="A444" s="51"/>
      <c r="B444" s="51"/>
      <c r="E444" s="52"/>
      <c r="F444" s="55"/>
      <c r="G444" s="52"/>
      <c r="H444" s="52"/>
      <c r="I444" s="55"/>
      <c r="J444" s="52"/>
      <c r="K444" s="52"/>
      <c r="L444" s="52"/>
      <c r="M444" s="55"/>
      <c r="P444" s="54"/>
      <c r="S444" s="54"/>
      <c r="V444" s="54"/>
      <c r="W444" s="54"/>
      <c r="X444" s="55"/>
      <c r="AD444" s="52"/>
      <c r="AG444" s="52"/>
      <c r="AJ444" s="52"/>
      <c r="AK444" s="52"/>
      <c r="AL444" s="55"/>
      <c r="AO444" s="52"/>
      <c r="AR444" s="52"/>
      <c r="AU444" s="52"/>
      <c r="AV444" s="52"/>
      <c r="AW444" s="55"/>
    </row>
    <row r="445" spans="1:49" ht="15.75" customHeight="1">
      <c r="A445" s="51"/>
      <c r="B445" s="51"/>
      <c r="E445" s="52"/>
      <c r="F445" s="55"/>
      <c r="G445" s="52"/>
      <c r="H445" s="52"/>
      <c r="I445" s="55"/>
      <c r="J445" s="52"/>
      <c r="K445" s="52"/>
      <c r="L445" s="52"/>
      <c r="M445" s="55"/>
      <c r="P445" s="54"/>
      <c r="S445" s="54"/>
      <c r="V445" s="54"/>
      <c r="W445" s="54"/>
      <c r="X445" s="55"/>
      <c r="AD445" s="52"/>
      <c r="AG445" s="52"/>
      <c r="AJ445" s="52"/>
      <c r="AK445" s="52"/>
      <c r="AL445" s="55"/>
      <c r="AO445" s="52"/>
      <c r="AR445" s="52"/>
      <c r="AU445" s="52"/>
      <c r="AV445" s="52"/>
      <c r="AW445" s="55"/>
    </row>
    <row r="446" spans="1:49" ht="15.75" customHeight="1">
      <c r="A446" s="51"/>
      <c r="B446" s="51"/>
      <c r="E446" s="52"/>
      <c r="F446" s="55"/>
      <c r="G446" s="52"/>
      <c r="H446" s="52"/>
      <c r="I446" s="55"/>
      <c r="J446" s="52"/>
      <c r="K446" s="52"/>
      <c r="L446" s="52"/>
      <c r="M446" s="55"/>
      <c r="P446" s="54"/>
      <c r="S446" s="54"/>
      <c r="V446" s="54"/>
      <c r="W446" s="54"/>
      <c r="X446" s="55"/>
      <c r="AD446" s="52"/>
      <c r="AG446" s="52"/>
      <c r="AJ446" s="52"/>
      <c r="AK446" s="52"/>
      <c r="AL446" s="55"/>
      <c r="AO446" s="52"/>
      <c r="AR446" s="52"/>
      <c r="AU446" s="52"/>
      <c r="AV446" s="52"/>
      <c r="AW446" s="55"/>
    </row>
    <row r="447" spans="1:49" ht="15.75" customHeight="1">
      <c r="A447" s="51"/>
      <c r="B447" s="51"/>
      <c r="E447" s="52"/>
      <c r="F447" s="55"/>
      <c r="G447" s="52"/>
      <c r="H447" s="52"/>
      <c r="I447" s="55"/>
      <c r="J447" s="52"/>
      <c r="K447" s="52"/>
      <c r="L447" s="52"/>
      <c r="M447" s="55"/>
      <c r="P447" s="54"/>
      <c r="S447" s="54"/>
      <c r="V447" s="54"/>
      <c r="W447" s="54"/>
      <c r="X447" s="55"/>
      <c r="AD447" s="52"/>
      <c r="AG447" s="52"/>
      <c r="AJ447" s="52"/>
      <c r="AK447" s="52"/>
      <c r="AL447" s="55"/>
      <c r="AO447" s="52"/>
      <c r="AR447" s="52"/>
      <c r="AU447" s="52"/>
      <c r="AV447" s="52"/>
      <c r="AW447" s="55"/>
    </row>
    <row r="448" spans="1:49" ht="15.75" customHeight="1">
      <c r="A448" s="51"/>
      <c r="B448" s="51"/>
      <c r="E448" s="52"/>
      <c r="F448" s="55"/>
      <c r="G448" s="52"/>
      <c r="H448" s="52"/>
      <c r="I448" s="55"/>
      <c r="J448" s="52"/>
      <c r="K448" s="52"/>
      <c r="L448" s="52"/>
      <c r="M448" s="55"/>
      <c r="P448" s="54"/>
      <c r="S448" s="54"/>
      <c r="V448" s="54"/>
      <c r="W448" s="54"/>
      <c r="X448" s="55"/>
      <c r="AD448" s="52"/>
      <c r="AG448" s="52"/>
      <c r="AJ448" s="52"/>
      <c r="AK448" s="52"/>
      <c r="AL448" s="55"/>
      <c r="AO448" s="52"/>
      <c r="AR448" s="52"/>
      <c r="AU448" s="52"/>
      <c r="AV448" s="52"/>
      <c r="AW448" s="55"/>
    </row>
    <row r="449" spans="1:49" ht="15.75" customHeight="1">
      <c r="A449" s="51"/>
      <c r="B449" s="51"/>
      <c r="E449" s="52"/>
      <c r="F449" s="55"/>
      <c r="G449" s="52"/>
      <c r="H449" s="52"/>
      <c r="I449" s="55"/>
      <c r="J449" s="52"/>
      <c r="K449" s="52"/>
      <c r="L449" s="52"/>
      <c r="M449" s="55"/>
      <c r="P449" s="54"/>
      <c r="S449" s="54"/>
      <c r="V449" s="54"/>
      <c r="W449" s="54"/>
      <c r="X449" s="55"/>
      <c r="AD449" s="52"/>
      <c r="AG449" s="52"/>
      <c r="AJ449" s="52"/>
      <c r="AK449" s="52"/>
      <c r="AL449" s="55"/>
      <c r="AO449" s="52"/>
      <c r="AR449" s="52"/>
      <c r="AU449" s="52"/>
      <c r="AV449" s="52"/>
      <c r="AW449" s="55"/>
    </row>
    <row r="450" spans="1:49" ht="15.75" customHeight="1">
      <c r="A450" s="51"/>
      <c r="B450" s="51"/>
      <c r="E450" s="52"/>
      <c r="F450" s="55"/>
      <c r="G450" s="52"/>
      <c r="H450" s="52"/>
      <c r="I450" s="55"/>
      <c r="J450" s="52"/>
      <c r="K450" s="52"/>
      <c r="L450" s="52"/>
      <c r="M450" s="55"/>
      <c r="P450" s="54"/>
      <c r="S450" s="54"/>
      <c r="V450" s="54"/>
      <c r="W450" s="54"/>
      <c r="X450" s="55"/>
      <c r="AD450" s="52"/>
      <c r="AG450" s="52"/>
      <c r="AJ450" s="52"/>
      <c r="AK450" s="52"/>
      <c r="AL450" s="55"/>
      <c r="AO450" s="52"/>
      <c r="AR450" s="52"/>
      <c r="AU450" s="52"/>
      <c r="AV450" s="52"/>
      <c r="AW450" s="55"/>
    </row>
    <row r="451" spans="1:49" ht="15.75" customHeight="1">
      <c r="A451" s="51"/>
      <c r="B451" s="51"/>
      <c r="E451" s="52"/>
      <c r="F451" s="55"/>
      <c r="G451" s="52"/>
      <c r="H451" s="52"/>
      <c r="I451" s="55"/>
      <c r="J451" s="52"/>
      <c r="K451" s="52"/>
      <c r="L451" s="52"/>
      <c r="M451" s="55"/>
      <c r="P451" s="54"/>
      <c r="S451" s="54"/>
      <c r="V451" s="54"/>
      <c r="W451" s="54"/>
      <c r="X451" s="55"/>
      <c r="AD451" s="52"/>
      <c r="AG451" s="52"/>
      <c r="AJ451" s="52"/>
      <c r="AK451" s="52"/>
      <c r="AL451" s="55"/>
      <c r="AO451" s="52"/>
      <c r="AR451" s="52"/>
      <c r="AU451" s="52"/>
      <c r="AV451" s="52"/>
      <c r="AW451" s="55"/>
    </row>
    <row r="452" spans="1:49" ht="15.75" customHeight="1">
      <c r="A452" s="51"/>
      <c r="B452" s="51"/>
      <c r="E452" s="52"/>
      <c r="F452" s="55"/>
      <c r="G452" s="52"/>
      <c r="H452" s="52"/>
      <c r="I452" s="55"/>
      <c r="J452" s="52"/>
      <c r="K452" s="52"/>
      <c r="L452" s="52"/>
      <c r="M452" s="55"/>
      <c r="P452" s="54"/>
      <c r="S452" s="54"/>
      <c r="V452" s="54"/>
      <c r="W452" s="54"/>
      <c r="X452" s="55"/>
      <c r="AD452" s="52"/>
      <c r="AG452" s="52"/>
      <c r="AJ452" s="52"/>
      <c r="AK452" s="52"/>
      <c r="AL452" s="55"/>
      <c r="AO452" s="52"/>
      <c r="AR452" s="52"/>
      <c r="AU452" s="52"/>
      <c r="AV452" s="52"/>
      <c r="AW452" s="55"/>
    </row>
    <row r="453" spans="1:49" ht="15.75" customHeight="1">
      <c r="A453" s="51"/>
      <c r="B453" s="51"/>
      <c r="E453" s="52"/>
      <c r="F453" s="55"/>
      <c r="G453" s="52"/>
      <c r="H453" s="52"/>
      <c r="I453" s="55"/>
      <c r="J453" s="52"/>
      <c r="K453" s="52"/>
      <c r="L453" s="52"/>
      <c r="M453" s="55"/>
      <c r="P453" s="54"/>
      <c r="S453" s="54"/>
      <c r="V453" s="54"/>
      <c r="W453" s="54"/>
      <c r="X453" s="55"/>
      <c r="AD453" s="52"/>
      <c r="AG453" s="52"/>
      <c r="AJ453" s="52"/>
      <c r="AK453" s="52"/>
      <c r="AL453" s="55"/>
      <c r="AO453" s="52"/>
      <c r="AR453" s="52"/>
      <c r="AU453" s="52"/>
      <c r="AV453" s="52"/>
      <c r="AW453" s="55"/>
    </row>
    <row r="454" spans="1:49" ht="15.75" customHeight="1">
      <c r="A454" s="51"/>
      <c r="B454" s="51"/>
      <c r="E454" s="52"/>
      <c r="F454" s="55"/>
      <c r="G454" s="52"/>
      <c r="H454" s="52"/>
      <c r="I454" s="55"/>
      <c r="J454" s="52"/>
      <c r="K454" s="52"/>
      <c r="L454" s="52"/>
      <c r="M454" s="55"/>
      <c r="P454" s="54"/>
      <c r="S454" s="54"/>
      <c r="V454" s="54"/>
      <c r="W454" s="54"/>
      <c r="X454" s="55"/>
      <c r="AD454" s="52"/>
      <c r="AG454" s="52"/>
      <c r="AJ454" s="52"/>
      <c r="AK454" s="52"/>
      <c r="AL454" s="55"/>
      <c r="AO454" s="52"/>
      <c r="AR454" s="52"/>
      <c r="AU454" s="52"/>
      <c r="AV454" s="52"/>
      <c r="AW454" s="55"/>
    </row>
    <row r="455" spans="1:49" ht="15.75" customHeight="1">
      <c r="A455" s="51"/>
      <c r="B455" s="51"/>
      <c r="E455" s="52"/>
      <c r="F455" s="55"/>
      <c r="G455" s="52"/>
      <c r="H455" s="52"/>
      <c r="I455" s="55"/>
      <c r="J455" s="52"/>
      <c r="K455" s="52"/>
      <c r="L455" s="52"/>
      <c r="M455" s="55"/>
      <c r="P455" s="54"/>
      <c r="S455" s="54"/>
      <c r="V455" s="54"/>
      <c r="W455" s="54"/>
      <c r="X455" s="55"/>
      <c r="AD455" s="52"/>
      <c r="AG455" s="52"/>
      <c r="AJ455" s="52"/>
      <c r="AK455" s="52"/>
      <c r="AL455" s="55"/>
      <c r="AO455" s="52"/>
      <c r="AR455" s="52"/>
      <c r="AU455" s="52"/>
      <c r="AV455" s="52"/>
      <c r="AW455" s="55"/>
    </row>
    <row r="456" spans="1:49" ht="15.75" customHeight="1">
      <c r="A456" s="51"/>
      <c r="B456" s="51"/>
      <c r="E456" s="52"/>
      <c r="F456" s="55"/>
      <c r="G456" s="52"/>
      <c r="H456" s="52"/>
      <c r="I456" s="55"/>
      <c r="J456" s="52"/>
      <c r="K456" s="52"/>
      <c r="L456" s="52"/>
      <c r="M456" s="55"/>
      <c r="P456" s="54"/>
      <c r="S456" s="54"/>
      <c r="V456" s="54"/>
      <c r="W456" s="54"/>
      <c r="X456" s="55"/>
      <c r="AD456" s="52"/>
      <c r="AG456" s="52"/>
      <c r="AJ456" s="52"/>
      <c r="AK456" s="52"/>
      <c r="AL456" s="55"/>
      <c r="AO456" s="52"/>
      <c r="AR456" s="52"/>
      <c r="AU456" s="52"/>
      <c r="AV456" s="52"/>
      <c r="AW456" s="55"/>
    </row>
    <row r="457" spans="1:49" ht="15.75" customHeight="1">
      <c r="A457" s="51"/>
      <c r="B457" s="51"/>
      <c r="E457" s="52"/>
      <c r="F457" s="55"/>
      <c r="G457" s="52"/>
      <c r="H457" s="52"/>
      <c r="I457" s="55"/>
      <c r="J457" s="52"/>
      <c r="K457" s="52"/>
      <c r="L457" s="52"/>
      <c r="M457" s="55"/>
      <c r="P457" s="54"/>
      <c r="S457" s="54"/>
      <c r="V457" s="54"/>
      <c r="W457" s="54"/>
      <c r="X457" s="55"/>
      <c r="AD457" s="52"/>
      <c r="AG457" s="52"/>
      <c r="AJ457" s="52"/>
      <c r="AK457" s="52"/>
      <c r="AL457" s="55"/>
      <c r="AO457" s="52"/>
      <c r="AR457" s="52"/>
      <c r="AU457" s="52"/>
      <c r="AV457" s="52"/>
      <c r="AW457" s="55"/>
    </row>
    <row r="458" spans="1:49" ht="15.75" customHeight="1">
      <c r="A458" s="51"/>
      <c r="B458" s="51"/>
      <c r="E458" s="52"/>
      <c r="F458" s="55"/>
      <c r="G458" s="52"/>
      <c r="H458" s="52"/>
      <c r="I458" s="55"/>
      <c r="J458" s="52"/>
      <c r="K458" s="52"/>
      <c r="L458" s="52"/>
      <c r="M458" s="55"/>
      <c r="P458" s="54"/>
      <c r="S458" s="54"/>
      <c r="V458" s="54"/>
      <c r="W458" s="54"/>
      <c r="X458" s="55"/>
      <c r="AD458" s="52"/>
      <c r="AG458" s="52"/>
      <c r="AJ458" s="52"/>
      <c r="AK458" s="52"/>
      <c r="AL458" s="55"/>
      <c r="AO458" s="52"/>
      <c r="AR458" s="52"/>
      <c r="AU458" s="52"/>
      <c r="AV458" s="52"/>
      <c r="AW458" s="55"/>
    </row>
    <row r="459" spans="1:49" ht="15.75" customHeight="1">
      <c r="A459" s="51"/>
      <c r="B459" s="51"/>
      <c r="E459" s="52"/>
      <c r="F459" s="55"/>
      <c r="G459" s="52"/>
      <c r="H459" s="52"/>
      <c r="I459" s="55"/>
      <c r="J459" s="52"/>
      <c r="K459" s="52"/>
      <c r="L459" s="52"/>
      <c r="M459" s="55"/>
      <c r="P459" s="54"/>
      <c r="S459" s="54"/>
      <c r="V459" s="54"/>
      <c r="W459" s="54"/>
      <c r="X459" s="55"/>
      <c r="AD459" s="52"/>
      <c r="AG459" s="52"/>
      <c r="AJ459" s="52"/>
      <c r="AK459" s="52"/>
      <c r="AL459" s="55"/>
      <c r="AO459" s="52"/>
      <c r="AR459" s="52"/>
      <c r="AU459" s="52"/>
      <c r="AV459" s="52"/>
      <c r="AW459" s="55"/>
    </row>
    <row r="460" spans="1:49" ht="15.75" customHeight="1">
      <c r="A460" s="51"/>
      <c r="B460" s="51"/>
      <c r="E460" s="52"/>
      <c r="F460" s="55"/>
      <c r="G460" s="52"/>
      <c r="H460" s="52"/>
      <c r="I460" s="55"/>
      <c r="J460" s="52"/>
      <c r="K460" s="52"/>
      <c r="L460" s="52"/>
      <c r="M460" s="55"/>
      <c r="P460" s="54"/>
      <c r="S460" s="54"/>
      <c r="V460" s="54"/>
      <c r="W460" s="54"/>
      <c r="X460" s="55"/>
      <c r="AD460" s="52"/>
      <c r="AG460" s="52"/>
      <c r="AJ460" s="52"/>
      <c r="AK460" s="52"/>
      <c r="AL460" s="55"/>
      <c r="AO460" s="52"/>
      <c r="AR460" s="52"/>
      <c r="AU460" s="52"/>
      <c r="AV460" s="52"/>
      <c r="AW460" s="55"/>
    </row>
    <row r="461" spans="1:49" ht="15.75" customHeight="1">
      <c r="A461" s="51"/>
      <c r="B461" s="51"/>
      <c r="E461" s="52"/>
      <c r="F461" s="55"/>
      <c r="G461" s="52"/>
      <c r="H461" s="52"/>
      <c r="I461" s="55"/>
      <c r="J461" s="52"/>
      <c r="K461" s="52"/>
      <c r="L461" s="52"/>
      <c r="M461" s="55"/>
      <c r="P461" s="54"/>
      <c r="S461" s="54"/>
      <c r="V461" s="54"/>
      <c r="W461" s="54"/>
      <c r="X461" s="55"/>
      <c r="AD461" s="52"/>
      <c r="AG461" s="52"/>
      <c r="AJ461" s="52"/>
      <c r="AK461" s="52"/>
      <c r="AL461" s="55"/>
      <c r="AO461" s="52"/>
      <c r="AR461" s="52"/>
      <c r="AU461" s="52"/>
      <c r="AV461" s="52"/>
      <c r="AW461" s="55"/>
    </row>
    <row r="462" spans="1:49" ht="15.75" customHeight="1">
      <c r="A462" s="51"/>
      <c r="B462" s="51"/>
      <c r="E462" s="52"/>
      <c r="F462" s="55"/>
      <c r="G462" s="52"/>
      <c r="H462" s="52"/>
      <c r="I462" s="55"/>
      <c r="J462" s="52"/>
      <c r="K462" s="52"/>
      <c r="L462" s="52"/>
      <c r="M462" s="55"/>
      <c r="P462" s="54"/>
      <c r="S462" s="54"/>
      <c r="V462" s="54"/>
      <c r="W462" s="54"/>
      <c r="X462" s="55"/>
      <c r="AD462" s="52"/>
      <c r="AG462" s="52"/>
      <c r="AJ462" s="52"/>
      <c r="AK462" s="52"/>
      <c r="AL462" s="55"/>
      <c r="AO462" s="52"/>
      <c r="AR462" s="52"/>
      <c r="AU462" s="52"/>
      <c r="AV462" s="52"/>
      <c r="AW462" s="55"/>
    </row>
    <row r="463" spans="1:49" ht="15.75" customHeight="1">
      <c r="A463" s="51"/>
      <c r="B463" s="51"/>
      <c r="E463" s="52"/>
      <c r="F463" s="55"/>
      <c r="G463" s="52"/>
      <c r="H463" s="52"/>
      <c r="I463" s="55"/>
      <c r="J463" s="52"/>
      <c r="K463" s="52"/>
      <c r="L463" s="52"/>
      <c r="M463" s="55"/>
      <c r="P463" s="54"/>
      <c r="S463" s="54"/>
      <c r="V463" s="54"/>
      <c r="W463" s="54"/>
      <c r="X463" s="55"/>
      <c r="AD463" s="52"/>
      <c r="AG463" s="52"/>
      <c r="AJ463" s="52"/>
      <c r="AK463" s="52"/>
      <c r="AL463" s="55"/>
      <c r="AO463" s="52"/>
      <c r="AR463" s="52"/>
      <c r="AU463" s="52"/>
      <c r="AV463" s="52"/>
      <c r="AW463" s="55"/>
    </row>
    <row r="464" spans="1:49" ht="15.75" customHeight="1">
      <c r="A464" s="51"/>
      <c r="B464" s="51"/>
      <c r="E464" s="52"/>
      <c r="F464" s="55"/>
      <c r="G464" s="52"/>
      <c r="H464" s="52"/>
      <c r="I464" s="55"/>
      <c r="J464" s="52"/>
      <c r="K464" s="52"/>
      <c r="L464" s="52"/>
      <c r="M464" s="55"/>
      <c r="P464" s="54"/>
      <c r="S464" s="54"/>
      <c r="V464" s="54"/>
      <c r="W464" s="54"/>
      <c r="X464" s="55"/>
      <c r="AD464" s="52"/>
      <c r="AG464" s="52"/>
      <c r="AJ464" s="52"/>
      <c r="AK464" s="52"/>
      <c r="AL464" s="55"/>
      <c r="AO464" s="52"/>
      <c r="AR464" s="52"/>
      <c r="AU464" s="52"/>
      <c r="AV464" s="52"/>
      <c r="AW464" s="55"/>
    </row>
    <row r="465" spans="1:49" ht="15.75" customHeight="1">
      <c r="A465" s="51"/>
      <c r="B465" s="51"/>
      <c r="E465" s="52"/>
      <c r="F465" s="55"/>
      <c r="G465" s="52"/>
      <c r="H465" s="52"/>
      <c r="I465" s="55"/>
      <c r="J465" s="52"/>
      <c r="K465" s="52"/>
      <c r="L465" s="52"/>
      <c r="M465" s="55"/>
      <c r="P465" s="54"/>
      <c r="S465" s="54"/>
      <c r="V465" s="54"/>
      <c r="W465" s="54"/>
      <c r="X465" s="55"/>
      <c r="AD465" s="52"/>
      <c r="AG465" s="52"/>
      <c r="AJ465" s="52"/>
      <c r="AK465" s="52"/>
      <c r="AL465" s="55"/>
      <c r="AO465" s="52"/>
      <c r="AR465" s="52"/>
      <c r="AU465" s="52"/>
      <c r="AV465" s="52"/>
      <c r="AW465" s="55"/>
    </row>
    <row r="466" spans="1:49" ht="15.75" customHeight="1">
      <c r="A466" s="51"/>
      <c r="B466" s="51"/>
      <c r="E466" s="52"/>
      <c r="F466" s="55"/>
      <c r="G466" s="52"/>
      <c r="H466" s="52"/>
      <c r="I466" s="55"/>
      <c r="J466" s="52"/>
      <c r="K466" s="52"/>
      <c r="L466" s="52"/>
      <c r="M466" s="55"/>
      <c r="P466" s="54"/>
      <c r="S466" s="54"/>
      <c r="V466" s="54"/>
      <c r="W466" s="54"/>
      <c r="X466" s="55"/>
      <c r="AD466" s="52"/>
      <c r="AG466" s="52"/>
      <c r="AJ466" s="52"/>
      <c r="AK466" s="52"/>
      <c r="AL466" s="55"/>
      <c r="AO466" s="52"/>
      <c r="AR466" s="52"/>
      <c r="AU466" s="52"/>
      <c r="AV466" s="52"/>
      <c r="AW466" s="55"/>
    </row>
    <row r="467" spans="1:49" ht="15.75" customHeight="1">
      <c r="A467" s="51"/>
      <c r="B467" s="51"/>
      <c r="E467" s="52"/>
      <c r="F467" s="55"/>
      <c r="G467" s="52"/>
      <c r="H467" s="52"/>
      <c r="I467" s="55"/>
      <c r="J467" s="52"/>
      <c r="K467" s="52"/>
      <c r="L467" s="52"/>
      <c r="M467" s="55"/>
      <c r="P467" s="54"/>
      <c r="S467" s="54"/>
      <c r="V467" s="54"/>
      <c r="W467" s="54"/>
      <c r="X467" s="55"/>
      <c r="AD467" s="52"/>
      <c r="AG467" s="52"/>
      <c r="AJ467" s="52"/>
      <c r="AK467" s="52"/>
      <c r="AL467" s="55"/>
      <c r="AO467" s="52"/>
      <c r="AR467" s="52"/>
      <c r="AU467" s="52"/>
      <c r="AV467" s="52"/>
      <c r="AW467" s="55"/>
    </row>
    <row r="468" spans="1:49" ht="15.75" customHeight="1">
      <c r="A468" s="51"/>
      <c r="B468" s="51"/>
      <c r="E468" s="52"/>
      <c r="F468" s="55"/>
      <c r="G468" s="52"/>
      <c r="H468" s="52"/>
      <c r="I468" s="55"/>
      <c r="J468" s="52"/>
      <c r="K468" s="52"/>
      <c r="L468" s="52"/>
      <c r="M468" s="55"/>
      <c r="P468" s="54"/>
      <c r="S468" s="54"/>
      <c r="V468" s="54"/>
      <c r="W468" s="54"/>
      <c r="X468" s="55"/>
      <c r="AD468" s="52"/>
      <c r="AG468" s="52"/>
      <c r="AJ468" s="52"/>
      <c r="AK468" s="52"/>
      <c r="AL468" s="55"/>
      <c r="AO468" s="52"/>
      <c r="AR468" s="52"/>
      <c r="AU468" s="52"/>
      <c r="AV468" s="52"/>
      <c r="AW468" s="55"/>
    </row>
    <row r="469" spans="1:49" ht="15.75" customHeight="1">
      <c r="A469" s="51"/>
      <c r="B469" s="51"/>
      <c r="E469" s="52"/>
      <c r="F469" s="55"/>
      <c r="G469" s="52"/>
      <c r="H469" s="52"/>
      <c r="I469" s="55"/>
      <c r="J469" s="52"/>
      <c r="K469" s="52"/>
      <c r="L469" s="52"/>
      <c r="M469" s="55"/>
      <c r="P469" s="54"/>
      <c r="S469" s="54"/>
      <c r="V469" s="54"/>
      <c r="W469" s="54"/>
      <c r="X469" s="55"/>
      <c r="AD469" s="52"/>
      <c r="AG469" s="52"/>
      <c r="AJ469" s="52"/>
      <c r="AK469" s="52"/>
      <c r="AL469" s="55"/>
      <c r="AO469" s="52"/>
      <c r="AR469" s="52"/>
      <c r="AU469" s="52"/>
      <c r="AV469" s="52"/>
      <c r="AW469" s="55"/>
    </row>
    <row r="470" spans="1:49" ht="15.75" customHeight="1">
      <c r="A470" s="51"/>
      <c r="B470" s="51"/>
      <c r="E470" s="52"/>
      <c r="F470" s="55"/>
      <c r="G470" s="52"/>
      <c r="H470" s="52"/>
      <c r="I470" s="55"/>
      <c r="J470" s="52"/>
      <c r="K470" s="52"/>
      <c r="L470" s="52"/>
      <c r="M470" s="55"/>
      <c r="P470" s="54"/>
      <c r="S470" s="54"/>
      <c r="V470" s="54"/>
      <c r="W470" s="54"/>
      <c r="X470" s="55"/>
      <c r="AD470" s="52"/>
      <c r="AG470" s="52"/>
      <c r="AJ470" s="52"/>
      <c r="AK470" s="52"/>
      <c r="AL470" s="55"/>
      <c r="AO470" s="52"/>
      <c r="AR470" s="52"/>
      <c r="AU470" s="52"/>
      <c r="AV470" s="52"/>
      <c r="AW470" s="55"/>
    </row>
    <row r="471" spans="1:49" ht="15.75" customHeight="1">
      <c r="A471" s="51"/>
      <c r="B471" s="51"/>
      <c r="E471" s="52"/>
      <c r="F471" s="55"/>
      <c r="G471" s="52"/>
      <c r="H471" s="52"/>
      <c r="I471" s="55"/>
      <c r="J471" s="52"/>
      <c r="K471" s="52"/>
      <c r="L471" s="52"/>
      <c r="M471" s="55"/>
      <c r="P471" s="54"/>
      <c r="S471" s="54"/>
      <c r="V471" s="54"/>
      <c r="W471" s="54"/>
      <c r="X471" s="55"/>
      <c r="AD471" s="52"/>
      <c r="AG471" s="52"/>
      <c r="AJ471" s="52"/>
      <c r="AK471" s="52"/>
      <c r="AL471" s="55"/>
      <c r="AO471" s="52"/>
      <c r="AR471" s="52"/>
      <c r="AU471" s="52"/>
      <c r="AV471" s="52"/>
      <c r="AW471" s="55"/>
    </row>
    <row r="472" spans="1:49" ht="15.75" customHeight="1">
      <c r="A472" s="51"/>
      <c r="B472" s="51"/>
      <c r="E472" s="52"/>
      <c r="F472" s="55"/>
      <c r="G472" s="52"/>
      <c r="H472" s="52"/>
      <c r="I472" s="55"/>
      <c r="J472" s="52"/>
      <c r="K472" s="52"/>
      <c r="L472" s="52"/>
      <c r="M472" s="55"/>
      <c r="P472" s="54"/>
      <c r="S472" s="54"/>
      <c r="V472" s="54"/>
      <c r="W472" s="54"/>
      <c r="X472" s="55"/>
      <c r="AD472" s="52"/>
      <c r="AG472" s="52"/>
      <c r="AJ472" s="52"/>
      <c r="AK472" s="52"/>
      <c r="AL472" s="55"/>
      <c r="AO472" s="52"/>
      <c r="AR472" s="52"/>
      <c r="AU472" s="52"/>
      <c r="AV472" s="52"/>
      <c r="AW472" s="55"/>
    </row>
    <row r="473" spans="1:49" ht="15.75" customHeight="1">
      <c r="A473" s="51"/>
      <c r="B473" s="51"/>
      <c r="E473" s="52"/>
      <c r="F473" s="55"/>
      <c r="G473" s="52"/>
      <c r="H473" s="52"/>
      <c r="I473" s="55"/>
      <c r="J473" s="52"/>
      <c r="K473" s="52"/>
      <c r="L473" s="52"/>
      <c r="M473" s="55"/>
      <c r="P473" s="54"/>
      <c r="S473" s="54"/>
      <c r="V473" s="54"/>
      <c r="W473" s="54"/>
      <c r="X473" s="55"/>
      <c r="AD473" s="52"/>
      <c r="AG473" s="52"/>
      <c r="AJ473" s="52"/>
      <c r="AK473" s="52"/>
      <c r="AL473" s="55"/>
      <c r="AO473" s="52"/>
      <c r="AR473" s="52"/>
      <c r="AU473" s="52"/>
      <c r="AV473" s="52"/>
      <c r="AW473" s="55"/>
    </row>
    <row r="474" spans="1:49" ht="15.75" customHeight="1">
      <c r="A474" s="51"/>
      <c r="B474" s="51"/>
      <c r="E474" s="52"/>
      <c r="F474" s="55"/>
      <c r="G474" s="52"/>
      <c r="H474" s="52"/>
      <c r="I474" s="55"/>
      <c r="J474" s="52"/>
      <c r="K474" s="52"/>
      <c r="L474" s="52"/>
      <c r="M474" s="55"/>
      <c r="P474" s="54"/>
      <c r="S474" s="54"/>
      <c r="V474" s="54"/>
      <c r="W474" s="54"/>
      <c r="X474" s="55"/>
      <c r="AD474" s="52"/>
      <c r="AG474" s="52"/>
      <c r="AJ474" s="52"/>
      <c r="AK474" s="52"/>
      <c r="AL474" s="55"/>
      <c r="AO474" s="52"/>
      <c r="AR474" s="52"/>
      <c r="AU474" s="52"/>
      <c r="AV474" s="52"/>
      <c r="AW474" s="55"/>
    </row>
    <row r="475" spans="1:49" ht="15.75" customHeight="1">
      <c r="A475" s="51"/>
      <c r="B475" s="51"/>
      <c r="E475" s="52"/>
      <c r="F475" s="55"/>
      <c r="G475" s="52"/>
      <c r="H475" s="52"/>
      <c r="I475" s="55"/>
      <c r="J475" s="52"/>
      <c r="K475" s="52"/>
      <c r="L475" s="52"/>
      <c r="M475" s="55"/>
      <c r="P475" s="54"/>
      <c r="S475" s="54"/>
      <c r="V475" s="54"/>
      <c r="W475" s="54"/>
      <c r="X475" s="55"/>
      <c r="AD475" s="52"/>
      <c r="AG475" s="52"/>
      <c r="AJ475" s="52"/>
      <c r="AK475" s="52"/>
      <c r="AL475" s="55"/>
      <c r="AO475" s="52"/>
      <c r="AR475" s="52"/>
      <c r="AU475" s="52"/>
      <c r="AV475" s="52"/>
      <c r="AW475" s="55"/>
    </row>
    <row r="476" spans="1:49" ht="15.75" customHeight="1">
      <c r="A476" s="51"/>
      <c r="B476" s="51"/>
      <c r="E476" s="52"/>
      <c r="F476" s="55"/>
      <c r="G476" s="52"/>
      <c r="H476" s="52"/>
      <c r="I476" s="55"/>
      <c r="J476" s="52"/>
      <c r="K476" s="52"/>
      <c r="L476" s="52"/>
      <c r="M476" s="55"/>
      <c r="P476" s="54"/>
      <c r="S476" s="54"/>
      <c r="V476" s="54"/>
      <c r="W476" s="54"/>
      <c r="X476" s="55"/>
      <c r="AD476" s="52"/>
      <c r="AG476" s="52"/>
      <c r="AJ476" s="52"/>
      <c r="AK476" s="52"/>
      <c r="AL476" s="55"/>
      <c r="AO476" s="52"/>
      <c r="AR476" s="52"/>
      <c r="AU476" s="52"/>
      <c r="AV476" s="52"/>
      <c r="AW476" s="55"/>
    </row>
    <row r="477" spans="1:49" ht="15.75" customHeight="1">
      <c r="A477" s="51"/>
      <c r="B477" s="51"/>
      <c r="E477" s="52"/>
      <c r="F477" s="55"/>
      <c r="G477" s="52"/>
      <c r="H477" s="52"/>
      <c r="I477" s="55"/>
      <c r="J477" s="52"/>
      <c r="K477" s="52"/>
      <c r="L477" s="52"/>
      <c r="M477" s="55"/>
      <c r="P477" s="54"/>
      <c r="S477" s="54"/>
      <c r="V477" s="54"/>
      <c r="W477" s="54"/>
      <c r="X477" s="55"/>
      <c r="AD477" s="52"/>
      <c r="AG477" s="52"/>
      <c r="AJ477" s="52"/>
      <c r="AK477" s="52"/>
      <c r="AL477" s="55"/>
      <c r="AO477" s="52"/>
      <c r="AR477" s="52"/>
      <c r="AU477" s="52"/>
      <c r="AV477" s="52"/>
      <c r="AW477" s="55"/>
    </row>
    <row r="478" spans="1:49" ht="15.75" customHeight="1">
      <c r="A478" s="51"/>
      <c r="B478" s="51"/>
      <c r="E478" s="52"/>
      <c r="F478" s="55"/>
      <c r="G478" s="52"/>
      <c r="H478" s="52"/>
      <c r="I478" s="55"/>
      <c r="J478" s="52"/>
      <c r="K478" s="52"/>
      <c r="L478" s="52"/>
      <c r="M478" s="55"/>
      <c r="P478" s="54"/>
      <c r="S478" s="54"/>
      <c r="V478" s="54"/>
      <c r="W478" s="54"/>
      <c r="X478" s="55"/>
      <c r="AD478" s="52"/>
      <c r="AG478" s="52"/>
      <c r="AJ478" s="52"/>
      <c r="AK478" s="52"/>
      <c r="AL478" s="55"/>
      <c r="AO478" s="52"/>
      <c r="AR478" s="52"/>
      <c r="AU478" s="52"/>
      <c r="AV478" s="52"/>
      <c r="AW478" s="55"/>
    </row>
    <row r="479" spans="1:49" ht="15.75" customHeight="1">
      <c r="A479" s="51"/>
      <c r="B479" s="51"/>
      <c r="E479" s="52"/>
      <c r="F479" s="55"/>
      <c r="G479" s="52"/>
      <c r="H479" s="52"/>
      <c r="I479" s="55"/>
      <c r="J479" s="52"/>
      <c r="K479" s="52"/>
      <c r="L479" s="52"/>
      <c r="M479" s="55"/>
      <c r="P479" s="54"/>
      <c r="S479" s="54"/>
      <c r="V479" s="54"/>
      <c r="W479" s="54"/>
      <c r="X479" s="55"/>
      <c r="AD479" s="52"/>
      <c r="AG479" s="52"/>
      <c r="AJ479" s="52"/>
      <c r="AK479" s="52"/>
      <c r="AL479" s="55"/>
      <c r="AO479" s="52"/>
      <c r="AR479" s="52"/>
      <c r="AU479" s="52"/>
      <c r="AV479" s="52"/>
      <c r="AW479" s="55"/>
    </row>
    <row r="480" spans="1:49" ht="15.75" customHeight="1">
      <c r="A480" s="51"/>
      <c r="B480" s="51"/>
      <c r="E480" s="52"/>
      <c r="F480" s="55"/>
      <c r="G480" s="52"/>
      <c r="H480" s="52"/>
      <c r="I480" s="55"/>
      <c r="J480" s="52"/>
      <c r="K480" s="52"/>
      <c r="L480" s="52"/>
      <c r="M480" s="55"/>
      <c r="P480" s="54"/>
      <c r="S480" s="54"/>
      <c r="V480" s="54"/>
      <c r="W480" s="54"/>
      <c r="X480" s="55"/>
      <c r="AD480" s="52"/>
      <c r="AG480" s="52"/>
      <c r="AJ480" s="52"/>
      <c r="AK480" s="52"/>
      <c r="AL480" s="55"/>
      <c r="AO480" s="52"/>
      <c r="AR480" s="52"/>
      <c r="AU480" s="52"/>
      <c r="AV480" s="52"/>
      <c r="AW480" s="55"/>
    </row>
    <row r="481" spans="1:49" ht="15.75" customHeight="1">
      <c r="A481" s="51"/>
      <c r="B481" s="51"/>
      <c r="E481" s="52"/>
      <c r="F481" s="55"/>
      <c r="G481" s="52"/>
      <c r="H481" s="52"/>
      <c r="I481" s="55"/>
      <c r="J481" s="52"/>
      <c r="K481" s="52"/>
      <c r="L481" s="52"/>
      <c r="M481" s="55"/>
      <c r="P481" s="54"/>
      <c r="S481" s="54"/>
      <c r="V481" s="54"/>
      <c r="W481" s="54"/>
      <c r="X481" s="55"/>
      <c r="AD481" s="52"/>
      <c r="AG481" s="52"/>
      <c r="AJ481" s="52"/>
      <c r="AK481" s="52"/>
      <c r="AL481" s="55"/>
      <c r="AO481" s="52"/>
      <c r="AR481" s="52"/>
      <c r="AU481" s="52"/>
      <c r="AV481" s="52"/>
      <c r="AW481" s="55"/>
    </row>
    <row r="482" spans="1:49" ht="15.75" customHeight="1">
      <c r="A482" s="51"/>
      <c r="B482" s="51"/>
      <c r="E482" s="52"/>
      <c r="F482" s="55"/>
      <c r="G482" s="52"/>
      <c r="H482" s="52"/>
      <c r="I482" s="55"/>
      <c r="J482" s="52"/>
      <c r="K482" s="52"/>
      <c r="L482" s="52"/>
      <c r="M482" s="55"/>
      <c r="P482" s="54"/>
      <c r="S482" s="54"/>
      <c r="V482" s="54"/>
      <c r="W482" s="54"/>
      <c r="X482" s="55"/>
      <c r="AD482" s="52"/>
      <c r="AG482" s="52"/>
      <c r="AJ482" s="52"/>
      <c r="AK482" s="52"/>
      <c r="AL482" s="55"/>
      <c r="AO482" s="52"/>
      <c r="AR482" s="52"/>
      <c r="AU482" s="52"/>
      <c r="AV482" s="52"/>
      <c r="AW482" s="55"/>
    </row>
    <row r="483" spans="1:49" ht="15.75" customHeight="1">
      <c r="A483" s="51"/>
      <c r="B483" s="51"/>
      <c r="E483" s="52"/>
      <c r="F483" s="55"/>
      <c r="G483" s="52"/>
      <c r="H483" s="52"/>
      <c r="I483" s="55"/>
      <c r="J483" s="52"/>
      <c r="K483" s="52"/>
      <c r="L483" s="52"/>
      <c r="M483" s="55"/>
      <c r="P483" s="54"/>
      <c r="S483" s="54"/>
      <c r="V483" s="54"/>
      <c r="W483" s="54"/>
      <c r="X483" s="55"/>
      <c r="AD483" s="52"/>
      <c r="AG483" s="52"/>
      <c r="AJ483" s="52"/>
      <c r="AK483" s="52"/>
      <c r="AL483" s="55"/>
      <c r="AO483" s="52"/>
      <c r="AR483" s="52"/>
      <c r="AU483" s="52"/>
      <c r="AV483" s="52"/>
      <c r="AW483" s="55"/>
    </row>
    <row r="484" spans="1:49" ht="15.75" customHeight="1">
      <c r="A484" s="51"/>
      <c r="B484" s="51"/>
      <c r="E484" s="52"/>
      <c r="F484" s="55"/>
      <c r="G484" s="52"/>
      <c r="H484" s="52"/>
      <c r="I484" s="55"/>
      <c r="J484" s="52"/>
      <c r="K484" s="52"/>
      <c r="L484" s="52"/>
      <c r="M484" s="55"/>
      <c r="P484" s="54"/>
      <c r="S484" s="54"/>
      <c r="V484" s="54"/>
      <c r="W484" s="54"/>
      <c r="X484" s="55"/>
      <c r="AD484" s="52"/>
      <c r="AG484" s="52"/>
      <c r="AJ484" s="52"/>
      <c r="AK484" s="52"/>
      <c r="AL484" s="55"/>
      <c r="AO484" s="52"/>
      <c r="AR484" s="52"/>
      <c r="AU484" s="52"/>
      <c r="AV484" s="52"/>
      <c r="AW484" s="55"/>
    </row>
    <row r="485" spans="1:49" ht="15.75" customHeight="1">
      <c r="A485" s="51"/>
      <c r="B485" s="51"/>
      <c r="E485" s="52"/>
      <c r="F485" s="55"/>
      <c r="G485" s="52"/>
      <c r="H485" s="52"/>
      <c r="I485" s="55"/>
      <c r="J485" s="52"/>
      <c r="K485" s="52"/>
      <c r="L485" s="52"/>
      <c r="M485" s="55"/>
      <c r="P485" s="54"/>
      <c r="S485" s="54"/>
      <c r="V485" s="54"/>
      <c r="W485" s="54"/>
      <c r="X485" s="55"/>
      <c r="AD485" s="52"/>
      <c r="AG485" s="52"/>
      <c r="AJ485" s="52"/>
      <c r="AK485" s="52"/>
      <c r="AL485" s="55"/>
      <c r="AO485" s="52"/>
      <c r="AR485" s="52"/>
      <c r="AU485" s="52"/>
      <c r="AV485" s="52"/>
      <c r="AW485" s="55"/>
    </row>
    <row r="486" spans="1:49" ht="15.75" customHeight="1">
      <c r="A486" s="51"/>
      <c r="B486" s="51"/>
      <c r="E486" s="52"/>
      <c r="F486" s="55"/>
      <c r="G486" s="52"/>
      <c r="H486" s="52"/>
      <c r="I486" s="55"/>
      <c r="J486" s="52"/>
      <c r="K486" s="52"/>
      <c r="L486" s="52"/>
      <c r="M486" s="55"/>
      <c r="P486" s="54"/>
      <c r="S486" s="54"/>
      <c r="V486" s="54"/>
      <c r="W486" s="54"/>
      <c r="X486" s="55"/>
      <c r="AD486" s="52"/>
      <c r="AG486" s="52"/>
      <c r="AJ486" s="52"/>
      <c r="AK486" s="52"/>
      <c r="AL486" s="55"/>
      <c r="AO486" s="52"/>
      <c r="AR486" s="52"/>
      <c r="AU486" s="52"/>
      <c r="AV486" s="52"/>
      <c r="AW486" s="55"/>
    </row>
    <row r="487" spans="1:49" ht="15.75" customHeight="1">
      <c r="A487" s="51"/>
      <c r="B487" s="51"/>
      <c r="E487" s="52"/>
      <c r="F487" s="55"/>
      <c r="G487" s="52"/>
      <c r="H487" s="52"/>
      <c r="I487" s="55"/>
      <c r="J487" s="52"/>
      <c r="K487" s="52"/>
      <c r="L487" s="52"/>
      <c r="M487" s="55"/>
      <c r="P487" s="54"/>
      <c r="S487" s="54"/>
      <c r="V487" s="54"/>
      <c r="W487" s="54"/>
      <c r="X487" s="55"/>
      <c r="AD487" s="52"/>
      <c r="AG487" s="52"/>
      <c r="AJ487" s="52"/>
      <c r="AK487" s="52"/>
      <c r="AL487" s="55"/>
      <c r="AO487" s="52"/>
      <c r="AR487" s="52"/>
      <c r="AU487" s="52"/>
      <c r="AV487" s="52"/>
      <c r="AW487" s="55"/>
    </row>
    <row r="488" spans="1:49" ht="15.75" customHeight="1">
      <c r="A488" s="51"/>
      <c r="B488" s="51"/>
      <c r="E488" s="52"/>
      <c r="F488" s="55"/>
      <c r="G488" s="52"/>
      <c r="H488" s="52"/>
      <c r="I488" s="55"/>
      <c r="J488" s="52"/>
      <c r="K488" s="52"/>
      <c r="L488" s="52"/>
      <c r="M488" s="55"/>
      <c r="P488" s="54"/>
      <c r="S488" s="54"/>
      <c r="V488" s="54"/>
      <c r="W488" s="54"/>
      <c r="X488" s="55"/>
      <c r="AD488" s="52"/>
      <c r="AG488" s="52"/>
      <c r="AJ488" s="52"/>
      <c r="AK488" s="52"/>
      <c r="AL488" s="55"/>
      <c r="AO488" s="52"/>
      <c r="AR488" s="52"/>
      <c r="AU488" s="52"/>
      <c r="AV488" s="52"/>
      <c r="AW488" s="55"/>
    </row>
    <row r="489" spans="1:49" ht="15.75" customHeight="1">
      <c r="A489" s="51"/>
      <c r="B489" s="51"/>
      <c r="E489" s="52"/>
      <c r="F489" s="55"/>
      <c r="G489" s="52"/>
      <c r="H489" s="52"/>
      <c r="I489" s="55"/>
      <c r="J489" s="52"/>
      <c r="K489" s="52"/>
      <c r="L489" s="52"/>
      <c r="M489" s="55"/>
      <c r="P489" s="54"/>
      <c r="S489" s="54"/>
      <c r="V489" s="54"/>
      <c r="W489" s="54"/>
      <c r="X489" s="55"/>
      <c r="AD489" s="52"/>
      <c r="AG489" s="52"/>
      <c r="AJ489" s="52"/>
      <c r="AK489" s="52"/>
      <c r="AL489" s="55"/>
      <c r="AO489" s="52"/>
      <c r="AR489" s="52"/>
      <c r="AU489" s="52"/>
      <c r="AV489" s="52"/>
      <c r="AW489" s="55"/>
    </row>
    <row r="490" spans="1:49" ht="15.75" customHeight="1">
      <c r="A490" s="51"/>
      <c r="B490" s="51"/>
      <c r="E490" s="52"/>
      <c r="F490" s="55"/>
      <c r="G490" s="52"/>
      <c r="H490" s="52"/>
      <c r="I490" s="55"/>
      <c r="J490" s="52"/>
      <c r="K490" s="52"/>
      <c r="L490" s="52"/>
      <c r="M490" s="55"/>
      <c r="P490" s="54"/>
      <c r="S490" s="54"/>
      <c r="V490" s="54"/>
      <c r="W490" s="54"/>
      <c r="X490" s="55"/>
      <c r="AD490" s="52"/>
      <c r="AG490" s="52"/>
      <c r="AJ490" s="52"/>
      <c r="AK490" s="52"/>
      <c r="AL490" s="55"/>
      <c r="AO490" s="52"/>
      <c r="AR490" s="52"/>
      <c r="AU490" s="52"/>
      <c r="AV490" s="52"/>
      <c r="AW490" s="55"/>
    </row>
    <row r="491" spans="1:49" ht="15.75" customHeight="1">
      <c r="A491" s="51"/>
      <c r="B491" s="51"/>
      <c r="E491" s="52"/>
      <c r="F491" s="55"/>
      <c r="G491" s="52"/>
      <c r="H491" s="52"/>
      <c r="I491" s="55"/>
      <c r="J491" s="52"/>
      <c r="K491" s="52"/>
      <c r="L491" s="52"/>
      <c r="M491" s="55"/>
      <c r="P491" s="54"/>
      <c r="S491" s="54"/>
      <c r="V491" s="54"/>
      <c r="W491" s="54"/>
      <c r="X491" s="55"/>
      <c r="AD491" s="52"/>
      <c r="AG491" s="52"/>
      <c r="AJ491" s="52"/>
      <c r="AK491" s="52"/>
      <c r="AL491" s="55"/>
      <c r="AO491" s="52"/>
      <c r="AR491" s="52"/>
      <c r="AU491" s="52"/>
      <c r="AV491" s="52"/>
      <c r="AW491" s="55"/>
    </row>
    <row r="492" spans="1:49" ht="15.75" customHeight="1">
      <c r="A492" s="51"/>
      <c r="B492" s="51"/>
      <c r="E492" s="52"/>
      <c r="F492" s="55"/>
      <c r="G492" s="52"/>
      <c r="H492" s="52"/>
      <c r="I492" s="55"/>
      <c r="J492" s="52"/>
      <c r="K492" s="52"/>
      <c r="L492" s="52"/>
      <c r="M492" s="55"/>
      <c r="P492" s="54"/>
      <c r="S492" s="54"/>
      <c r="V492" s="54"/>
      <c r="W492" s="54"/>
      <c r="X492" s="55"/>
      <c r="AD492" s="52"/>
      <c r="AG492" s="52"/>
      <c r="AJ492" s="52"/>
      <c r="AK492" s="52"/>
      <c r="AL492" s="55"/>
      <c r="AO492" s="52"/>
      <c r="AR492" s="52"/>
      <c r="AU492" s="52"/>
      <c r="AV492" s="52"/>
      <c r="AW492" s="55"/>
    </row>
    <row r="493" spans="1:49" ht="15.75" customHeight="1">
      <c r="A493" s="51"/>
      <c r="B493" s="51"/>
      <c r="E493" s="52"/>
      <c r="F493" s="55"/>
      <c r="G493" s="52"/>
      <c r="H493" s="52"/>
      <c r="I493" s="55"/>
      <c r="J493" s="52"/>
      <c r="K493" s="52"/>
      <c r="L493" s="52"/>
      <c r="M493" s="55"/>
      <c r="P493" s="54"/>
      <c r="S493" s="54"/>
      <c r="V493" s="54"/>
      <c r="W493" s="54"/>
      <c r="X493" s="55"/>
      <c r="AD493" s="52"/>
      <c r="AG493" s="52"/>
      <c r="AJ493" s="52"/>
      <c r="AK493" s="52"/>
      <c r="AL493" s="55"/>
      <c r="AO493" s="52"/>
      <c r="AR493" s="52"/>
      <c r="AU493" s="52"/>
      <c r="AV493" s="52"/>
      <c r="AW493" s="55"/>
    </row>
    <row r="494" spans="1:49" ht="15.75" customHeight="1">
      <c r="A494" s="51"/>
      <c r="B494" s="51"/>
      <c r="E494" s="52"/>
      <c r="F494" s="55"/>
      <c r="G494" s="52"/>
      <c r="H494" s="52"/>
      <c r="I494" s="55"/>
      <c r="J494" s="52"/>
      <c r="K494" s="52"/>
      <c r="L494" s="52"/>
      <c r="M494" s="55"/>
      <c r="P494" s="54"/>
      <c r="S494" s="54"/>
      <c r="V494" s="54"/>
      <c r="W494" s="54"/>
      <c r="X494" s="55"/>
      <c r="AD494" s="52"/>
      <c r="AG494" s="52"/>
      <c r="AJ494" s="52"/>
      <c r="AK494" s="52"/>
      <c r="AL494" s="55"/>
      <c r="AO494" s="52"/>
      <c r="AR494" s="52"/>
      <c r="AU494" s="52"/>
      <c r="AV494" s="52"/>
      <c r="AW494" s="55"/>
    </row>
    <row r="495" spans="1:49" ht="15.75" customHeight="1">
      <c r="A495" s="51"/>
      <c r="B495" s="51"/>
      <c r="E495" s="52"/>
      <c r="F495" s="55"/>
      <c r="G495" s="52"/>
      <c r="H495" s="52"/>
      <c r="I495" s="55"/>
      <c r="J495" s="52"/>
      <c r="K495" s="52"/>
      <c r="L495" s="52"/>
      <c r="M495" s="55"/>
      <c r="P495" s="54"/>
      <c r="S495" s="54"/>
      <c r="V495" s="54"/>
      <c r="W495" s="54"/>
      <c r="X495" s="55"/>
      <c r="AD495" s="52"/>
      <c r="AG495" s="52"/>
      <c r="AJ495" s="52"/>
      <c r="AK495" s="52"/>
      <c r="AL495" s="55"/>
      <c r="AO495" s="52"/>
      <c r="AR495" s="52"/>
      <c r="AU495" s="52"/>
      <c r="AV495" s="52"/>
      <c r="AW495" s="55"/>
    </row>
    <row r="496" spans="1:49" ht="15.75" customHeight="1">
      <c r="A496" s="51"/>
      <c r="B496" s="51"/>
      <c r="E496" s="52"/>
      <c r="F496" s="55"/>
      <c r="G496" s="52"/>
      <c r="H496" s="52"/>
      <c r="I496" s="55"/>
      <c r="J496" s="52"/>
      <c r="K496" s="52"/>
      <c r="L496" s="52"/>
      <c r="M496" s="55"/>
      <c r="P496" s="54"/>
      <c r="S496" s="54"/>
      <c r="V496" s="54"/>
      <c r="W496" s="54"/>
      <c r="X496" s="55"/>
      <c r="AD496" s="52"/>
      <c r="AG496" s="52"/>
      <c r="AJ496" s="52"/>
      <c r="AK496" s="52"/>
      <c r="AL496" s="55"/>
      <c r="AO496" s="52"/>
      <c r="AR496" s="52"/>
      <c r="AU496" s="52"/>
      <c r="AV496" s="52"/>
      <c r="AW496" s="55"/>
    </row>
    <row r="497" spans="1:49" ht="15.75" customHeight="1">
      <c r="A497" s="51"/>
      <c r="B497" s="51"/>
      <c r="E497" s="52"/>
      <c r="F497" s="55"/>
      <c r="G497" s="52"/>
      <c r="H497" s="52"/>
      <c r="I497" s="55"/>
      <c r="J497" s="52"/>
      <c r="K497" s="52"/>
      <c r="L497" s="52"/>
      <c r="M497" s="55"/>
      <c r="P497" s="54"/>
      <c r="S497" s="54"/>
      <c r="V497" s="54"/>
      <c r="W497" s="54"/>
      <c r="X497" s="55"/>
      <c r="AD497" s="52"/>
      <c r="AG497" s="52"/>
      <c r="AJ497" s="52"/>
      <c r="AK497" s="52"/>
      <c r="AL497" s="55"/>
      <c r="AO497" s="52"/>
      <c r="AR497" s="52"/>
      <c r="AU497" s="52"/>
      <c r="AV497" s="52"/>
      <c r="AW497" s="55"/>
    </row>
    <row r="498" spans="1:49" ht="15.75" customHeight="1">
      <c r="A498" s="51"/>
      <c r="B498" s="51"/>
      <c r="E498" s="52"/>
      <c r="F498" s="55"/>
      <c r="G498" s="52"/>
      <c r="H498" s="52"/>
      <c r="I498" s="55"/>
      <c r="J498" s="52"/>
      <c r="K498" s="52"/>
      <c r="L498" s="52"/>
      <c r="M498" s="55"/>
      <c r="P498" s="54"/>
      <c r="S498" s="54"/>
      <c r="V498" s="54"/>
      <c r="W498" s="54"/>
      <c r="X498" s="55"/>
      <c r="AD498" s="52"/>
      <c r="AG498" s="52"/>
      <c r="AJ498" s="52"/>
      <c r="AK498" s="52"/>
      <c r="AL498" s="55"/>
      <c r="AO498" s="52"/>
      <c r="AR498" s="52"/>
      <c r="AU498" s="52"/>
      <c r="AV498" s="52"/>
      <c r="AW498" s="55"/>
    </row>
    <row r="499" spans="1:49" ht="15.75" customHeight="1">
      <c r="A499" s="51"/>
      <c r="B499" s="51"/>
      <c r="E499" s="52"/>
      <c r="F499" s="55"/>
      <c r="G499" s="52"/>
      <c r="H499" s="52"/>
      <c r="I499" s="55"/>
      <c r="J499" s="52"/>
      <c r="K499" s="52"/>
      <c r="L499" s="52"/>
      <c r="M499" s="55"/>
      <c r="P499" s="54"/>
      <c r="S499" s="54"/>
      <c r="V499" s="54"/>
      <c r="W499" s="54"/>
      <c r="X499" s="55"/>
      <c r="AD499" s="52"/>
      <c r="AG499" s="52"/>
      <c r="AJ499" s="52"/>
      <c r="AK499" s="52"/>
      <c r="AL499" s="55"/>
      <c r="AO499" s="52"/>
      <c r="AR499" s="52"/>
      <c r="AU499" s="52"/>
      <c r="AV499" s="52"/>
      <c r="AW499" s="55"/>
    </row>
    <row r="500" spans="1:49" ht="15.75" customHeight="1">
      <c r="A500" s="51"/>
      <c r="B500" s="51"/>
      <c r="E500" s="52"/>
      <c r="F500" s="55"/>
      <c r="G500" s="52"/>
      <c r="H500" s="52"/>
      <c r="I500" s="55"/>
      <c r="J500" s="52"/>
      <c r="K500" s="52"/>
      <c r="L500" s="52"/>
      <c r="M500" s="55"/>
      <c r="P500" s="54"/>
      <c r="S500" s="54"/>
      <c r="V500" s="54"/>
      <c r="W500" s="54"/>
      <c r="X500" s="55"/>
      <c r="AD500" s="52"/>
      <c r="AG500" s="52"/>
      <c r="AJ500" s="52"/>
      <c r="AK500" s="52"/>
      <c r="AL500" s="55"/>
      <c r="AO500" s="52"/>
      <c r="AR500" s="52"/>
      <c r="AU500" s="52"/>
      <c r="AV500" s="52"/>
      <c r="AW500" s="55"/>
    </row>
    <row r="501" spans="1:49" ht="15.75" customHeight="1">
      <c r="A501" s="51"/>
      <c r="B501" s="51"/>
      <c r="E501" s="52"/>
      <c r="F501" s="55"/>
      <c r="G501" s="52"/>
      <c r="H501" s="52"/>
      <c r="I501" s="55"/>
      <c r="J501" s="52"/>
      <c r="K501" s="52"/>
      <c r="L501" s="52"/>
      <c r="M501" s="55"/>
      <c r="P501" s="54"/>
      <c r="S501" s="54"/>
      <c r="V501" s="54"/>
      <c r="W501" s="54"/>
      <c r="X501" s="55"/>
      <c r="AD501" s="52"/>
      <c r="AG501" s="52"/>
      <c r="AJ501" s="52"/>
      <c r="AK501" s="52"/>
      <c r="AL501" s="55"/>
      <c r="AO501" s="52"/>
      <c r="AR501" s="52"/>
      <c r="AU501" s="52"/>
      <c r="AV501" s="52"/>
      <c r="AW501" s="55"/>
    </row>
    <row r="502" spans="1:49" ht="15.75" customHeight="1">
      <c r="A502" s="51"/>
      <c r="B502" s="51"/>
      <c r="E502" s="52"/>
      <c r="F502" s="55"/>
      <c r="G502" s="52"/>
      <c r="H502" s="52"/>
      <c r="I502" s="55"/>
      <c r="J502" s="52"/>
      <c r="K502" s="52"/>
      <c r="L502" s="52"/>
      <c r="M502" s="55"/>
      <c r="P502" s="54"/>
      <c r="S502" s="54"/>
      <c r="V502" s="54"/>
      <c r="W502" s="54"/>
      <c r="X502" s="55"/>
      <c r="AD502" s="52"/>
      <c r="AG502" s="52"/>
      <c r="AJ502" s="52"/>
      <c r="AK502" s="52"/>
      <c r="AL502" s="55"/>
      <c r="AO502" s="52"/>
      <c r="AR502" s="52"/>
      <c r="AU502" s="52"/>
      <c r="AV502" s="52"/>
      <c r="AW502" s="55"/>
    </row>
    <row r="503" spans="1:49" ht="15.75" customHeight="1">
      <c r="A503" s="51"/>
      <c r="B503" s="51"/>
      <c r="E503" s="52"/>
      <c r="F503" s="55"/>
      <c r="G503" s="52"/>
      <c r="H503" s="52"/>
      <c r="I503" s="55"/>
      <c r="J503" s="52"/>
      <c r="K503" s="52"/>
      <c r="L503" s="52"/>
      <c r="M503" s="55"/>
      <c r="P503" s="54"/>
      <c r="S503" s="54"/>
      <c r="V503" s="54"/>
      <c r="W503" s="54"/>
      <c r="X503" s="55"/>
      <c r="AD503" s="52"/>
      <c r="AG503" s="52"/>
      <c r="AJ503" s="52"/>
      <c r="AK503" s="52"/>
      <c r="AL503" s="55"/>
      <c r="AO503" s="52"/>
      <c r="AR503" s="52"/>
      <c r="AU503" s="52"/>
      <c r="AV503" s="52"/>
      <c r="AW503" s="55"/>
    </row>
    <row r="504" spans="1:49" ht="15.75" customHeight="1">
      <c r="A504" s="51"/>
      <c r="B504" s="51"/>
      <c r="E504" s="52"/>
      <c r="F504" s="55"/>
      <c r="G504" s="52"/>
      <c r="H504" s="52"/>
      <c r="I504" s="55"/>
      <c r="J504" s="52"/>
      <c r="K504" s="52"/>
      <c r="L504" s="52"/>
      <c r="M504" s="55"/>
      <c r="P504" s="54"/>
      <c r="S504" s="54"/>
      <c r="V504" s="54"/>
      <c r="W504" s="54"/>
      <c r="X504" s="55"/>
      <c r="AD504" s="52"/>
      <c r="AG504" s="52"/>
      <c r="AJ504" s="52"/>
      <c r="AK504" s="52"/>
      <c r="AL504" s="55"/>
      <c r="AO504" s="52"/>
      <c r="AR504" s="52"/>
      <c r="AU504" s="52"/>
      <c r="AV504" s="52"/>
      <c r="AW504" s="55"/>
    </row>
    <row r="505" spans="1:49" ht="15.75" customHeight="1">
      <c r="A505" s="51"/>
      <c r="B505" s="51"/>
      <c r="E505" s="52"/>
      <c r="F505" s="55"/>
      <c r="G505" s="52"/>
      <c r="H505" s="52"/>
      <c r="I505" s="55"/>
      <c r="J505" s="52"/>
      <c r="K505" s="52"/>
      <c r="L505" s="52"/>
      <c r="M505" s="55"/>
      <c r="P505" s="54"/>
      <c r="S505" s="54"/>
      <c r="V505" s="54"/>
      <c r="W505" s="54"/>
      <c r="X505" s="55"/>
      <c r="AD505" s="52"/>
      <c r="AG505" s="52"/>
      <c r="AJ505" s="52"/>
      <c r="AK505" s="52"/>
      <c r="AL505" s="55"/>
      <c r="AO505" s="52"/>
      <c r="AR505" s="52"/>
      <c r="AU505" s="52"/>
      <c r="AV505" s="52"/>
      <c r="AW505" s="55"/>
    </row>
    <row r="506" spans="1:49" ht="15.75" customHeight="1">
      <c r="A506" s="51"/>
      <c r="B506" s="51"/>
      <c r="E506" s="52"/>
      <c r="F506" s="55"/>
      <c r="G506" s="52"/>
      <c r="H506" s="52"/>
      <c r="I506" s="55"/>
      <c r="J506" s="52"/>
      <c r="K506" s="52"/>
      <c r="L506" s="52"/>
      <c r="M506" s="55"/>
      <c r="P506" s="54"/>
      <c r="S506" s="54"/>
      <c r="V506" s="54"/>
      <c r="W506" s="54"/>
      <c r="X506" s="55"/>
      <c r="AD506" s="52"/>
      <c r="AG506" s="52"/>
      <c r="AJ506" s="52"/>
      <c r="AK506" s="52"/>
      <c r="AL506" s="55"/>
      <c r="AO506" s="52"/>
      <c r="AR506" s="52"/>
      <c r="AU506" s="52"/>
      <c r="AV506" s="52"/>
      <c r="AW506" s="55"/>
    </row>
    <row r="507" spans="1:49" ht="15.75" customHeight="1">
      <c r="A507" s="51"/>
      <c r="B507" s="51"/>
      <c r="E507" s="52"/>
      <c r="F507" s="55"/>
      <c r="G507" s="52"/>
      <c r="H507" s="52"/>
      <c r="I507" s="55"/>
      <c r="J507" s="52"/>
      <c r="K507" s="52"/>
      <c r="L507" s="52"/>
      <c r="M507" s="55"/>
      <c r="P507" s="54"/>
      <c r="S507" s="54"/>
      <c r="V507" s="54"/>
      <c r="W507" s="54"/>
      <c r="X507" s="55"/>
      <c r="AD507" s="52"/>
      <c r="AG507" s="52"/>
      <c r="AJ507" s="52"/>
      <c r="AK507" s="52"/>
      <c r="AL507" s="55"/>
      <c r="AO507" s="52"/>
      <c r="AR507" s="52"/>
      <c r="AU507" s="52"/>
      <c r="AV507" s="52"/>
      <c r="AW507" s="55"/>
    </row>
    <row r="508" spans="1:49" ht="15.75" customHeight="1">
      <c r="A508" s="51"/>
      <c r="B508" s="51"/>
      <c r="E508" s="52"/>
      <c r="F508" s="55"/>
      <c r="G508" s="52"/>
      <c r="H508" s="52"/>
      <c r="I508" s="55"/>
      <c r="J508" s="52"/>
      <c r="K508" s="52"/>
      <c r="L508" s="52"/>
      <c r="M508" s="55"/>
      <c r="P508" s="54"/>
      <c r="S508" s="54"/>
      <c r="V508" s="54"/>
      <c r="W508" s="54"/>
      <c r="X508" s="55"/>
      <c r="AD508" s="52"/>
      <c r="AG508" s="52"/>
      <c r="AJ508" s="52"/>
      <c r="AK508" s="52"/>
      <c r="AL508" s="55"/>
      <c r="AO508" s="52"/>
      <c r="AR508" s="52"/>
      <c r="AU508" s="52"/>
      <c r="AV508" s="52"/>
      <c r="AW508" s="55"/>
    </row>
    <row r="509" spans="1:49" ht="15.75" customHeight="1">
      <c r="A509" s="51"/>
      <c r="B509" s="51"/>
      <c r="E509" s="52"/>
      <c r="F509" s="55"/>
      <c r="G509" s="52"/>
      <c r="H509" s="52"/>
      <c r="I509" s="55"/>
      <c r="J509" s="52"/>
      <c r="K509" s="52"/>
      <c r="L509" s="52"/>
      <c r="M509" s="55"/>
      <c r="P509" s="54"/>
      <c r="S509" s="54"/>
      <c r="V509" s="54"/>
      <c r="W509" s="54"/>
      <c r="X509" s="55"/>
      <c r="AD509" s="52"/>
      <c r="AG509" s="52"/>
      <c r="AJ509" s="52"/>
      <c r="AK509" s="52"/>
      <c r="AL509" s="55"/>
      <c r="AO509" s="52"/>
      <c r="AR509" s="52"/>
      <c r="AU509" s="52"/>
      <c r="AV509" s="52"/>
      <c r="AW509" s="55"/>
    </row>
    <row r="510" spans="1:49" ht="15.75" customHeight="1">
      <c r="A510" s="51"/>
      <c r="B510" s="51"/>
      <c r="E510" s="52"/>
      <c r="F510" s="55"/>
      <c r="G510" s="52"/>
      <c r="H510" s="52"/>
      <c r="I510" s="55"/>
      <c r="J510" s="52"/>
      <c r="K510" s="52"/>
      <c r="L510" s="52"/>
      <c r="M510" s="55"/>
      <c r="P510" s="54"/>
      <c r="S510" s="54"/>
      <c r="V510" s="54"/>
      <c r="W510" s="54"/>
      <c r="X510" s="55"/>
      <c r="AD510" s="52"/>
      <c r="AG510" s="52"/>
      <c r="AJ510" s="52"/>
      <c r="AK510" s="52"/>
      <c r="AL510" s="55"/>
      <c r="AO510" s="52"/>
      <c r="AR510" s="52"/>
      <c r="AU510" s="52"/>
      <c r="AV510" s="52"/>
      <c r="AW510" s="55"/>
    </row>
    <row r="511" spans="1:49" ht="15.75" customHeight="1">
      <c r="A511" s="51"/>
      <c r="B511" s="51"/>
      <c r="E511" s="52"/>
      <c r="F511" s="55"/>
      <c r="G511" s="52"/>
      <c r="H511" s="52"/>
      <c r="I511" s="55"/>
      <c r="J511" s="52"/>
      <c r="K511" s="52"/>
      <c r="L511" s="52"/>
      <c r="M511" s="55"/>
      <c r="P511" s="54"/>
      <c r="S511" s="54"/>
      <c r="V511" s="54"/>
      <c r="W511" s="54"/>
      <c r="X511" s="55"/>
      <c r="AD511" s="52"/>
      <c r="AG511" s="52"/>
      <c r="AJ511" s="52"/>
      <c r="AK511" s="52"/>
      <c r="AL511" s="55"/>
      <c r="AO511" s="52"/>
      <c r="AR511" s="52"/>
      <c r="AU511" s="52"/>
      <c r="AV511" s="52"/>
      <c r="AW511" s="55"/>
    </row>
    <row r="512" spans="1:49" ht="15.75" customHeight="1">
      <c r="A512" s="51"/>
      <c r="B512" s="51"/>
      <c r="E512" s="52"/>
      <c r="F512" s="55"/>
      <c r="G512" s="52"/>
      <c r="H512" s="52"/>
      <c r="I512" s="55"/>
      <c r="J512" s="52"/>
      <c r="K512" s="52"/>
      <c r="L512" s="52"/>
      <c r="M512" s="55"/>
      <c r="P512" s="54"/>
      <c r="S512" s="54"/>
      <c r="V512" s="54"/>
      <c r="W512" s="54"/>
      <c r="X512" s="55"/>
      <c r="AD512" s="52"/>
      <c r="AG512" s="52"/>
      <c r="AJ512" s="52"/>
      <c r="AK512" s="52"/>
      <c r="AL512" s="55"/>
      <c r="AO512" s="52"/>
      <c r="AR512" s="52"/>
      <c r="AU512" s="52"/>
      <c r="AV512" s="52"/>
      <c r="AW512" s="55"/>
    </row>
    <row r="513" spans="1:49" ht="15.75" customHeight="1">
      <c r="A513" s="51"/>
      <c r="B513" s="51"/>
      <c r="E513" s="52"/>
      <c r="F513" s="55"/>
      <c r="G513" s="52"/>
      <c r="H513" s="52"/>
      <c r="I513" s="55"/>
      <c r="J513" s="52"/>
      <c r="K513" s="52"/>
      <c r="L513" s="52"/>
      <c r="M513" s="55"/>
      <c r="P513" s="54"/>
      <c r="S513" s="54"/>
      <c r="V513" s="54"/>
      <c r="W513" s="54"/>
      <c r="X513" s="55"/>
      <c r="AD513" s="52"/>
      <c r="AG513" s="52"/>
      <c r="AJ513" s="52"/>
      <c r="AK513" s="52"/>
      <c r="AL513" s="55"/>
      <c r="AO513" s="52"/>
      <c r="AR513" s="52"/>
      <c r="AU513" s="52"/>
      <c r="AV513" s="52"/>
      <c r="AW513" s="55"/>
    </row>
    <row r="514" spans="1:49" ht="15.75" customHeight="1">
      <c r="A514" s="51"/>
      <c r="B514" s="51"/>
      <c r="E514" s="52"/>
      <c r="F514" s="55"/>
      <c r="G514" s="52"/>
      <c r="H514" s="52"/>
      <c r="I514" s="55"/>
      <c r="J514" s="52"/>
      <c r="K514" s="52"/>
      <c r="L514" s="52"/>
      <c r="M514" s="55"/>
      <c r="P514" s="54"/>
      <c r="S514" s="54"/>
      <c r="V514" s="54"/>
      <c r="W514" s="54"/>
      <c r="X514" s="55"/>
      <c r="AD514" s="52"/>
      <c r="AG514" s="52"/>
      <c r="AJ514" s="52"/>
      <c r="AK514" s="52"/>
      <c r="AL514" s="55"/>
      <c r="AO514" s="52"/>
      <c r="AR514" s="52"/>
      <c r="AU514" s="52"/>
      <c r="AV514" s="52"/>
      <c r="AW514" s="55"/>
    </row>
    <row r="515" spans="1:49" ht="15.75" customHeight="1">
      <c r="A515" s="51"/>
      <c r="B515" s="51"/>
      <c r="E515" s="52"/>
      <c r="F515" s="55"/>
      <c r="G515" s="52"/>
      <c r="H515" s="52"/>
      <c r="I515" s="55"/>
      <c r="J515" s="52"/>
      <c r="K515" s="52"/>
      <c r="L515" s="52"/>
      <c r="M515" s="55"/>
      <c r="P515" s="54"/>
      <c r="S515" s="54"/>
      <c r="V515" s="54"/>
      <c r="W515" s="54"/>
      <c r="X515" s="55"/>
      <c r="AD515" s="52"/>
      <c r="AG515" s="52"/>
      <c r="AJ515" s="52"/>
      <c r="AK515" s="52"/>
      <c r="AL515" s="55"/>
      <c r="AO515" s="52"/>
      <c r="AR515" s="52"/>
      <c r="AU515" s="52"/>
      <c r="AV515" s="52"/>
      <c r="AW515" s="55"/>
    </row>
    <row r="516" spans="1:49" ht="15.75" customHeight="1">
      <c r="A516" s="51"/>
      <c r="B516" s="51"/>
      <c r="E516" s="52"/>
      <c r="F516" s="55"/>
      <c r="G516" s="52"/>
      <c r="H516" s="52"/>
      <c r="I516" s="55"/>
      <c r="J516" s="52"/>
      <c r="K516" s="52"/>
      <c r="L516" s="52"/>
      <c r="M516" s="55"/>
      <c r="P516" s="54"/>
      <c r="S516" s="54"/>
      <c r="V516" s="54"/>
      <c r="W516" s="54"/>
      <c r="X516" s="55"/>
      <c r="AD516" s="52"/>
      <c r="AG516" s="52"/>
      <c r="AJ516" s="52"/>
      <c r="AK516" s="52"/>
      <c r="AL516" s="55"/>
      <c r="AO516" s="52"/>
      <c r="AR516" s="52"/>
      <c r="AU516" s="52"/>
      <c r="AV516" s="52"/>
      <c r="AW516" s="55"/>
    </row>
    <row r="517" spans="1:49" ht="15.75" customHeight="1">
      <c r="A517" s="51"/>
      <c r="B517" s="51"/>
      <c r="E517" s="52"/>
      <c r="F517" s="55"/>
      <c r="G517" s="52"/>
      <c r="H517" s="52"/>
      <c r="I517" s="55"/>
      <c r="J517" s="52"/>
      <c r="K517" s="52"/>
      <c r="L517" s="52"/>
      <c r="M517" s="55"/>
      <c r="P517" s="54"/>
      <c r="S517" s="54"/>
      <c r="V517" s="54"/>
      <c r="W517" s="54"/>
      <c r="X517" s="55"/>
      <c r="AD517" s="52"/>
      <c r="AG517" s="52"/>
      <c r="AJ517" s="52"/>
      <c r="AK517" s="52"/>
      <c r="AL517" s="55"/>
      <c r="AO517" s="52"/>
      <c r="AR517" s="52"/>
      <c r="AU517" s="52"/>
      <c r="AV517" s="52"/>
      <c r="AW517" s="55"/>
    </row>
    <row r="518" spans="1:49" ht="15.75" customHeight="1">
      <c r="A518" s="51"/>
      <c r="B518" s="51"/>
      <c r="E518" s="52"/>
      <c r="F518" s="55"/>
      <c r="G518" s="52"/>
      <c r="H518" s="52"/>
      <c r="I518" s="55"/>
      <c r="J518" s="52"/>
      <c r="K518" s="52"/>
      <c r="L518" s="52"/>
      <c r="M518" s="55"/>
      <c r="P518" s="54"/>
      <c r="S518" s="54"/>
      <c r="V518" s="54"/>
      <c r="W518" s="54"/>
      <c r="X518" s="55"/>
      <c r="AD518" s="52"/>
      <c r="AG518" s="52"/>
      <c r="AJ518" s="52"/>
      <c r="AK518" s="52"/>
      <c r="AL518" s="55"/>
      <c r="AO518" s="52"/>
      <c r="AR518" s="52"/>
      <c r="AU518" s="52"/>
      <c r="AV518" s="52"/>
      <c r="AW518" s="55"/>
    </row>
    <row r="519" spans="1:49" ht="15.75" customHeight="1">
      <c r="A519" s="51"/>
      <c r="B519" s="51"/>
      <c r="E519" s="52"/>
      <c r="F519" s="55"/>
      <c r="G519" s="52"/>
      <c r="H519" s="52"/>
      <c r="I519" s="55"/>
      <c r="J519" s="52"/>
      <c r="K519" s="52"/>
      <c r="L519" s="52"/>
      <c r="M519" s="55"/>
      <c r="P519" s="54"/>
      <c r="S519" s="54"/>
      <c r="V519" s="54"/>
      <c r="W519" s="54"/>
      <c r="X519" s="55"/>
      <c r="AD519" s="52"/>
      <c r="AG519" s="52"/>
      <c r="AJ519" s="52"/>
      <c r="AK519" s="52"/>
      <c r="AL519" s="55"/>
      <c r="AO519" s="52"/>
      <c r="AR519" s="52"/>
      <c r="AU519" s="52"/>
      <c r="AV519" s="52"/>
      <c r="AW519" s="55"/>
    </row>
    <row r="520" spans="1:49" ht="15.75" customHeight="1">
      <c r="A520" s="51"/>
      <c r="B520" s="51"/>
      <c r="E520" s="52"/>
      <c r="F520" s="55"/>
      <c r="G520" s="52"/>
      <c r="H520" s="52"/>
      <c r="I520" s="55"/>
      <c r="J520" s="52"/>
      <c r="K520" s="52"/>
      <c r="L520" s="52"/>
      <c r="M520" s="55"/>
      <c r="P520" s="54"/>
      <c r="S520" s="54"/>
      <c r="V520" s="54"/>
      <c r="W520" s="54"/>
      <c r="X520" s="55"/>
      <c r="AD520" s="52"/>
      <c r="AG520" s="52"/>
      <c r="AJ520" s="52"/>
      <c r="AK520" s="52"/>
      <c r="AL520" s="55"/>
      <c r="AO520" s="52"/>
      <c r="AR520" s="52"/>
      <c r="AU520" s="52"/>
      <c r="AV520" s="52"/>
      <c r="AW520" s="55"/>
    </row>
    <row r="521" spans="1:49" ht="15.75" customHeight="1">
      <c r="A521" s="51"/>
      <c r="B521" s="51"/>
      <c r="E521" s="52"/>
      <c r="F521" s="55"/>
      <c r="G521" s="52"/>
      <c r="H521" s="52"/>
      <c r="I521" s="55"/>
      <c r="J521" s="52"/>
      <c r="K521" s="52"/>
      <c r="L521" s="52"/>
      <c r="M521" s="55"/>
      <c r="P521" s="54"/>
      <c r="S521" s="54"/>
      <c r="V521" s="54"/>
      <c r="W521" s="54"/>
      <c r="X521" s="55"/>
      <c r="AD521" s="52"/>
      <c r="AG521" s="52"/>
      <c r="AJ521" s="52"/>
      <c r="AK521" s="52"/>
      <c r="AL521" s="55"/>
      <c r="AO521" s="52"/>
      <c r="AR521" s="52"/>
      <c r="AU521" s="52"/>
      <c r="AV521" s="52"/>
      <c r="AW521" s="55"/>
    </row>
    <row r="522" spans="1:49" ht="15.75" customHeight="1">
      <c r="A522" s="51"/>
      <c r="B522" s="51"/>
      <c r="E522" s="52"/>
      <c r="F522" s="55"/>
      <c r="G522" s="52"/>
      <c r="H522" s="52"/>
      <c r="I522" s="55"/>
      <c r="J522" s="52"/>
      <c r="K522" s="52"/>
      <c r="L522" s="52"/>
      <c r="M522" s="55"/>
      <c r="P522" s="54"/>
      <c r="S522" s="54"/>
      <c r="V522" s="54"/>
      <c r="W522" s="54"/>
      <c r="X522" s="55"/>
      <c r="AD522" s="52"/>
      <c r="AG522" s="52"/>
      <c r="AJ522" s="52"/>
      <c r="AK522" s="52"/>
      <c r="AL522" s="55"/>
      <c r="AO522" s="52"/>
      <c r="AR522" s="52"/>
      <c r="AU522" s="52"/>
      <c r="AV522" s="52"/>
      <c r="AW522" s="55"/>
    </row>
    <row r="523" spans="1:49" ht="15.75" customHeight="1">
      <c r="A523" s="51"/>
      <c r="B523" s="51"/>
      <c r="E523" s="52"/>
      <c r="F523" s="55"/>
      <c r="G523" s="52"/>
      <c r="H523" s="52"/>
      <c r="I523" s="55"/>
      <c r="J523" s="52"/>
      <c r="K523" s="52"/>
      <c r="L523" s="52"/>
      <c r="M523" s="55"/>
      <c r="P523" s="54"/>
      <c r="S523" s="54"/>
      <c r="V523" s="54"/>
      <c r="W523" s="54"/>
      <c r="X523" s="55"/>
      <c r="AD523" s="52"/>
      <c r="AG523" s="52"/>
      <c r="AJ523" s="52"/>
      <c r="AK523" s="52"/>
      <c r="AL523" s="55"/>
      <c r="AO523" s="52"/>
      <c r="AR523" s="52"/>
      <c r="AU523" s="52"/>
      <c r="AV523" s="52"/>
      <c r="AW523" s="55"/>
    </row>
    <row r="524" spans="1:49" ht="15.75" customHeight="1">
      <c r="A524" s="51"/>
      <c r="B524" s="51"/>
      <c r="E524" s="52"/>
      <c r="F524" s="55"/>
      <c r="G524" s="52"/>
      <c r="H524" s="52"/>
      <c r="I524" s="55"/>
      <c r="J524" s="52"/>
      <c r="K524" s="52"/>
      <c r="L524" s="52"/>
      <c r="M524" s="55"/>
      <c r="P524" s="54"/>
      <c r="S524" s="54"/>
      <c r="V524" s="54"/>
      <c r="W524" s="54"/>
      <c r="X524" s="55"/>
      <c r="AD524" s="52"/>
      <c r="AG524" s="52"/>
      <c r="AJ524" s="52"/>
      <c r="AK524" s="52"/>
      <c r="AL524" s="55"/>
      <c r="AO524" s="52"/>
      <c r="AR524" s="52"/>
      <c r="AU524" s="52"/>
      <c r="AV524" s="52"/>
      <c r="AW524" s="55"/>
    </row>
    <row r="525" spans="1:49" ht="15.75" customHeight="1">
      <c r="A525" s="51"/>
      <c r="B525" s="51"/>
      <c r="E525" s="52"/>
      <c r="F525" s="55"/>
      <c r="G525" s="52"/>
      <c r="H525" s="52"/>
      <c r="I525" s="55"/>
      <c r="J525" s="52"/>
      <c r="K525" s="52"/>
      <c r="L525" s="52"/>
      <c r="M525" s="55"/>
      <c r="P525" s="54"/>
      <c r="S525" s="54"/>
      <c r="V525" s="54"/>
      <c r="W525" s="54"/>
      <c r="X525" s="55"/>
      <c r="AD525" s="52"/>
      <c r="AG525" s="52"/>
      <c r="AJ525" s="52"/>
      <c r="AK525" s="52"/>
      <c r="AL525" s="55"/>
      <c r="AO525" s="52"/>
      <c r="AR525" s="52"/>
      <c r="AU525" s="52"/>
      <c r="AV525" s="52"/>
      <c r="AW525" s="55"/>
    </row>
    <row r="526" spans="1:49" ht="15.75" customHeight="1">
      <c r="A526" s="51"/>
      <c r="B526" s="51"/>
      <c r="E526" s="52"/>
      <c r="F526" s="55"/>
      <c r="G526" s="52"/>
      <c r="H526" s="52"/>
      <c r="I526" s="55"/>
      <c r="J526" s="52"/>
      <c r="K526" s="52"/>
      <c r="L526" s="52"/>
      <c r="M526" s="55"/>
      <c r="P526" s="54"/>
      <c r="S526" s="54"/>
      <c r="V526" s="54"/>
      <c r="W526" s="54"/>
      <c r="X526" s="55"/>
      <c r="AD526" s="52"/>
      <c r="AG526" s="52"/>
      <c r="AJ526" s="52"/>
      <c r="AK526" s="52"/>
      <c r="AL526" s="55"/>
      <c r="AO526" s="52"/>
      <c r="AR526" s="52"/>
      <c r="AU526" s="52"/>
      <c r="AV526" s="52"/>
      <c r="AW526" s="55"/>
    </row>
    <row r="527" spans="1:49" ht="15.75" customHeight="1">
      <c r="A527" s="51"/>
      <c r="B527" s="51"/>
      <c r="E527" s="52"/>
      <c r="F527" s="55"/>
      <c r="G527" s="52"/>
      <c r="H527" s="52"/>
      <c r="I527" s="55"/>
      <c r="J527" s="52"/>
      <c r="K527" s="52"/>
      <c r="L527" s="52"/>
      <c r="M527" s="55"/>
      <c r="P527" s="54"/>
      <c r="S527" s="54"/>
      <c r="V527" s="54"/>
      <c r="W527" s="54"/>
      <c r="X527" s="55"/>
      <c r="AD527" s="52"/>
      <c r="AG527" s="52"/>
      <c r="AJ527" s="52"/>
      <c r="AK527" s="52"/>
      <c r="AL527" s="55"/>
      <c r="AO527" s="52"/>
      <c r="AR527" s="52"/>
      <c r="AU527" s="52"/>
      <c r="AV527" s="52"/>
      <c r="AW527" s="55"/>
    </row>
    <row r="528" spans="1:49" ht="15.75" customHeight="1">
      <c r="A528" s="51"/>
      <c r="B528" s="51"/>
      <c r="E528" s="52"/>
      <c r="F528" s="55"/>
      <c r="G528" s="52"/>
      <c r="H528" s="52"/>
      <c r="I528" s="55"/>
      <c r="J528" s="52"/>
      <c r="K528" s="52"/>
      <c r="L528" s="52"/>
      <c r="M528" s="55"/>
      <c r="P528" s="54"/>
      <c r="S528" s="54"/>
      <c r="V528" s="54"/>
      <c r="W528" s="54"/>
      <c r="X528" s="55"/>
      <c r="AD528" s="52"/>
      <c r="AG528" s="52"/>
      <c r="AJ528" s="52"/>
      <c r="AK528" s="52"/>
      <c r="AL528" s="55"/>
      <c r="AO528" s="52"/>
      <c r="AR528" s="52"/>
      <c r="AU528" s="52"/>
      <c r="AV528" s="52"/>
      <c r="AW528" s="55"/>
    </row>
    <row r="529" spans="1:49" ht="15.75" customHeight="1">
      <c r="A529" s="51"/>
      <c r="B529" s="51"/>
      <c r="E529" s="52"/>
      <c r="F529" s="55"/>
      <c r="G529" s="52"/>
      <c r="H529" s="52"/>
      <c r="I529" s="55"/>
      <c r="J529" s="52"/>
      <c r="K529" s="52"/>
      <c r="L529" s="52"/>
      <c r="M529" s="55"/>
      <c r="P529" s="54"/>
      <c r="S529" s="54"/>
      <c r="V529" s="54"/>
      <c r="W529" s="54"/>
      <c r="X529" s="55"/>
      <c r="AD529" s="52"/>
      <c r="AG529" s="52"/>
      <c r="AJ529" s="52"/>
      <c r="AK529" s="52"/>
      <c r="AL529" s="55"/>
      <c r="AO529" s="52"/>
      <c r="AR529" s="52"/>
      <c r="AU529" s="52"/>
      <c r="AV529" s="52"/>
      <c r="AW529" s="55"/>
    </row>
    <row r="530" spans="1:49" ht="15.75" customHeight="1">
      <c r="A530" s="51"/>
      <c r="B530" s="51"/>
      <c r="E530" s="52"/>
      <c r="F530" s="55"/>
      <c r="G530" s="52"/>
      <c r="H530" s="52"/>
      <c r="I530" s="55"/>
      <c r="J530" s="52"/>
      <c r="K530" s="52"/>
      <c r="L530" s="52"/>
      <c r="M530" s="55"/>
      <c r="P530" s="54"/>
      <c r="S530" s="54"/>
      <c r="V530" s="54"/>
      <c r="W530" s="54"/>
      <c r="X530" s="55"/>
      <c r="AD530" s="52"/>
      <c r="AG530" s="52"/>
      <c r="AJ530" s="52"/>
      <c r="AK530" s="52"/>
      <c r="AL530" s="55"/>
      <c r="AO530" s="52"/>
      <c r="AR530" s="52"/>
      <c r="AU530" s="52"/>
      <c r="AV530" s="52"/>
      <c r="AW530" s="55"/>
    </row>
    <row r="531" spans="1:49" ht="15.75" customHeight="1">
      <c r="A531" s="51"/>
      <c r="B531" s="51"/>
      <c r="E531" s="52"/>
      <c r="F531" s="55"/>
      <c r="G531" s="52"/>
      <c r="H531" s="52"/>
      <c r="I531" s="55"/>
      <c r="J531" s="52"/>
      <c r="K531" s="52"/>
      <c r="L531" s="52"/>
      <c r="M531" s="55"/>
      <c r="P531" s="54"/>
      <c r="S531" s="54"/>
      <c r="V531" s="54"/>
      <c r="W531" s="54"/>
      <c r="X531" s="55"/>
      <c r="AD531" s="52"/>
      <c r="AG531" s="52"/>
      <c r="AJ531" s="52"/>
      <c r="AK531" s="52"/>
      <c r="AL531" s="55"/>
      <c r="AO531" s="52"/>
      <c r="AR531" s="52"/>
      <c r="AU531" s="52"/>
      <c r="AV531" s="52"/>
      <c r="AW531" s="55"/>
    </row>
    <row r="532" spans="1:49" ht="15.75" customHeight="1">
      <c r="A532" s="51"/>
      <c r="B532" s="51"/>
      <c r="E532" s="52"/>
      <c r="F532" s="55"/>
      <c r="G532" s="52"/>
      <c r="H532" s="52"/>
      <c r="I532" s="55"/>
      <c r="J532" s="52"/>
      <c r="K532" s="52"/>
      <c r="L532" s="52"/>
      <c r="M532" s="55"/>
      <c r="P532" s="54"/>
      <c r="S532" s="54"/>
      <c r="V532" s="54"/>
      <c r="W532" s="54"/>
      <c r="X532" s="55"/>
      <c r="AD532" s="52"/>
      <c r="AG532" s="52"/>
      <c r="AJ532" s="52"/>
      <c r="AK532" s="52"/>
      <c r="AL532" s="55"/>
      <c r="AO532" s="52"/>
      <c r="AR532" s="52"/>
      <c r="AU532" s="52"/>
      <c r="AV532" s="52"/>
      <c r="AW532" s="55"/>
    </row>
    <row r="533" spans="1:49" ht="15.75" customHeight="1">
      <c r="A533" s="51"/>
      <c r="B533" s="51"/>
      <c r="E533" s="52"/>
      <c r="F533" s="55"/>
      <c r="G533" s="52"/>
      <c r="H533" s="52"/>
      <c r="I533" s="55"/>
      <c r="J533" s="52"/>
      <c r="K533" s="52"/>
      <c r="L533" s="52"/>
      <c r="M533" s="55"/>
      <c r="P533" s="54"/>
      <c r="S533" s="54"/>
      <c r="V533" s="54"/>
      <c r="W533" s="54"/>
      <c r="X533" s="55"/>
      <c r="AD533" s="52"/>
      <c r="AG533" s="52"/>
      <c r="AJ533" s="52"/>
      <c r="AK533" s="52"/>
      <c r="AL533" s="55"/>
      <c r="AO533" s="52"/>
      <c r="AR533" s="52"/>
      <c r="AU533" s="52"/>
      <c r="AV533" s="52"/>
      <c r="AW533" s="55"/>
    </row>
    <row r="534" spans="1:49" ht="15.75" customHeight="1">
      <c r="A534" s="51"/>
      <c r="B534" s="51"/>
      <c r="E534" s="52"/>
      <c r="F534" s="55"/>
      <c r="G534" s="52"/>
      <c r="H534" s="52"/>
      <c r="I534" s="55"/>
      <c r="J534" s="52"/>
      <c r="K534" s="52"/>
      <c r="L534" s="52"/>
      <c r="M534" s="55"/>
      <c r="P534" s="54"/>
      <c r="S534" s="54"/>
      <c r="V534" s="54"/>
      <c r="W534" s="54"/>
      <c r="X534" s="55"/>
      <c r="AD534" s="52"/>
      <c r="AG534" s="52"/>
      <c r="AJ534" s="52"/>
      <c r="AK534" s="52"/>
      <c r="AL534" s="55"/>
      <c r="AO534" s="52"/>
      <c r="AR534" s="52"/>
      <c r="AU534" s="52"/>
      <c r="AV534" s="52"/>
      <c r="AW534" s="55"/>
    </row>
    <row r="535" spans="1:49" ht="15.75" customHeight="1">
      <c r="A535" s="51"/>
      <c r="B535" s="51"/>
      <c r="E535" s="52"/>
      <c r="F535" s="55"/>
      <c r="G535" s="52"/>
      <c r="H535" s="52"/>
      <c r="I535" s="55"/>
      <c r="J535" s="52"/>
      <c r="K535" s="52"/>
      <c r="L535" s="52"/>
      <c r="M535" s="55"/>
      <c r="P535" s="54"/>
      <c r="S535" s="54"/>
      <c r="V535" s="54"/>
      <c r="W535" s="54"/>
      <c r="X535" s="55"/>
      <c r="AD535" s="52"/>
      <c r="AG535" s="52"/>
      <c r="AJ535" s="52"/>
      <c r="AK535" s="52"/>
      <c r="AL535" s="55"/>
      <c r="AO535" s="52"/>
      <c r="AR535" s="52"/>
      <c r="AU535" s="52"/>
      <c r="AV535" s="52"/>
      <c r="AW535" s="55"/>
    </row>
    <row r="536" spans="1:49" ht="15.75" customHeight="1">
      <c r="A536" s="51"/>
      <c r="B536" s="51"/>
      <c r="E536" s="52"/>
      <c r="F536" s="55"/>
      <c r="G536" s="52"/>
      <c r="H536" s="52"/>
      <c r="I536" s="55"/>
      <c r="J536" s="52"/>
      <c r="K536" s="52"/>
      <c r="L536" s="52"/>
      <c r="M536" s="55"/>
      <c r="P536" s="54"/>
      <c r="S536" s="54"/>
      <c r="V536" s="54"/>
      <c r="W536" s="54"/>
      <c r="X536" s="55"/>
      <c r="AD536" s="52"/>
      <c r="AG536" s="52"/>
      <c r="AJ536" s="52"/>
      <c r="AK536" s="52"/>
      <c r="AL536" s="55"/>
      <c r="AO536" s="52"/>
      <c r="AR536" s="52"/>
      <c r="AU536" s="52"/>
      <c r="AV536" s="52"/>
      <c r="AW536" s="55"/>
    </row>
    <row r="537" spans="1:49" ht="15.75" customHeight="1">
      <c r="A537" s="51"/>
      <c r="B537" s="51"/>
      <c r="E537" s="52"/>
      <c r="F537" s="55"/>
      <c r="G537" s="52"/>
      <c r="H537" s="52"/>
      <c r="I537" s="55"/>
      <c r="J537" s="52"/>
      <c r="K537" s="52"/>
      <c r="L537" s="52"/>
      <c r="M537" s="55"/>
      <c r="P537" s="54"/>
      <c r="S537" s="54"/>
      <c r="V537" s="54"/>
      <c r="W537" s="54"/>
      <c r="X537" s="55"/>
      <c r="AD537" s="52"/>
      <c r="AG537" s="52"/>
      <c r="AJ537" s="52"/>
      <c r="AK537" s="52"/>
      <c r="AL537" s="55"/>
      <c r="AO537" s="52"/>
      <c r="AR537" s="52"/>
      <c r="AU537" s="52"/>
      <c r="AV537" s="52"/>
      <c r="AW537" s="55"/>
    </row>
    <row r="538" spans="1:49" ht="15.75" customHeight="1">
      <c r="A538" s="51"/>
      <c r="B538" s="51"/>
      <c r="E538" s="52"/>
      <c r="F538" s="55"/>
      <c r="G538" s="52"/>
      <c r="H538" s="52"/>
      <c r="I538" s="55"/>
      <c r="J538" s="52"/>
      <c r="K538" s="52"/>
      <c r="L538" s="52"/>
      <c r="M538" s="55"/>
      <c r="P538" s="54"/>
      <c r="S538" s="54"/>
      <c r="V538" s="54"/>
      <c r="W538" s="54"/>
      <c r="X538" s="55"/>
      <c r="AD538" s="52"/>
      <c r="AG538" s="52"/>
      <c r="AJ538" s="52"/>
      <c r="AK538" s="52"/>
      <c r="AL538" s="55"/>
      <c r="AO538" s="52"/>
      <c r="AR538" s="52"/>
      <c r="AU538" s="52"/>
      <c r="AV538" s="52"/>
      <c r="AW538" s="55"/>
    </row>
    <row r="539" spans="1:49" ht="15.75" customHeight="1">
      <c r="A539" s="51"/>
      <c r="B539" s="51"/>
      <c r="E539" s="52"/>
      <c r="F539" s="55"/>
      <c r="G539" s="52"/>
      <c r="H539" s="52"/>
      <c r="I539" s="55"/>
      <c r="J539" s="52"/>
      <c r="K539" s="52"/>
      <c r="L539" s="52"/>
      <c r="M539" s="55"/>
      <c r="P539" s="54"/>
      <c r="S539" s="54"/>
      <c r="V539" s="54"/>
      <c r="W539" s="54"/>
      <c r="X539" s="55"/>
      <c r="AD539" s="52"/>
      <c r="AG539" s="52"/>
      <c r="AJ539" s="52"/>
      <c r="AK539" s="52"/>
      <c r="AL539" s="55"/>
      <c r="AO539" s="52"/>
      <c r="AR539" s="52"/>
      <c r="AU539" s="52"/>
      <c r="AV539" s="52"/>
      <c r="AW539" s="55"/>
    </row>
    <row r="540" spans="1:49" ht="15.75" customHeight="1">
      <c r="A540" s="51"/>
      <c r="B540" s="51"/>
      <c r="E540" s="52"/>
      <c r="F540" s="55"/>
      <c r="G540" s="52"/>
      <c r="H540" s="52"/>
      <c r="I540" s="55"/>
      <c r="J540" s="52"/>
      <c r="K540" s="52"/>
      <c r="L540" s="52"/>
      <c r="M540" s="55"/>
      <c r="P540" s="54"/>
      <c r="S540" s="54"/>
      <c r="V540" s="54"/>
      <c r="W540" s="54"/>
      <c r="X540" s="55"/>
      <c r="AD540" s="52"/>
      <c r="AG540" s="52"/>
      <c r="AJ540" s="52"/>
      <c r="AK540" s="52"/>
      <c r="AL540" s="55"/>
      <c r="AO540" s="52"/>
      <c r="AR540" s="52"/>
      <c r="AU540" s="52"/>
      <c r="AV540" s="52"/>
      <c r="AW540" s="55"/>
    </row>
    <row r="541" spans="1:49" ht="15.75" customHeight="1">
      <c r="A541" s="51"/>
      <c r="B541" s="51"/>
      <c r="E541" s="52"/>
      <c r="F541" s="55"/>
      <c r="G541" s="52"/>
      <c r="H541" s="52"/>
      <c r="I541" s="55"/>
      <c r="J541" s="52"/>
      <c r="K541" s="52"/>
      <c r="L541" s="52"/>
      <c r="M541" s="55"/>
      <c r="P541" s="54"/>
      <c r="S541" s="54"/>
      <c r="V541" s="54"/>
      <c r="W541" s="54"/>
      <c r="X541" s="55"/>
      <c r="AD541" s="52"/>
      <c r="AG541" s="52"/>
      <c r="AJ541" s="52"/>
      <c r="AK541" s="52"/>
      <c r="AL541" s="55"/>
      <c r="AO541" s="52"/>
      <c r="AR541" s="52"/>
      <c r="AU541" s="52"/>
      <c r="AV541" s="52"/>
      <c r="AW541" s="55"/>
    </row>
    <row r="542" spans="1:49" ht="15.75" customHeight="1">
      <c r="A542" s="51"/>
      <c r="B542" s="51"/>
      <c r="E542" s="52"/>
      <c r="F542" s="55"/>
      <c r="G542" s="52"/>
      <c r="H542" s="52"/>
      <c r="I542" s="55"/>
      <c r="J542" s="52"/>
      <c r="K542" s="52"/>
      <c r="L542" s="52"/>
      <c r="M542" s="55"/>
      <c r="P542" s="54"/>
      <c r="S542" s="54"/>
      <c r="V542" s="54"/>
      <c r="W542" s="54"/>
      <c r="X542" s="55"/>
      <c r="AD542" s="52"/>
      <c r="AG542" s="52"/>
      <c r="AJ542" s="52"/>
      <c r="AK542" s="52"/>
      <c r="AL542" s="55"/>
      <c r="AO542" s="52"/>
      <c r="AR542" s="52"/>
      <c r="AU542" s="52"/>
      <c r="AV542" s="52"/>
      <c r="AW542" s="55"/>
    </row>
    <row r="543" spans="1:49" ht="15.75" customHeight="1">
      <c r="A543" s="51"/>
      <c r="B543" s="51"/>
      <c r="E543" s="52"/>
      <c r="F543" s="55"/>
      <c r="G543" s="52"/>
      <c r="H543" s="52"/>
      <c r="I543" s="55"/>
      <c r="J543" s="52"/>
      <c r="K543" s="52"/>
      <c r="L543" s="52"/>
      <c r="M543" s="55"/>
      <c r="P543" s="54"/>
      <c r="S543" s="54"/>
      <c r="V543" s="54"/>
      <c r="W543" s="54"/>
      <c r="X543" s="55"/>
      <c r="AD543" s="52"/>
      <c r="AG543" s="52"/>
      <c r="AJ543" s="52"/>
      <c r="AK543" s="52"/>
      <c r="AL543" s="55"/>
      <c r="AO543" s="52"/>
      <c r="AR543" s="52"/>
      <c r="AU543" s="52"/>
      <c r="AV543" s="52"/>
      <c r="AW543" s="55"/>
    </row>
    <row r="544" spans="1:49" ht="15.75" customHeight="1">
      <c r="A544" s="51"/>
      <c r="B544" s="51"/>
      <c r="E544" s="52"/>
      <c r="F544" s="55"/>
      <c r="G544" s="52"/>
      <c r="H544" s="52"/>
      <c r="I544" s="55"/>
      <c r="J544" s="52"/>
      <c r="K544" s="52"/>
      <c r="L544" s="52"/>
      <c r="M544" s="55"/>
      <c r="P544" s="54"/>
      <c r="S544" s="54"/>
      <c r="V544" s="54"/>
      <c r="W544" s="54"/>
      <c r="X544" s="55"/>
      <c r="AD544" s="52"/>
      <c r="AG544" s="52"/>
      <c r="AJ544" s="52"/>
      <c r="AK544" s="52"/>
      <c r="AL544" s="55"/>
      <c r="AO544" s="52"/>
      <c r="AR544" s="52"/>
      <c r="AU544" s="52"/>
      <c r="AV544" s="52"/>
      <c r="AW544" s="55"/>
    </row>
    <row r="545" spans="1:49" ht="15.75" customHeight="1">
      <c r="A545" s="51"/>
      <c r="B545" s="51"/>
      <c r="E545" s="52"/>
      <c r="F545" s="55"/>
      <c r="G545" s="52"/>
      <c r="H545" s="52"/>
      <c r="I545" s="55"/>
      <c r="J545" s="52"/>
      <c r="K545" s="52"/>
      <c r="L545" s="52"/>
      <c r="M545" s="55"/>
      <c r="P545" s="54"/>
      <c r="S545" s="54"/>
      <c r="V545" s="54"/>
      <c r="W545" s="54"/>
      <c r="X545" s="55"/>
      <c r="AD545" s="52"/>
      <c r="AG545" s="52"/>
      <c r="AJ545" s="52"/>
      <c r="AK545" s="52"/>
      <c r="AL545" s="55"/>
      <c r="AO545" s="52"/>
      <c r="AR545" s="52"/>
      <c r="AU545" s="52"/>
      <c r="AV545" s="52"/>
      <c r="AW545" s="55"/>
    </row>
    <row r="546" spans="1:49" ht="15.75" customHeight="1">
      <c r="A546" s="51"/>
      <c r="B546" s="51"/>
      <c r="E546" s="52"/>
      <c r="F546" s="55"/>
      <c r="G546" s="52"/>
      <c r="H546" s="52"/>
      <c r="I546" s="55"/>
      <c r="J546" s="52"/>
      <c r="K546" s="52"/>
      <c r="L546" s="52"/>
      <c r="M546" s="55"/>
      <c r="P546" s="54"/>
      <c r="S546" s="54"/>
      <c r="V546" s="54"/>
      <c r="W546" s="54"/>
      <c r="X546" s="55"/>
      <c r="AD546" s="52"/>
      <c r="AG546" s="52"/>
      <c r="AJ546" s="52"/>
      <c r="AK546" s="52"/>
      <c r="AL546" s="55"/>
      <c r="AO546" s="52"/>
      <c r="AR546" s="52"/>
      <c r="AU546" s="52"/>
      <c r="AV546" s="52"/>
      <c r="AW546" s="55"/>
    </row>
    <row r="547" spans="1:49" ht="15.75" customHeight="1">
      <c r="A547" s="51"/>
      <c r="B547" s="51"/>
      <c r="E547" s="52"/>
      <c r="F547" s="55"/>
      <c r="G547" s="52"/>
      <c r="H547" s="52"/>
      <c r="I547" s="55"/>
      <c r="J547" s="52"/>
      <c r="K547" s="52"/>
      <c r="L547" s="52"/>
      <c r="M547" s="55"/>
      <c r="P547" s="54"/>
      <c r="S547" s="54"/>
      <c r="V547" s="54"/>
      <c r="W547" s="54"/>
      <c r="X547" s="55"/>
      <c r="AD547" s="52"/>
      <c r="AG547" s="52"/>
      <c r="AJ547" s="52"/>
      <c r="AK547" s="52"/>
      <c r="AL547" s="55"/>
      <c r="AO547" s="52"/>
      <c r="AR547" s="52"/>
      <c r="AU547" s="52"/>
      <c r="AV547" s="52"/>
      <c r="AW547" s="55"/>
    </row>
    <row r="548" spans="1:49" ht="15.75" customHeight="1">
      <c r="A548" s="51"/>
      <c r="B548" s="51"/>
      <c r="E548" s="52"/>
      <c r="F548" s="55"/>
      <c r="G548" s="52"/>
      <c r="H548" s="52"/>
      <c r="I548" s="55"/>
      <c r="J548" s="52"/>
      <c r="K548" s="52"/>
      <c r="L548" s="52"/>
      <c r="M548" s="55"/>
      <c r="P548" s="54"/>
      <c r="S548" s="54"/>
      <c r="V548" s="54"/>
      <c r="W548" s="54"/>
      <c r="X548" s="55"/>
      <c r="AD548" s="52"/>
      <c r="AG548" s="52"/>
      <c r="AJ548" s="52"/>
      <c r="AK548" s="52"/>
      <c r="AL548" s="55"/>
      <c r="AO548" s="52"/>
      <c r="AR548" s="52"/>
      <c r="AU548" s="52"/>
      <c r="AV548" s="52"/>
      <c r="AW548" s="55"/>
    </row>
    <row r="549" spans="1:49" ht="15.75" customHeight="1">
      <c r="A549" s="51"/>
      <c r="B549" s="51"/>
      <c r="E549" s="52"/>
      <c r="F549" s="55"/>
      <c r="G549" s="52"/>
      <c r="H549" s="52"/>
      <c r="I549" s="55"/>
      <c r="J549" s="52"/>
      <c r="K549" s="52"/>
      <c r="L549" s="52"/>
      <c r="M549" s="55"/>
      <c r="P549" s="54"/>
      <c r="S549" s="54"/>
      <c r="V549" s="54"/>
      <c r="W549" s="54"/>
      <c r="X549" s="55"/>
      <c r="AD549" s="52"/>
      <c r="AG549" s="52"/>
      <c r="AJ549" s="52"/>
      <c r="AK549" s="52"/>
      <c r="AL549" s="55"/>
      <c r="AO549" s="52"/>
      <c r="AR549" s="52"/>
      <c r="AU549" s="52"/>
      <c r="AV549" s="52"/>
      <c r="AW549" s="55"/>
    </row>
    <row r="550" spans="1:49" ht="15.75" customHeight="1">
      <c r="A550" s="51"/>
      <c r="B550" s="51"/>
      <c r="E550" s="52"/>
      <c r="F550" s="55"/>
      <c r="G550" s="52"/>
      <c r="H550" s="52"/>
      <c r="I550" s="55"/>
      <c r="J550" s="52"/>
      <c r="K550" s="52"/>
      <c r="L550" s="52"/>
      <c r="M550" s="55"/>
      <c r="P550" s="54"/>
      <c r="S550" s="54"/>
      <c r="V550" s="54"/>
      <c r="W550" s="54"/>
      <c r="X550" s="55"/>
      <c r="AD550" s="52"/>
      <c r="AG550" s="52"/>
      <c r="AJ550" s="52"/>
      <c r="AK550" s="52"/>
      <c r="AL550" s="55"/>
      <c r="AO550" s="52"/>
      <c r="AR550" s="52"/>
      <c r="AU550" s="52"/>
      <c r="AV550" s="52"/>
      <c r="AW550" s="5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D1000"/>
  <sheetViews>
    <sheetView tabSelected="1" topLeftCell="B1" workbookViewId="0">
      <selection activeCell="H10" sqref="H10"/>
    </sheetView>
  </sheetViews>
  <sheetFormatPr baseColWidth="10" defaultColWidth="12.6640625" defaultRowHeight="15" customHeight="1"/>
  <cols>
    <col min="1" max="1" width="7.6640625" customWidth="1"/>
    <col min="2" max="2" width="22.21875" customWidth="1"/>
    <col min="3" max="6" width="12.6640625" customWidth="1"/>
  </cols>
  <sheetData>
    <row r="1" spans="1:4" ht="15.75" customHeight="1">
      <c r="A1" s="57" t="s">
        <v>0</v>
      </c>
      <c r="B1" s="57" t="s">
        <v>1</v>
      </c>
      <c r="C1" s="78" t="s">
        <v>376</v>
      </c>
      <c r="D1" s="78" t="s">
        <v>377</v>
      </c>
    </row>
    <row r="2" spans="1:4" ht="15.75" customHeight="1">
      <c r="A2" s="16">
        <v>20101</v>
      </c>
      <c r="B2" s="63" t="s">
        <v>37</v>
      </c>
      <c r="C2" s="65">
        <v>84.310499021623954</v>
      </c>
      <c r="D2" s="68">
        <v>287.65354537048557</v>
      </c>
    </row>
    <row r="3" spans="1:4" ht="15.75" customHeight="1">
      <c r="A3" s="16">
        <v>30101</v>
      </c>
      <c r="B3" s="63" t="s">
        <v>124</v>
      </c>
      <c r="C3" s="65">
        <v>43.182603651817381</v>
      </c>
      <c r="D3" s="68">
        <v>237.41688617431865</v>
      </c>
    </row>
    <row r="4" spans="1:4" ht="15.75" customHeight="1">
      <c r="A4" s="16">
        <v>70101</v>
      </c>
      <c r="B4" s="63" t="s">
        <v>258</v>
      </c>
      <c r="C4" s="65">
        <v>71.44943256734345</v>
      </c>
      <c r="D4" s="68">
        <v>193.17228886522605</v>
      </c>
    </row>
    <row r="5" spans="1:4" ht="15.75" customHeight="1">
      <c r="A5" s="16">
        <v>50901</v>
      </c>
      <c r="B5" s="63" t="s">
        <v>230</v>
      </c>
      <c r="C5" s="65">
        <v>4.6452294031890835</v>
      </c>
      <c r="D5" s="68">
        <v>192.47189468966587</v>
      </c>
    </row>
    <row r="6" spans="1:4" ht="15.75" customHeight="1">
      <c r="A6" s="16">
        <v>20105</v>
      </c>
      <c r="B6" s="63" t="s">
        <v>41</v>
      </c>
      <c r="C6" s="65">
        <v>30.971494297919055</v>
      </c>
      <c r="D6" s="68">
        <v>183.77925437902118</v>
      </c>
    </row>
    <row r="7" spans="1:4" ht="15.75" customHeight="1">
      <c r="A7" s="16">
        <v>80702</v>
      </c>
      <c r="B7" s="63" t="s">
        <v>300</v>
      </c>
      <c r="C7" s="65">
        <v>11.735755129498822</v>
      </c>
      <c r="D7" s="68">
        <v>113.49920641462352</v>
      </c>
    </row>
    <row r="8" spans="1:4" ht="15.75" customHeight="1">
      <c r="A8" s="16">
        <v>70103</v>
      </c>
      <c r="B8" s="63" t="s">
        <v>260</v>
      </c>
      <c r="C8" s="65">
        <v>11.49397872983698</v>
      </c>
      <c r="D8" s="68">
        <v>110.43548695696484</v>
      </c>
    </row>
    <row r="9" spans="1:4" ht="15.75" customHeight="1">
      <c r="A9" s="16">
        <v>70603</v>
      </c>
      <c r="B9" s="63" t="s">
        <v>277</v>
      </c>
      <c r="C9" s="65">
        <v>19.780570542566597</v>
      </c>
      <c r="D9" s="68">
        <v>110.42118706562285</v>
      </c>
    </row>
    <row r="10" spans="1:4" ht="15.75" customHeight="1">
      <c r="A10" s="16">
        <v>30901</v>
      </c>
      <c r="B10" s="63" t="s">
        <v>145</v>
      </c>
      <c r="C10" s="65">
        <v>0</v>
      </c>
      <c r="D10" s="68">
        <v>101.416222397266</v>
      </c>
    </row>
    <row r="11" spans="1:4" ht="15.75" customHeight="1">
      <c r="A11" s="16">
        <v>60101</v>
      </c>
      <c r="B11" s="63" t="s">
        <v>248</v>
      </c>
      <c r="C11" s="65">
        <v>40.808568786937421</v>
      </c>
      <c r="D11" s="68">
        <v>100.43638407034246</v>
      </c>
    </row>
    <row r="12" spans="1:4" ht="15.75" customHeight="1">
      <c r="A12" s="16">
        <v>70201</v>
      </c>
      <c r="B12" s="63" t="s">
        <v>263</v>
      </c>
      <c r="C12" s="65">
        <v>17.376743131455765</v>
      </c>
      <c r="D12" s="68">
        <v>94.718987239953833</v>
      </c>
    </row>
    <row r="13" spans="1:4" ht="15.75" customHeight="1">
      <c r="A13" s="16">
        <v>70706</v>
      </c>
      <c r="B13" s="63" t="s">
        <v>283</v>
      </c>
      <c r="C13" s="65">
        <v>47.393797013299483</v>
      </c>
      <c r="D13" s="68">
        <v>90.380563469273156</v>
      </c>
    </row>
    <row r="14" spans="1:4" ht="15.75" customHeight="1">
      <c r="A14" s="16">
        <v>71001</v>
      </c>
      <c r="B14" s="63" t="s">
        <v>294</v>
      </c>
      <c r="C14" s="65">
        <v>39.477598420085833</v>
      </c>
      <c r="D14" s="68">
        <v>84.382708712674315</v>
      </c>
    </row>
    <row r="15" spans="1:4" ht="15.75" customHeight="1">
      <c r="A15" s="16">
        <v>90101</v>
      </c>
      <c r="B15" s="63" t="s">
        <v>328</v>
      </c>
      <c r="C15" s="65">
        <v>29.311605061493964</v>
      </c>
      <c r="D15" s="68">
        <v>83.648165882495377</v>
      </c>
    </row>
    <row r="16" spans="1:4" ht="15.75" customHeight="1">
      <c r="A16" s="16">
        <v>80101</v>
      </c>
      <c r="B16" s="63" t="s">
        <v>312</v>
      </c>
      <c r="C16" s="65">
        <v>48.823198675989111</v>
      </c>
      <c r="D16" s="68">
        <v>76.118044832971762</v>
      </c>
    </row>
    <row r="17" spans="1:4" ht="15.75" customHeight="1">
      <c r="A17" s="16">
        <v>60301</v>
      </c>
      <c r="B17" s="63" t="s">
        <v>251</v>
      </c>
      <c r="C17" s="65">
        <v>34.543101856978737</v>
      </c>
      <c r="D17" s="68">
        <v>74.322647301863853</v>
      </c>
    </row>
    <row r="18" spans="1:4" ht="15.75" customHeight="1">
      <c r="A18" s="16">
        <v>60303</v>
      </c>
      <c r="B18" s="63" t="s">
        <v>253</v>
      </c>
      <c r="C18" s="65">
        <v>12.410743112886799</v>
      </c>
      <c r="D18" s="68">
        <v>68.940464706734403</v>
      </c>
    </row>
    <row r="19" spans="1:4" ht="15.75" customHeight="1">
      <c r="A19" s="16">
        <v>80701</v>
      </c>
      <c r="B19" s="63" t="s">
        <v>322</v>
      </c>
      <c r="C19" s="65">
        <v>44.363727647210361</v>
      </c>
      <c r="D19" s="68">
        <v>64.691917783254738</v>
      </c>
    </row>
    <row r="20" spans="1:4" ht="15.75" customHeight="1">
      <c r="A20" s="16">
        <v>40701</v>
      </c>
      <c r="B20" s="63" t="s">
        <v>190</v>
      </c>
      <c r="C20" s="65">
        <v>5.4453845213840282</v>
      </c>
      <c r="D20" s="68">
        <v>64.605721646731197</v>
      </c>
    </row>
    <row r="21" spans="1:4" ht="15.75" customHeight="1">
      <c r="A21" s="16">
        <v>70403</v>
      </c>
      <c r="B21" s="63" t="s">
        <v>270</v>
      </c>
      <c r="C21" s="65">
        <v>6.5200856531451263</v>
      </c>
      <c r="D21" s="68">
        <v>63.752644789096053</v>
      </c>
    </row>
    <row r="22" spans="1:4" ht="15.75" customHeight="1">
      <c r="A22" s="16">
        <v>60302</v>
      </c>
      <c r="B22" s="63" t="s">
        <v>252</v>
      </c>
      <c r="C22" s="65">
        <v>44.414765321033947</v>
      </c>
      <c r="D22" s="68">
        <v>61.711404810528222</v>
      </c>
    </row>
    <row r="23" spans="1:4" ht="15.75" customHeight="1">
      <c r="A23" s="16">
        <v>51501</v>
      </c>
      <c r="B23" s="63" t="s">
        <v>246</v>
      </c>
      <c r="C23" s="65">
        <v>12.55837269884443</v>
      </c>
      <c r="D23" s="68">
        <v>59.754208123647665</v>
      </c>
    </row>
    <row r="24" spans="1:4" ht="15.75" customHeight="1">
      <c r="A24" s="16">
        <v>70901</v>
      </c>
      <c r="B24" s="63" t="s">
        <v>290</v>
      </c>
      <c r="C24" s="65">
        <v>4.7505901103450645</v>
      </c>
      <c r="D24" s="68">
        <v>54.132717630205541</v>
      </c>
    </row>
    <row r="25" spans="1:4" ht="15.75" customHeight="1">
      <c r="A25" s="16">
        <v>30905</v>
      </c>
      <c r="B25" s="63" t="s">
        <v>149</v>
      </c>
      <c r="C25" s="65">
        <v>8.0011886536459951</v>
      </c>
      <c r="D25" s="68">
        <v>53.014046949009696</v>
      </c>
    </row>
    <row r="26" spans="1:4" ht="15.75" customHeight="1">
      <c r="A26" s="16">
        <v>80803</v>
      </c>
      <c r="B26" s="63" t="s">
        <v>326</v>
      </c>
      <c r="C26" s="65">
        <v>0</v>
      </c>
      <c r="D26" s="68">
        <v>51.957513852794953</v>
      </c>
    </row>
    <row r="27" spans="1:4" ht="15.75" customHeight="1">
      <c r="A27" s="16">
        <v>70202</v>
      </c>
      <c r="B27" s="63" t="s">
        <v>264</v>
      </c>
      <c r="C27" s="65">
        <v>7.6658671098946991</v>
      </c>
      <c r="D27" s="68">
        <v>50.654878639680419</v>
      </c>
    </row>
    <row r="28" spans="1:4" ht="15.75" customHeight="1">
      <c r="A28" s="16">
        <v>71401</v>
      </c>
      <c r="B28" s="63" t="s">
        <v>307</v>
      </c>
      <c r="C28" s="65">
        <v>12.39516676856192</v>
      </c>
      <c r="D28" s="68">
        <v>50.127026513933139</v>
      </c>
    </row>
    <row r="29" spans="1:4" ht="15.75" customHeight="1">
      <c r="A29" s="16">
        <v>80302</v>
      </c>
      <c r="B29" s="63" t="s">
        <v>316</v>
      </c>
      <c r="C29" s="65">
        <v>9.8673686035429782</v>
      </c>
      <c r="D29" s="68">
        <v>48.937289786102177</v>
      </c>
    </row>
    <row r="30" spans="1:4" ht="15.75" customHeight="1">
      <c r="A30" s="16">
        <v>20606</v>
      </c>
      <c r="B30" s="63" t="s">
        <v>69</v>
      </c>
      <c r="C30" s="65">
        <v>3.0367255221090494</v>
      </c>
      <c r="D30" s="68">
        <v>48.431915790844734</v>
      </c>
    </row>
    <row r="31" spans="1:4" ht="15.75" customHeight="1">
      <c r="A31" s="16">
        <v>71502</v>
      </c>
      <c r="B31" s="63" t="s">
        <v>311</v>
      </c>
      <c r="C31" s="65">
        <v>20.640886617106045</v>
      </c>
      <c r="D31" s="68">
        <v>48.008744030216299</v>
      </c>
    </row>
    <row r="32" spans="1:4" ht="15.75" customHeight="1">
      <c r="A32" s="16">
        <v>70601</v>
      </c>
      <c r="B32" s="63" t="s">
        <v>275</v>
      </c>
      <c r="C32" s="65">
        <v>20.303380778961824</v>
      </c>
      <c r="D32" s="68">
        <v>47.504704750338703</v>
      </c>
    </row>
    <row r="33" spans="1:4" ht="15.75" customHeight="1">
      <c r="A33" s="16">
        <v>71003</v>
      </c>
      <c r="B33" s="63" t="s">
        <v>296</v>
      </c>
      <c r="C33" s="65">
        <v>7.3790430807163645</v>
      </c>
      <c r="D33" s="68">
        <v>47.351411721638335</v>
      </c>
    </row>
    <row r="34" spans="1:4" ht="15.75" customHeight="1">
      <c r="A34" s="16">
        <v>80201</v>
      </c>
      <c r="B34" s="63" t="s">
        <v>313</v>
      </c>
      <c r="C34" s="65">
        <v>21.634576960635645</v>
      </c>
      <c r="D34" s="68">
        <v>46.968829627669777</v>
      </c>
    </row>
    <row r="35" spans="1:4" ht="15.75" customHeight="1">
      <c r="A35" s="16">
        <v>60202</v>
      </c>
      <c r="B35" s="63" t="s">
        <v>250</v>
      </c>
      <c r="C35" s="65">
        <v>16.512959357347995</v>
      </c>
      <c r="D35" s="68">
        <v>46.004905440622672</v>
      </c>
    </row>
    <row r="36" spans="1:4" ht="15.75" customHeight="1">
      <c r="A36" s="16">
        <v>50801</v>
      </c>
      <c r="B36" s="63" t="s">
        <v>228</v>
      </c>
      <c r="C36" s="65">
        <v>10.695031265317075</v>
      </c>
      <c r="D36" s="68">
        <v>45.473354529450553</v>
      </c>
    </row>
    <row r="37" spans="1:4" ht="15.75" customHeight="1">
      <c r="A37" s="16">
        <v>80304</v>
      </c>
      <c r="B37" s="63" t="s">
        <v>317</v>
      </c>
      <c r="C37" s="65">
        <v>12.102456923270717</v>
      </c>
      <c r="D37" s="68">
        <v>44.444375985655618</v>
      </c>
    </row>
    <row r="38" spans="1:4" ht="15.75" customHeight="1">
      <c r="A38" s="16">
        <v>70801</v>
      </c>
      <c r="B38" s="63" t="s">
        <v>285</v>
      </c>
      <c r="C38" s="65">
        <v>24.169511918400783</v>
      </c>
      <c r="D38" s="68">
        <v>43.48939697364694</v>
      </c>
    </row>
    <row r="39" spans="1:4" ht="15.75" customHeight="1">
      <c r="A39" s="16">
        <v>70102</v>
      </c>
      <c r="B39" s="63" t="s">
        <v>259</v>
      </c>
      <c r="C39" s="65">
        <v>27.218255628675362</v>
      </c>
      <c r="D39" s="68">
        <v>41.127413624360329</v>
      </c>
    </row>
    <row r="40" spans="1:4" ht="15.75" customHeight="1">
      <c r="A40" s="16">
        <v>70404</v>
      </c>
      <c r="B40" s="63" t="s">
        <v>271</v>
      </c>
      <c r="C40" s="65">
        <v>6.4952471365159603</v>
      </c>
      <c r="D40" s="68">
        <v>39.423980373792539</v>
      </c>
    </row>
    <row r="41" spans="1:4" ht="15.75" customHeight="1">
      <c r="A41" s="16">
        <v>50802</v>
      </c>
      <c r="B41" s="63" t="s">
        <v>229</v>
      </c>
      <c r="C41" s="65">
        <v>11.488967504741147</v>
      </c>
      <c r="D41" s="68">
        <v>38.388493281659834</v>
      </c>
    </row>
    <row r="42" spans="1:4" ht="15.75" customHeight="1">
      <c r="A42" s="16">
        <v>71402</v>
      </c>
      <c r="B42" s="63" t="s">
        <v>308</v>
      </c>
      <c r="C42" s="65">
        <v>18.698812811441858</v>
      </c>
      <c r="D42" s="68">
        <v>37.893788526329949</v>
      </c>
    </row>
    <row r="43" spans="1:4" ht="15.75" customHeight="1">
      <c r="A43" s="16">
        <v>22001</v>
      </c>
      <c r="B43" s="63" t="s">
        <v>122</v>
      </c>
      <c r="C43" s="65">
        <v>8.9401700868221763</v>
      </c>
      <c r="D43" s="68">
        <v>37.307931714923789</v>
      </c>
    </row>
    <row r="44" spans="1:4" ht="15.75" customHeight="1">
      <c r="A44" s="16">
        <v>70104</v>
      </c>
      <c r="B44" s="63" t="s">
        <v>261</v>
      </c>
      <c r="C44" s="65">
        <v>26.330943311686656</v>
      </c>
      <c r="D44" s="68">
        <v>37.07299361835544</v>
      </c>
    </row>
    <row r="45" spans="1:4" ht="15.75" customHeight="1">
      <c r="A45" s="16">
        <v>20804</v>
      </c>
      <c r="B45" s="63" t="s">
        <v>77</v>
      </c>
      <c r="C45" s="65">
        <v>11.860321343074313</v>
      </c>
      <c r="D45" s="68">
        <v>36.602654172930187</v>
      </c>
    </row>
    <row r="46" spans="1:4" ht="15.75" customHeight="1">
      <c r="A46" s="16">
        <v>90102</v>
      </c>
      <c r="B46" s="63" t="s">
        <v>329</v>
      </c>
      <c r="C46" s="65">
        <v>46.71626945317081</v>
      </c>
      <c r="D46" s="68">
        <v>36.500194947461658</v>
      </c>
    </row>
    <row r="47" spans="1:4" ht="15.75" customHeight="1">
      <c r="A47" s="16">
        <v>80202</v>
      </c>
      <c r="B47" s="63" t="s">
        <v>314</v>
      </c>
      <c r="C47" s="65">
        <v>29.004335781478868</v>
      </c>
      <c r="D47" s="68">
        <v>36.496033728832089</v>
      </c>
    </row>
    <row r="48" spans="1:4" ht="15.75" customHeight="1">
      <c r="A48" s="16">
        <v>70301</v>
      </c>
      <c r="B48" s="63" t="s">
        <v>265</v>
      </c>
      <c r="C48" s="65">
        <v>12.578661142664968</v>
      </c>
      <c r="D48" s="68">
        <v>36.326208864428544</v>
      </c>
    </row>
    <row r="49" spans="1:4" ht="15.75" customHeight="1">
      <c r="A49" s="16">
        <v>71102</v>
      </c>
      <c r="B49" s="63" t="s">
        <v>299</v>
      </c>
      <c r="C49" s="65">
        <v>7.8014744103839009</v>
      </c>
      <c r="D49" s="68">
        <v>35.961127247775487</v>
      </c>
    </row>
    <row r="50" spans="1:4" ht="15.75" customHeight="1">
      <c r="A50" s="16">
        <v>51201</v>
      </c>
      <c r="B50" s="63" t="s">
        <v>238</v>
      </c>
      <c r="C50" s="65">
        <v>6.2331374966840469</v>
      </c>
      <c r="D50" s="68">
        <v>35.651852416193357</v>
      </c>
    </row>
    <row r="51" spans="1:4" ht="15.75" customHeight="1">
      <c r="A51" s="16">
        <v>90303</v>
      </c>
      <c r="B51" s="63" t="s">
        <v>335</v>
      </c>
      <c r="C51" s="65">
        <v>12.468094061237025</v>
      </c>
      <c r="D51" s="68">
        <v>34.957768845151783</v>
      </c>
    </row>
    <row r="52" spans="1:4" ht="15.75" customHeight="1">
      <c r="A52" s="16">
        <v>21305</v>
      </c>
      <c r="B52" s="63" t="s">
        <v>105</v>
      </c>
      <c r="C52" s="65">
        <v>5.9935643886530769</v>
      </c>
      <c r="D52" s="68">
        <v>33.476079917493728</v>
      </c>
    </row>
    <row r="53" spans="1:4" ht="15.75" customHeight="1">
      <c r="A53" s="16">
        <v>20607</v>
      </c>
      <c r="B53" s="63" t="s">
        <v>70</v>
      </c>
      <c r="C53" s="65">
        <v>2.1050408821402815</v>
      </c>
      <c r="D53" s="68">
        <v>32.956542462008038</v>
      </c>
    </row>
    <row r="54" spans="1:4" ht="15.75" customHeight="1">
      <c r="A54" s="16">
        <v>90401</v>
      </c>
      <c r="B54" s="63" t="s">
        <v>276</v>
      </c>
      <c r="C54" s="65">
        <v>6.3667362560890739</v>
      </c>
      <c r="D54" s="68">
        <v>32.849406175771975</v>
      </c>
    </row>
    <row r="55" spans="1:4" ht="15.75" customHeight="1">
      <c r="A55" s="16">
        <v>71101</v>
      </c>
      <c r="B55" s="63" t="s">
        <v>298</v>
      </c>
      <c r="C55" s="65">
        <v>10.384010954444003</v>
      </c>
      <c r="D55" s="68">
        <v>32.692052717963861</v>
      </c>
    </row>
    <row r="56" spans="1:4" ht="15.75" customHeight="1">
      <c r="A56" s="16">
        <v>20801</v>
      </c>
      <c r="B56" s="63" t="s">
        <v>74</v>
      </c>
      <c r="C56" s="65">
        <v>19.017921895383711</v>
      </c>
      <c r="D56" s="68">
        <v>31.902277356005982</v>
      </c>
    </row>
    <row r="57" spans="1:4" ht="15.75" customHeight="1">
      <c r="A57" s="16">
        <v>50101</v>
      </c>
      <c r="B57" s="63" t="s">
        <v>206</v>
      </c>
      <c r="C57" s="65">
        <v>0</v>
      </c>
      <c r="D57" s="68">
        <v>29.821159509303374</v>
      </c>
    </row>
    <row r="58" spans="1:4" ht="15.75" customHeight="1">
      <c r="A58" s="16">
        <v>20104</v>
      </c>
      <c r="B58" s="63" t="s">
        <v>40</v>
      </c>
      <c r="C58" s="65">
        <v>12.99662025168197</v>
      </c>
      <c r="D58" s="68">
        <v>28.386495034626325</v>
      </c>
    </row>
    <row r="59" spans="1:4" ht="15.75" customHeight="1">
      <c r="A59" s="16">
        <v>71301</v>
      </c>
      <c r="B59" s="63" t="s">
        <v>305</v>
      </c>
      <c r="C59" s="65">
        <v>6.5521258008153751</v>
      </c>
      <c r="D59" s="68">
        <v>27.896180855439265</v>
      </c>
    </row>
    <row r="60" spans="1:4" ht="15.75" customHeight="1">
      <c r="A60" s="16">
        <v>90104</v>
      </c>
      <c r="B60" s="63" t="s">
        <v>331</v>
      </c>
      <c r="C60" s="65">
        <v>0</v>
      </c>
      <c r="D60" s="68">
        <v>27.387320132136391</v>
      </c>
    </row>
    <row r="61" spans="1:4" ht="15.75" customHeight="1">
      <c r="A61" s="16">
        <v>20701</v>
      </c>
      <c r="B61" s="63" t="s">
        <v>72</v>
      </c>
      <c r="C61" s="65">
        <v>1.6123035811209399</v>
      </c>
      <c r="D61" s="68">
        <v>27.303541561240735</v>
      </c>
    </row>
    <row r="62" spans="1:4" ht="15.75" customHeight="1">
      <c r="A62" s="16">
        <v>21101</v>
      </c>
      <c r="B62" s="63" t="s">
        <v>92</v>
      </c>
      <c r="C62" s="65">
        <v>2.803269870840198</v>
      </c>
      <c r="D62" s="68">
        <v>27.272063216575702</v>
      </c>
    </row>
    <row r="63" spans="1:4" ht="15.75" customHeight="1">
      <c r="A63" s="16">
        <v>70105</v>
      </c>
      <c r="B63" s="63" t="s">
        <v>262</v>
      </c>
      <c r="C63" s="65">
        <v>12.44868480072474</v>
      </c>
      <c r="D63" s="68">
        <v>26.484128510645874</v>
      </c>
    </row>
    <row r="64" spans="1:4" ht="15.75" customHeight="1">
      <c r="A64" s="16">
        <v>40201</v>
      </c>
      <c r="B64" s="63" t="s">
        <v>176</v>
      </c>
      <c r="C64" s="65">
        <v>7.5175407499031657</v>
      </c>
      <c r="D64" s="68">
        <v>25.675507359085632</v>
      </c>
    </row>
    <row r="65" spans="1:4" ht="15.75" customHeight="1">
      <c r="A65" s="16">
        <v>30903</v>
      </c>
      <c r="B65" s="63" t="s">
        <v>147</v>
      </c>
      <c r="C65" s="65">
        <v>13.436027564753163</v>
      </c>
      <c r="D65" s="68">
        <v>25.607995286766322</v>
      </c>
    </row>
    <row r="66" spans="1:4" ht="15.75" customHeight="1">
      <c r="A66" s="16">
        <v>80401</v>
      </c>
      <c r="B66" s="63" t="s">
        <v>318</v>
      </c>
      <c r="C66" s="65">
        <v>24.314053184037665</v>
      </c>
      <c r="D66" s="68">
        <v>25.154950469430201</v>
      </c>
    </row>
    <row r="67" spans="1:4" ht="15.75" customHeight="1">
      <c r="A67" s="16">
        <v>31205</v>
      </c>
      <c r="B67" s="63" t="s">
        <v>158</v>
      </c>
      <c r="C67" s="65">
        <v>2.0503346260507285</v>
      </c>
      <c r="D67" s="68">
        <v>24.984490015300935</v>
      </c>
    </row>
    <row r="68" spans="1:4" ht="15.75" customHeight="1">
      <c r="A68" s="16">
        <v>50203</v>
      </c>
      <c r="B68" s="63" t="s">
        <v>212</v>
      </c>
      <c r="C68" s="65">
        <v>0</v>
      </c>
      <c r="D68" s="68">
        <v>24.37080479556543</v>
      </c>
    </row>
    <row r="69" spans="1:4" ht="15.75" customHeight="1">
      <c r="A69" s="16">
        <v>30801</v>
      </c>
      <c r="B69" s="63" t="s">
        <v>142</v>
      </c>
      <c r="C69" s="65">
        <v>5.5182266121180428</v>
      </c>
      <c r="D69" s="68">
        <v>24.244517338895363</v>
      </c>
    </row>
    <row r="70" spans="1:4" ht="15.75" customHeight="1">
      <c r="A70" s="16">
        <v>71004</v>
      </c>
      <c r="B70" s="63" t="s">
        <v>297</v>
      </c>
      <c r="C70" s="65">
        <v>4.3752052581841232</v>
      </c>
      <c r="D70" s="68">
        <v>23.771790010484875</v>
      </c>
    </row>
    <row r="71" spans="1:4" ht="15.75" customHeight="1">
      <c r="A71" s="16">
        <v>80303</v>
      </c>
      <c r="B71" s="63" t="s">
        <v>276</v>
      </c>
      <c r="C71" s="65">
        <v>21.614679693046906</v>
      </c>
      <c r="D71" s="68">
        <v>23.510154974130646</v>
      </c>
    </row>
    <row r="72" spans="1:4" ht="15.75" customHeight="1">
      <c r="A72" s="16">
        <v>51401</v>
      </c>
      <c r="B72" s="63" t="s">
        <v>244</v>
      </c>
      <c r="C72" s="65">
        <v>5.5005148108133719</v>
      </c>
      <c r="D72" s="68">
        <v>23.252142676853385</v>
      </c>
    </row>
    <row r="73" spans="1:4" ht="15.75" customHeight="1">
      <c r="A73" s="16">
        <v>50301</v>
      </c>
      <c r="B73" s="63" t="s">
        <v>214</v>
      </c>
      <c r="C73" s="65">
        <v>0.65410262156150167</v>
      </c>
      <c r="D73" s="68">
        <v>22.758151492256786</v>
      </c>
    </row>
    <row r="74" spans="1:4" ht="15.75" customHeight="1">
      <c r="A74" s="16">
        <v>40102</v>
      </c>
      <c r="B74" s="63" t="s">
        <v>173</v>
      </c>
      <c r="C74" s="65">
        <v>5.1651868845112459</v>
      </c>
      <c r="D74" s="68">
        <v>22.588711902050928</v>
      </c>
    </row>
    <row r="75" spans="1:4" ht="15.75" customHeight="1">
      <c r="A75" s="16">
        <v>70805</v>
      </c>
      <c r="B75" s="63" t="s">
        <v>289</v>
      </c>
      <c r="C75" s="65">
        <v>4.8248382453191097</v>
      </c>
      <c r="D75" s="68">
        <v>22.272250446616315</v>
      </c>
    </row>
    <row r="76" spans="1:4" ht="15.75" customHeight="1">
      <c r="A76" s="16">
        <v>70903</v>
      </c>
      <c r="B76" s="63" t="s">
        <v>292</v>
      </c>
      <c r="C76" s="65">
        <v>7.7735054496933076</v>
      </c>
      <c r="D76" s="68">
        <v>21.825846349902921</v>
      </c>
    </row>
    <row r="77" spans="1:4" ht="15.75" customHeight="1">
      <c r="A77" s="16">
        <v>21104</v>
      </c>
      <c r="B77" s="63" t="s">
        <v>95</v>
      </c>
      <c r="C77" s="65">
        <v>3.3511632366936888</v>
      </c>
      <c r="D77" s="68">
        <v>21.483467749510666</v>
      </c>
    </row>
    <row r="78" spans="1:4" ht="15.75" customHeight="1">
      <c r="A78" s="16">
        <v>10404</v>
      </c>
      <c r="B78" s="63" t="s">
        <v>20</v>
      </c>
      <c r="C78" s="65">
        <v>2.7048049924508848</v>
      </c>
      <c r="D78" s="68">
        <v>21.111987592111458</v>
      </c>
    </row>
    <row r="79" spans="1:4" ht="15.75" customHeight="1">
      <c r="A79" s="16">
        <v>70402</v>
      </c>
      <c r="B79" s="63" t="s">
        <v>269</v>
      </c>
      <c r="C79" s="65">
        <v>3.2339525202142547</v>
      </c>
      <c r="D79" s="68">
        <v>21.01105788383633</v>
      </c>
    </row>
    <row r="80" spans="1:4" ht="15.75" customHeight="1">
      <c r="A80" s="16">
        <v>71103</v>
      </c>
      <c r="B80" s="63" t="s">
        <v>300</v>
      </c>
      <c r="C80" s="65">
        <v>11.762765173593165</v>
      </c>
      <c r="D80" s="68">
        <v>20.731776855098474</v>
      </c>
    </row>
    <row r="81" spans="1:4" ht="15.75" customHeight="1">
      <c r="A81" s="16">
        <v>21102</v>
      </c>
      <c r="B81" s="63" t="s">
        <v>93</v>
      </c>
      <c r="C81" s="65">
        <v>7.9842912336699401</v>
      </c>
      <c r="D81" s="68">
        <v>20.631879618334324</v>
      </c>
    </row>
    <row r="82" spans="1:4" ht="15.75" customHeight="1">
      <c r="A82" s="16">
        <v>21501</v>
      </c>
      <c r="B82" s="63" t="s">
        <v>110</v>
      </c>
      <c r="C82" s="65">
        <v>2.5956721493030623</v>
      </c>
      <c r="D82" s="68">
        <v>20.241922771990165</v>
      </c>
    </row>
    <row r="83" spans="1:4" ht="15.75" customHeight="1">
      <c r="A83" s="16">
        <v>90302</v>
      </c>
      <c r="B83" s="63" t="s">
        <v>256</v>
      </c>
      <c r="C83" s="65">
        <v>7.0302114803625377</v>
      </c>
      <c r="D83" s="68">
        <v>20.234203688583733</v>
      </c>
    </row>
    <row r="84" spans="1:4" ht="15.75" customHeight="1">
      <c r="A84" s="16">
        <v>40603</v>
      </c>
      <c r="B84" s="63" t="s">
        <v>189</v>
      </c>
      <c r="C84" s="65">
        <v>3.0377879607744034</v>
      </c>
      <c r="D84" s="68">
        <v>20.1555114438607</v>
      </c>
    </row>
    <row r="85" spans="1:4" ht="15.75" customHeight="1">
      <c r="A85" s="16">
        <v>71501</v>
      </c>
      <c r="B85" s="63" t="s">
        <v>310</v>
      </c>
      <c r="C85" s="65">
        <v>4.201430989187835</v>
      </c>
      <c r="D85" s="68">
        <v>19.992807242525398</v>
      </c>
    </row>
    <row r="86" spans="1:4" ht="15.75" customHeight="1">
      <c r="A86" s="16">
        <v>41101</v>
      </c>
      <c r="B86" s="63" t="s">
        <v>198</v>
      </c>
      <c r="C86" s="65">
        <v>1.896573523833607</v>
      </c>
      <c r="D86" s="68">
        <v>19.98205706768076</v>
      </c>
    </row>
    <row r="87" spans="1:4" ht="15.75" customHeight="1">
      <c r="A87" s="16">
        <v>10501</v>
      </c>
      <c r="B87" s="63" t="s">
        <v>22</v>
      </c>
      <c r="C87" s="65">
        <v>14.387820147888034</v>
      </c>
      <c r="D87" s="68">
        <v>19.194411679856987</v>
      </c>
    </row>
    <row r="88" spans="1:4" ht="15.75" customHeight="1">
      <c r="A88" s="16">
        <v>21502</v>
      </c>
      <c r="B88" s="63" t="s">
        <v>111</v>
      </c>
      <c r="C88" s="65">
        <v>5.8929323078100486</v>
      </c>
      <c r="D88" s="68">
        <v>19.127908201771074</v>
      </c>
    </row>
    <row r="89" spans="1:4" ht="15.75" customHeight="1">
      <c r="A89" s="16">
        <v>21701</v>
      </c>
      <c r="B89" s="63" t="s">
        <v>114</v>
      </c>
      <c r="C89" s="65">
        <v>13.921254909742871</v>
      </c>
      <c r="D89" s="68">
        <v>18.51266661026424</v>
      </c>
    </row>
    <row r="90" spans="1:4" ht="15.75" customHeight="1">
      <c r="A90" s="16">
        <v>31003</v>
      </c>
      <c r="B90" s="63" t="s">
        <v>152</v>
      </c>
      <c r="C90" s="65">
        <v>2.305027902331807</v>
      </c>
      <c r="D90" s="68">
        <v>17.659503057742324</v>
      </c>
    </row>
    <row r="91" spans="1:4" ht="15.75" customHeight="1">
      <c r="A91" s="16">
        <v>10701</v>
      </c>
      <c r="B91" s="63" t="s">
        <v>26</v>
      </c>
      <c r="C91" s="65">
        <v>11.2230387982372</v>
      </c>
      <c r="D91" s="68">
        <v>17.626961211705492</v>
      </c>
    </row>
    <row r="92" spans="1:4" ht="15.75" customHeight="1">
      <c r="A92" s="16">
        <v>20201</v>
      </c>
      <c r="B92" s="63" t="s">
        <v>42</v>
      </c>
      <c r="C92" s="65">
        <v>11.88577988256506</v>
      </c>
      <c r="D92" s="68">
        <v>17.218603074834931</v>
      </c>
    </row>
    <row r="93" spans="1:4" ht="15.75" customHeight="1">
      <c r="A93" s="16">
        <v>80802</v>
      </c>
      <c r="B93" s="63" t="s">
        <v>325</v>
      </c>
      <c r="C93" s="65">
        <v>3.1433355540934969</v>
      </c>
      <c r="D93" s="68">
        <v>17.205849259023765</v>
      </c>
    </row>
    <row r="94" spans="1:4" ht="15.75" customHeight="1">
      <c r="A94" s="16">
        <v>70502</v>
      </c>
      <c r="B94" s="63" t="s">
        <v>273</v>
      </c>
      <c r="C94" s="65">
        <v>4.6026338491874856</v>
      </c>
      <c r="D94" s="68">
        <v>16.945736351855206</v>
      </c>
    </row>
    <row r="95" spans="1:4" ht="15.75" customHeight="1">
      <c r="A95" s="16">
        <v>40802</v>
      </c>
      <c r="B95" s="63" t="s">
        <v>193</v>
      </c>
      <c r="C95" s="65">
        <v>6.1456232055694073</v>
      </c>
      <c r="D95" s="68">
        <v>16.908615405500722</v>
      </c>
    </row>
    <row r="96" spans="1:4" ht="15.75" customHeight="1">
      <c r="A96" s="16">
        <v>20601</v>
      </c>
      <c r="B96" s="63" t="s">
        <v>64</v>
      </c>
      <c r="C96" s="65">
        <v>2.3085778960443224</v>
      </c>
      <c r="D96" s="68">
        <v>16.865783062590776</v>
      </c>
    </row>
    <row r="97" spans="1:4" ht="15.75" customHeight="1">
      <c r="A97" s="16">
        <v>70904</v>
      </c>
      <c r="B97" s="63" t="s">
        <v>293</v>
      </c>
      <c r="C97" s="65">
        <v>4.2239302775617986</v>
      </c>
      <c r="D97" s="68">
        <v>16.583824150165459</v>
      </c>
    </row>
    <row r="98" spans="1:4" ht="15.75" customHeight="1">
      <c r="A98" s="16">
        <v>10704</v>
      </c>
      <c r="B98" s="63" t="s">
        <v>29</v>
      </c>
      <c r="C98" s="65">
        <v>6.718645555981257</v>
      </c>
      <c r="D98" s="68">
        <v>16.558920937414886</v>
      </c>
    </row>
    <row r="99" spans="1:4" ht="15.75" customHeight="1">
      <c r="A99" s="16">
        <v>10902</v>
      </c>
      <c r="B99" s="63" t="s">
        <v>32</v>
      </c>
      <c r="C99" s="65">
        <v>9.110439522980414</v>
      </c>
      <c r="D99" s="68">
        <v>16.349767955497708</v>
      </c>
    </row>
    <row r="100" spans="1:4" ht="15.75" customHeight="1">
      <c r="A100" s="16">
        <v>31602</v>
      </c>
      <c r="B100" s="63" t="s">
        <v>171</v>
      </c>
      <c r="C100" s="65">
        <v>4.7552084271603148</v>
      </c>
      <c r="D100" s="68">
        <v>16.009042850102773</v>
      </c>
    </row>
    <row r="101" spans="1:4" ht="15.75" customHeight="1">
      <c r="A101" s="16">
        <v>41201</v>
      </c>
      <c r="B101" s="63" t="s">
        <v>199</v>
      </c>
      <c r="C101" s="65">
        <v>0</v>
      </c>
      <c r="D101" s="68">
        <v>15.974488509634819</v>
      </c>
    </row>
    <row r="102" spans="1:4" ht="15.75" customHeight="1">
      <c r="A102" s="16">
        <v>21802</v>
      </c>
      <c r="B102" s="63" t="s">
        <v>118</v>
      </c>
      <c r="C102" s="65">
        <v>0</v>
      </c>
      <c r="D102" s="68">
        <v>15.921376085974288</v>
      </c>
    </row>
    <row r="103" spans="1:4" ht="15.75" customHeight="1">
      <c r="A103" s="16">
        <v>40702</v>
      </c>
      <c r="B103" s="63" t="s">
        <v>191</v>
      </c>
      <c r="C103" s="65">
        <v>0</v>
      </c>
      <c r="D103" s="68">
        <v>15.861156361000033</v>
      </c>
    </row>
    <row r="104" spans="1:4" ht="15.75" customHeight="1">
      <c r="A104" s="16">
        <v>31206</v>
      </c>
      <c r="B104" s="63" t="s">
        <v>159</v>
      </c>
      <c r="C104" s="65">
        <v>5.5904141966621737</v>
      </c>
      <c r="D104" s="68">
        <v>15.520844268192249</v>
      </c>
    </row>
    <row r="105" spans="1:4" ht="15.75" customHeight="1">
      <c r="A105" s="16">
        <v>41401</v>
      </c>
      <c r="B105" s="63" t="s">
        <v>201</v>
      </c>
      <c r="C105" s="65">
        <v>2.5077516982873855</v>
      </c>
      <c r="D105" s="68">
        <v>15.326942294927326</v>
      </c>
    </row>
    <row r="106" spans="1:4" ht="15.75" customHeight="1">
      <c r="A106" s="16">
        <v>21401</v>
      </c>
      <c r="B106" s="63" t="s">
        <v>108</v>
      </c>
      <c r="C106" s="65">
        <v>7.0575960856933238</v>
      </c>
      <c r="D106" s="68">
        <v>15.30589871109693</v>
      </c>
    </row>
    <row r="107" spans="1:4" ht="15.75" customHeight="1">
      <c r="A107" s="16">
        <v>21004</v>
      </c>
      <c r="B107" s="63" t="s">
        <v>89</v>
      </c>
      <c r="C107" s="65">
        <v>1.6713673874438523E-2</v>
      </c>
      <c r="D107" s="68">
        <v>15.10037295377839</v>
      </c>
    </row>
    <row r="108" spans="1:4" ht="15.75" customHeight="1">
      <c r="A108" s="16">
        <v>21002</v>
      </c>
      <c r="B108" s="63" t="s">
        <v>87</v>
      </c>
      <c r="C108" s="65">
        <v>5.5729482534714423</v>
      </c>
      <c r="D108" s="68">
        <v>14.950303093725779</v>
      </c>
    </row>
    <row r="109" spans="1:4" ht="15.75" customHeight="1">
      <c r="A109" s="16">
        <v>80501</v>
      </c>
      <c r="B109" s="63" t="s">
        <v>265</v>
      </c>
      <c r="C109" s="65">
        <v>4.5191523949207744</v>
      </c>
      <c r="D109" s="68">
        <v>14.882448481709346</v>
      </c>
    </row>
    <row r="110" spans="1:4" ht="15.75" customHeight="1">
      <c r="A110" s="16">
        <v>71002</v>
      </c>
      <c r="B110" s="63" t="s">
        <v>295</v>
      </c>
      <c r="C110" s="65">
        <v>6.4026879378885653</v>
      </c>
      <c r="D110" s="68">
        <v>14.827296661352483</v>
      </c>
    </row>
    <row r="111" spans="1:4" ht="15.75" customHeight="1">
      <c r="A111" s="16">
        <v>71201</v>
      </c>
      <c r="B111" s="63" t="s">
        <v>304</v>
      </c>
      <c r="C111" s="65">
        <v>2.2916332470151479</v>
      </c>
      <c r="D111" s="68">
        <v>14.797840469801956</v>
      </c>
    </row>
    <row r="112" spans="1:4" ht="15.75" customHeight="1">
      <c r="A112" s="16">
        <v>70503</v>
      </c>
      <c r="B112" s="63" t="s">
        <v>274</v>
      </c>
      <c r="C112" s="65">
        <v>19.335492820342658</v>
      </c>
      <c r="D112" s="68">
        <v>14.683432666147356</v>
      </c>
    </row>
    <row r="113" spans="1:4" ht="15.75" customHeight="1">
      <c r="A113" s="16">
        <v>31001</v>
      </c>
      <c r="B113" s="63" t="s">
        <v>150</v>
      </c>
      <c r="C113" s="65">
        <v>3.9174207538072587</v>
      </c>
      <c r="D113" s="68">
        <v>14.399559050641358</v>
      </c>
    </row>
    <row r="114" spans="1:4" ht="15.75" customHeight="1">
      <c r="A114" s="16">
        <v>60401</v>
      </c>
      <c r="B114" s="63" t="s">
        <v>254</v>
      </c>
      <c r="C114" s="65">
        <v>6.9234926572731732</v>
      </c>
      <c r="D114" s="68">
        <v>14.285607190377064</v>
      </c>
    </row>
    <row r="115" spans="1:4" ht="15.75" customHeight="1">
      <c r="A115" s="16">
        <v>10502</v>
      </c>
      <c r="B115" s="63" t="s">
        <v>23</v>
      </c>
      <c r="C115" s="65">
        <v>9.9645761127249823</v>
      </c>
      <c r="D115" s="68">
        <v>14.135478453514201</v>
      </c>
    </row>
    <row r="116" spans="1:4" ht="15.75" customHeight="1">
      <c r="A116" s="16">
        <v>40601</v>
      </c>
      <c r="B116" s="63" t="s">
        <v>187</v>
      </c>
      <c r="C116" s="65">
        <v>2.1739489132419312</v>
      </c>
      <c r="D116" s="68">
        <v>13.946473425031762</v>
      </c>
    </row>
    <row r="117" spans="1:4" ht="15.75" customHeight="1">
      <c r="A117" s="16">
        <v>70501</v>
      </c>
      <c r="B117" s="63" t="s">
        <v>272</v>
      </c>
      <c r="C117" s="65">
        <v>14.471899876178981</v>
      </c>
      <c r="D117" s="68">
        <v>13.746832450154495</v>
      </c>
    </row>
    <row r="118" spans="1:4" ht="15.75" customHeight="1">
      <c r="A118" s="16">
        <v>31201</v>
      </c>
      <c r="B118" s="63" t="s">
        <v>154</v>
      </c>
      <c r="C118" s="65">
        <v>5.7931941472681254</v>
      </c>
      <c r="D118" s="68">
        <v>13.743047646339589</v>
      </c>
    </row>
    <row r="119" spans="1:4" ht="15.75" customHeight="1">
      <c r="A119" s="16">
        <v>20103</v>
      </c>
      <c r="B119" s="63" t="s">
        <v>39</v>
      </c>
      <c r="C119" s="65">
        <v>4.0879404775615056</v>
      </c>
      <c r="D119" s="68">
        <v>13.691146263007923</v>
      </c>
    </row>
    <row r="120" spans="1:4" ht="15.75" customHeight="1">
      <c r="A120" s="16">
        <v>21307</v>
      </c>
      <c r="B120" s="63" t="s">
        <v>107</v>
      </c>
      <c r="C120" s="65">
        <v>1.0961893553411093</v>
      </c>
      <c r="D120" s="68">
        <v>13.569364300628225</v>
      </c>
    </row>
    <row r="121" spans="1:4" ht="15.75" customHeight="1">
      <c r="A121" s="16">
        <v>60601</v>
      </c>
      <c r="B121" s="63" t="s">
        <v>159</v>
      </c>
      <c r="C121" s="65">
        <v>9.5807265233154109</v>
      </c>
      <c r="D121" s="68">
        <v>13.441624298867552</v>
      </c>
    </row>
    <row r="122" spans="1:4" ht="15.75" customHeight="1">
      <c r="A122" s="16">
        <v>30904</v>
      </c>
      <c r="B122" s="63" t="s">
        <v>148</v>
      </c>
      <c r="C122" s="65">
        <v>4.1770934411974272</v>
      </c>
      <c r="D122" s="68">
        <v>13.339472982498522</v>
      </c>
    </row>
    <row r="123" spans="1:4" ht="15.75" customHeight="1">
      <c r="A123" s="16">
        <v>31204</v>
      </c>
      <c r="B123" s="63" t="s">
        <v>157</v>
      </c>
      <c r="C123" s="65">
        <v>6.2043852318211981</v>
      </c>
      <c r="D123" s="68">
        <v>13.339108851404378</v>
      </c>
    </row>
    <row r="124" spans="1:4" ht="15.75" customHeight="1">
      <c r="A124" s="16">
        <v>31401</v>
      </c>
      <c r="B124" s="63" t="s">
        <v>164</v>
      </c>
      <c r="C124" s="65">
        <v>10.270931951668489</v>
      </c>
      <c r="D124" s="68">
        <v>13.039016560943919</v>
      </c>
    </row>
    <row r="125" spans="1:4" ht="15.75" customHeight="1">
      <c r="A125" s="16">
        <v>51302</v>
      </c>
      <c r="B125" s="63" t="s">
        <v>243</v>
      </c>
      <c r="C125" s="65">
        <v>4.9262950667610594</v>
      </c>
      <c r="D125" s="68">
        <v>13.020611329339074</v>
      </c>
    </row>
    <row r="126" spans="1:4" ht="15.75" customHeight="1">
      <c r="A126" s="16">
        <v>70401</v>
      </c>
      <c r="B126" s="63" t="s">
        <v>268</v>
      </c>
      <c r="C126" s="65">
        <v>9.6471627519469418</v>
      </c>
      <c r="D126" s="68">
        <v>12.754608962606669</v>
      </c>
    </row>
    <row r="127" spans="1:4" ht="15.75" customHeight="1">
      <c r="A127" s="16">
        <v>30401</v>
      </c>
      <c r="B127" s="63" t="s">
        <v>131</v>
      </c>
      <c r="C127" s="65">
        <v>3.9841975353548804</v>
      </c>
      <c r="D127" s="68">
        <v>12.752144069800861</v>
      </c>
    </row>
    <row r="128" spans="1:4" ht="15.75" customHeight="1">
      <c r="A128" s="16">
        <v>40302</v>
      </c>
      <c r="B128" s="63" t="s">
        <v>179</v>
      </c>
      <c r="C128" s="65">
        <v>3.5004813161809749</v>
      </c>
      <c r="D128" s="68">
        <v>12.729041917725491</v>
      </c>
    </row>
    <row r="129" spans="1:4" ht="15.75" customHeight="1">
      <c r="A129" s="16">
        <v>80301</v>
      </c>
      <c r="B129" s="63" t="s">
        <v>315</v>
      </c>
      <c r="C129" s="65">
        <v>5.0612712370259727</v>
      </c>
      <c r="D129" s="68">
        <v>12.629056005436324</v>
      </c>
    </row>
    <row r="130" spans="1:4" ht="15.75" customHeight="1">
      <c r="A130" s="16">
        <v>20401</v>
      </c>
      <c r="B130" s="63" t="s">
        <v>56</v>
      </c>
      <c r="C130" s="65">
        <v>1.1577256479645734</v>
      </c>
      <c r="D130" s="68">
        <v>12.543600544395739</v>
      </c>
    </row>
    <row r="131" spans="1:4" ht="15.75" customHeight="1">
      <c r="A131" s="16">
        <v>20803</v>
      </c>
      <c r="B131" s="63" t="s">
        <v>76</v>
      </c>
      <c r="C131" s="65">
        <v>17.940499684991028</v>
      </c>
      <c r="D131" s="68">
        <v>12.052504045339447</v>
      </c>
    </row>
    <row r="132" spans="1:4" ht="15.75" customHeight="1">
      <c r="A132" s="16">
        <v>70902</v>
      </c>
      <c r="B132" s="63" t="s">
        <v>291</v>
      </c>
      <c r="C132" s="65">
        <v>2.5673715877348169</v>
      </c>
      <c r="D132" s="68">
        <v>11.879604269901558</v>
      </c>
    </row>
    <row r="133" spans="1:4" ht="15.75" customHeight="1">
      <c r="A133" s="16">
        <v>20205</v>
      </c>
      <c r="B133" s="63" t="s">
        <v>46</v>
      </c>
      <c r="C133" s="65">
        <v>1.9194963241645391</v>
      </c>
      <c r="D133" s="68">
        <v>11.445517252257972</v>
      </c>
    </row>
    <row r="134" spans="1:4" ht="15.75" customHeight="1">
      <c r="A134" s="16">
        <v>71104</v>
      </c>
      <c r="B134" s="63" t="s">
        <v>301</v>
      </c>
      <c r="C134" s="65">
        <v>4.5842170253127179</v>
      </c>
      <c r="D134" s="68">
        <v>11.420383442202677</v>
      </c>
    </row>
    <row r="135" spans="1:4" ht="15.75" customHeight="1">
      <c r="A135" s="16">
        <v>40402</v>
      </c>
      <c r="B135" s="63" t="s">
        <v>181</v>
      </c>
      <c r="C135" s="65">
        <v>5.0910686908835343</v>
      </c>
      <c r="D135" s="68">
        <v>11.290835242253427</v>
      </c>
    </row>
    <row r="136" spans="1:4" ht="15.75" customHeight="1">
      <c r="A136" s="16">
        <v>30701</v>
      </c>
      <c r="B136" s="63" t="s">
        <v>139</v>
      </c>
      <c r="C136" s="65">
        <v>0.85589325299348673</v>
      </c>
      <c r="D136" s="68">
        <v>11.064533284411292</v>
      </c>
    </row>
    <row r="137" spans="1:4" ht="15.75" customHeight="1">
      <c r="A137" s="16">
        <v>40401</v>
      </c>
      <c r="B137" s="63" t="s">
        <v>180</v>
      </c>
      <c r="C137" s="65">
        <v>8.5369038061383478</v>
      </c>
      <c r="D137" s="68">
        <v>10.818691986316287</v>
      </c>
    </row>
    <row r="138" spans="1:4" ht="15.75" customHeight="1">
      <c r="A138" s="16">
        <v>10901</v>
      </c>
      <c r="B138" s="63" t="s">
        <v>31</v>
      </c>
      <c r="C138" s="65">
        <v>6.5189090622554255</v>
      </c>
      <c r="D138" s="68">
        <v>10.677206096663889</v>
      </c>
    </row>
    <row r="139" spans="1:4" ht="15.75" customHeight="1">
      <c r="A139" s="16">
        <v>31601</v>
      </c>
      <c r="B139" s="63" t="s">
        <v>170</v>
      </c>
      <c r="C139" s="65">
        <v>1.1635400771826003</v>
      </c>
      <c r="D139" s="68">
        <v>10.620514596906411</v>
      </c>
    </row>
    <row r="140" spans="1:4" ht="15.75" customHeight="1">
      <c r="A140" s="16">
        <v>71302</v>
      </c>
      <c r="B140" s="63" t="s">
        <v>306</v>
      </c>
      <c r="C140" s="65">
        <v>3.0913812577834032</v>
      </c>
      <c r="D140" s="68">
        <v>10.554553091076221</v>
      </c>
    </row>
    <row r="141" spans="1:4" ht="15.75" customHeight="1">
      <c r="A141" s="16">
        <v>60501</v>
      </c>
      <c r="B141" s="63" t="s">
        <v>256</v>
      </c>
      <c r="C141" s="65">
        <v>12.832817905928016</v>
      </c>
      <c r="D141" s="68">
        <v>10.168684024574889</v>
      </c>
    </row>
    <row r="142" spans="1:4" ht="15.75" customHeight="1">
      <c r="A142" s="16">
        <v>30203</v>
      </c>
      <c r="B142" s="63" t="s">
        <v>127</v>
      </c>
      <c r="C142" s="65">
        <v>4.5593609548354133</v>
      </c>
      <c r="D142" s="68">
        <v>10.058603417103262</v>
      </c>
    </row>
    <row r="143" spans="1:4" ht="15.75" customHeight="1">
      <c r="A143" s="16">
        <v>11003</v>
      </c>
      <c r="B143" s="63" t="s">
        <v>36</v>
      </c>
      <c r="C143" s="65">
        <v>9.8173133286508421</v>
      </c>
      <c r="D143" s="68">
        <v>9.9659575710098363</v>
      </c>
    </row>
    <row r="144" spans="1:4" ht="15.75" customHeight="1">
      <c r="A144" s="16">
        <v>50502</v>
      </c>
      <c r="B144" s="63" t="s">
        <v>223</v>
      </c>
      <c r="C144" s="65">
        <v>2.3324460776749922</v>
      </c>
      <c r="D144" s="68">
        <v>9.8512200000551839</v>
      </c>
    </row>
    <row r="145" spans="1:4" ht="15.75" customHeight="1">
      <c r="A145" s="16">
        <v>80801</v>
      </c>
      <c r="B145" s="63" t="s">
        <v>324</v>
      </c>
      <c r="C145" s="65">
        <v>0</v>
      </c>
      <c r="D145" s="68">
        <v>9.8232323289518728</v>
      </c>
    </row>
    <row r="146" spans="1:4" ht="15.75" customHeight="1">
      <c r="A146" s="16">
        <v>71106</v>
      </c>
      <c r="B146" s="63" t="s">
        <v>303</v>
      </c>
      <c r="C146" s="65">
        <v>2.329074344751898</v>
      </c>
      <c r="D146" s="68">
        <v>9.7324672022151706</v>
      </c>
    </row>
    <row r="147" spans="1:4" ht="15.75" customHeight="1">
      <c r="A147" s="16">
        <v>71503</v>
      </c>
      <c r="B147" s="63" t="s">
        <v>257</v>
      </c>
      <c r="C147" s="65">
        <v>2.1443690488066474</v>
      </c>
      <c r="D147" s="68">
        <v>9.7006044458875262</v>
      </c>
    </row>
    <row r="148" spans="1:4" ht="15.75" customHeight="1">
      <c r="A148" s="16">
        <v>21006</v>
      </c>
      <c r="B148" s="63" t="s">
        <v>91</v>
      </c>
      <c r="C148" s="65">
        <v>4.4916067282025169</v>
      </c>
      <c r="D148" s="68">
        <v>9.6460017573686923</v>
      </c>
    </row>
    <row r="149" spans="1:4" ht="15.75" customHeight="1">
      <c r="A149" s="16">
        <v>21402</v>
      </c>
      <c r="B149" s="63" t="s">
        <v>109</v>
      </c>
      <c r="C149" s="65">
        <v>3.4820544774710598</v>
      </c>
      <c r="D149" s="68">
        <v>9.5702529438243431</v>
      </c>
    </row>
    <row r="150" spans="1:4" ht="15.75" customHeight="1">
      <c r="A150" s="16">
        <v>21105</v>
      </c>
      <c r="B150" s="63" t="s">
        <v>96</v>
      </c>
      <c r="C150" s="65">
        <v>1.3984247858058827</v>
      </c>
      <c r="D150" s="68">
        <v>9.5131170359511046</v>
      </c>
    </row>
    <row r="151" spans="1:4" ht="15.75" customHeight="1">
      <c r="A151" s="16">
        <v>20905</v>
      </c>
      <c r="B151" s="63" t="s">
        <v>85</v>
      </c>
      <c r="C151" s="65">
        <v>1.0131854439486956</v>
      </c>
      <c r="D151" s="68">
        <v>9.4217810885571431</v>
      </c>
    </row>
    <row r="152" spans="1:4" ht="15.75" customHeight="1">
      <c r="A152" s="16">
        <v>50201</v>
      </c>
      <c r="B152" s="63" t="s">
        <v>210</v>
      </c>
      <c r="C152" s="65">
        <v>0.25395095367847415</v>
      </c>
      <c r="D152" s="68">
        <v>8.9948885887297525</v>
      </c>
    </row>
    <row r="153" spans="1:4" ht="15.75" customHeight="1">
      <c r="A153" s="16">
        <v>70707</v>
      </c>
      <c r="B153" s="63" t="s">
        <v>284</v>
      </c>
      <c r="C153" s="65">
        <v>8.795791123646044</v>
      </c>
      <c r="D153" s="68">
        <v>8.9727773261244064</v>
      </c>
    </row>
    <row r="154" spans="1:4" ht="15.75" customHeight="1">
      <c r="A154" s="16">
        <v>31402</v>
      </c>
      <c r="B154" s="63" t="s">
        <v>165</v>
      </c>
      <c r="C154" s="65">
        <v>2.0429453320498858</v>
      </c>
      <c r="D154" s="68">
        <v>8.9579156185972959</v>
      </c>
    </row>
    <row r="155" spans="1:4" ht="15.75" customHeight="1">
      <c r="A155" s="16">
        <v>10601</v>
      </c>
      <c r="B155" s="63" t="s">
        <v>24</v>
      </c>
      <c r="C155" s="65">
        <v>3.1827478348453133</v>
      </c>
      <c r="D155" s="68">
        <v>8.8701763455755884</v>
      </c>
    </row>
    <row r="156" spans="1:4" ht="15.75" customHeight="1">
      <c r="A156" s="16">
        <v>20602</v>
      </c>
      <c r="B156" s="63" t="s">
        <v>65</v>
      </c>
      <c r="C156" s="65">
        <v>4.4880428231459595</v>
      </c>
      <c r="D156" s="68">
        <v>8.8227217455566862</v>
      </c>
    </row>
    <row r="157" spans="1:4" ht="15.75" customHeight="1">
      <c r="A157" s="16">
        <v>21202</v>
      </c>
      <c r="B157" s="63" t="s">
        <v>98</v>
      </c>
      <c r="C157" s="65">
        <v>0.41190586042304478</v>
      </c>
      <c r="D157" s="68">
        <v>8.814247580731033</v>
      </c>
    </row>
    <row r="158" spans="1:4" ht="15.75" customHeight="1">
      <c r="A158" s="16">
        <v>31403</v>
      </c>
      <c r="B158" s="63" t="s">
        <v>166</v>
      </c>
      <c r="C158" s="65">
        <v>2.9548047697876778</v>
      </c>
      <c r="D158" s="68">
        <v>8.6243601549706295</v>
      </c>
    </row>
    <row r="159" spans="1:4" ht="15.75" customHeight="1">
      <c r="A159" s="16">
        <v>80402</v>
      </c>
      <c r="B159" s="63" t="s">
        <v>319</v>
      </c>
      <c r="C159" s="65">
        <v>5.256814626766162</v>
      </c>
      <c r="D159" s="68">
        <v>8.5188063678472208</v>
      </c>
    </row>
    <row r="160" spans="1:4" ht="15.75" customHeight="1">
      <c r="A160" s="16">
        <v>21301</v>
      </c>
      <c r="B160" s="63" t="s">
        <v>101</v>
      </c>
      <c r="C160" s="65">
        <v>3.6411271336394271</v>
      </c>
      <c r="D160" s="68">
        <v>8.5039985698533211</v>
      </c>
    </row>
    <row r="161" spans="1:4" ht="15.75" customHeight="1">
      <c r="A161" s="16">
        <v>30902</v>
      </c>
      <c r="B161" s="63" t="s">
        <v>146</v>
      </c>
      <c r="C161" s="65">
        <v>2.7504408605875619</v>
      </c>
      <c r="D161" s="68">
        <v>8.4786122926569902</v>
      </c>
    </row>
    <row r="162" spans="1:4" ht="15.75" customHeight="1">
      <c r="A162" s="16">
        <v>70302</v>
      </c>
      <c r="B162" s="63" t="s">
        <v>266</v>
      </c>
      <c r="C162" s="65">
        <v>4.4407706617076563</v>
      </c>
      <c r="D162" s="68">
        <v>8.4657461493245822</v>
      </c>
    </row>
    <row r="163" spans="1:4" ht="15.75" customHeight="1">
      <c r="A163" s="16">
        <v>60201</v>
      </c>
      <c r="B163" s="63" t="s">
        <v>249</v>
      </c>
      <c r="C163" s="65">
        <v>8.0999801374850549</v>
      </c>
      <c r="D163" s="68">
        <v>8.3460822196501727</v>
      </c>
    </row>
    <row r="164" spans="1:4" ht="15.75" customHeight="1">
      <c r="A164" s="16">
        <v>70803</v>
      </c>
      <c r="B164" s="63" t="s">
        <v>287</v>
      </c>
      <c r="C164" s="65">
        <v>8.0318774975100808</v>
      </c>
      <c r="D164" s="68">
        <v>8.3291611532109915</v>
      </c>
    </row>
    <row r="165" spans="1:4" ht="15.75" customHeight="1">
      <c r="A165" s="16">
        <v>21203</v>
      </c>
      <c r="B165" s="63" t="s">
        <v>99</v>
      </c>
      <c r="C165" s="65">
        <v>3.2174512997024949</v>
      </c>
      <c r="D165" s="68">
        <v>8.0865711480231059</v>
      </c>
    </row>
    <row r="166" spans="1:4" ht="15.75" customHeight="1">
      <c r="A166" s="16">
        <v>20807</v>
      </c>
      <c r="B166" s="63" t="s">
        <v>80</v>
      </c>
      <c r="C166" s="65">
        <v>0</v>
      </c>
      <c r="D166" s="68">
        <v>7.9292490013450889</v>
      </c>
    </row>
    <row r="167" spans="1:4" ht="15.75" customHeight="1">
      <c r="A167" s="16">
        <v>10801</v>
      </c>
      <c r="B167" s="63" t="s">
        <v>30</v>
      </c>
      <c r="C167" s="65">
        <v>14.009362646845817</v>
      </c>
      <c r="D167" s="68">
        <v>7.9231227125555534</v>
      </c>
    </row>
    <row r="168" spans="1:4" ht="15.75" customHeight="1">
      <c r="A168" s="16">
        <v>60502</v>
      </c>
      <c r="B168" s="63" t="s">
        <v>257</v>
      </c>
      <c r="C168" s="65">
        <v>3.0448929574836483</v>
      </c>
      <c r="D168" s="68">
        <v>7.8939390893685477</v>
      </c>
    </row>
    <row r="169" spans="1:4" ht="15.75" customHeight="1">
      <c r="A169" s="16">
        <v>70704</v>
      </c>
      <c r="B169" s="63" t="s">
        <v>281</v>
      </c>
      <c r="C169" s="65">
        <v>3.5144238027956582</v>
      </c>
      <c r="D169" s="68">
        <v>7.8420617392838281</v>
      </c>
    </row>
    <row r="170" spans="1:4" ht="15.75" customHeight="1">
      <c r="A170" s="16">
        <v>21703</v>
      </c>
      <c r="B170" s="63" t="s">
        <v>116</v>
      </c>
      <c r="C170" s="65">
        <v>1.3221820961148485</v>
      </c>
      <c r="D170" s="68">
        <v>7.8067904925569138</v>
      </c>
    </row>
    <row r="171" spans="1:4" ht="15.75" customHeight="1">
      <c r="A171" s="16">
        <v>21702</v>
      </c>
      <c r="B171" s="63" t="s">
        <v>115</v>
      </c>
      <c r="C171" s="65">
        <v>132.6970021370237</v>
      </c>
      <c r="D171" s="68">
        <v>7.7960937982419409</v>
      </c>
    </row>
    <row r="172" spans="1:4" ht="15.75" customHeight="1">
      <c r="A172" s="16">
        <v>50401</v>
      </c>
      <c r="B172" s="63" t="s">
        <v>217</v>
      </c>
      <c r="C172" s="65">
        <v>1.7370252357197529</v>
      </c>
      <c r="D172" s="68">
        <v>7.7000835859665431</v>
      </c>
    </row>
    <row r="173" spans="1:4" ht="15.75" customHeight="1">
      <c r="A173" s="16">
        <v>30201</v>
      </c>
      <c r="B173" s="63" t="s">
        <v>125</v>
      </c>
      <c r="C173" s="65">
        <v>4.2990415998208453</v>
      </c>
      <c r="D173" s="68">
        <v>7.6367124688908241</v>
      </c>
    </row>
    <row r="174" spans="1:4" ht="15.75" customHeight="1">
      <c r="A174" s="16">
        <v>71105</v>
      </c>
      <c r="B174" s="63" t="s">
        <v>302</v>
      </c>
      <c r="C174" s="65">
        <v>1.1835649494794724</v>
      </c>
      <c r="D174" s="68">
        <v>7.5835978755918338</v>
      </c>
    </row>
    <row r="175" spans="1:4" ht="15.75" customHeight="1">
      <c r="A175" s="16">
        <v>40602</v>
      </c>
      <c r="B175" s="63" t="s">
        <v>188</v>
      </c>
      <c r="C175" s="65">
        <v>0.56659054189561031</v>
      </c>
      <c r="D175" s="68">
        <v>7.3112545879861086</v>
      </c>
    </row>
    <row r="176" spans="1:4" ht="15.75" customHeight="1">
      <c r="A176" s="16">
        <v>11001</v>
      </c>
      <c r="B176" s="63" t="s">
        <v>34</v>
      </c>
      <c r="C176" s="65">
        <v>2.8968229135964898</v>
      </c>
      <c r="D176" s="68">
        <v>7.2765753637432766</v>
      </c>
    </row>
    <row r="177" spans="1:4" ht="15.75" customHeight="1">
      <c r="A177" s="16">
        <v>30403</v>
      </c>
      <c r="B177" s="63" t="s">
        <v>133</v>
      </c>
      <c r="C177" s="65">
        <v>0.54232385773037461</v>
      </c>
      <c r="D177" s="68">
        <v>7.1932481897071527</v>
      </c>
    </row>
    <row r="178" spans="1:4" ht="15.75" customHeight="1">
      <c r="A178" s="16">
        <v>30202</v>
      </c>
      <c r="B178" s="63" t="s">
        <v>126</v>
      </c>
      <c r="C178" s="65">
        <v>2.681965688059277</v>
      </c>
      <c r="D178" s="68">
        <v>7.167474339274702</v>
      </c>
    </row>
    <row r="179" spans="1:4" ht="15.75" customHeight="1">
      <c r="A179" s="16">
        <v>20604</v>
      </c>
      <c r="B179" s="63" t="s">
        <v>67</v>
      </c>
      <c r="C179" s="65">
        <v>2.3705108450871162</v>
      </c>
      <c r="D179" s="68">
        <v>7.0731649690318434</v>
      </c>
    </row>
    <row r="180" spans="1:4" ht="15.75" customHeight="1">
      <c r="A180" s="16">
        <v>40902</v>
      </c>
      <c r="B180" s="63" t="s">
        <v>195</v>
      </c>
      <c r="C180" s="65">
        <v>0</v>
      </c>
      <c r="D180" s="68">
        <v>6.9873453301983117</v>
      </c>
    </row>
    <row r="181" spans="1:4" ht="15.75" customHeight="1">
      <c r="A181" s="16">
        <v>20204</v>
      </c>
      <c r="B181" s="63" t="s">
        <v>45</v>
      </c>
      <c r="C181" s="65">
        <v>3.9930423224356733</v>
      </c>
      <c r="D181" s="68">
        <v>6.9623367876606288</v>
      </c>
    </row>
    <row r="182" spans="1:4" ht="15.75" customHeight="1">
      <c r="A182" s="16">
        <v>50404</v>
      </c>
      <c r="B182" s="63" t="s">
        <v>220</v>
      </c>
      <c r="C182" s="65">
        <v>0.41703591721837041</v>
      </c>
      <c r="D182" s="68">
        <v>6.93339816204056</v>
      </c>
    </row>
    <row r="183" spans="1:4" ht="15.75" customHeight="1">
      <c r="A183" s="16">
        <v>30301</v>
      </c>
      <c r="B183" s="63" t="s">
        <v>128</v>
      </c>
      <c r="C183" s="65">
        <v>2.544425859659972</v>
      </c>
      <c r="D183" s="68">
        <v>6.8458894335423741</v>
      </c>
    </row>
    <row r="184" spans="1:4" ht="15.75" customHeight="1">
      <c r="A184" s="16">
        <v>22002</v>
      </c>
      <c r="B184" s="63" t="s">
        <v>123</v>
      </c>
      <c r="C184" s="65">
        <v>1.4888928592698469</v>
      </c>
      <c r="D184" s="68">
        <v>6.8130888189614076</v>
      </c>
    </row>
    <row r="185" spans="1:4" ht="15.75" customHeight="1">
      <c r="A185" s="16">
        <v>51203</v>
      </c>
      <c r="B185" s="63" t="s">
        <v>240</v>
      </c>
      <c r="C185" s="65">
        <v>4.3056658321992911</v>
      </c>
      <c r="D185" s="68">
        <v>6.7517944400983838</v>
      </c>
    </row>
    <row r="186" spans="1:4" ht="15.75" customHeight="1">
      <c r="A186" s="16">
        <v>21803</v>
      </c>
      <c r="B186" s="63" t="s">
        <v>119</v>
      </c>
      <c r="C186" s="65">
        <v>0</v>
      </c>
      <c r="D186" s="68">
        <v>6.7371217489714583</v>
      </c>
    </row>
    <row r="187" spans="1:4" ht="15.75" customHeight="1">
      <c r="A187" s="16">
        <v>20502</v>
      </c>
      <c r="B187" s="63" t="s">
        <v>62</v>
      </c>
      <c r="C187" s="65">
        <v>0</v>
      </c>
      <c r="D187" s="68">
        <v>6.6771959069250926</v>
      </c>
    </row>
    <row r="188" spans="1:4" ht="15.75" customHeight="1">
      <c r="A188" s="16">
        <v>20802</v>
      </c>
      <c r="B188" s="63" t="s">
        <v>75</v>
      </c>
      <c r="C188" s="65">
        <v>4.0880682993831163</v>
      </c>
      <c r="D188" s="68">
        <v>6.5501452377565927</v>
      </c>
    </row>
    <row r="189" spans="1:4" ht="15.75" customHeight="1">
      <c r="A189" s="16">
        <v>70802</v>
      </c>
      <c r="B189" s="63" t="s">
        <v>286</v>
      </c>
      <c r="C189" s="65">
        <v>0.93270848292783182</v>
      </c>
      <c r="D189" s="68">
        <v>6.4039800406948162</v>
      </c>
    </row>
    <row r="190" spans="1:4" ht="15.75" customHeight="1">
      <c r="A190" s="16">
        <v>10301</v>
      </c>
      <c r="B190" s="63" t="s">
        <v>13</v>
      </c>
      <c r="C190" s="65">
        <v>5.6493836134202446</v>
      </c>
      <c r="D190" s="68">
        <v>6.0231893791922557</v>
      </c>
    </row>
    <row r="191" spans="1:4" ht="15.75" customHeight="1">
      <c r="A191" s="16">
        <v>41502</v>
      </c>
      <c r="B191" s="63" t="s">
        <v>203</v>
      </c>
      <c r="C191" s="65">
        <v>0</v>
      </c>
      <c r="D191" s="68">
        <v>5.9844877387811382</v>
      </c>
    </row>
    <row r="192" spans="1:4" ht="15.75" customHeight="1">
      <c r="A192" s="16">
        <v>11002</v>
      </c>
      <c r="B192" s="63" t="s">
        <v>35</v>
      </c>
      <c r="C192" s="65">
        <v>8.4989181811303016</v>
      </c>
      <c r="D192" s="68">
        <v>5.8904380072747315</v>
      </c>
    </row>
    <row r="193" spans="1:4" ht="15.75" customHeight="1">
      <c r="A193" s="16">
        <v>31002</v>
      </c>
      <c r="B193" s="63" t="s">
        <v>151</v>
      </c>
      <c r="C193" s="65">
        <v>5.1569993954677784</v>
      </c>
      <c r="D193" s="68">
        <v>5.818205067720446</v>
      </c>
    </row>
    <row r="194" spans="1:4" ht="15.75" customHeight="1">
      <c r="A194" s="16">
        <v>40901</v>
      </c>
      <c r="B194" s="63" t="s">
        <v>194</v>
      </c>
      <c r="C194" s="65">
        <v>1.1571618676592543</v>
      </c>
      <c r="D194" s="68">
        <v>5.8125911125557392</v>
      </c>
    </row>
    <row r="195" spans="1:4" ht="15.75" customHeight="1">
      <c r="A195" s="16">
        <v>51202</v>
      </c>
      <c r="B195" s="63" t="s">
        <v>239</v>
      </c>
      <c r="C195" s="65">
        <v>1.400908418353257</v>
      </c>
      <c r="D195" s="68">
        <v>5.7580919695975092</v>
      </c>
    </row>
    <row r="196" spans="1:4" ht="15.75" customHeight="1">
      <c r="A196" s="16">
        <v>31301</v>
      </c>
      <c r="B196" s="63" t="s">
        <v>160</v>
      </c>
      <c r="C196" s="65">
        <v>4.8659970573952087</v>
      </c>
      <c r="D196" s="68">
        <v>5.7079766893855988</v>
      </c>
    </row>
    <row r="197" spans="1:4" ht="15.75" customHeight="1">
      <c r="A197" s="16">
        <v>10401</v>
      </c>
      <c r="B197" s="63" t="s">
        <v>17</v>
      </c>
      <c r="C197" s="65">
        <v>10.177195514215354</v>
      </c>
      <c r="D197" s="68">
        <v>5.5974304962312962</v>
      </c>
    </row>
    <row r="198" spans="1:4" ht="15.75" customHeight="1">
      <c r="A198" s="16">
        <v>21003</v>
      </c>
      <c r="B198" s="63" t="s">
        <v>88</v>
      </c>
      <c r="C198" s="65">
        <v>4.6777573162739872</v>
      </c>
      <c r="D198" s="68">
        <v>5.5054689917698338</v>
      </c>
    </row>
    <row r="199" spans="1:4" ht="15.75" customHeight="1">
      <c r="A199" s="16">
        <v>20402</v>
      </c>
      <c r="B199" s="63" t="s">
        <v>57</v>
      </c>
      <c r="C199" s="65">
        <v>0.42557718906266623</v>
      </c>
      <c r="D199" s="68">
        <v>5.2783261928139709</v>
      </c>
    </row>
    <row r="200" spans="1:4" ht="15.75" customHeight="1">
      <c r="A200" s="16">
        <v>70804</v>
      </c>
      <c r="B200" s="63" t="s">
        <v>288</v>
      </c>
      <c r="C200" s="65">
        <v>5.2328656798924902</v>
      </c>
      <c r="D200" s="68">
        <v>5.2539404553415059</v>
      </c>
    </row>
    <row r="201" spans="1:4" ht="15.75" customHeight="1">
      <c r="A201" s="16">
        <v>20203</v>
      </c>
      <c r="B201" s="63" t="s">
        <v>44</v>
      </c>
      <c r="C201" s="65">
        <v>4.3422970751527563</v>
      </c>
      <c r="D201" s="68">
        <v>5.2164709398187084</v>
      </c>
    </row>
    <row r="202" spans="1:4" ht="15.75" customHeight="1">
      <c r="A202" s="16">
        <v>10102</v>
      </c>
      <c r="B202" s="63" t="s">
        <v>9</v>
      </c>
      <c r="C202" s="65">
        <v>7.7204858843671929</v>
      </c>
      <c r="D202" s="68">
        <v>5.2125608597958974</v>
      </c>
    </row>
    <row r="203" spans="1:4" ht="15.75" customHeight="1">
      <c r="A203" s="16">
        <v>40101</v>
      </c>
      <c r="B203" s="63" t="s">
        <v>172</v>
      </c>
      <c r="C203" s="65">
        <v>0</v>
      </c>
      <c r="D203" s="68">
        <v>5.2068391029802124</v>
      </c>
    </row>
    <row r="204" spans="1:4" ht="15.75" customHeight="1">
      <c r="A204" s="16">
        <v>80102</v>
      </c>
      <c r="B204" s="63" t="s">
        <v>299</v>
      </c>
      <c r="C204" s="65">
        <v>2.1098190755684691</v>
      </c>
      <c r="D204" s="68">
        <v>5.2028419887046526</v>
      </c>
    </row>
    <row r="205" spans="1:4" ht="15.75" customHeight="1">
      <c r="A205" s="16">
        <v>70701</v>
      </c>
      <c r="B205" s="63" t="s">
        <v>278</v>
      </c>
      <c r="C205" s="65">
        <v>4.952925352776945</v>
      </c>
      <c r="D205" s="68">
        <v>5.0869852528211679</v>
      </c>
    </row>
    <row r="206" spans="1:4" ht="15.75" customHeight="1">
      <c r="A206" s="16">
        <v>41503</v>
      </c>
      <c r="B206" s="63" t="s">
        <v>204</v>
      </c>
      <c r="C206" s="65">
        <v>0</v>
      </c>
      <c r="D206" s="68">
        <v>5.0776827093432235</v>
      </c>
    </row>
    <row r="207" spans="1:4" ht="15.75" customHeight="1">
      <c r="A207" s="16">
        <v>21901</v>
      </c>
      <c r="B207" s="63" t="s">
        <v>120</v>
      </c>
      <c r="C207" s="65">
        <v>0</v>
      </c>
      <c r="D207" s="68">
        <v>5.0234451623345633</v>
      </c>
    </row>
    <row r="208" spans="1:4" ht="15.75" customHeight="1">
      <c r="A208" s="16">
        <v>31501</v>
      </c>
      <c r="B208" s="63" t="s">
        <v>169</v>
      </c>
      <c r="C208" s="65">
        <v>3.8664824689933739</v>
      </c>
      <c r="D208" s="68">
        <v>4.9610727261870116</v>
      </c>
    </row>
    <row r="209" spans="1:4" ht="15.75" customHeight="1">
      <c r="A209" s="16">
        <v>20306</v>
      </c>
      <c r="B209" s="63" t="s">
        <v>53</v>
      </c>
      <c r="C209" s="65">
        <v>0.38874897084161447</v>
      </c>
      <c r="D209" s="68">
        <v>4.9469384864509642</v>
      </c>
    </row>
    <row r="210" spans="1:4" ht="15.75" customHeight="1">
      <c r="A210" s="16">
        <v>70303</v>
      </c>
      <c r="B210" s="63" t="s">
        <v>267</v>
      </c>
      <c r="C210" s="65">
        <v>1.0475180369511987</v>
      </c>
      <c r="D210" s="68">
        <v>4.8877525083716433</v>
      </c>
    </row>
    <row r="211" spans="1:4" ht="15.75" customHeight="1">
      <c r="A211" s="16">
        <v>20404</v>
      </c>
      <c r="B211" s="63" t="s">
        <v>59</v>
      </c>
      <c r="C211" s="65">
        <v>0</v>
      </c>
      <c r="D211" s="68">
        <v>4.7856181835123257</v>
      </c>
    </row>
    <row r="212" spans="1:4" ht="15.75" customHeight="1">
      <c r="A212" s="16">
        <v>10703</v>
      </c>
      <c r="B212" s="63" t="s">
        <v>28</v>
      </c>
      <c r="C212" s="65">
        <v>4.3888776878481979</v>
      </c>
      <c r="D212" s="68">
        <v>4.7419971346319389</v>
      </c>
    </row>
    <row r="213" spans="1:4" ht="15.75" customHeight="1">
      <c r="A213" s="16">
        <v>20403</v>
      </c>
      <c r="B213" s="63" t="s">
        <v>58</v>
      </c>
      <c r="C213" s="65">
        <v>2.042224835660742</v>
      </c>
      <c r="D213" s="68">
        <v>4.5887380798766957</v>
      </c>
    </row>
    <row r="214" spans="1:4" ht="15.75" customHeight="1">
      <c r="A214" s="16">
        <v>80703</v>
      </c>
      <c r="B214" s="63" t="s">
        <v>323</v>
      </c>
      <c r="C214" s="65">
        <v>0</v>
      </c>
      <c r="D214" s="68">
        <v>4.5829514207149407</v>
      </c>
    </row>
    <row r="215" spans="1:4" ht="15.75" customHeight="1">
      <c r="A215" s="16">
        <v>50303</v>
      </c>
      <c r="B215" s="63" t="s">
        <v>216</v>
      </c>
      <c r="C215" s="65">
        <v>1.1118073022257615</v>
      </c>
      <c r="D215" s="68">
        <v>4.4722941650776606</v>
      </c>
    </row>
    <row r="216" spans="1:4" ht="15.75" customHeight="1">
      <c r="A216" s="16">
        <v>10303</v>
      </c>
      <c r="B216" s="63" t="s">
        <v>15</v>
      </c>
      <c r="C216" s="65">
        <v>6.9491232952264275</v>
      </c>
      <c r="D216" s="68">
        <v>4.45819184950967</v>
      </c>
    </row>
    <row r="217" spans="1:4" ht="15.75" customHeight="1">
      <c r="A217" s="16">
        <v>71005</v>
      </c>
      <c r="B217" s="63" t="s">
        <v>222</v>
      </c>
      <c r="C217" s="65">
        <v>0.6858964756293715</v>
      </c>
      <c r="D217" s="68">
        <v>4.2270661785623238</v>
      </c>
    </row>
    <row r="218" spans="1:4" ht="15.75" customHeight="1">
      <c r="A218" s="16">
        <v>41001</v>
      </c>
      <c r="B218" s="63" t="s">
        <v>197</v>
      </c>
      <c r="C218" s="65">
        <v>0.97715158709560745</v>
      </c>
      <c r="D218" s="68">
        <v>4.1565196834341078</v>
      </c>
    </row>
    <row r="219" spans="1:4" ht="15.75" customHeight="1">
      <c r="A219" s="16">
        <v>30501</v>
      </c>
      <c r="B219" s="63" t="s">
        <v>135</v>
      </c>
      <c r="C219" s="65">
        <v>2.4372969316493012</v>
      </c>
      <c r="D219" s="68">
        <v>3.9168109133299835</v>
      </c>
    </row>
    <row r="220" spans="1:4" ht="15.75" customHeight="1">
      <c r="A220" s="16">
        <v>70602</v>
      </c>
      <c r="B220" s="63" t="s">
        <v>276</v>
      </c>
      <c r="C220" s="65">
        <v>3.7455599737491352</v>
      </c>
      <c r="D220" s="68">
        <v>3.8782007168987849</v>
      </c>
    </row>
    <row r="221" spans="1:4" ht="15.75" customHeight="1">
      <c r="A221" s="16">
        <v>20608</v>
      </c>
      <c r="B221" s="63" t="s">
        <v>71</v>
      </c>
      <c r="C221" s="65">
        <v>2.2966075345719479</v>
      </c>
      <c r="D221" s="68">
        <v>3.8351202824515327</v>
      </c>
    </row>
    <row r="222" spans="1:4" ht="15.75" customHeight="1">
      <c r="A222" s="16">
        <v>21001</v>
      </c>
      <c r="B222" s="63" t="s">
        <v>86</v>
      </c>
      <c r="C222" s="65">
        <v>1.5655888968780733</v>
      </c>
      <c r="D222" s="68">
        <v>3.8157801827779956</v>
      </c>
    </row>
    <row r="223" spans="1:4" ht="15.75" customHeight="1">
      <c r="A223" s="16">
        <v>70703</v>
      </c>
      <c r="B223" s="63" t="s">
        <v>280</v>
      </c>
      <c r="C223" s="65">
        <v>2.4940383507663975</v>
      </c>
      <c r="D223" s="68">
        <v>3.7902432298249984</v>
      </c>
    </row>
    <row r="224" spans="1:4" ht="15.75" customHeight="1">
      <c r="A224" s="16">
        <v>21601</v>
      </c>
      <c r="B224" s="63" t="s">
        <v>112</v>
      </c>
      <c r="C224" s="65">
        <v>1.3565742660421307</v>
      </c>
      <c r="D224" s="68">
        <v>3.6851846684010301</v>
      </c>
    </row>
    <row r="225" spans="1:4" ht="15.75" customHeight="1">
      <c r="A225" s="16">
        <v>30302</v>
      </c>
      <c r="B225" s="63" t="s">
        <v>129</v>
      </c>
      <c r="C225" s="65">
        <v>2.3298027739717337</v>
      </c>
      <c r="D225" s="68">
        <v>3.6581113680857005</v>
      </c>
    </row>
    <row r="226" spans="1:4" ht="15.75" customHeight="1">
      <c r="A226" s="16">
        <v>20301</v>
      </c>
      <c r="B226" s="63" t="s">
        <v>48</v>
      </c>
      <c r="C226" s="65">
        <v>0.77225622412366979</v>
      </c>
      <c r="D226" s="68">
        <v>3.6563899740760655</v>
      </c>
    </row>
    <row r="227" spans="1:4" ht="15.75" customHeight="1">
      <c r="A227" s="16">
        <v>90203</v>
      </c>
      <c r="B227" s="63" t="s">
        <v>333</v>
      </c>
      <c r="C227" s="65">
        <v>13.130545508907579</v>
      </c>
      <c r="D227" s="68">
        <v>3.5822321470143934</v>
      </c>
    </row>
    <row r="228" spans="1:4" ht="15.75" customHeight="1">
      <c r="A228" s="16">
        <v>10903</v>
      </c>
      <c r="B228" s="63" t="s">
        <v>33</v>
      </c>
      <c r="C228" s="65">
        <v>2.3788882084001641</v>
      </c>
      <c r="D228" s="68">
        <v>3.4793675081885755</v>
      </c>
    </row>
    <row r="229" spans="1:4" ht="15.75" customHeight="1">
      <c r="A229" s="16">
        <v>50702</v>
      </c>
      <c r="B229" s="63" t="s">
        <v>227</v>
      </c>
      <c r="C229" s="65">
        <v>1.4112149548579005</v>
      </c>
      <c r="D229" s="68">
        <v>3.4656280375119679</v>
      </c>
    </row>
    <row r="230" spans="1:4" ht="15.75" customHeight="1">
      <c r="A230" s="16">
        <v>30404</v>
      </c>
      <c r="B230" s="63" t="s">
        <v>134</v>
      </c>
      <c r="C230" s="65">
        <v>0</v>
      </c>
      <c r="D230" s="68">
        <v>3.0601738079883383</v>
      </c>
    </row>
    <row r="231" spans="1:4" ht="15.75" customHeight="1">
      <c r="A231" s="16">
        <v>51001</v>
      </c>
      <c r="B231" s="63" t="s">
        <v>232</v>
      </c>
      <c r="C231" s="65">
        <v>0</v>
      </c>
      <c r="D231" s="68">
        <v>3.0461314672529043</v>
      </c>
    </row>
    <row r="232" spans="1:4" ht="15.75" customHeight="1">
      <c r="A232" s="16">
        <v>30702</v>
      </c>
      <c r="B232" s="63" t="s">
        <v>140</v>
      </c>
      <c r="C232" s="65">
        <v>3.0370449563526889</v>
      </c>
      <c r="D232" s="68">
        <v>3.0369767911476444</v>
      </c>
    </row>
    <row r="233" spans="1:4" ht="15.75" customHeight="1">
      <c r="A233" s="16">
        <v>30601</v>
      </c>
      <c r="B233" s="63" t="s">
        <v>137</v>
      </c>
      <c r="C233" s="65">
        <v>2.8305571397629721</v>
      </c>
      <c r="D233" s="68">
        <v>2.9791182629058768</v>
      </c>
    </row>
    <row r="234" spans="1:4" ht="15.75" customHeight="1">
      <c r="A234" s="16">
        <v>30402</v>
      </c>
      <c r="B234" s="63" t="s">
        <v>132</v>
      </c>
      <c r="C234" s="65">
        <v>3.8898412828761373</v>
      </c>
      <c r="D234" s="68">
        <v>2.9583159537691053</v>
      </c>
    </row>
    <row r="235" spans="1:4" ht="15.75" customHeight="1">
      <c r="A235" s="16">
        <v>10405</v>
      </c>
      <c r="B235" s="63" t="s">
        <v>21</v>
      </c>
      <c r="C235" s="65">
        <v>6.789574166291434</v>
      </c>
      <c r="D235" s="68">
        <v>2.9398976826256393</v>
      </c>
    </row>
    <row r="236" spans="1:4" ht="15.75" customHeight="1">
      <c r="A236" s="16">
        <v>50402</v>
      </c>
      <c r="B236" s="63" t="s">
        <v>218</v>
      </c>
      <c r="C236" s="65">
        <v>0</v>
      </c>
      <c r="D236" s="68">
        <v>2.8964183938503978</v>
      </c>
    </row>
    <row r="237" spans="1:4" ht="15.75" customHeight="1">
      <c r="A237" s="16">
        <v>60402</v>
      </c>
      <c r="B237" s="63" t="s">
        <v>255</v>
      </c>
      <c r="C237" s="65">
        <v>6.014008403670247</v>
      </c>
      <c r="D237" s="68">
        <v>2.8903203240161219</v>
      </c>
    </row>
    <row r="238" spans="1:4" ht="15.75" customHeight="1">
      <c r="A238" s="16">
        <v>21201</v>
      </c>
      <c r="B238" s="63" t="s">
        <v>97</v>
      </c>
      <c r="C238" s="65">
        <v>0.61354892644592252</v>
      </c>
      <c r="D238" s="68">
        <v>2.850707414300528</v>
      </c>
    </row>
    <row r="239" spans="1:4" ht="15.75" customHeight="1">
      <c r="A239" s="16">
        <v>50701</v>
      </c>
      <c r="B239" s="63" t="s">
        <v>226</v>
      </c>
      <c r="C239" s="65">
        <v>0.31603011915081675</v>
      </c>
      <c r="D239" s="68">
        <v>2.6831539351400413</v>
      </c>
    </row>
    <row r="240" spans="1:4" ht="15.75" customHeight="1">
      <c r="A240" s="16">
        <v>50602</v>
      </c>
      <c r="B240" s="63" t="s">
        <v>225</v>
      </c>
      <c r="C240" s="65">
        <v>0</v>
      </c>
      <c r="D240" s="68">
        <v>2.67901780308277</v>
      </c>
    </row>
    <row r="241" spans="1:4" ht="15.75" customHeight="1">
      <c r="A241" s="16">
        <v>51102</v>
      </c>
      <c r="B241" s="63" t="s">
        <v>236</v>
      </c>
      <c r="C241" s="65">
        <v>1.0188030766968499</v>
      </c>
      <c r="D241" s="68">
        <v>2.647534789350221</v>
      </c>
    </row>
    <row r="242" spans="1:4" ht="15.75" customHeight="1">
      <c r="A242" s="16">
        <v>90301</v>
      </c>
      <c r="B242" s="63" t="s">
        <v>334</v>
      </c>
      <c r="C242" s="65">
        <v>5.3996242658323448</v>
      </c>
      <c r="D242" s="68">
        <v>2.6370613991800629</v>
      </c>
    </row>
    <row r="243" spans="1:4" ht="15.75" customHeight="1">
      <c r="A243" s="16">
        <v>50403</v>
      </c>
      <c r="B243" s="63" t="s">
        <v>219</v>
      </c>
      <c r="C243" s="65">
        <v>0</v>
      </c>
      <c r="D243" s="68">
        <v>2.5867514700564893</v>
      </c>
    </row>
    <row r="244" spans="1:4" ht="15.75" customHeight="1">
      <c r="A244" s="16">
        <v>10702</v>
      </c>
      <c r="B244" s="63" t="s">
        <v>27</v>
      </c>
      <c r="C244" s="65">
        <v>0.6822635906217448</v>
      </c>
      <c r="D244" s="68">
        <v>2.574190610345783</v>
      </c>
    </row>
    <row r="245" spans="1:4" ht="15.75" customHeight="1">
      <c r="A245" s="16">
        <v>50501</v>
      </c>
      <c r="B245" s="63" t="s">
        <v>222</v>
      </c>
      <c r="C245" s="65">
        <v>3.3394163782103656</v>
      </c>
      <c r="D245" s="68">
        <v>2.4902463651399676</v>
      </c>
    </row>
    <row r="246" spans="1:4" ht="15.75" customHeight="1">
      <c r="A246" s="16">
        <v>20901</v>
      </c>
      <c r="B246" s="63" t="s">
        <v>81</v>
      </c>
      <c r="C246" s="65">
        <v>18.649709785663934</v>
      </c>
      <c r="D246" s="68">
        <v>2.4810050890170161</v>
      </c>
    </row>
    <row r="247" spans="1:4" ht="15.75" customHeight="1">
      <c r="A247" s="16">
        <v>10402</v>
      </c>
      <c r="B247" s="63" t="s">
        <v>18</v>
      </c>
      <c r="C247" s="65">
        <v>7.3157485497505874</v>
      </c>
      <c r="D247" s="68">
        <v>2.4187610365802574</v>
      </c>
    </row>
    <row r="248" spans="1:4" ht="15.75" customHeight="1">
      <c r="A248" s="16">
        <v>10304</v>
      </c>
      <c r="B248" s="63" t="s">
        <v>16</v>
      </c>
      <c r="C248" s="65">
        <v>4.6005923530906241</v>
      </c>
      <c r="D248" s="68">
        <v>2.3785308984263978</v>
      </c>
    </row>
    <row r="249" spans="1:4" ht="15.75" customHeight="1">
      <c r="A249" s="16">
        <v>20206</v>
      </c>
      <c r="B249" s="63" t="s">
        <v>47</v>
      </c>
      <c r="C249" s="65">
        <v>0.76435179574193024</v>
      </c>
      <c r="D249" s="68">
        <v>2.3122557960962742</v>
      </c>
    </row>
    <row r="250" spans="1:4" ht="15.75" customHeight="1">
      <c r="A250" s="16">
        <v>50202</v>
      </c>
      <c r="B250" s="63" t="s">
        <v>211</v>
      </c>
      <c r="C250" s="65">
        <v>0.10333354000041334</v>
      </c>
      <c r="D250" s="68">
        <v>2.28761185625117</v>
      </c>
    </row>
    <row r="251" spans="1:4" ht="15.75" customHeight="1">
      <c r="A251" s="16">
        <v>51301</v>
      </c>
      <c r="B251" s="63" t="s">
        <v>242</v>
      </c>
      <c r="C251" s="65">
        <v>2.7332784934842826</v>
      </c>
      <c r="D251" s="68">
        <v>2.2526578824864303</v>
      </c>
    </row>
    <row r="252" spans="1:4" ht="15.75" customHeight="1">
      <c r="A252" s="16">
        <v>41601</v>
      </c>
      <c r="B252" s="63" t="s">
        <v>205</v>
      </c>
      <c r="C252" s="65">
        <v>0</v>
      </c>
      <c r="D252" s="68">
        <v>2.2410793618480334</v>
      </c>
    </row>
    <row r="253" spans="1:4" ht="15.75" customHeight="1">
      <c r="A253" s="16">
        <v>31202</v>
      </c>
      <c r="B253" s="63" t="s">
        <v>155</v>
      </c>
      <c r="C253" s="65">
        <v>0.97783133780202591</v>
      </c>
      <c r="D253" s="68">
        <v>2.1917699488983327</v>
      </c>
    </row>
    <row r="254" spans="1:4" ht="15.75" customHeight="1">
      <c r="A254" s="16">
        <v>70702</v>
      </c>
      <c r="B254" s="63" t="s">
        <v>279</v>
      </c>
      <c r="C254" s="65">
        <v>0</v>
      </c>
      <c r="D254" s="68">
        <v>2.1473297486245242</v>
      </c>
    </row>
    <row r="255" spans="1:4" ht="15.75" customHeight="1">
      <c r="A255" s="16">
        <v>40103</v>
      </c>
      <c r="B255" s="63" t="s">
        <v>174</v>
      </c>
      <c r="C255" s="65">
        <v>0</v>
      </c>
      <c r="D255" s="68">
        <v>2.0006001800540161</v>
      </c>
    </row>
    <row r="256" spans="1:4" ht="15.75" customHeight="1">
      <c r="A256" s="16">
        <v>20102</v>
      </c>
      <c r="B256" s="63" t="s">
        <v>38</v>
      </c>
      <c r="C256" s="65">
        <v>0.38629983837592125</v>
      </c>
      <c r="D256" s="68">
        <v>1.9804504342879046</v>
      </c>
    </row>
    <row r="257" spans="1:4" ht="15.75" customHeight="1">
      <c r="A257" s="16">
        <v>10101</v>
      </c>
      <c r="B257" s="63" t="s">
        <v>8</v>
      </c>
      <c r="C257" s="65">
        <v>7.2365813050332362</v>
      </c>
      <c r="D257" s="68">
        <v>1.9533774934267436</v>
      </c>
    </row>
    <row r="258" spans="1:4" ht="15.75" customHeight="1">
      <c r="A258" s="16">
        <v>40301</v>
      </c>
      <c r="B258" s="63" t="s">
        <v>178</v>
      </c>
      <c r="C258" s="65">
        <v>0.84219184494959654</v>
      </c>
      <c r="D258" s="68">
        <v>1.9337936942683971</v>
      </c>
    </row>
    <row r="259" spans="1:4" ht="15.75" customHeight="1">
      <c r="A259" s="16">
        <v>30802</v>
      </c>
      <c r="B259" s="63" t="s">
        <v>143</v>
      </c>
      <c r="C259" s="65">
        <v>0.94288265806511962</v>
      </c>
      <c r="D259" s="68">
        <v>1.812027193887114</v>
      </c>
    </row>
    <row r="260" spans="1:4" ht="15.75" customHeight="1">
      <c r="A260" s="16">
        <v>21306</v>
      </c>
      <c r="B260" s="63" t="s">
        <v>106</v>
      </c>
      <c r="C260" s="65">
        <v>2.4942635989258632</v>
      </c>
      <c r="D260" s="68">
        <v>1.7634525742497607</v>
      </c>
    </row>
    <row r="261" spans="1:4" ht="15.75" customHeight="1">
      <c r="A261" s="16">
        <v>51002</v>
      </c>
      <c r="B261" s="63" t="s">
        <v>233</v>
      </c>
      <c r="C261" s="65">
        <v>0</v>
      </c>
      <c r="D261" s="68">
        <v>1.7625605329026861</v>
      </c>
    </row>
    <row r="262" spans="1:4" ht="15.75" customHeight="1">
      <c r="A262" s="16">
        <v>20805</v>
      </c>
      <c r="B262" s="63" t="s">
        <v>78</v>
      </c>
      <c r="C262" s="65">
        <v>0</v>
      </c>
      <c r="D262" s="68">
        <v>1.7209904714601665</v>
      </c>
    </row>
    <row r="263" spans="1:4" ht="15.75" customHeight="1">
      <c r="A263" s="16">
        <v>40903</v>
      </c>
      <c r="B263" s="63" t="s">
        <v>196</v>
      </c>
      <c r="C263" s="65">
        <v>0</v>
      </c>
      <c r="D263" s="68">
        <v>1.7092253680351608</v>
      </c>
    </row>
    <row r="264" spans="1:4" ht="15.75" customHeight="1">
      <c r="A264" s="16">
        <v>51101</v>
      </c>
      <c r="B264" s="63" t="s">
        <v>235</v>
      </c>
      <c r="C264" s="65">
        <v>0.3074432270610194</v>
      </c>
      <c r="D264" s="68">
        <v>1.7089664317187705</v>
      </c>
    </row>
    <row r="265" spans="1:4" ht="15.75" customHeight="1">
      <c r="A265" s="16">
        <v>20903</v>
      </c>
      <c r="B265" s="63" t="s">
        <v>83</v>
      </c>
      <c r="C265" s="65">
        <v>0</v>
      </c>
      <c r="D265" s="68">
        <v>1.6549585058299232</v>
      </c>
    </row>
    <row r="266" spans="1:4" ht="15.75" customHeight="1">
      <c r="A266" s="16">
        <v>20202</v>
      </c>
      <c r="B266" s="63" t="s">
        <v>43</v>
      </c>
      <c r="C266" s="65">
        <v>0.6166681028968094</v>
      </c>
      <c r="D266" s="68">
        <v>1.6393802125574097</v>
      </c>
    </row>
    <row r="267" spans="1:4" ht="15.75" customHeight="1">
      <c r="A267" s="16">
        <v>20304</v>
      </c>
      <c r="B267" s="63" t="s">
        <v>51</v>
      </c>
      <c r="C267" s="65">
        <v>0</v>
      </c>
      <c r="D267" s="68">
        <v>1.6337299918862322</v>
      </c>
    </row>
    <row r="268" spans="1:4" ht="15.75" customHeight="1">
      <c r="A268" s="16">
        <v>20302</v>
      </c>
      <c r="B268" s="63" t="s">
        <v>49</v>
      </c>
      <c r="C268" s="65">
        <v>0</v>
      </c>
      <c r="D268" s="68">
        <v>1.6148301468676085</v>
      </c>
    </row>
    <row r="269" spans="1:4" ht="15.75" customHeight="1">
      <c r="A269" s="16">
        <v>30803</v>
      </c>
      <c r="B269" s="63" t="s">
        <v>144</v>
      </c>
      <c r="C269" s="65">
        <v>2.3515517966351935</v>
      </c>
      <c r="D269" s="68">
        <v>1.6080134579561387</v>
      </c>
    </row>
    <row r="270" spans="1:4" ht="15.75" customHeight="1">
      <c r="A270" s="16">
        <v>20501</v>
      </c>
      <c r="B270" s="63" t="s">
        <v>61</v>
      </c>
      <c r="C270" s="65">
        <v>0.997645609010538</v>
      </c>
      <c r="D270" s="68">
        <v>1.3881311747588361</v>
      </c>
    </row>
    <row r="271" spans="1:4" ht="15.75" customHeight="1">
      <c r="A271" s="16">
        <v>50204</v>
      </c>
      <c r="B271" s="63" t="s">
        <v>213</v>
      </c>
      <c r="C271" s="65">
        <v>1.3904899103488892</v>
      </c>
      <c r="D271" s="68">
        <v>1.3817359171937857</v>
      </c>
    </row>
    <row r="272" spans="1:4" ht="15.75" customHeight="1">
      <c r="A272" s="16">
        <v>21303</v>
      </c>
      <c r="B272" s="63" t="s">
        <v>103</v>
      </c>
      <c r="C272" s="65">
        <v>0</v>
      </c>
      <c r="D272" s="68">
        <v>1.3680373375067536</v>
      </c>
    </row>
    <row r="273" spans="1:4" ht="15.75" customHeight="1">
      <c r="A273" s="16">
        <v>71403</v>
      </c>
      <c r="B273" s="63" t="s">
        <v>309</v>
      </c>
      <c r="C273" s="65">
        <v>14.230504240093564</v>
      </c>
      <c r="D273" s="68">
        <v>1.3602330288092646</v>
      </c>
    </row>
    <row r="274" spans="1:4" ht="15.75" customHeight="1">
      <c r="A274" s="16">
        <v>20806</v>
      </c>
      <c r="B274" s="63" t="s">
        <v>79</v>
      </c>
      <c r="C274" s="65">
        <v>0.22044504927199512</v>
      </c>
      <c r="D274" s="68">
        <v>1.3428728155037468</v>
      </c>
    </row>
    <row r="275" spans="1:4" ht="15.75" customHeight="1">
      <c r="A275" s="16">
        <v>31302</v>
      </c>
      <c r="B275" s="63" t="s">
        <v>161</v>
      </c>
      <c r="C275" s="65">
        <v>2.1411648643303138</v>
      </c>
      <c r="D275" s="68">
        <v>1.2669801484920076</v>
      </c>
    </row>
    <row r="276" spans="1:4" ht="15.75" customHeight="1">
      <c r="A276" s="16">
        <v>20308</v>
      </c>
      <c r="B276" s="63" t="s">
        <v>55</v>
      </c>
      <c r="C276" s="65">
        <v>0</v>
      </c>
      <c r="D276" s="68">
        <v>1.2540219864016489</v>
      </c>
    </row>
    <row r="277" spans="1:4" ht="15.75" customHeight="1">
      <c r="A277" s="16">
        <v>10103</v>
      </c>
      <c r="B277" s="63" t="s">
        <v>10</v>
      </c>
      <c r="C277" s="65">
        <v>1.3885018759273002</v>
      </c>
      <c r="D277" s="68">
        <v>1.2242123950310184</v>
      </c>
    </row>
    <row r="278" spans="1:4" ht="15.75" customHeight="1">
      <c r="A278" s="16">
        <v>31405</v>
      </c>
      <c r="B278" s="63" t="s">
        <v>168</v>
      </c>
      <c r="C278" s="65">
        <v>0</v>
      </c>
      <c r="D278" s="68">
        <v>1.2055822976078703</v>
      </c>
    </row>
    <row r="279" spans="1:4" ht="15.75" customHeight="1">
      <c r="A279" s="16">
        <v>40801</v>
      </c>
      <c r="B279" s="63" t="s">
        <v>192</v>
      </c>
      <c r="C279" s="65">
        <v>0</v>
      </c>
      <c r="D279" s="68">
        <v>1.1551132219670912</v>
      </c>
    </row>
    <row r="280" spans="1:4" ht="15.75" customHeight="1">
      <c r="A280" s="16">
        <v>20405</v>
      </c>
      <c r="B280" s="63" t="s">
        <v>60</v>
      </c>
      <c r="C280" s="65">
        <v>2.2931816389314101</v>
      </c>
      <c r="D280" s="68">
        <v>1.1375712861279463</v>
      </c>
    </row>
    <row r="281" spans="1:4" ht="15.75" customHeight="1">
      <c r="A281" s="16">
        <v>50104</v>
      </c>
      <c r="B281" s="63" t="s">
        <v>209</v>
      </c>
      <c r="C281" s="65">
        <v>0</v>
      </c>
      <c r="D281" s="68">
        <v>1.1324526150034704</v>
      </c>
    </row>
    <row r="282" spans="1:4" ht="15.75" customHeight="1">
      <c r="A282" s="16">
        <v>21005</v>
      </c>
      <c r="B282" s="63" t="s">
        <v>90</v>
      </c>
      <c r="C282" s="65">
        <v>0.71639318805321184</v>
      </c>
      <c r="D282" s="68">
        <v>1.0622369188786587</v>
      </c>
    </row>
    <row r="283" spans="1:4" ht="15.75" customHeight="1">
      <c r="A283" s="16">
        <v>21602</v>
      </c>
      <c r="B283" s="63" t="s">
        <v>113</v>
      </c>
      <c r="C283" s="65">
        <v>0</v>
      </c>
      <c r="D283" s="68">
        <v>1.0425261418092131</v>
      </c>
    </row>
    <row r="284" spans="1:4" ht="15.75" customHeight="1">
      <c r="A284" s="16">
        <v>10201</v>
      </c>
      <c r="B284" s="63" t="s">
        <v>11</v>
      </c>
      <c r="C284" s="65">
        <v>5.7349421353294856</v>
      </c>
      <c r="D284" s="68">
        <v>1.0194578889225283</v>
      </c>
    </row>
    <row r="285" spans="1:4" ht="15.75" customHeight="1">
      <c r="A285" s="16">
        <v>21304</v>
      </c>
      <c r="B285" s="63" t="s">
        <v>104</v>
      </c>
      <c r="C285" s="65">
        <v>0</v>
      </c>
      <c r="D285" s="68">
        <v>0.999901038370822</v>
      </c>
    </row>
    <row r="286" spans="1:4" ht="15.75" customHeight="1">
      <c r="A286" s="16">
        <v>20503</v>
      </c>
      <c r="B286" s="63" t="s">
        <v>63</v>
      </c>
      <c r="C286" s="65">
        <v>0</v>
      </c>
      <c r="D286" s="68">
        <v>0.99957136910039945</v>
      </c>
    </row>
    <row r="287" spans="1:4" ht="15.75" customHeight="1">
      <c r="A287" s="16">
        <v>31203</v>
      </c>
      <c r="B287" s="63" t="s">
        <v>156</v>
      </c>
      <c r="C287" s="65">
        <v>0</v>
      </c>
      <c r="D287" s="68">
        <v>0.97168239866740702</v>
      </c>
    </row>
    <row r="288" spans="1:4" ht="15.75" customHeight="1">
      <c r="A288" s="16">
        <v>50302</v>
      </c>
      <c r="B288" s="63" t="s">
        <v>215</v>
      </c>
      <c r="C288" s="65">
        <v>0.67446464906334624</v>
      </c>
      <c r="D288" s="68">
        <v>0.89291461254109283</v>
      </c>
    </row>
    <row r="289" spans="1:4" ht="15.75" customHeight="1">
      <c r="A289" s="16">
        <v>21204</v>
      </c>
      <c r="B289" s="63" t="s">
        <v>100</v>
      </c>
      <c r="C289" s="65">
        <v>0</v>
      </c>
      <c r="D289" s="68">
        <v>0.85021562365966519</v>
      </c>
    </row>
    <row r="290" spans="1:4" ht="15.75" customHeight="1">
      <c r="A290" s="16">
        <v>20902</v>
      </c>
      <c r="B290" s="63" t="s">
        <v>82</v>
      </c>
      <c r="C290" s="65">
        <v>1.7555683936909396</v>
      </c>
      <c r="D290" s="68">
        <v>0.81240847690193263</v>
      </c>
    </row>
    <row r="291" spans="1:4" ht="15.75" customHeight="1">
      <c r="A291" s="16">
        <v>21801</v>
      </c>
      <c r="B291" s="63" t="s">
        <v>117</v>
      </c>
      <c r="C291" s="65">
        <v>0.7146458944833296</v>
      </c>
      <c r="D291" s="68">
        <v>0.72565649235792995</v>
      </c>
    </row>
    <row r="292" spans="1:4" ht="15.75" customHeight="1">
      <c r="A292" s="16">
        <v>20305</v>
      </c>
      <c r="B292" s="63" t="s">
        <v>52</v>
      </c>
      <c r="C292" s="65">
        <v>1.0143666226599837</v>
      </c>
      <c r="D292" s="68">
        <v>0.72486761726832805</v>
      </c>
    </row>
    <row r="293" spans="1:4" ht="15.75" customHeight="1">
      <c r="A293" s="16">
        <v>50405</v>
      </c>
      <c r="B293" s="63" t="s">
        <v>221</v>
      </c>
      <c r="C293" s="65">
        <v>1.3314471165848383</v>
      </c>
      <c r="D293" s="68">
        <v>0.71716242343037762</v>
      </c>
    </row>
    <row r="294" spans="1:4" ht="15.75" customHeight="1">
      <c r="A294" s="16">
        <v>10602</v>
      </c>
      <c r="B294" s="63" t="s">
        <v>25</v>
      </c>
      <c r="C294" s="65">
        <v>0.61572628195885104</v>
      </c>
      <c r="D294" s="68">
        <v>0.69650112587589208</v>
      </c>
    </row>
    <row r="295" spans="1:4" ht="15.75" customHeight="1">
      <c r="A295" s="16">
        <v>50102</v>
      </c>
      <c r="B295" s="63" t="s">
        <v>207</v>
      </c>
      <c r="C295" s="65">
        <v>1.5872820960700775</v>
      </c>
      <c r="D295" s="68">
        <v>0.62507931852261578</v>
      </c>
    </row>
    <row r="296" spans="1:4" ht="15.75" customHeight="1">
      <c r="A296" s="16">
        <v>20605</v>
      </c>
      <c r="B296" s="63" t="s">
        <v>68</v>
      </c>
      <c r="C296" s="65">
        <v>0</v>
      </c>
      <c r="D296" s="68">
        <v>0.56405077805778692</v>
      </c>
    </row>
    <row r="297" spans="1:4" ht="15.75" customHeight="1">
      <c r="A297" s="16">
        <v>50103</v>
      </c>
      <c r="B297" s="63" t="s">
        <v>208</v>
      </c>
      <c r="C297" s="65">
        <v>1.0808668552178846</v>
      </c>
      <c r="D297" s="68">
        <v>0.54408444190538374</v>
      </c>
    </row>
    <row r="298" spans="1:4" ht="15.75" customHeight="1">
      <c r="A298" s="16">
        <v>30703</v>
      </c>
      <c r="B298" s="63" t="s">
        <v>141</v>
      </c>
      <c r="C298" s="65">
        <v>0</v>
      </c>
      <c r="D298" s="68">
        <v>0.50505909368751489</v>
      </c>
    </row>
    <row r="299" spans="1:4" ht="15.75" customHeight="1">
      <c r="A299" s="16">
        <v>30502</v>
      </c>
      <c r="B299" s="63" t="s">
        <v>136</v>
      </c>
      <c r="C299" s="65">
        <v>5.4457388941166078</v>
      </c>
      <c r="D299" s="68">
        <v>0.47319942903313145</v>
      </c>
    </row>
    <row r="300" spans="1:4" ht="15.75" customHeight="1">
      <c r="A300" s="16">
        <v>51204</v>
      </c>
      <c r="B300" s="63" t="s">
        <v>241</v>
      </c>
      <c r="C300" s="65">
        <v>0</v>
      </c>
      <c r="D300" s="68">
        <v>0.45788887675251205</v>
      </c>
    </row>
    <row r="301" spans="1:4" ht="15.75" customHeight="1">
      <c r="A301" s="16">
        <v>30602</v>
      </c>
      <c r="B301" s="63" t="s">
        <v>138</v>
      </c>
      <c r="C301" s="65">
        <v>0</v>
      </c>
      <c r="D301" s="68">
        <v>0.43615285692864098</v>
      </c>
    </row>
    <row r="302" spans="1:4" ht="15.75" customHeight="1">
      <c r="A302" s="16">
        <v>70705</v>
      </c>
      <c r="B302" s="63" t="s">
        <v>282</v>
      </c>
      <c r="C302" s="65">
        <v>0.26967542866485067</v>
      </c>
      <c r="D302" s="68">
        <v>0.35179886486232936</v>
      </c>
    </row>
    <row r="303" spans="1:4" ht="15.75" customHeight="1">
      <c r="A303" s="16">
        <v>31101</v>
      </c>
      <c r="B303" s="63" t="s">
        <v>153</v>
      </c>
      <c r="C303" s="65">
        <v>0</v>
      </c>
      <c r="D303" s="68">
        <v>0.27029629671706151</v>
      </c>
    </row>
    <row r="304" spans="1:4" ht="15.75" customHeight="1">
      <c r="A304" s="16">
        <v>41301</v>
      </c>
      <c r="B304" s="63" t="s">
        <v>154</v>
      </c>
      <c r="C304" s="65">
        <v>0</v>
      </c>
      <c r="D304" s="68">
        <v>0.25111747275375423</v>
      </c>
    </row>
    <row r="305" spans="1:4" ht="15.75" customHeight="1">
      <c r="A305" s="16">
        <v>20307</v>
      </c>
      <c r="B305" s="63" t="s">
        <v>54</v>
      </c>
      <c r="C305" s="65">
        <v>0</v>
      </c>
      <c r="D305" s="68">
        <v>0.17204181457228476</v>
      </c>
    </row>
    <row r="306" spans="1:4" ht="15.75" customHeight="1">
      <c r="A306" s="16">
        <v>20303</v>
      </c>
      <c r="B306" s="63" t="s">
        <v>50</v>
      </c>
      <c r="C306" s="65">
        <v>0</v>
      </c>
      <c r="D306" s="68">
        <v>0.14089666638487333</v>
      </c>
    </row>
    <row r="307" spans="1:4" ht="15.75" customHeight="1">
      <c r="A307" s="16">
        <v>10202</v>
      </c>
      <c r="B307" s="63" t="s">
        <v>12</v>
      </c>
      <c r="C307" s="65">
        <v>0</v>
      </c>
      <c r="D307" s="68">
        <v>0</v>
      </c>
    </row>
    <row r="308" spans="1:4" ht="15.75" customHeight="1">
      <c r="A308" s="16">
        <v>10302</v>
      </c>
      <c r="B308" s="63" t="s">
        <v>14</v>
      </c>
      <c r="C308" s="65">
        <v>0</v>
      </c>
      <c r="D308" s="68">
        <v>0</v>
      </c>
    </row>
    <row r="309" spans="1:4" ht="15.75" customHeight="1">
      <c r="A309" s="16">
        <v>10403</v>
      </c>
      <c r="B309" s="63" t="s">
        <v>19</v>
      </c>
      <c r="C309" s="65">
        <v>0</v>
      </c>
      <c r="D309" s="68">
        <v>0</v>
      </c>
    </row>
    <row r="310" spans="1:4" ht="15.75" customHeight="1">
      <c r="A310" s="16">
        <v>20603</v>
      </c>
      <c r="B310" s="63" t="s">
        <v>66</v>
      </c>
      <c r="C310" s="65">
        <v>0</v>
      </c>
      <c r="D310" s="68">
        <v>0</v>
      </c>
    </row>
    <row r="311" spans="1:4" ht="15.75" customHeight="1">
      <c r="A311" s="16">
        <v>20702</v>
      </c>
      <c r="B311" s="63" t="s">
        <v>73</v>
      </c>
      <c r="C311" s="65">
        <v>0</v>
      </c>
      <c r="D311" s="68">
        <v>0</v>
      </c>
    </row>
    <row r="312" spans="1:4" ht="15.75" customHeight="1">
      <c r="A312" s="16">
        <v>20904</v>
      </c>
      <c r="B312" s="63" t="s">
        <v>84</v>
      </c>
      <c r="C312" s="65">
        <v>0</v>
      </c>
      <c r="D312" s="68">
        <v>0</v>
      </c>
    </row>
    <row r="313" spans="1:4" ht="15.75" customHeight="1">
      <c r="A313" s="16">
        <v>21103</v>
      </c>
      <c r="B313" s="63" t="s">
        <v>94</v>
      </c>
      <c r="C313" s="65">
        <v>3.3165461899842321</v>
      </c>
      <c r="D313" s="68">
        <v>0</v>
      </c>
    </row>
    <row r="314" spans="1:4" ht="15.75" customHeight="1">
      <c r="A314" s="16">
        <v>21302</v>
      </c>
      <c r="B314" s="63" t="s">
        <v>102</v>
      </c>
      <c r="C314" s="65">
        <v>0</v>
      </c>
      <c r="D314" s="68">
        <v>0</v>
      </c>
    </row>
    <row r="315" spans="1:4" ht="15.75" customHeight="1">
      <c r="A315" s="16">
        <v>21902</v>
      </c>
      <c r="B315" s="63" t="s">
        <v>121</v>
      </c>
      <c r="C315" s="65">
        <v>0</v>
      </c>
      <c r="D315" s="68">
        <v>0</v>
      </c>
    </row>
    <row r="316" spans="1:4" ht="15.75" customHeight="1">
      <c r="A316" s="16">
        <v>30303</v>
      </c>
      <c r="B316" s="63" t="s">
        <v>130</v>
      </c>
      <c r="C316" s="65">
        <v>1.1947629052753048</v>
      </c>
      <c r="D316" s="68">
        <v>0</v>
      </c>
    </row>
    <row r="317" spans="1:4" ht="15.75" customHeight="1">
      <c r="A317" s="16">
        <v>31303</v>
      </c>
      <c r="B317" s="63" t="s">
        <v>162</v>
      </c>
      <c r="C317" s="65">
        <v>0</v>
      </c>
      <c r="D317" s="68">
        <v>0</v>
      </c>
    </row>
    <row r="318" spans="1:4" ht="15.75" customHeight="1">
      <c r="A318" s="16">
        <v>31304</v>
      </c>
      <c r="B318" s="63" t="s">
        <v>163</v>
      </c>
      <c r="C318" s="65">
        <v>0</v>
      </c>
      <c r="D318" s="68">
        <v>0</v>
      </c>
    </row>
    <row r="319" spans="1:4" ht="15.75" customHeight="1">
      <c r="A319" s="16">
        <v>31404</v>
      </c>
      <c r="B319" s="63" t="s">
        <v>167</v>
      </c>
      <c r="C319" s="65">
        <v>0</v>
      </c>
      <c r="D319" s="68">
        <v>0</v>
      </c>
    </row>
    <row r="320" spans="1:4" ht="15.75" customHeight="1">
      <c r="A320" s="16">
        <v>40104</v>
      </c>
      <c r="B320" s="63" t="s">
        <v>175</v>
      </c>
      <c r="C320" s="65">
        <v>0</v>
      </c>
      <c r="D320" s="68">
        <v>0</v>
      </c>
    </row>
    <row r="321" spans="1:4" ht="15.75" customHeight="1">
      <c r="A321" s="16">
        <v>40202</v>
      </c>
      <c r="B321" s="63" t="s">
        <v>177</v>
      </c>
      <c r="C321" s="65">
        <v>0</v>
      </c>
      <c r="D321" s="68">
        <v>0</v>
      </c>
    </row>
    <row r="322" spans="1:4" ht="15.75" customHeight="1">
      <c r="A322" s="16">
        <v>40501</v>
      </c>
      <c r="B322" s="63" t="s">
        <v>182</v>
      </c>
      <c r="C322" s="65">
        <v>0</v>
      </c>
      <c r="D322" s="68">
        <v>0</v>
      </c>
    </row>
    <row r="323" spans="1:4" ht="15.75" customHeight="1">
      <c r="A323" s="16">
        <v>40502</v>
      </c>
      <c r="B323" s="63" t="s">
        <v>183</v>
      </c>
      <c r="C323" s="65">
        <v>0</v>
      </c>
      <c r="D323" s="68">
        <v>0</v>
      </c>
    </row>
    <row r="324" spans="1:4" ht="15.75" customHeight="1">
      <c r="A324" s="16">
        <v>40503</v>
      </c>
      <c r="B324" s="63" t="s">
        <v>184</v>
      </c>
      <c r="C324" s="65">
        <v>0</v>
      </c>
      <c r="D324" s="68">
        <v>0</v>
      </c>
    </row>
    <row r="325" spans="1:4" ht="15.75" customHeight="1">
      <c r="A325" s="16">
        <v>40504</v>
      </c>
      <c r="B325" s="63" t="s">
        <v>185</v>
      </c>
      <c r="C325" s="65">
        <v>0</v>
      </c>
      <c r="D325" s="68">
        <v>0</v>
      </c>
    </row>
    <row r="326" spans="1:4" ht="15.75" customHeight="1">
      <c r="A326" s="16">
        <v>40505</v>
      </c>
      <c r="B326" s="63" t="s">
        <v>186</v>
      </c>
      <c r="C326" s="65">
        <v>0</v>
      </c>
      <c r="D326" s="68">
        <v>0</v>
      </c>
    </row>
    <row r="327" spans="1:4" ht="15.75" customHeight="1">
      <c r="A327" s="16">
        <v>41202</v>
      </c>
      <c r="B327" s="63" t="s">
        <v>200</v>
      </c>
      <c r="C327" s="65">
        <v>3.306878306878307</v>
      </c>
      <c r="D327" s="68">
        <v>0</v>
      </c>
    </row>
    <row r="328" spans="1:4" ht="15.75" customHeight="1">
      <c r="A328" s="16">
        <v>41501</v>
      </c>
      <c r="B328" s="63" t="s">
        <v>202</v>
      </c>
      <c r="C328" s="65">
        <v>0</v>
      </c>
      <c r="D328" s="68">
        <v>0</v>
      </c>
    </row>
    <row r="329" spans="1:4" ht="15.75" customHeight="1">
      <c r="A329" s="16">
        <v>50601</v>
      </c>
      <c r="B329" s="63" t="s">
        <v>224</v>
      </c>
      <c r="C329" s="65">
        <v>0</v>
      </c>
      <c r="D329" s="68">
        <v>0</v>
      </c>
    </row>
    <row r="330" spans="1:4" ht="15.75" customHeight="1">
      <c r="A330" s="16">
        <v>50902</v>
      </c>
      <c r="B330" s="63" t="s">
        <v>231</v>
      </c>
      <c r="C330" s="65">
        <v>0</v>
      </c>
      <c r="D330" s="68">
        <v>0</v>
      </c>
    </row>
    <row r="331" spans="1:4" ht="15.75" customHeight="1">
      <c r="A331" s="16">
        <v>51003</v>
      </c>
      <c r="B331" s="63" t="s">
        <v>234</v>
      </c>
      <c r="C331" s="65">
        <v>0</v>
      </c>
      <c r="D331" s="68">
        <v>0</v>
      </c>
    </row>
    <row r="332" spans="1:4" ht="15.75" customHeight="1">
      <c r="A332" s="16">
        <v>51103</v>
      </c>
      <c r="B332" s="63" t="s">
        <v>237</v>
      </c>
      <c r="C332" s="65">
        <v>1.1338140109513353</v>
      </c>
      <c r="D332" s="68">
        <v>0</v>
      </c>
    </row>
    <row r="333" spans="1:4" ht="15.75" customHeight="1">
      <c r="A333" s="16">
        <v>51402</v>
      </c>
      <c r="B333" s="63" t="s">
        <v>245</v>
      </c>
      <c r="C333" s="65">
        <v>0.59270967104613248</v>
      </c>
      <c r="D333" s="68">
        <v>0</v>
      </c>
    </row>
    <row r="334" spans="1:4" ht="15.75" customHeight="1">
      <c r="A334" s="16">
        <v>51601</v>
      </c>
      <c r="B334" s="63" t="s">
        <v>247</v>
      </c>
      <c r="C334" s="65">
        <v>0</v>
      </c>
      <c r="D334" s="68">
        <v>0</v>
      </c>
    </row>
    <row r="335" spans="1:4" ht="15.75" customHeight="1">
      <c r="A335" s="16">
        <v>80601</v>
      </c>
      <c r="B335" s="63" t="s">
        <v>320</v>
      </c>
      <c r="C335" s="65">
        <v>0</v>
      </c>
      <c r="D335" s="68">
        <v>0</v>
      </c>
    </row>
    <row r="336" spans="1:4" ht="15.75" customHeight="1">
      <c r="A336" s="16">
        <v>80602</v>
      </c>
      <c r="B336" s="63" t="s">
        <v>321</v>
      </c>
      <c r="C336" s="65">
        <v>0</v>
      </c>
      <c r="D336" s="68">
        <v>0</v>
      </c>
    </row>
    <row r="337" spans="1:4" ht="15.75" customHeight="1">
      <c r="A337" s="16">
        <v>80901</v>
      </c>
      <c r="B337" s="63" t="s">
        <v>327</v>
      </c>
      <c r="C337" s="65">
        <v>0</v>
      </c>
      <c r="D337" s="68">
        <v>0</v>
      </c>
    </row>
    <row r="338" spans="1:4" ht="15.75" customHeight="1">
      <c r="A338" s="16">
        <v>90103</v>
      </c>
      <c r="B338" s="63" t="s">
        <v>330</v>
      </c>
      <c r="C338" s="65">
        <v>0</v>
      </c>
      <c r="D338" s="68">
        <v>0</v>
      </c>
    </row>
    <row r="339" spans="1:4" ht="15.75" customHeight="1">
      <c r="A339" s="16">
        <v>90201</v>
      </c>
      <c r="B339" s="63" t="s">
        <v>332</v>
      </c>
      <c r="C339" s="65">
        <v>0</v>
      </c>
      <c r="D339" s="68">
        <v>0</v>
      </c>
    </row>
    <row r="340" spans="1:4" ht="15.75" customHeight="1">
      <c r="A340" s="16">
        <v>90202</v>
      </c>
      <c r="B340" s="63" t="s">
        <v>222</v>
      </c>
      <c r="C340" s="65">
        <v>0</v>
      </c>
      <c r="D340" s="68">
        <v>0</v>
      </c>
    </row>
    <row r="341" spans="1:4" ht="15.75" customHeight="1">
      <c r="A341" s="16">
        <v>90402</v>
      </c>
      <c r="B341" s="63" t="s">
        <v>336</v>
      </c>
      <c r="C341" s="65">
        <v>0</v>
      </c>
      <c r="D341" s="68">
        <v>0</v>
      </c>
    </row>
    <row r="342" spans="1:4" ht="15.75" customHeight="1">
      <c r="A342" s="16">
        <v>90501</v>
      </c>
      <c r="B342" s="63" t="s">
        <v>337</v>
      </c>
      <c r="C342" s="65">
        <v>0</v>
      </c>
      <c r="D342" s="68">
        <v>0</v>
      </c>
    </row>
    <row r="343" spans="1:4" ht="15.75" customHeight="1">
      <c r="A343" s="16">
        <v>90502</v>
      </c>
      <c r="B343" s="63" t="s">
        <v>338</v>
      </c>
      <c r="C343" s="65">
        <v>7.1150779483517788</v>
      </c>
      <c r="D343" s="68">
        <v>0</v>
      </c>
    </row>
    <row r="344" spans="1:4" ht="15.75" customHeight="1">
      <c r="A344" s="16">
        <v>90503</v>
      </c>
      <c r="B344" s="63" t="s">
        <v>339</v>
      </c>
      <c r="C344" s="65">
        <v>5.5875751130561584</v>
      </c>
      <c r="D344" s="68">
        <v>0</v>
      </c>
    </row>
    <row r="345" spans="1:4" ht="15.75" customHeight="1">
      <c r="A345" s="51"/>
      <c r="B345" s="51"/>
      <c r="C345" s="54"/>
      <c r="D345" s="54"/>
    </row>
    <row r="346" spans="1:4" ht="15.75" customHeight="1">
      <c r="A346" s="51"/>
      <c r="B346" s="51"/>
      <c r="C346" s="54"/>
      <c r="D346" s="54"/>
    </row>
    <row r="347" spans="1:4" ht="15.75" customHeight="1">
      <c r="A347" s="51"/>
      <c r="B347" s="51"/>
      <c r="C347" s="54"/>
      <c r="D347" s="54"/>
    </row>
    <row r="348" spans="1:4" ht="15.75" customHeight="1">
      <c r="A348" s="51"/>
      <c r="B348" s="51"/>
      <c r="C348" s="54"/>
      <c r="D348" s="54"/>
    </row>
    <row r="349" spans="1:4" ht="15.75" customHeight="1">
      <c r="A349" s="51"/>
      <c r="B349" s="51"/>
      <c r="C349" s="54"/>
      <c r="D349" s="54"/>
    </row>
    <row r="350" spans="1:4" ht="15.75" customHeight="1">
      <c r="A350" s="51"/>
      <c r="B350" s="51"/>
      <c r="C350" s="54"/>
      <c r="D350" s="54"/>
    </row>
    <row r="351" spans="1:4" ht="15.75" customHeight="1">
      <c r="A351" s="51"/>
      <c r="B351" s="51"/>
      <c r="C351" s="54"/>
      <c r="D351" s="54"/>
    </row>
    <row r="352" spans="1:4" ht="15.75" customHeight="1">
      <c r="A352" s="51"/>
      <c r="B352" s="51"/>
      <c r="C352" s="54"/>
      <c r="D352" s="54"/>
    </row>
    <row r="353" spans="1:4" ht="15.75" customHeight="1">
      <c r="A353" s="51"/>
      <c r="B353" s="51"/>
      <c r="C353" s="54"/>
      <c r="D353" s="54"/>
    </row>
    <row r="354" spans="1:4" ht="15.75" customHeight="1">
      <c r="A354" s="51"/>
      <c r="B354" s="51"/>
      <c r="C354" s="54"/>
      <c r="D354" s="54"/>
    </row>
    <row r="355" spans="1:4" ht="15.75" customHeight="1">
      <c r="A355" s="51"/>
      <c r="B355" s="51"/>
      <c r="C355" s="54"/>
      <c r="D355" s="54"/>
    </row>
    <row r="356" spans="1:4" ht="15.75" customHeight="1">
      <c r="A356" s="51"/>
      <c r="B356" s="51"/>
      <c r="C356" s="54"/>
      <c r="D356" s="54"/>
    </row>
    <row r="357" spans="1:4" ht="15.75" customHeight="1">
      <c r="A357" s="51"/>
      <c r="B357" s="51"/>
      <c r="C357" s="54"/>
      <c r="D357" s="54"/>
    </row>
    <row r="358" spans="1:4" ht="15.75" customHeight="1">
      <c r="A358" s="51"/>
      <c r="B358" s="51"/>
      <c r="C358" s="54"/>
      <c r="D358" s="54"/>
    </row>
    <row r="359" spans="1:4" ht="15.75" customHeight="1">
      <c r="A359" s="51"/>
      <c r="B359" s="51"/>
      <c r="C359" s="54"/>
      <c r="D359" s="54"/>
    </row>
    <row r="360" spans="1:4" ht="15.75" customHeight="1">
      <c r="A360" s="51"/>
      <c r="B360" s="51"/>
      <c r="C360" s="54"/>
      <c r="D360" s="54"/>
    </row>
    <row r="361" spans="1:4" ht="15.75" customHeight="1">
      <c r="A361" s="51"/>
      <c r="B361" s="51"/>
      <c r="C361" s="54"/>
      <c r="D361" s="54"/>
    </row>
    <row r="362" spans="1:4" ht="15.75" customHeight="1">
      <c r="A362" s="51"/>
      <c r="B362" s="51"/>
      <c r="C362" s="54"/>
      <c r="D362" s="54"/>
    </row>
    <row r="363" spans="1:4" ht="15.75" customHeight="1">
      <c r="A363" s="51"/>
      <c r="B363" s="51"/>
      <c r="C363" s="54"/>
      <c r="D363" s="54"/>
    </row>
    <row r="364" spans="1:4" ht="15.75" customHeight="1">
      <c r="A364" s="51"/>
      <c r="B364" s="51"/>
      <c r="C364" s="54"/>
      <c r="D364" s="54"/>
    </row>
    <row r="365" spans="1:4" ht="15.75" customHeight="1">
      <c r="A365" s="51"/>
      <c r="B365" s="51"/>
      <c r="C365" s="54"/>
      <c r="D365" s="54"/>
    </row>
    <row r="366" spans="1:4" ht="15.75" customHeight="1">
      <c r="A366" s="51"/>
      <c r="B366" s="51"/>
      <c r="C366" s="54"/>
      <c r="D366" s="54"/>
    </row>
    <row r="367" spans="1:4" ht="15.75" customHeight="1">
      <c r="A367" s="51"/>
      <c r="B367" s="51"/>
      <c r="C367" s="54"/>
      <c r="D367" s="54"/>
    </row>
    <row r="368" spans="1:4" ht="15.75" customHeight="1">
      <c r="A368" s="51"/>
      <c r="B368" s="51"/>
      <c r="C368" s="54"/>
      <c r="D368" s="54"/>
    </row>
    <row r="369" spans="1:4" ht="15.75" customHeight="1">
      <c r="A369" s="51"/>
      <c r="B369" s="51"/>
      <c r="C369" s="54"/>
      <c r="D369" s="54"/>
    </row>
    <row r="370" spans="1:4" ht="15.75" customHeight="1">
      <c r="A370" s="51"/>
      <c r="B370" s="51"/>
      <c r="C370" s="54"/>
      <c r="D370" s="54"/>
    </row>
    <row r="371" spans="1:4" ht="15.75" customHeight="1">
      <c r="A371" s="51"/>
      <c r="B371" s="51"/>
      <c r="C371" s="54"/>
      <c r="D371" s="54"/>
    </row>
    <row r="372" spans="1:4" ht="15.75" customHeight="1">
      <c r="A372" s="51"/>
      <c r="B372" s="51"/>
      <c r="C372" s="54"/>
      <c r="D372" s="54"/>
    </row>
    <row r="373" spans="1:4" ht="15.75" customHeight="1">
      <c r="A373" s="51"/>
      <c r="B373" s="51"/>
      <c r="C373" s="54"/>
      <c r="D373" s="54"/>
    </row>
    <row r="374" spans="1:4" ht="15.75" customHeight="1">
      <c r="A374" s="51"/>
      <c r="B374" s="51"/>
      <c r="C374" s="54"/>
      <c r="D374" s="54"/>
    </row>
    <row r="375" spans="1:4" ht="15.75" customHeight="1">
      <c r="A375" s="51"/>
      <c r="B375" s="51"/>
      <c r="C375" s="54"/>
      <c r="D375" s="54"/>
    </row>
    <row r="376" spans="1:4" ht="15.75" customHeight="1">
      <c r="A376" s="51"/>
      <c r="B376" s="51"/>
      <c r="C376" s="54"/>
      <c r="D376" s="54"/>
    </row>
    <row r="377" spans="1:4" ht="15.75" customHeight="1">
      <c r="A377" s="51"/>
      <c r="B377" s="51"/>
      <c r="C377" s="54"/>
      <c r="D377" s="54"/>
    </row>
    <row r="378" spans="1:4" ht="15.75" customHeight="1">
      <c r="A378" s="51"/>
      <c r="B378" s="51"/>
      <c r="C378" s="54"/>
      <c r="D378" s="54"/>
    </row>
    <row r="379" spans="1:4" ht="15.75" customHeight="1">
      <c r="A379" s="51"/>
      <c r="B379" s="51"/>
      <c r="C379" s="54"/>
      <c r="D379" s="54"/>
    </row>
    <row r="380" spans="1:4" ht="15.75" customHeight="1">
      <c r="A380" s="51"/>
      <c r="B380" s="51"/>
      <c r="C380" s="54"/>
      <c r="D380" s="54"/>
    </row>
    <row r="381" spans="1:4" ht="15.75" customHeight="1">
      <c r="A381" s="51"/>
      <c r="B381" s="51"/>
      <c r="C381" s="54"/>
      <c r="D381" s="54"/>
    </row>
    <row r="382" spans="1:4" ht="15.75" customHeight="1">
      <c r="A382" s="51"/>
      <c r="B382" s="51"/>
      <c r="C382" s="54"/>
      <c r="D382" s="54"/>
    </row>
    <row r="383" spans="1:4" ht="15.75" customHeight="1">
      <c r="A383" s="51"/>
      <c r="B383" s="51"/>
      <c r="C383" s="54"/>
      <c r="D383" s="54"/>
    </row>
    <row r="384" spans="1:4" ht="15.75" customHeight="1">
      <c r="A384" s="51"/>
      <c r="B384" s="51"/>
      <c r="C384" s="54"/>
      <c r="D384" s="54"/>
    </row>
    <row r="385" spans="1:4" ht="15.75" customHeight="1">
      <c r="A385" s="51"/>
      <c r="B385" s="51"/>
      <c r="C385" s="54"/>
      <c r="D385" s="54"/>
    </row>
    <row r="386" spans="1:4" ht="15.75" customHeight="1">
      <c r="A386" s="51"/>
      <c r="B386" s="51"/>
      <c r="C386" s="54"/>
      <c r="D386" s="54"/>
    </row>
    <row r="387" spans="1:4" ht="15.75" customHeight="1">
      <c r="A387" s="51"/>
      <c r="B387" s="51"/>
      <c r="C387" s="54"/>
      <c r="D387" s="54"/>
    </row>
    <row r="388" spans="1:4" ht="15.75" customHeight="1">
      <c r="A388" s="51"/>
      <c r="B388" s="51"/>
      <c r="C388" s="54"/>
      <c r="D388" s="54"/>
    </row>
    <row r="389" spans="1:4" ht="15.75" customHeight="1">
      <c r="A389" s="51"/>
      <c r="B389" s="51"/>
      <c r="C389" s="54"/>
      <c r="D389" s="54"/>
    </row>
    <row r="390" spans="1:4" ht="15.75" customHeight="1">
      <c r="A390" s="51"/>
      <c r="B390" s="51"/>
      <c r="C390" s="54"/>
      <c r="D390" s="54"/>
    </row>
    <row r="391" spans="1:4" ht="15.75" customHeight="1">
      <c r="A391" s="51"/>
      <c r="B391" s="51"/>
      <c r="C391" s="54"/>
      <c r="D391" s="54"/>
    </row>
    <row r="392" spans="1:4" ht="15.75" customHeight="1">
      <c r="A392" s="51"/>
      <c r="B392" s="51"/>
      <c r="C392" s="54"/>
      <c r="D392" s="54"/>
    </row>
    <row r="393" spans="1:4" ht="15.75" customHeight="1">
      <c r="A393" s="51"/>
      <c r="B393" s="51"/>
      <c r="C393" s="54"/>
      <c r="D393" s="54"/>
    </row>
    <row r="394" spans="1:4" ht="15.75" customHeight="1">
      <c r="A394" s="51"/>
      <c r="B394" s="51"/>
      <c r="C394" s="54"/>
      <c r="D394" s="54"/>
    </row>
    <row r="395" spans="1:4" ht="15.75" customHeight="1">
      <c r="A395" s="51"/>
      <c r="B395" s="51"/>
      <c r="C395" s="54"/>
      <c r="D395" s="54"/>
    </row>
    <row r="396" spans="1:4" ht="15.75" customHeight="1">
      <c r="A396" s="51"/>
      <c r="B396" s="51"/>
      <c r="C396" s="54"/>
      <c r="D396" s="54"/>
    </row>
    <row r="397" spans="1:4" ht="15.75" customHeight="1">
      <c r="A397" s="51"/>
      <c r="B397" s="51"/>
      <c r="C397" s="54"/>
      <c r="D397" s="54"/>
    </row>
    <row r="398" spans="1:4" ht="15.75" customHeight="1">
      <c r="A398" s="51"/>
      <c r="B398" s="51"/>
      <c r="C398" s="54"/>
      <c r="D398" s="54"/>
    </row>
    <row r="399" spans="1:4" ht="15.75" customHeight="1">
      <c r="A399" s="51"/>
      <c r="B399" s="51"/>
      <c r="C399" s="54"/>
      <c r="D399" s="54"/>
    </row>
    <row r="400" spans="1:4" ht="15.75" customHeight="1">
      <c r="A400" s="51"/>
      <c r="B400" s="51"/>
      <c r="C400" s="54"/>
      <c r="D400" s="54"/>
    </row>
    <row r="401" spans="1:4" ht="15.75" customHeight="1">
      <c r="A401" s="51"/>
      <c r="B401" s="51"/>
      <c r="C401" s="54"/>
      <c r="D401" s="54"/>
    </row>
    <row r="402" spans="1:4" ht="15.75" customHeight="1">
      <c r="A402" s="51"/>
      <c r="B402" s="51"/>
      <c r="C402" s="54"/>
      <c r="D402" s="54"/>
    </row>
    <row r="403" spans="1:4" ht="15.75" customHeight="1">
      <c r="A403" s="51"/>
      <c r="B403" s="51"/>
      <c r="C403" s="54"/>
      <c r="D403" s="54"/>
    </row>
    <row r="404" spans="1:4" ht="15.75" customHeight="1">
      <c r="A404" s="51"/>
      <c r="B404" s="51"/>
      <c r="C404" s="54"/>
      <c r="D404" s="54"/>
    </row>
    <row r="405" spans="1:4" ht="15.75" customHeight="1">
      <c r="A405" s="51"/>
      <c r="B405" s="51"/>
      <c r="C405" s="54"/>
      <c r="D405" s="54"/>
    </row>
    <row r="406" spans="1:4" ht="15.75" customHeight="1">
      <c r="A406" s="51"/>
      <c r="B406" s="51"/>
      <c r="C406" s="54"/>
      <c r="D406" s="54"/>
    </row>
    <row r="407" spans="1:4" ht="15.75" customHeight="1">
      <c r="A407" s="51"/>
      <c r="B407" s="51"/>
      <c r="C407" s="54"/>
      <c r="D407" s="54"/>
    </row>
    <row r="408" spans="1:4" ht="15.75" customHeight="1">
      <c r="A408" s="51"/>
      <c r="B408" s="51"/>
      <c r="C408" s="54"/>
      <c r="D408" s="54"/>
    </row>
    <row r="409" spans="1:4" ht="15.75" customHeight="1">
      <c r="A409" s="51"/>
      <c r="B409" s="51"/>
      <c r="C409" s="54"/>
      <c r="D409" s="54"/>
    </row>
    <row r="410" spans="1:4" ht="15.75" customHeight="1">
      <c r="A410" s="51"/>
      <c r="B410" s="51"/>
      <c r="C410" s="54"/>
      <c r="D410" s="54"/>
    </row>
    <row r="411" spans="1:4" ht="15.75" customHeight="1">
      <c r="A411" s="51"/>
      <c r="B411" s="51"/>
      <c r="C411" s="54"/>
      <c r="D411" s="54"/>
    </row>
    <row r="412" spans="1:4" ht="15.75" customHeight="1">
      <c r="A412" s="51"/>
      <c r="B412" s="51"/>
      <c r="C412" s="54"/>
      <c r="D412" s="54"/>
    </row>
    <row r="413" spans="1:4" ht="15.75" customHeight="1">
      <c r="A413" s="51"/>
      <c r="B413" s="51"/>
      <c r="C413" s="54"/>
      <c r="D413" s="54"/>
    </row>
    <row r="414" spans="1:4" ht="15.75" customHeight="1">
      <c r="A414" s="51"/>
      <c r="B414" s="51"/>
      <c r="C414" s="54"/>
      <c r="D414" s="54"/>
    </row>
    <row r="415" spans="1:4" ht="15.75" customHeight="1">
      <c r="A415" s="51"/>
      <c r="B415" s="51"/>
      <c r="C415" s="54"/>
      <c r="D415" s="54"/>
    </row>
    <row r="416" spans="1:4" ht="15.75" customHeight="1">
      <c r="A416" s="51"/>
      <c r="B416" s="51"/>
      <c r="C416" s="54"/>
      <c r="D416" s="54"/>
    </row>
    <row r="417" spans="1:4" ht="15.75" customHeight="1">
      <c r="A417" s="51"/>
      <c r="B417" s="51"/>
      <c r="C417" s="54"/>
      <c r="D417" s="54"/>
    </row>
    <row r="418" spans="1:4" ht="15.75" customHeight="1">
      <c r="A418" s="51"/>
      <c r="B418" s="51"/>
      <c r="C418" s="54"/>
      <c r="D418" s="54"/>
    </row>
    <row r="419" spans="1:4" ht="15.75" customHeight="1">
      <c r="A419" s="51"/>
      <c r="B419" s="51"/>
      <c r="C419" s="54"/>
      <c r="D419" s="54"/>
    </row>
    <row r="420" spans="1:4" ht="15.75" customHeight="1">
      <c r="A420" s="51"/>
      <c r="B420" s="51"/>
      <c r="C420" s="54"/>
      <c r="D420" s="54"/>
    </row>
    <row r="421" spans="1:4" ht="15.75" customHeight="1">
      <c r="A421" s="51"/>
      <c r="B421" s="51"/>
      <c r="C421" s="54"/>
      <c r="D421" s="54"/>
    </row>
    <row r="422" spans="1:4" ht="15.75" customHeight="1">
      <c r="A422" s="51"/>
      <c r="B422" s="51"/>
      <c r="C422" s="54"/>
      <c r="D422" s="54"/>
    </row>
    <row r="423" spans="1:4" ht="15.75" customHeight="1">
      <c r="A423" s="51"/>
      <c r="B423" s="51"/>
      <c r="C423" s="54"/>
      <c r="D423" s="54"/>
    </row>
    <row r="424" spans="1:4" ht="15.75" customHeight="1">
      <c r="A424" s="51"/>
      <c r="B424" s="51"/>
      <c r="C424" s="54"/>
      <c r="D424" s="54"/>
    </row>
    <row r="425" spans="1:4" ht="15.75" customHeight="1">
      <c r="A425" s="51"/>
      <c r="B425" s="51"/>
      <c r="C425" s="54"/>
      <c r="D425" s="54"/>
    </row>
    <row r="426" spans="1:4" ht="15.75" customHeight="1">
      <c r="A426" s="51"/>
      <c r="B426" s="51"/>
      <c r="C426" s="54"/>
      <c r="D426" s="54"/>
    </row>
    <row r="427" spans="1:4" ht="15.75" customHeight="1">
      <c r="A427" s="51"/>
      <c r="B427" s="51"/>
      <c r="C427" s="54"/>
      <c r="D427" s="54"/>
    </row>
    <row r="428" spans="1:4" ht="15.75" customHeight="1">
      <c r="A428" s="51"/>
      <c r="B428" s="51"/>
      <c r="C428" s="54"/>
      <c r="D428" s="54"/>
    </row>
    <row r="429" spans="1:4" ht="15.75" customHeight="1">
      <c r="A429" s="51"/>
      <c r="B429" s="51"/>
      <c r="C429" s="54"/>
      <c r="D429" s="54"/>
    </row>
    <row r="430" spans="1:4" ht="15.75" customHeight="1">
      <c r="A430" s="51"/>
      <c r="B430" s="51"/>
      <c r="C430" s="54"/>
      <c r="D430" s="54"/>
    </row>
    <row r="431" spans="1:4" ht="15.75" customHeight="1">
      <c r="A431" s="51"/>
      <c r="B431" s="51"/>
      <c r="C431" s="54"/>
      <c r="D431" s="54"/>
    </row>
    <row r="432" spans="1:4" ht="15.75" customHeight="1">
      <c r="A432" s="51"/>
      <c r="B432" s="51"/>
      <c r="C432" s="54"/>
      <c r="D432" s="54"/>
    </row>
    <row r="433" spans="1:4" ht="15.75" customHeight="1">
      <c r="A433" s="51"/>
      <c r="B433" s="51"/>
      <c r="C433" s="54"/>
      <c r="D433" s="54"/>
    </row>
    <row r="434" spans="1:4" ht="15.75" customHeight="1">
      <c r="A434" s="51"/>
      <c r="B434" s="51"/>
      <c r="C434" s="54"/>
      <c r="D434" s="54"/>
    </row>
    <row r="435" spans="1:4" ht="15.75" customHeight="1">
      <c r="A435" s="51"/>
      <c r="B435" s="51"/>
      <c r="C435" s="54"/>
      <c r="D435" s="54"/>
    </row>
    <row r="436" spans="1:4" ht="15.75" customHeight="1">
      <c r="A436" s="51"/>
      <c r="B436" s="51"/>
      <c r="C436" s="54"/>
      <c r="D436" s="54"/>
    </row>
    <row r="437" spans="1:4" ht="15.75" customHeight="1">
      <c r="A437" s="51"/>
      <c r="B437" s="51"/>
      <c r="C437" s="54"/>
      <c r="D437" s="54"/>
    </row>
    <row r="438" spans="1:4" ht="15.75" customHeight="1">
      <c r="A438" s="51"/>
      <c r="B438" s="51"/>
      <c r="C438" s="54"/>
      <c r="D438" s="54"/>
    </row>
    <row r="439" spans="1:4" ht="15.75" customHeight="1">
      <c r="A439" s="51"/>
      <c r="B439" s="51"/>
      <c r="C439" s="54"/>
      <c r="D439" s="54"/>
    </row>
    <row r="440" spans="1:4" ht="15.75" customHeight="1">
      <c r="A440" s="51"/>
      <c r="B440" s="51"/>
      <c r="C440" s="54"/>
      <c r="D440" s="54"/>
    </row>
    <row r="441" spans="1:4" ht="15.75" customHeight="1">
      <c r="A441" s="51"/>
      <c r="B441" s="51"/>
      <c r="C441" s="54"/>
      <c r="D441" s="54"/>
    </row>
    <row r="442" spans="1:4" ht="15.75" customHeight="1">
      <c r="A442" s="51"/>
      <c r="B442" s="51"/>
      <c r="C442" s="54"/>
      <c r="D442" s="54"/>
    </row>
    <row r="443" spans="1:4" ht="15.75" customHeight="1">
      <c r="A443" s="51"/>
      <c r="B443" s="51"/>
      <c r="C443" s="54"/>
      <c r="D443" s="54"/>
    </row>
    <row r="444" spans="1:4" ht="15.75" customHeight="1">
      <c r="A444" s="51"/>
      <c r="B444" s="51"/>
      <c r="C444" s="54"/>
      <c r="D444" s="54"/>
    </row>
    <row r="445" spans="1:4" ht="15.75" customHeight="1">
      <c r="A445" s="51"/>
      <c r="B445" s="51"/>
      <c r="C445" s="54"/>
      <c r="D445" s="54"/>
    </row>
    <row r="446" spans="1:4" ht="15.75" customHeight="1">
      <c r="A446" s="51"/>
      <c r="B446" s="51"/>
      <c r="C446" s="54"/>
      <c r="D446" s="54"/>
    </row>
    <row r="447" spans="1:4" ht="15.75" customHeight="1">
      <c r="A447" s="51"/>
      <c r="B447" s="51"/>
      <c r="C447" s="54"/>
      <c r="D447" s="54"/>
    </row>
    <row r="448" spans="1:4" ht="15.75" customHeight="1">
      <c r="A448" s="51"/>
      <c r="B448" s="51"/>
      <c r="C448" s="54"/>
      <c r="D448" s="54"/>
    </row>
    <row r="449" spans="1:4" ht="15.75" customHeight="1">
      <c r="A449" s="51"/>
      <c r="B449" s="51"/>
      <c r="C449" s="54"/>
      <c r="D449" s="54"/>
    </row>
    <row r="450" spans="1:4" ht="15.75" customHeight="1">
      <c r="A450" s="51"/>
      <c r="B450" s="51"/>
      <c r="C450" s="54"/>
      <c r="D450" s="54"/>
    </row>
    <row r="451" spans="1:4" ht="15.75" customHeight="1">
      <c r="A451" s="51"/>
      <c r="B451" s="51"/>
      <c r="C451" s="54"/>
      <c r="D451" s="54"/>
    </row>
    <row r="452" spans="1:4" ht="15.75" customHeight="1">
      <c r="A452" s="51"/>
      <c r="B452" s="51"/>
      <c r="C452" s="54"/>
      <c r="D452" s="54"/>
    </row>
    <row r="453" spans="1:4" ht="15.75" customHeight="1">
      <c r="A453" s="51"/>
      <c r="B453" s="51"/>
      <c r="C453" s="54"/>
      <c r="D453" s="54"/>
    </row>
    <row r="454" spans="1:4" ht="15.75" customHeight="1">
      <c r="A454" s="51"/>
      <c r="B454" s="51"/>
      <c r="C454" s="54"/>
      <c r="D454" s="54"/>
    </row>
    <row r="455" spans="1:4" ht="15.75" customHeight="1">
      <c r="A455" s="51"/>
      <c r="B455" s="51"/>
      <c r="C455" s="54"/>
      <c r="D455" s="54"/>
    </row>
    <row r="456" spans="1:4" ht="15.75" customHeight="1">
      <c r="A456" s="51"/>
      <c r="B456" s="51"/>
      <c r="C456" s="54"/>
      <c r="D456" s="54"/>
    </row>
    <row r="457" spans="1:4" ht="15.75" customHeight="1">
      <c r="A457" s="51"/>
      <c r="B457" s="51"/>
      <c r="C457" s="54"/>
      <c r="D457" s="54"/>
    </row>
    <row r="458" spans="1:4" ht="15.75" customHeight="1">
      <c r="A458" s="51"/>
      <c r="B458" s="51"/>
      <c r="C458" s="54"/>
      <c r="D458" s="54"/>
    </row>
    <row r="459" spans="1:4" ht="15.75" customHeight="1">
      <c r="A459" s="51"/>
      <c r="B459" s="51"/>
      <c r="C459" s="54"/>
      <c r="D459" s="54"/>
    </row>
    <row r="460" spans="1:4" ht="15.75" customHeight="1">
      <c r="A460" s="51"/>
      <c r="B460" s="51"/>
      <c r="C460" s="54"/>
      <c r="D460" s="54"/>
    </row>
    <row r="461" spans="1:4" ht="15.75" customHeight="1">
      <c r="A461" s="51"/>
      <c r="B461" s="51"/>
      <c r="C461" s="54"/>
      <c r="D461" s="54"/>
    </row>
    <row r="462" spans="1:4" ht="15.75" customHeight="1">
      <c r="A462" s="51"/>
      <c r="B462" s="51"/>
      <c r="C462" s="54"/>
      <c r="D462" s="54"/>
    </row>
    <row r="463" spans="1:4" ht="15.75" customHeight="1">
      <c r="A463" s="51"/>
      <c r="B463" s="51"/>
      <c r="C463" s="54"/>
      <c r="D463" s="54"/>
    </row>
    <row r="464" spans="1:4" ht="15.75" customHeight="1">
      <c r="A464" s="51"/>
      <c r="B464" s="51"/>
      <c r="C464" s="54"/>
      <c r="D464" s="54"/>
    </row>
    <row r="465" spans="1:4" ht="15.75" customHeight="1">
      <c r="A465" s="51"/>
      <c r="B465" s="51"/>
      <c r="C465" s="54"/>
      <c r="D465" s="54"/>
    </row>
    <row r="466" spans="1:4" ht="15.75" customHeight="1">
      <c r="A466" s="51"/>
      <c r="B466" s="51"/>
      <c r="C466" s="54"/>
      <c r="D466" s="54"/>
    </row>
    <row r="467" spans="1:4" ht="15.75" customHeight="1">
      <c r="A467" s="51"/>
      <c r="B467" s="51"/>
      <c r="C467" s="54"/>
      <c r="D467" s="54"/>
    </row>
    <row r="468" spans="1:4" ht="15.75" customHeight="1">
      <c r="A468" s="51"/>
      <c r="B468" s="51"/>
      <c r="C468" s="54"/>
      <c r="D468" s="54"/>
    </row>
    <row r="469" spans="1:4" ht="15.75" customHeight="1">
      <c r="A469" s="51"/>
      <c r="B469" s="51"/>
      <c r="C469" s="54"/>
      <c r="D469" s="54"/>
    </row>
    <row r="470" spans="1:4" ht="15.75" customHeight="1">
      <c r="A470" s="51"/>
      <c r="B470" s="51"/>
      <c r="C470" s="54"/>
      <c r="D470" s="54"/>
    </row>
    <row r="471" spans="1:4" ht="15.75" customHeight="1">
      <c r="A471" s="51"/>
      <c r="B471" s="51"/>
      <c r="C471" s="54"/>
      <c r="D471" s="54"/>
    </row>
    <row r="472" spans="1:4" ht="15.75" customHeight="1">
      <c r="A472" s="51"/>
      <c r="B472" s="51"/>
      <c r="C472" s="54"/>
      <c r="D472" s="54"/>
    </row>
    <row r="473" spans="1:4" ht="15.75" customHeight="1">
      <c r="A473" s="51"/>
      <c r="B473" s="51"/>
      <c r="C473" s="54"/>
      <c r="D473" s="54"/>
    </row>
    <row r="474" spans="1:4" ht="15.75" customHeight="1">
      <c r="A474" s="51"/>
      <c r="B474" s="51"/>
      <c r="C474" s="54"/>
      <c r="D474" s="54"/>
    </row>
    <row r="475" spans="1:4" ht="15.75" customHeight="1">
      <c r="A475" s="51"/>
      <c r="B475" s="51"/>
      <c r="C475" s="54"/>
      <c r="D475" s="54"/>
    </row>
    <row r="476" spans="1:4" ht="15.75" customHeight="1">
      <c r="A476" s="51"/>
      <c r="B476" s="51"/>
      <c r="C476" s="54"/>
      <c r="D476" s="54"/>
    </row>
    <row r="477" spans="1:4" ht="15.75" customHeight="1">
      <c r="A477" s="51"/>
      <c r="B477" s="51"/>
      <c r="C477" s="54"/>
      <c r="D477" s="54"/>
    </row>
    <row r="478" spans="1:4" ht="15.75" customHeight="1">
      <c r="A478" s="51"/>
      <c r="B478" s="51"/>
      <c r="C478" s="54"/>
      <c r="D478" s="54"/>
    </row>
    <row r="479" spans="1:4" ht="15.75" customHeight="1">
      <c r="A479" s="51"/>
      <c r="B479" s="51"/>
      <c r="C479" s="54"/>
      <c r="D479" s="54"/>
    </row>
    <row r="480" spans="1:4" ht="15.75" customHeight="1">
      <c r="A480" s="51"/>
      <c r="B480" s="51"/>
      <c r="C480" s="54"/>
      <c r="D480" s="54"/>
    </row>
    <row r="481" spans="1:4" ht="15.75" customHeight="1">
      <c r="A481" s="51"/>
      <c r="B481" s="51"/>
      <c r="C481" s="54"/>
      <c r="D481" s="54"/>
    </row>
    <row r="482" spans="1:4" ht="15.75" customHeight="1">
      <c r="A482" s="51"/>
      <c r="B482" s="51"/>
      <c r="C482" s="54"/>
      <c r="D482" s="54"/>
    </row>
    <row r="483" spans="1:4" ht="15.75" customHeight="1">
      <c r="A483" s="51"/>
      <c r="B483" s="51"/>
      <c r="C483" s="54"/>
      <c r="D483" s="54"/>
    </row>
    <row r="484" spans="1:4" ht="15.75" customHeight="1">
      <c r="A484" s="51"/>
      <c r="B484" s="51"/>
      <c r="C484" s="54"/>
      <c r="D484" s="54"/>
    </row>
    <row r="485" spans="1:4" ht="15.75" customHeight="1">
      <c r="A485" s="51"/>
      <c r="B485" s="51"/>
      <c r="C485" s="54"/>
      <c r="D485" s="54"/>
    </row>
    <row r="486" spans="1:4" ht="15.75" customHeight="1">
      <c r="A486" s="51"/>
      <c r="B486" s="51"/>
      <c r="C486" s="54"/>
      <c r="D486" s="54"/>
    </row>
    <row r="487" spans="1:4" ht="15.75" customHeight="1">
      <c r="A487" s="51"/>
      <c r="B487" s="51"/>
      <c r="C487" s="54"/>
      <c r="D487" s="54"/>
    </row>
    <row r="488" spans="1:4" ht="15.75" customHeight="1">
      <c r="A488" s="51"/>
      <c r="B488" s="51"/>
      <c r="C488" s="54"/>
      <c r="D488" s="54"/>
    </row>
    <row r="489" spans="1:4" ht="15.75" customHeight="1">
      <c r="A489" s="51"/>
      <c r="B489" s="51"/>
      <c r="C489" s="54"/>
      <c r="D489" s="54"/>
    </row>
    <row r="490" spans="1:4" ht="15.75" customHeight="1">
      <c r="A490" s="51"/>
      <c r="B490" s="51"/>
      <c r="C490" s="54"/>
      <c r="D490" s="54"/>
    </row>
    <row r="491" spans="1:4" ht="15.75" customHeight="1">
      <c r="A491" s="51"/>
      <c r="B491" s="51"/>
      <c r="C491" s="54"/>
      <c r="D491" s="54"/>
    </row>
    <row r="492" spans="1:4" ht="15.75" customHeight="1">
      <c r="A492" s="51"/>
      <c r="B492" s="51"/>
      <c r="C492" s="54"/>
      <c r="D492" s="54"/>
    </row>
    <row r="493" spans="1:4" ht="15.75" customHeight="1">
      <c r="A493" s="51"/>
      <c r="B493" s="51"/>
      <c r="C493" s="54"/>
      <c r="D493" s="54"/>
    </row>
    <row r="494" spans="1:4" ht="15.75" customHeight="1">
      <c r="A494" s="51"/>
      <c r="B494" s="51"/>
      <c r="C494" s="54"/>
      <c r="D494" s="54"/>
    </row>
    <row r="495" spans="1:4" ht="15.75" customHeight="1">
      <c r="A495" s="51"/>
      <c r="B495" s="51"/>
      <c r="C495" s="54"/>
      <c r="D495" s="54"/>
    </row>
    <row r="496" spans="1:4" ht="15.75" customHeight="1">
      <c r="A496" s="51"/>
      <c r="B496" s="51"/>
      <c r="C496" s="54"/>
      <c r="D496" s="54"/>
    </row>
    <row r="497" spans="1:4" ht="15.75" customHeight="1">
      <c r="A497" s="51"/>
      <c r="B497" s="51"/>
      <c r="C497" s="54"/>
      <c r="D497" s="54"/>
    </row>
    <row r="498" spans="1:4" ht="15.75" customHeight="1">
      <c r="A498" s="51"/>
      <c r="B498" s="51"/>
      <c r="C498" s="54"/>
      <c r="D498" s="54"/>
    </row>
    <row r="499" spans="1:4" ht="15.75" customHeight="1">
      <c r="A499" s="51"/>
      <c r="B499" s="51"/>
      <c r="C499" s="54"/>
      <c r="D499" s="54"/>
    </row>
    <row r="500" spans="1:4" ht="15.75" customHeight="1">
      <c r="A500" s="51"/>
      <c r="B500" s="51"/>
      <c r="C500" s="54"/>
      <c r="D500" s="54"/>
    </row>
    <row r="501" spans="1:4" ht="15.75" customHeight="1">
      <c r="A501" s="51"/>
      <c r="B501" s="51"/>
      <c r="C501" s="54"/>
      <c r="D501" s="54"/>
    </row>
    <row r="502" spans="1:4" ht="15.75" customHeight="1">
      <c r="A502" s="51"/>
      <c r="B502" s="51"/>
      <c r="C502" s="54"/>
      <c r="D502" s="54"/>
    </row>
    <row r="503" spans="1:4" ht="15.75" customHeight="1">
      <c r="A503" s="51"/>
      <c r="B503" s="51"/>
      <c r="C503" s="54"/>
      <c r="D503" s="54"/>
    </row>
    <row r="504" spans="1:4" ht="15.75" customHeight="1">
      <c r="A504" s="51"/>
      <c r="B504" s="51"/>
      <c r="C504" s="54"/>
      <c r="D504" s="54"/>
    </row>
    <row r="505" spans="1:4" ht="15.75" customHeight="1">
      <c r="A505" s="51"/>
      <c r="B505" s="51"/>
      <c r="C505" s="54"/>
      <c r="D505" s="54"/>
    </row>
    <row r="506" spans="1:4" ht="15.75" customHeight="1">
      <c r="A506" s="51"/>
      <c r="B506" s="51"/>
      <c r="C506" s="54"/>
      <c r="D506" s="54"/>
    </row>
    <row r="507" spans="1:4" ht="15.75" customHeight="1">
      <c r="A507" s="51"/>
      <c r="B507" s="51"/>
      <c r="C507" s="54"/>
      <c r="D507" s="54"/>
    </row>
    <row r="508" spans="1:4" ht="15.75" customHeight="1">
      <c r="A508" s="51"/>
      <c r="B508" s="51"/>
      <c r="C508" s="54"/>
      <c r="D508" s="54"/>
    </row>
    <row r="509" spans="1:4" ht="15.75" customHeight="1">
      <c r="A509" s="51"/>
      <c r="B509" s="51"/>
      <c r="C509" s="54"/>
      <c r="D509" s="54"/>
    </row>
    <row r="510" spans="1:4" ht="15.75" customHeight="1">
      <c r="A510" s="51"/>
      <c r="B510" s="51"/>
      <c r="C510" s="54"/>
      <c r="D510" s="54"/>
    </row>
    <row r="511" spans="1:4" ht="15.75" customHeight="1">
      <c r="A511" s="51"/>
      <c r="B511" s="51"/>
      <c r="C511" s="54"/>
      <c r="D511" s="54"/>
    </row>
    <row r="512" spans="1:4" ht="15.75" customHeight="1">
      <c r="A512" s="51"/>
      <c r="B512" s="51"/>
      <c r="C512" s="54"/>
      <c r="D512" s="54"/>
    </row>
    <row r="513" spans="1:4" ht="15.75" customHeight="1">
      <c r="A513" s="51"/>
      <c r="B513" s="51"/>
      <c r="C513" s="54"/>
      <c r="D513" s="54"/>
    </row>
    <row r="514" spans="1:4" ht="15.75" customHeight="1">
      <c r="A514" s="51"/>
      <c r="B514" s="51"/>
      <c r="C514" s="54"/>
      <c r="D514" s="54"/>
    </row>
    <row r="515" spans="1:4" ht="15.75" customHeight="1">
      <c r="A515" s="51"/>
      <c r="B515" s="51"/>
      <c r="C515" s="54"/>
      <c r="D515" s="54"/>
    </row>
    <row r="516" spans="1:4" ht="15.75" customHeight="1">
      <c r="A516" s="51"/>
      <c r="B516" s="51"/>
      <c r="C516" s="54"/>
      <c r="D516" s="54"/>
    </row>
    <row r="517" spans="1:4" ht="15.75" customHeight="1">
      <c r="A517" s="51"/>
      <c r="B517" s="51"/>
      <c r="C517" s="54"/>
      <c r="D517" s="54"/>
    </row>
    <row r="518" spans="1:4" ht="15.75" customHeight="1">
      <c r="A518" s="51"/>
      <c r="B518" s="51"/>
      <c r="C518" s="54"/>
      <c r="D518" s="54"/>
    </row>
    <row r="519" spans="1:4" ht="15.75" customHeight="1">
      <c r="A519" s="51"/>
      <c r="B519" s="51"/>
      <c r="C519" s="54"/>
      <c r="D519" s="54"/>
    </row>
    <row r="520" spans="1:4" ht="15.75" customHeight="1">
      <c r="A520" s="51"/>
      <c r="B520" s="51"/>
      <c r="C520" s="54"/>
      <c r="D520" s="54"/>
    </row>
    <row r="521" spans="1:4" ht="15.75" customHeight="1">
      <c r="A521" s="51"/>
      <c r="B521" s="51"/>
      <c r="C521" s="54"/>
      <c r="D521" s="54"/>
    </row>
    <row r="522" spans="1:4" ht="15.75" customHeight="1">
      <c r="A522" s="51"/>
      <c r="B522" s="51"/>
      <c r="C522" s="54"/>
      <c r="D522" s="54"/>
    </row>
    <row r="523" spans="1:4" ht="15.75" customHeight="1">
      <c r="A523" s="51"/>
      <c r="B523" s="51"/>
      <c r="C523" s="54"/>
      <c r="D523" s="54"/>
    </row>
    <row r="524" spans="1:4" ht="15.75" customHeight="1">
      <c r="A524" s="51"/>
      <c r="B524" s="51"/>
      <c r="C524" s="54"/>
      <c r="D524" s="54"/>
    </row>
    <row r="525" spans="1:4" ht="15.75" customHeight="1">
      <c r="A525" s="51"/>
      <c r="B525" s="51"/>
      <c r="C525" s="54"/>
      <c r="D525" s="54"/>
    </row>
    <row r="526" spans="1:4" ht="15.75" customHeight="1">
      <c r="A526" s="51"/>
      <c r="B526" s="51"/>
      <c r="C526" s="54"/>
      <c r="D526" s="54"/>
    </row>
    <row r="527" spans="1:4" ht="15.75" customHeight="1">
      <c r="A527" s="51"/>
      <c r="B527" s="51"/>
      <c r="C527" s="54"/>
      <c r="D527" s="54"/>
    </row>
    <row r="528" spans="1:4" ht="15.75" customHeight="1">
      <c r="A528" s="51"/>
      <c r="B528" s="51"/>
      <c r="C528" s="54"/>
      <c r="D528" s="54"/>
    </row>
    <row r="529" spans="1:4" ht="15.75" customHeight="1">
      <c r="A529" s="51"/>
      <c r="B529" s="51"/>
      <c r="C529" s="54"/>
      <c r="D529" s="54"/>
    </row>
    <row r="530" spans="1:4" ht="15.75" customHeight="1">
      <c r="A530" s="51"/>
      <c r="B530" s="51"/>
      <c r="C530" s="54"/>
      <c r="D530" s="54"/>
    </row>
    <row r="531" spans="1:4" ht="15.75" customHeight="1">
      <c r="A531" s="51"/>
      <c r="B531" s="51"/>
      <c r="C531" s="54"/>
      <c r="D531" s="54"/>
    </row>
    <row r="532" spans="1:4" ht="15.75" customHeight="1">
      <c r="A532" s="51"/>
      <c r="B532" s="51"/>
      <c r="C532" s="54"/>
      <c r="D532" s="54"/>
    </row>
    <row r="533" spans="1:4" ht="15.75" customHeight="1">
      <c r="A533" s="51"/>
      <c r="B533" s="51"/>
      <c r="C533" s="54"/>
      <c r="D533" s="54"/>
    </row>
    <row r="534" spans="1:4" ht="15.75" customHeight="1">
      <c r="A534" s="51"/>
      <c r="B534" s="51"/>
      <c r="C534" s="54"/>
      <c r="D534" s="54"/>
    </row>
    <row r="535" spans="1:4" ht="15.75" customHeight="1">
      <c r="A535" s="51"/>
      <c r="B535" s="51"/>
      <c r="C535" s="54"/>
      <c r="D535" s="54"/>
    </row>
    <row r="536" spans="1:4" ht="15.75" customHeight="1">
      <c r="A536" s="51"/>
      <c r="B536" s="51"/>
      <c r="C536" s="54"/>
      <c r="D536" s="54"/>
    </row>
    <row r="537" spans="1:4" ht="15.75" customHeight="1">
      <c r="A537" s="51"/>
      <c r="B537" s="51"/>
      <c r="C537" s="54"/>
      <c r="D537" s="54"/>
    </row>
    <row r="538" spans="1:4" ht="15.75" customHeight="1">
      <c r="A538" s="51"/>
      <c r="B538" s="51"/>
      <c r="C538" s="54"/>
      <c r="D538" s="54"/>
    </row>
    <row r="539" spans="1:4" ht="15.75" customHeight="1">
      <c r="A539" s="51"/>
      <c r="B539" s="51"/>
      <c r="C539" s="54"/>
      <c r="D539" s="54"/>
    </row>
    <row r="540" spans="1:4" ht="15.75" customHeight="1">
      <c r="A540" s="51"/>
      <c r="B540" s="51"/>
      <c r="C540" s="54"/>
      <c r="D540" s="54"/>
    </row>
    <row r="541" spans="1:4" ht="15.75" customHeight="1">
      <c r="A541" s="51"/>
      <c r="B541" s="51"/>
      <c r="C541" s="54"/>
      <c r="D541" s="54"/>
    </row>
    <row r="542" spans="1:4" ht="15.75" customHeight="1">
      <c r="A542" s="51"/>
      <c r="B542" s="51"/>
      <c r="C542" s="54"/>
      <c r="D542" s="54"/>
    </row>
    <row r="543" spans="1:4" ht="15.75" customHeight="1">
      <c r="A543" s="51"/>
      <c r="B543" s="51"/>
      <c r="C543" s="54"/>
      <c r="D543" s="54"/>
    </row>
    <row r="544" spans="1:4" ht="15.75" customHeight="1">
      <c r="A544" s="51"/>
      <c r="B544" s="51"/>
      <c r="C544" s="54"/>
      <c r="D544" s="54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344" xr:uid="{00000000-0009-0000-0000-000002000000}">
    <sortState xmlns:xlrd2="http://schemas.microsoft.com/office/spreadsheetml/2017/richdata2" ref="A2:D344">
      <sortCondition descending="1" ref="D1:D344"/>
    </sortState>
  </autoFilter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1000"/>
  <sheetViews>
    <sheetView workbookViewId="0"/>
  </sheetViews>
  <sheetFormatPr baseColWidth="10" defaultColWidth="12.6640625" defaultRowHeight="15" customHeight="1"/>
  <cols>
    <col min="1" max="1" width="7.6640625" customWidth="1"/>
    <col min="2" max="2" width="22.21875" customWidth="1"/>
    <col min="3" max="6" width="12.6640625" customWidth="1"/>
  </cols>
  <sheetData>
    <row r="1" spans="1:4" ht="15.75" customHeight="1">
      <c r="A1" s="57" t="s">
        <v>378</v>
      </c>
      <c r="B1" s="57" t="s">
        <v>379</v>
      </c>
      <c r="C1" s="79" t="s">
        <v>380</v>
      </c>
      <c r="D1" s="79" t="s">
        <v>381</v>
      </c>
    </row>
    <row r="2" spans="1:4" ht="15.75" customHeight="1">
      <c r="A2" s="16">
        <v>10101</v>
      </c>
      <c r="B2" s="63" t="s">
        <v>8</v>
      </c>
      <c r="C2" s="64">
        <v>1916666.6666666667</v>
      </c>
      <c r="D2" s="64">
        <v>574676</v>
      </c>
    </row>
    <row r="3" spans="1:4" ht="15.75" customHeight="1">
      <c r="A3" s="16">
        <v>10102</v>
      </c>
      <c r="B3" s="63" t="s">
        <v>9</v>
      </c>
      <c r="C3" s="64">
        <v>72902</v>
      </c>
      <c r="D3" s="64">
        <v>48333.333333333336</v>
      </c>
    </row>
    <row r="4" spans="1:4" ht="15.75" customHeight="1">
      <c r="A4" s="16">
        <v>10103</v>
      </c>
      <c r="B4" s="63" t="s">
        <v>10</v>
      </c>
      <c r="C4" s="64">
        <v>22666.666666666668</v>
      </c>
      <c r="D4" s="64">
        <v>17000</v>
      </c>
    </row>
    <row r="5" spans="1:4" ht="15.75" customHeight="1">
      <c r="A5" s="16">
        <v>10201</v>
      </c>
      <c r="B5" s="63" t="s">
        <v>11</v>
      </c>
      <c r="C5" s="64">
        <v>59733.333333333336</v>
      </c>
      <c r="D5" s="64">
        <v>8333.3333333333339</v>
      </c>
    </row>
    <row r="6" spans="1:4" ht="15.75" customHeight="1">
      <c r="A6" s="16">
        <v>10202</v>
      </c>
      <c r="B6" s="63" t="s">
        <v>12</v>
      </c>
      <c r="C6" s="64">
        <v>0</v>
      </c>
      <c r="D6" s="64">
        <v>0</v>
      </c>
    </row>
    <row r="7" spans="1:4" ht="15.75" customHeight="1">
      <c r="A7" s="16">
        <v>10301</v>
      </c>
      <c r="B7" s="63" t="s">
        <v>13</v>
      </c>
      <c r="C7" s="64">
        <v>65655.333333333328</v>
      </c>
      <c r="D7" s="64">
        <v>81283.333333333328</v>
      </c>
    </row>
    <row r="8" spans="1:4" ht="15.75" customHeight="1">
      <c r="A8" s="16">
        <v>10302</v>
      </c>
      <c r="B8" s="63" t="s">
        <v>14</v>
      </c>
      <c r="C8" s="64">
        <v>0</v>
      </c>
      <c r="D8" s="64">
        <v>0</v>
      </c>
    </row>
    <row r="9" spans="1:4" ht="15.75" customHeight="1">
      <c r="A9" s="16">
        <v>10303</v>
      </c>
      <c r="B9" s="63" t="s">
        <v>15</v>
      </c>
      <c r="C9" s="64">
        <v>56667</v>
      </c>
      <c r="D9" s="64">
        <v>40000</v>
      </c>
    </row>
    <row r="10" spans="1:4" ht="15.75" customHeight="1">
      <c r="A10" s="16">
        <v>10304</v>
      </c>
      <c r="B10" s="63" t="s">
        <v>16</v>
      </c>
      <c r="C10" s="64">
        <v>36333.333333333336</v>
      </c>
      <c r="D10" s="64">
        <v>21288</v>
      </c>
    </row>
    <row r="11" spans="1:4" ht="15.75" customHeight="1">
      <c r="A11" s="16">
        <v>10401</v>
      </c>
      <c r="B11" s="63" t="s">
        <v>17</v>
      </c>
      <c r="C11" s="64">
        <v>104533.33333333333</v>
      </c>
      <c r="D11" s="64">
        <v>52040</v>
      </c>
    </row>
    <row r="12" spans="1:4" ht="15.75" customHeight="1">
      <c r="A12" s="16">
        <v>10402</v>
      </c>
      <c r="B12" s="63" t="s">
        <v>18</v>
      </c>
      <c r="C12" s="64">
        <v>62148.333333333336</v>
      </c>
      <c r="D12" s="64">
        <v>20578.666666666668</v>
      </c>
    </row>
    <row r="13" spans="1:4" ht="15.75" customHeight="1">
      <c r="A13" s="16">
        <v>10403</v>
      </c>
      <c r="B13" s="63" t="s">
        <v>19</v>
      </c>
      <c r="C13" s="64">
        <v>0</v>
      </c>
      <c r="D13" s="64">
        <v>0</v>
      </c>
    </row>
    <row r="14" spans="1:4" ht="15.75" customHeight="1">
      <c r="A14" s="16">
        <v>10404</v>
      </c>
      <c r="B14" s="63" t="s">
        <v>20</v>
      </c>
      <c r="C14" s="64">
        <v>13000</v>
      </c>
      <c r="D14" s="64">
        <v>81700</v>
      </c>
    </row>
    <row r="15" spans="1:4" ht="15.75" customHeight="1">
      <c r="A15" s="16">
        <v>10405</v>
      </c>
      <c r="B15" s="63" t="s">
        <v>21</v>
      </c>
      <c r="C15" s="64">
        <v>31000</v>
      </c>
      <c r="D15" s="64">
        <v>16333.333333333334</v>
      </c>
    </row>
    <row r="16" spans="1:4" ht="15.75" customHeight="1">
      <c r="A16" s="16">
        <v>10501</v>
      </c>
      <c r="B16" s="63" t="s">
        <v>22</v>
      </c>
      <c r="C16" s="64">
        <v>350000</v>
      </c>
      <c r="D16" s="64">
        <v>470759</v>
      </c>
    </row>
    <row r="17" spans="1:4" ht="15.75" customHeight="1">
      <c r="A17" s="16">
        <v>10502</v>
      </c>
      <c r="B17" s="63" t="s">
        <v>23</v>
      </c>
      <c r="C17" s="64">
        <v>82000</v>
      </c>
      <c r="D17" s="64">
        <v>103333.33333333333</v>
      </c>
    </row>
    <row r="18" spans="1:4" ht="15.75" customHeight="1">
      <c r="A18" s="16">
        <v>10601</v>
      </c>
      <c r="B18" s="63" t="s">
        <v>24</v>
      </c>
      <c r="C18" s="64">
        <v>52973.666666666664</v>
      </c>
      <c r="D18" s="64">
        <v>121333.33333333333</v>
      </c>
    </row>
    <row r="19" spans="1:4" ht="15.75" customHeight="1">
      <c r="A19" s="16">
        <v>10602</v>
      </c>
      <c r="B19" s="63" t="s">
        <v>25</v>
      </c>
      <c r="C19" s="64">
        <v>6120</v>
      </c>
      <c r="D19" s="64">
        <v>6000</v>
      </c>
    </row>
    <row r="20" spans="1:4" ht="15.75" customHeight="1">
      <c r="A20" s="16">
        <v>10701</v>
      </c>
      <c r="B20" s="63" t="s">
        <v>26</v>
      </c>
      <c r="C20" s="64">
        <v>174600</v>
      </c>
      <c r="D20" s="64">
        <v>260715.66666666666</v>
      </c>
    </row>
    <row r="21" spans="1:4" ht="15.75" customHeight="1">
      <c r="A21" s="16">
        <v>10702</v>
      </c>
      <c r="B21" s="63" t="s">
        <v>27</v>
      </c>
      <c r="C21" s="64">
        <v>21833.333333333332</v>
      </c>
      <c r="D21" s="64">
        <v>70000</v>
      </c>
    </row>
    <row r="22" spans="1:4" ht="15.75" customHeight="1">
      <c r="A22" s="16">
        <v>10703</v>
      </c>
      <c r="B22" s="63" t="s">
        <v>28</v>
      </c>
      <c r="C22" s="64">
        <v>58663.333333333336</v>
      </c>
      <c r="D22" s="64">
        <v>76920</v>
      </c>
    </row>
    <row r="23" spans="1:4" ht="15.75" customHeight="1">
      <c r="A23" s="16">
        <v>10704</v>
      </c>
      <c r="B23" s="63" t="s">
        <v>29</v>
      </c>
      <c r="C23" s="64">
        <v>107308</v>
      </c>
      <c r="D23" s="64">
        <v>238933.33333333334</v>
      </c>
    </row>
    <row r="24" spans="1:4" ht="15.75" customHeight="1">
      <c r="A24" s="16">
        <v>10801</v>
      </c>
      <c r="B24" s="63" t="s">
        <v>30</v>
      </c>
      <c r="C24" s="64">
        <v>153969</v>
      </c>
      <c r="D24" s="64">
        <v>73431.666666666672</v>
      </c>
    </row>
    <row r="25" spans="1:4" ht="15.75" customHeight="1">
      <c r="A25" s="16">
        <v>10901</v>
      </c>
      <c r="B25" s="63" t="s">
        <v>31</v>
      </c>
      <c r="C25" s="64">
        <v>24233.333333333332</v>
      </c>
      <c r="D25" s="64">
        <v>55733.333333333336</v>
      </c>
    </row>
    <row r="26" spans="1:4" ht="15.75" customHeight="1">
      <c r="A26" s="16">
        <v>10902</v>
      </c>
      <c r="B26" s="63" t="s">
        <v>32</v>
      </c>
      <c r="C26" s="64">
        <v>158997.33333333334</v>
      </c>
      <c r="D26" s="64">
        <v>245802.66666666666</v>
      </c>
    </row>
    <row r="27" spans="1:4" ht="15.75" customHeight="1">
      <c r="A27" s="16">
        <v>10903</v>
      </c>
      <c r="B27" s="63" t="s">
        <v>33</v>
      </c>
      <c r="C27" s="64">
        <v>10000</v>
      </c>
      <c r="D27" s="64">
        <v>17215</v>
      </c>
    </row>
    <row r="28" spans="1:4" ht="15.75" customHeight="1">
      <c r="A28" s="16">
        <v>11001</v>
      </c>
      <c r="B28" s="63" t="s">
        <v>34</v>
      </c>
      <c r="C28" s="64">
        <v>29000</v>
      </c>
      <c r="D28" s="64">
        <v>94500</v>
      </c>
    </row>
    <row r="29" spans="1:4" ht="15.75" customHeight="1">
      <c r="A29" s="16">
        <v>11002</v>
      </c>
      <c r="B29" s="63" t="s">
        <v>35</v>
      </c>
      <c r="C29" s="64">
        <v>21600</v>
      </c>
      <c r="D29" s="64">
        <v>15000</v>
      </c>
    </row>
    <row r="30" spans="1:4" ht="15.75" customHeight="1">
      <c r="A30" s="16">
        <v>11003</v>
      </c>
      <c r="B30" s="63" t="s">
        <v>36</v>
      </c>
      <c r="C30" s="64">
        <v>72666.666666666672</v>
      </c>
      <c r="D30" s="64">
        <v>72248.333333333328</v>
      </c>
    </row>
    <row r="31" spans="1:4" ht="15.75" customHeight="1">
      <c r="A31" s="16">
        <v>20101</v>
      </c>
      <c r="B31" s="63" t="s">
        <v>37</v>
      </c>
      <c r="C31" s="64">
        <v>64560996.333333336</v>
      </c>
      <c r="D31" s="64">
        <v>218111584.66666666</v>
      </c>
    </row>
    <row r="32" spans="1:4" ht="15.75" customHeight="1">
      <c r="A32" s="16">
        <v>20102</v>
      </c>
      <c r="B32" s="63" t="s">
        <v>38</v>
      </c>
      <c r="C32" s="64">
        <v>6666.666666666667</v>
      </c>
      <c r="D32" s="64">
        <v>42333.333333333336</v>
      </c>
    </row>
    <row r="33" spans="1:4" ht="15.75" customHeight="1">
      <c r="A33" s="16">
        <v>20103</v>
      </c>
      <c r="B33" s="63" t="s">
        <v>39</v>
      </c>
      <c r="C33" s="64">
        <v>66666.666666666672</v>
      </c>
      <c r="D33" s="64">
        <v>274600</v>
      </c>
    </row>
    <row r="34" spans="1:4" ht="15.75" customHeight="1">
      <c r="A34" s="16">
        <v>20104</v>
      </c>
      <c r="B34" s="63" t="s">
        <v>40</v>
      </c>
      <c r="C34" s="64">
        <v>322480</v>
      </c>
      <c r="D34" s="64">
        <v>1257116.6666666667</v>
      </c>
    </row>
    <row r="35" spans="1:4" ht="15.75" customHeight="1">
      <c r="A35" s="16">
        <v>20105</v>
      </c>
      <c r="B35" s="63" t="s">
        <v>41</v>
      </c>
      <c r="C35" s="64">
        <v>26426992.333333332</v>
      </c>
      <c r="D35" s="64">
        <v>162178610.33333334</v>
      </c>
    </row>
    <row r="36" spans="1:4" ht="15.75" customHeight="1">
      <c r="A36" s="16">
        <v>20201</v>
      </c>
      <c r="B36" s="63" t="s">
        <v>42</v>
      </c>
      <c r="C36" s="64">
        <v>549459.33333333337</v>
      </c>
      <c r="D36" s="64">
        <v>812014</v>
      </c>
    </row>
    <row r="37" spans="1:4" ht="15.75" customHeight="1">
      <c r="A37" s="16">
        <v>20202</v>
      </c>
      <c r="B37" s="63" t="s">
        <v>43</v>
      </c>
      <c r="C37" s="64">
        <v>8333.3333333333339</v>
      </c>
      <c r="D37" s="64">
        <v>27500</v>
      </c>
    </row>
    <row r="38" spans="1:4" ht="15.75" customHeight="1">
      <c r="A38" s="16">
        <v>20203</v>
      </c>
      <c r="B38" s="63" t="s">
        <v>44</v>
      </c>
      <c r="C38" s="64">
        <v>23333.333333333332</v>
      </c>
      <c r="D38" s="64">
        <v>36666.666666666664</v>
      </c>
    </row>
    <row r="39" spans="1:4" ht="15.75" customHeight="1">
      <c r="A39" s="16">
        <v>20204</v>
      </c>
      <c r="B39" s="63" t="s">
        <v>45</v>
      </c>
      <c r="C39" s="64">
        <v>31959.333333333332</v>
      </c>
      <c r="D39" s="64">
        <v>60000</v>
      </c>
    </row>
    <row r="40" spans="1:4" ht="15.75" customHeight="1">
      <c r="A40" s="16">
        <v>20205</v>
      </c>
      <c r="B40" s="63" t="s">
        <v>46</v>
      </c>
      <c r="C40" s="64">
        <v>16666.666666666668</v>
      </c>
      <c r="D40" s="64">
        <v>105600</v>
      </c>
    </row>
    <row r="41" spans="1:4" ht="15.75" customHeight="1">
      <c r="A41" s="16">
        <v>20206</v>
      </c>
      <c r="B41" s="63" t="s">
        <v>47</v>
      </c>
      <c r="C41" s="64">
        <v>3153.3333333333335</v>
      </c>
      <c r="D41" s="64">
        <v>11666.666666666666</v>
      </c>
    </row>
    <row r="42" spans="1:4" ht="15.75" customHeight="1">
      <c r="A42" s="16">
        <v>20301</v>
      </c>
      <c r="B42" s="63" t="s">
        <v>48</v>
      </c>
      <c r="C42" s="64">
        <v>8333.3333333333339</v>
      </c>
      <c r="D42" s="64">
        <v>49000</v>
      </c>
    </row>
    <row r="43" spans="1:4" ht="15.75" customHeight="1">
      <c r="A43" s="16">
        <v>20302</v>
      </c>
      <c r="B43" s="63" t="s">
        <v>49</v>
      </c>
      <c r="C43" s="64">
        <v>0</v>
      </c>
      <c r="D43" s="64">
        <v>25000</v>
      </c>
    </row>
    <row r="44" spans="1:4" ht="15.75" customHeight="1">
      <c r="A44" s="16">
        <v>20303</v>
      </c>
      <c r="B44" s="63" t="s">
        <v>50</v>
      </c>
      <c r="C44" s="64">
        <v>0</v>
      </c>
      <c r="D44" s="64">
        <v>1666.6666666666667</v>
      </c>
    </row>
    <row r="45" spans="1:4" ht="15.75" customHeight="1">
      <c r="A45" s="16">
        <v>20304</v>
      </c>
      <c r="B45" s="63" t="s">
        <v>51</v>
      </c>
      <c r="C45" s="64">
        <v>0</v>
      </c>
      <c r="D45" s="64">
        <v>8333.3333333333339</v>
      </c>
    </row>
    <row r="46" spans="1:4" ht="15.75" customHeight="1">
      <c r="A46" s="16">
        <v>20305</v>
      </c>
      <c r="B46" s="63" t="s">
        <v>52</v>
      </c>
      <c r="C46" s="64">
        <v>3333.3333333333335</v>
      </c>
      <c r="D46" s="64">
        <v>3000</v>
      </c>
    </row>
    <row r="47" spans="1:4" ht="15.75" customHeight="1">
      <c r="A47" s="16">
        <v>20306</v>
      </c>
      <c r="B47" s="63" t="s">
        <v>53</v>
      </c>
      <c r="C47" s="64">
        <v>2000</v>
      </c>
      <c r="D47" s="64">
        <v>31301.333333333332</v>
      </c>
    </row>
    <row r="48" spans="1:4" ht="15.75" customHeight="1">
      <c r="A48" s="16">
        <v>20307</v>
      </c>
      <c r="B48" s="63" t="s">
        <v>54</v>
      </c>
      <c r="C48" s="64">
        <v>0</v>
      </c>
      <c r="D48" s="64">
        <v>666.66666666666663</v>
      </c>
    </row>
    <row r="49" spans="1:4" ht="15.75" customHeight="1">
      <c r="A49" s="16">
        <v>20308</v>
      </c>
      <c r="B49" s="63" t="s">
        <v>55</v>
      </c>
      <c r="C49" s="64">
        <v>0</v>
      </c>
      <c r="D49" s="64">
        <v>10000</v>
      </c>
    </row>
    <row r="50" spans="1:4" ht="15.75" customHeight="1">
      <c r="A50" s="16">
        <v>20401</v>
      </c>
      <c r="B50" s="63" t="s">
        <v>56</v>
      </c>
      <c r="C50" s="64">
        <v>13333.333333333334</v>
      </c>
      <c r="D50" s="64">
        <v>174623.66666666666</v>
      </c>
    </row>
    <row r="51" spans="1:4" ht="15.75" customHeight="1">
      <c r="A51" s="16">
        <v>20402</v>
      </c>
      <c r="B51" s="63" t="s">
        <v>57</v>
      </c>
      <c r="C51" s="64">
        <v>6666.666666666667</v>
      </c>
      <c r="D51" s="64">
        <v>93333.333333333328</v>
      </c>
    </row>
    <row r="52" spans="1:4" ht="15.75" customHeight="1">
      <c r="A52" s="16">
        <v>20403</v>
      </c>
      <c r="B52" s="63" t="s">
        <v>58</v>
      </c>
      <c r="C52" s="64">
        <v>30000</v>
      </c>
      <c r="D52" s="64">
        <v>78333.333333333328</v>
      </c>
    </row>
    <row r="53" spans="1:4" ht="15.75" customHeight="1">
      <c r="A53" s="16">
        <v>20404</v>
      </c>
      <c r="B53" s="63" t="s">
        <v>59</v>
      </c>
      <c r="C53" s="64">
        <v>0</v>
      </c>
      <c r="D53" s="64">
        <v>26948</v>
      </c>
    </row>
    <row r="54" spans="1:4" ht="15.75" customHeight="1">
      <c r="A54" s="16">
        <v>20405</v>
      </c>
      <c r="B54" s="63" t="s">
        <v>60</v>
      </c>
      <c r="C54" s="64">
        <v>16666.666666666668</v>
      </c>
      <c r="D54" s="64">
        <v>10000</v>
      </c>
    </row>
    <row r="55" spans="1:4" ht="15.75" customHeight="1">
      <c r="A55" s="16">
        <v>20501</v>
      </c>
      <c r="B55" s="63" t="s">
        <v>61</v>
      </c>
      <c r="C55" s="64">
        <v>11666.666666666666</v>
      </c>
      <c r="D55" s="64">
        <v>24000</v>
      </c>
    </row>
    <row r="56" spans="1:4" ht="15.75" customHeight="1">
      <c r="A56" s="16">
        <v>20502</v>
      </c>
      <c r="B56" s="63" t="s">
        <v>62</v>
      </c>
      <c r="C56" s="64">
        <v>0</v>
      </c>
      <c r="D56" s="64">
        <v>60000</v>
      </c>
    </row>
    <row r="57" spans="1:4" ht="15.75" customHeight="1">
      <c r="A57" s="16">
        <v>20503</v>
      </c>
      <c r="B57" s="63" t="s">
        <v>63</v>
      </c>
      <c r="C57" s="64">
        <v>0</v>
      </c>
      <c r="D57" s="64">
        <v>6666.666666666667</v>
      </c>
    </row>
    <row r="58" spans="1:4" ht="15.75" customHeight="1">
      <c r="A58" s="16">
        <v>20601</v>
      </c>
      <c r="B58" s="63" t="s">
        <v>64</v>
      </c>
      <c r="C58" s="64">
        <v>55000</v>
      </c>
      <c r="D58" s="64">
        <v>498548.33333333331</v>
      </c>
    </row>
    <row r="59" spans="1:4" ht="15.75" customHeight="1">
      <c r="A59" s="16">
        <v>20602</v>
      </c>
      <c r="B59" s="63" t="s">
        <v>65</v>
      </c>
      <c r="C59" s="64">
        <v>66666.666666666672</v>
      </c>
      <c r="D59" s="64">
        <v>143333.33333333334</v>
      </c>
    </row>
    <row r="60" spans="1:4" ht="15.75" customHeight="1">
      <c r="A60" s="16">
        <v>20603</v>
      </c>
      <c r="B60" s="63" t="s">
        <v>66</v>
      </c>
      <c r="C60" s="64">
        <v>0</v>
      </c>
      <c r="D60" s="64">
        <v>0</v>
      </c>
    </row>
    <row r="61" spans="1:4" ht="15.75" customHeight="1">
      <c r="A61" s="16">
        <v>20604</v>
      </c>
      <c r="B61" s="63" t="s">
        <v>67</v>
      </c>
      <c r="C61" s="64">
        <v>6666.666666666667</v>
      </c>
      <c r="D61" s="64">
        <v>29685.666666666668</v>
      </c>
    </row>
    <row r="62" spans="1:4" ht="15.75" customHeight="1">
      <c r="A62" s="16">
        <v>20605</v>
      </c>
      <c r="B62" s="63" t="s">
        <v>68</v>
      </c>
      <c r="C62" s="64">
        <v>0</v>
      </c>
      <c r="D62" s="64">
        <v>2000</v>
      </c>
    </row>
    <row r="63" spans="1:4" ht="15.75" customHeight="1">
      <c r="A63" s="16">
        <v>20606</v>
      </c>
      <c r="B63" s="63" t="s">
        <v>69</v>
      </c>
      <c r="C63" s="64">
        <v>30000</v>
      </c>
      <c r="D63" s="64">
        <v>380924.33333333331</v>
      </c>
    </row>
    <row r="64" spans="1:4" ht="15.75" customHeight="1">
      <c r="A64" s="16">
        <v>20607</v>
      </c>
      <c r="B64" s="63" t="s">
        <v>70</v>
      </c>
      <c r="C64" s="64">
        <v>30000</v>
      </c>
      <c r="D64" s="64">
        <v>698933.33333333337</v>
      </c>
    </row>
    <row r="65" spans="1:4" ht="15.75" customHeight="1">
      <c r="A65" s="16">
        <v>20608</v>
      </c>
      <c r="B65" s="63" t="s">
        <v>71</v>
      </c>
      <c r="C65" s="64">
        <v>21933.333333333332</v>
      </c>
      <c r="D65" s="64">
        <v>50000</v>
      </c>
    </row>
    <row r="66" spans="1:4" ht="15.75" customHeight="1">
      <c r="A66" s="16">
        <v>20701</v>
      </c>
      <c r="B66" s="63" t="s">
        <v>72</v>
      </c>
      <c r="C66" s="64">
        <v>32666.666666666668</v>
      </c>
      <c r="D66" s="64">
        <v>525000</v>
      </c>
    </row>
    <row r="67" spans="1:4" ht="15.75" customHeight="1">
      <c r="A67" s="16">
        <v>20702</v>
      </c>
      <c r="B67" s="63" t="s">
        <v>73</v>
      </c>
      <c r="C67" s="64">
        <v>0</v>
      </c>
      <c r="D67" s="64">
        <v>0</v>
      </c>
    </row>
    <row r="68" spans="1:4" ht="15.75" customHeight="1">
      <c r="A68" s="16">
        <v>20801</v>
      </c>
      <c r="B68" s="63" t="s">
        <v>74</v>
      </c>
      <c r="C68" s="64">
        <v>1562508.6666666667</v>
      </c>
      <c r="D68" s="64">
        <v>3554151</v>
      </c>
    </row>
    <row r="69" spans="1:4" ht="15.75" customHeight="1">
      <c r="A69" s="16">
        <v>20802</v>
      </c>
      <c r="B69" s="63" t="s">
        <v>75</v>
      </c>
      <c r="C69" s="64">
        <v>30000</v>
      </c>
      <c r="D69" s="64">
        <v>55562.666666666664</v>
      </c>
    </row>
    <row r="70" spans="1:4" ht="15.75" customHeight="1">
      <c r="A70" s="16">
        <v>20803</v>
      </c>
      <c r="B70" s="63" t="s">
        <v>76</v>
      </c>
      <c r="C70" s="64">
        <v>221205.33333333334</v>
      </c>
      <c r="D70" s="64">
        <v>163333.33333333334</v>
      </c>
    </row>
    <row r="71" spans="1:4" ht="15.75" customHeight="1">
      <c r="A71" s="16">
        <v>20804</v>
      </c>
      <c r="B71" s="63" t="s">
        <v>77</v>
      </c>
      <c r="C71" s="64">
        <v>83333.333333333328</v>
      </c>
      <c r="D71" s="64">
        <v>286160</v>
      </c>
    </row>
    <row r="72" spans="1:4" ht="15.75" customHeight="1">
      <c r="A72" s="16">
        <v>20805</v>
      </c>
      <c r="B72" s="63" t="s">
        <v>78</v>
      </c>
      <c r="C72" s="64">
        <v>0</v>
      </c>
      <c r="D72" s="64">
        <v>13333.333333333334</v>
      </c>
    </row>
    <row r="73" spans="1:4" ht="15.75" customHeight="1">
      <c r="A73" s="16">
        <v>20806</v>
      </c>
      <c r="B73" s="63" t="s">
        <v>79</v>
      </c>
      <c r="C73" s="64">
        <v>3333.3333333333335</v>
      </c>
      <c r="D73" s="64">
        <v>22666.666666666668</v>
      </c>
    </row>
    <row r="74" spans="1:4" ht="15.75" customHeight="1">
      <c r="A74" s="16">
        <v>20807</v>
      </c>
      <c r="B74" s="63" t="s">
        <v>80</v>
      </c>
      <c r="C74" s="64">
        <v>0</v>
      </c>
      <c r="D74" s="64">
        <v>59285.333333333336</v>
      </c>
    </row>
    <row r="75" spans="1:4" ht="15.75" customHeight="1">
      <c r="A75" s="16">
        <v>20901</v>
      </c>
      <c r="B75" s="63" t="s">
        <v>81</v>
      </c>
      <c r="C75" s="64">
        <v>206666.66666666666</v>
      </c>
      <c r="D75" s="64">
        <v>26666.666666666668</v>
      </c>
    </row>
    <row r="76" spans="1:4" ht="15.75" customHeight="1">
      <c r="A76" s="16">
        <v>20902</v>
      </c>
      <c r="B76" s="63" t="s">
        <v>82</v>
      </c>
      <c r="C76" s="64">
        <v>22378</v>
      </c>
      <c r="D76" s="64">
        <v>13333.333333333334</v>
      </c>
    </row>
    <row r="77" spans="1:4" ht="15.75" customHeight="1">
      <c r="A77" s="16">
        <v>20903</v>
      </c>
      <c r="B77" s="63" t="s">
        <v>83</v>
      </c>
      <c r="C77" s="64">
        <v>0</v>
      </c>
      <c r="D77" s="64">
        <v>20000</v>
      </c>
    </row>
    <row r="78" spans="1:4" ht="15.75" customHeight="1">
      <c r="A78" s="16">
        <v>20904</v>
      </c>
      <c r="B78" s="63" t="s">
        <v>84</v>
      </c>
      <c r="C78" s="64">
        <v>0</v>
      </c>
      <c r="D78" s="64">
        <v>0</v>
      </c>
    </row>
    <row r="79" spans="1:4" ht="15.75" customHeight="1">
      <c r="A79" s="16">
        <v>20905</v>
      </c>
      <c r="B79" s="63" t="s">
        <v>85</v>
      </c>
      <c r="C79" s="64">
        <v>11666.666666666666</v>
      </c>
      <c r="D79" s="64">
        <v>126666.66666666667</v>
      </c>
    </row>
    <row r="80" spans="1:4" ht="15.75" customHeight="1">
      <c r="A80" s="16">
        <v>21001</v>
      </c>
      <c r="B80" s="63" t="s">
        <v>86</v>
      </c>
      <c r="C80" s="64">
        <v>23333.333333333332</v>
      </c>
      <c r="D80" s="64">
        <v>70000</v>
      </c>
    </row>
    <row r="81" spans="1:4" ht="15.75" customHeight="1">
      <c r="A81" s="16">
        <v>21002</v>
      </c>
      <c r="B81" s="63" t="s">
        <v>87</v>
      </c>
      <c r="C81" s="64">
        <v>46666.666666666664</v>
      </c>
      <c r="D81" s="64">
        <v>160000</v>
      </c>
    </row>
    <row r="82" spans="1:4" ht="15.75" customHeight="1">
      <c r="A82" s="16">
        <v>21003</v>
      </c>
      <c r="B82" s="63" t="s">
        <v>88</v>
      </c>
      <c r="C82" s="64">
        <v>49733.333333333336</v>
      </c>
      <c r="D82" s="64">
        <v>83154.333333333328</v>
      </c>
    </row>
    <row r="83" spans="1:4" ht="15.75" customHeight="1">
      <c r="A83" s="16">
        <v>21004</v>
      </c>
      <c r="B83" s="63" t="s">
        <v>89</v>
      </c>
      <c r="C83" s="64">
        <v>333.33333333333331</v>
      </c>
      <c r="D83" s="64">
        <v>350000</v>
      </c>
    </row>
    <row r="84" spans="1:4" ht="15.75" customHeight="1">
      <c r="A84" s="16">
        <v>21005</v>
      </c>
      <c r="B84" s="63" t="s">
        <v>90</v>
      </c>
      <c r="C84" s="64">
        <v>5766.666666666667</v>
      </c>
      <c r="D84" s="64">
        <v>10000</v>
      </c>
    </row>
    <row r="85" spans="1:4" ht="15.75" customHeight="1">
      <c r="A85" s="16">
        <v>21006</v>
      </c>
      <c r="B85" s="63" t="s">
        <v>91</v>
      </c>
      <c r="C85" s="64">
        <v>25000</v>
      </c>
      <c r="D85" s="64">
        <v>74266.666666666672</v>
      </c>
    </row>
    <row r="86" spans="1:4" ht="15.75" customHeight="1">
      <c r="A86" s="16">
        <v>21101</v>
      </c>
      <c r="B86" s="63" t="s">
        <v>92</v>
      </c>
      <c r="C86" s="64">
        <v>50000</v>
      </c>
      <c r="D86" s="64">
        <v>498766.33333333331</v>
      </c>
    </row>
    <row r="87" spans="1:4" ht="15.75" customHeight="1">
      <c r="A87" s="16">
        <v>21102</v>
      </c>
      <c r="B87" s="63" t="s">
        <v>93</v>
      </c>
      <c r="C87" s="64">
        <v>140000.33333333334</v>
      </c>
      <c r="D87" s="64">
        <v>468953</v>
      </c>
    </row>
    <row r="88" spans="1:4" ht="15.75" customHeight="1">
      <c r="A88" s="16">
        <v>21103</v>
      </c>
      <c r="B88" s="63" t="s">
        <v>94</v>
      </c>
      <c r="C88" s="64">
        <v>21467.333333333332</v>
      </c>
      <c r="D88" s="64">
        <v>0</v>
      </c>
    </row>
    <row r="89" spans="1:4" ht="15.75" customHeight="1">
      <c r="A89" s="16">
        <v>21104</v>
      </c>
      <c r="B89" s="63" t="s">
        <v>95</v>
      </c>
      <c r="C89" s="64">
        <v>83333.333333333328</v>
      </c>
      <c r="D89" s="64">
        <v>577696</v>
      </c>
    </row>
    <row r="90" spans="1:4" ht="15.75" customHeight="1">
      <c r="A90" s="16">
        <v>21105</v>
      </c>
      <c r="B90" s="63" t="s">
        <v>96</v>
      </c>
      <c r="C90" s="64">
        <v>56666.666666666664</v>
      </c>
      <c r="D90" s="64">
        <v>429262</v>
      </c>
    </row>
    <row r="91" spans="1:4" ht="15.75" customHeight="1">
      <c r="A91" s="16">
        <v>21201</v>
      </c>
      <c r="B91" s="63" t="s">
        <v>97</v>
      </c>
      <c r="C91" s="64">
        <v>19000</v>
      </c>
      <c r="D91" s="64">
        <v>138333.33333333334</v>
      </c>
    </row>
    <row r="92" spans="1:4" ht="15.75" customHeight="1">
      <c r="A92" s="16">
        <v>21202</v>
      </c>
      <c r="B92" s="63" t="s">
        <v>98</v>
      </c>
      <c r="C92" s="64">
        <v>10333.333333333334</v>
      </c>
      <c r="D92" s="64">
        <v>327533.33333333331</v>
      </c>
    </row>
    <row r="93" spans="1:4" ht="15.75" customHeight="1">
      <c r="A93" s="16">
        <v>21203</v>
      </c>
      <c r="B93" s="63" t="s">
        <v>99</v>
      </c>
      <c r="C93" s="64">
        <v>56666.666666666664</v>
      </c>
      <c r="D93" s="64">
        <v>165466</v>
      </c>
    </row>
    <row r="94" spans="1:4" ht="15.75" customHeight="1">
      <c r="A94" s="16">
        <v>21204</v>
      </c>
      <c r="B94" s="63" t="s">
        <v>100</v>
      </c>
      <c r="C94" s="64">
        <v>0</v>
      </c>
      <c r="D94" s="64">
        <v>6666.666666666667</v>
      </c>
    </row>
    <row r="95" spans="1:4" ht="15.75" customHeight="1">
      <c r="A95" s="16">
        <v>21301</v>
      </c>
      <c r="B95" s="63" t="s">
        <v>101</v>
      </c>
      <c r="C95" s="64">
        <v>114400</v>
      </c>
      <c r="D95" s="64">
        <v>286666.66666666669</v>
      </c>
    </row>
    <row r="96" spans="1:4" ht="15.75" customHeight="1">
      <c r="A96" s="16">
        <v>21302</v>
      </c>
      <c r="B96" s="63" t="s">
        <v>102</v>
      </c>
      <c r="C96" s="64">
        <v>0</v>
      </c>
      <c r="D96" s="64">
        <v>0</v>
      </c>
    </row>
    <row r="97" spans="1:4" ht="15.75" customHeight="1">
      <c r="A97" s="16">
        <v>21303</v>
      </c>
      <c r="B97" s="63" t="s">
        <v>103</v>
      </c>
      <c r="C97" s="64">
        <v>0</v>
      </c>
      <c r="D97" s="64">
        <v>15000</v>
      </c>
    </row>
    <row r="98" spans="1:4" ht="15.75" customHeight="1">
      <c r="A98" s="16">
        <v>21304</v>
      </c>
      <c r="B98" s="63" t="s">
        <v>104</v>
      </c>
      <c r="C98" s="64">
        <v>0</v>
      </c>
      <c r="D98" s="64">
        <v>15000</v>
      </c>
    </row>
    <row r="99" spans="1:4" ht="15.75" customHeight="1">
      <c r="A99" s="16">
        <v>21305</v>
      </c>
      <c r="B99" s="63" t="s">
        <v>105</v>
      </c>
      <c r="C99" s="64">
        <v>138144.66666666666</v>
      </c>
      <c r="D99" s="64">
        <v>835956.66666666663</v>
      </c>
    </row>
    <row r="100" spans="1:4" ht="15.75" customHeight="1">
      <c r="A100" s="16">
        <v>21306</v>
      </c>
      <c r="B100" s="63" t="s">
        <v>106</v>
      </c>
      <c r="C100" s="64">
        <v>25000</v>
      </c>
      <c r="D100" s="64">
        <v>21666.666666666668</v>
      </c>
    </row>
    <row r="101" spans="1:4" ht="15.75" customHeight="1">
      <c r="A101" s="16">
        <v>21307</v>
      </c>
      <c r="B101" s="63" t="s">
        <v>107</v>
      </c>
      <c r="C101" s="64">
        <v>5566.666666666667</v>
      </c>
      <c r="D101" s="64">
        <v>74393.333333333328</v>
      </c>
    </row>
    <row r="102" spans="1:4" ht="15.75" customHeight="1">
      <c r="A102" s="16">
        <v>21401</v>
      </c>
      <c r="B102" s="63" t="s">
        <v>108</v>
      </c>
      <c r="C102" s="64">
        <v>140000</v>
      </c>
      <c r="D102" s="64">
        <v>408712.33333333331</v>
      </c>
    </row>
    <row r="103" spans="1:4" ht="15.75" customHeight="1">
      <c r="A103" s="16">
        <v>21402</v>
      </c>
      <c r="B103" s="63" t="s">
        <v>109</v>
      </c>
      <c r="C103" s="64">
        <v>60000</v>
      </c>
      <c r="D103" s="64">
        <v>220000</v>
      </c>
    </row>
    <row r="104" spans="1:4" ht="15.75" customHeight="1">
      <c r="A104" s="16">
        <v>21501</v>
      </c>
      <c r="B104" s="63" t="s">
        <v>110</v>
      </c>
      <c r="C104" s="64">
        <v>25000</v>
      </c>
      <c r="D104" s="64">
        <v>250392</v>
      </c>
    </row>
    <row r="105" spans="1:4" ht="15.75" customHeight="1">
      <c r="A105" s="16">
        <v>21502</v>
      </c>
      <c r="B105" s="63" t="s">
        <v>111</v>
      </c>
      <c r="C105" s="64">
        <v>51333.333333333336</v>
      </c>
      <c r="D105" s="64">
        <v>190833.33333333334</v>
      </c>
    </row>
    <row r="106" spans="1:4" ht="15.75" customHeight="1">
      <c r="A106" s="16">
        <v>21601</v>
      </c>
      <c r="B106" s="63" t="s">
        <v>112</v>
      </c>
      <c r="C106" s="64">
        <v>17666.666666666668</v>
      </c>
      <c r="D106" s="64">
        <v>57218.666666666664</v>
      </c>
    </row>
    <row r="107" spans="1:4" ht="15.75" customHeight="1">
      <c r="A107" s="16">
        <v>21602</v>
      </c>
      <c r="B107" s="63" t="s">
        <v>113</v>
      </c>
      <c r="C107" s="64">
        <v>0</v>
      </c>
      <c r="D107" s="64">
        <v>6666.666666666667</v>
      </c>
    </row>
    <row r="108" spans="1:4" ht="15.75" customHeight="1">
      <c r="A108" s="16">
        <v>21701</v>
      </c>
      <c r="B108" s="63" t="s">
        <v>114</v>
      </c>
      <c r="C108" s="64">
        <v>210068.33333333334</v>
      </c>
      <c r="D108" s="64">
        <v>320000</v>
      </c>
    </row>
    <row r="109" spans="1:4" ht="15.75" customHeight="1">
      <c r="A109" s="16">
        <v>21702</v>
      </c>
      <c r="B109" s="63" t="s">
        <v>115</v>
      </c>
      <c r="C109" s="64">
        <v>836082</v>
      </c>
      <c r="D109" s="64">
        <v>69400</v>
      </c>
    </row>
    <row r="110" spans="1:4" ht="15.75" customHeight="1">
      <c r="A110" s="16">
        <v>21703</v>
      </c>
      <c r="B110" s="63" t="s">
        <v>116</v>
      </c>
      <c r="C110" s="64">
        <v>8333.3333333333339</v>
      </c>
      <c r="D110" s="64">
        <v>57916</v>
      </c>
    </row>
    <row r="111" spans="1:4" ht="15.75" customHeight="1">
      <c r="A111" s="16">
        <v>21801</v>
      </c>
      <c r="B111" s="63" t="s">
        <v>117</v>
      </c>
      <c r="C111" s="64">
        <v>6330.333333333333</v>
      </c>
      <c r="D111" s="64">
        <v>6666.666666666667</v>
      </c>
    </row>
    <row r="112" spans="1:4" ht="15.75" customHeight="1">
      <c r="A112" s="16">
        <v>21802</v>
      </c>
      <c r="B112" s="63" t="s">
        <v>118</v>
      </c>
      <c r="C112" s="64">
        <v>0</v>
      </c>
      <c r="D112" s="64">
        <v>106320</v>
      </c>
    </row>
    <row r="113" spans="1:4" ht="15.75" customHeight="1">
      <c r="A113" s="16">
        <v>21803</v>
      </c>
      <c r="B113" s="63" t="s">
        <v>119</v>
      </c>
      <c r="C113" s="64">
        <v>0</v>
      </c>
      <c r="D113" s="64">
        <v>13800</v>
      </c>
    </row>
    <row r="114" spans="1:4" ht="15.75" customHeight="1">
      <c r="A114" s="16">
        <v>21901</v>
      </c>
      <c r="B114" s="63" t="s">
        <v>120</v>
      </c>
      <c r="C114" s="64">
        <v>0</v>
      </c>
      <c r="D114" s="64">
        <v>33333.333333333336</v>
      </c>
    </row>
    <row r="115" spans="1:4" ht="15.75" customHeight="1">
      <c r="A115" s="16">
        <v>21902</v>
      </c>
      <c r="B115" s="63" t="s">
        <v>121</v>
      </c>
      <c r="C115" s="64">
        <v>0</v>
      </c>
      <c r="D115" s="64">
        <v>0</v>
      </c>
    </row>
    <row r="116" spans="1:4" ht="15.75" customHeight="1">
      <c r="A116" s="16">
        <v>22001</v>
      </c>
      <c r="B116" s="63" t="s">
        <v>122</v>
      </c>
      <c r="C116" s="64">
        <v>453463.66666666669</v>
      </c>
      <c r="D116" s="64">
        <v>2203840</v>
      </c>
    </row>
    <row r="117" spans="1:4" ht="15.75" customHeight="1">
      <c r="A117" s="16">
        <v>22002</v>
      </c>
      <c r="B117" s="63" t="s">
        <v>123</v>
      </c>
      <c r="C117" s="64">
        <v>16666.666666666668</v>
      </c>
      <c r="D117" s="64">
        <v>72525.333333333328</v>
      </c>
    </row>
    <row r="118" spans="1:4" ht="15.75" customHeight="1">
      <c r="A118" s="16">
        <v>30101</v>
      </c>
      <c r="B118" s="63" t="s">
        <v>124</v>
      </c>
      <c r="C118" s="64">
        <v>27361433.333333332</v>
      </c>
      <c r="D118" s="64">
        <v>157346545</v>
      </c>
    </row>
    <row r="119" spans="1:4" ht="15.75" customHeight="1">
      <c r="A119" s="16">
        <v>30201</v>
      </c>
      <c r="B119" s="63" t="s">
        <v>125</v>
      </c>
      <c r="C119" s="64">
        <v>100000</v>
      </c>
      <c r="D119" s="64">
        <v>176666.66666666666</v>
      </c>
    </row>
    <row r="120" spans="1:4" ht="15.75" customHeight="1">
      <c r="A120" s="16">
        <v>30202</v>
      </c>
      <c r="B120" s="63" t="s">
        <v>126</v>
      </c>
      <c r="C120" s="64">
        <v>18333.333333333332</v>
      </c>
      <c r="D120" s="64">
        <v>46666.666666666664</v>
      </c>
    </row>
    <row r="121" spans="1:4" ht="15.75" customHeight="1">
      <c r="A121" s="16">
        <v>30203</v>
      </c>
      <c r="B121" s="63" t="s">
        <v>127</v>
      </c>
      <c r="C121" s="64">
        <v>26000</v>
      </c>
      <c r="D121" s="64">
        <v>66520</v>
      </c>
    </row>
    <row r="122" spans="1:4" ht="15.75" customHeight="1">
      <c r="A122" s="16">
        <v>30301</v>
      </c>
      <c r="B122" s="63" t="s">
        <v>128</v>
      </c>
      <c r="C122" s="64">
        <v>60000</v>
      </c>
      <c r="D122" s="64">
        <v>150386.66666666666</v>
      </c>
    </row>
    <row r="123" spans="1:4" ht="15.75" customHeight="1">
      <c r="A123" s="16">
        <v>30302</v>
      </c>
      <c r="B123" s="63" t="s">
        <v>129</v>
      </c>
      <c r="C123" s="64">
        <v>30000</v>
      </c>
      <c r="D123" s="64">
        <v>53166.666666666664</v>
      </c>
    </row>
    <row r="124" spans="1:4" ht="15.75" customHeight="1">
      <c r="A124" s="16">
        <v>30303</v>
      </c>
      <c r="B124" s="63" t="s">
        <v>130</v>
      </c>
      <c r="C124" s="64">
        <v>21666.666666666668</v>
      </c>
      <c r="D124" s="64">
        <v>0</v>
      </c>
    </row>
    <row r="125" spans="1:4" ht="15.75" customHeight="1">
      <c r="A125" s="16">
        <v>30401</v>
      </c>
      <c r="B125" s="63" t="s">
        <v>131</v>
      </c>
      <c r="C125" s="64">
        <v>33333.333333333336</v>
      </c>
      <c r="D125" s="64">
        <v>140496</v>
      </c>
    </row>
    <row r="126" spans="1:4" ht="15.75" customHeight="1">
      <c r="A126" s="16">
        <v>30402</v>
      </c>
      <c r="B126" s="63" t="s">
        <v>132</v>
      </c>
      <c r="C126" s="64">
        <v>28000</v>
      </c>
      <c r="D126" s="64">
        <v>21666.666666666668</v>
      </c>
    </row>
    <row r="127" spans="1:4" ht="15.75" customHeight="1">
      <c r="A127" s="16">
        <v>30403</v>
      </c>
      <c r="B127" s="63" t="s">
        <v>133</v>
      </c>
      <c r="C127" s="64">
        <v>10000</v>
      </c>
      <c r="D127" s="64">
        <v>203333.33333333334</v>
      </c>
    </row>
    <row r="128" spans="1:4" ht="15.75" customHeight="1">
      <c r="A128" s="16">
        <v>30404</v>
      </c>
      <c r="B128" s="63" t="s">
        <v>134</v>
      </c>
      <c r="C128" s="64">
        <v>0</v>
      </c>
      <c r="D128" s="64">
        <v>15066.666666666666</v>
      </c>
    </row>
    <row r="129" spans="1:4" ht="15.75" customHeight="1">
      <c r="A129" s="16">
        <v>30501</v>
      </c>
      <c r="B129" s="63" t="s">
        <v>135</v>
      </c>
      <c r="C129" s="64">
        <v>23333.333333333332</v>
      </c>
      <c r="D129" s="64">
        <v>43333.333333333336</v>
      </c>
    </row>
    <row r="130" spans="1:4" ht="15.75" customHeight="1">
      <c r="A130" s="16">
        <v>30502</v>
      </c>
      <c r="B130" s="63" t="s">
        <v>136</v>
      </c>
      <c r="C130" s="64">
        <v>48666.666666666664</v>
      </c>
      <c r="D130" s="64">
        <v>4000</v>
      </c>
    </row>
    <row r="131" spans="1:4" ht="15.75" customHeight="1">
      <c r="A131" s="16">
        <v>30601</v>
      </c>
      <c r="B131" s="63" t="s">
        <v>137</v>
      </c>
      <c r="C131" s="64">
        <v>30000</v>
      </c>
      <c r="D131" s="64">
        <v>31666.666666666668</v>
      </c>
    </row>
    <row r="132" spans="1:4" ht="15.75" customHeight="1">
      <c r="A132" s="16">
        <v>30602</v>
      </c>
      <c r="B132" s="63" t="s">
        <v>138</v>
      </c>
      <c r="C132" s="64">
        <v>0</v>
      </c>
      <c r="D132" s="64">
        <v>4666.666666666667</v>
      </c>
    </row>
    <row r="133" spans="1:4" ht="15.75" customHeight="1">
      <c r="A133" s="16">
        <v>30701</v>
      </c>
      <c r="B133" s="63" t="s">
        <v>139</v>
      </c>
      <c r="C133" s="64">
        <v>16666.666666666668</v>
      </c>
      <c r="D133" s="64">
        <v>215000</v>
      </c>
    </row>
    <row r="134" spans="1:4" ht="15.75" customHeight="1">
      <c r="A134" s="16">
        <v>30702</v>
      </c>
      <c r="B134" s="63" t="s">
        <v>140</v>
      </c>
      <c r="C134" s="64">
        <v>20000</v>
      </c>
      <c r="D134" s="64">
        <v>23666.666666666668</v>
      </c>
    </row>
    <row r="135" spans="1:4" ht="15.75" customHeight="1">
      <c r="A135" s="16">
        <v>30703</v>
      </c>
      <c r="B135" s="63" t="s">
        <v>141</v>
      </c>
      <c r="C135" s="64">
        <v>0</v>
      </c>
      <c r="D135" s="64">
        <v>2000</v>
      </c>
    </row>
    <row r="136" spans="1:4" ht="15.75" customHeight="1">
      <c r="A136" s="16">
        <v>30801</v>
      </c>
      <c r="B136" s="63" t="s">
        <v>142</v>
      </c>
      <c r="C136" s="64">
        <v>120666.66666666667</v>
      </c>
      <c r="D136" s="64">
        <v>514233.33333333331</v>
      </c>
    </row>
    <row r="137" spans="1:4" ht="15.75" customHeight="1">
      <c r="A137" s="16">
        <v>30802</v>
      </c>
      <c r="B137" s="63" t="s">
        <v>143</v>
      </c>
      <c r="C137" s="64">
        <v>6666.666666666667</v>
      </c>
      <c r="D137" s="64">
        <v>13333.333333333334</v>
      </c>
    </row>
    <row r="138" spans="1:4" ht="15.75" customHeight="1">
      <c r="A138" s="16">
        <v>30803</v>
      </c>
      <c r="B138" s="63" t="s">
        <v>144</v>
      </c>
      <c r="C138" s="64">
        <v>13333.333333333334</v>
      </c>
      <c r="D138" s="64">
        <v>13333.333333333334</v>
      </c>
    </row>
    <row r="139" spans="1:4" ht="15.75" customHeight="1">
      <c r="A139" s="16">
        <v>30901</v>
      </c>
      <c r="B139" s="63" t="s">
        <v>145</v>
      </c>
      <c r="C139" s="64">
        <v>0</v>
      </c>
      <c r="D139" s="64">
        <v>16619983</v>
      </c>
    </row>
    <row r="140" spans="1:4" ht="15.75" customHeight="1">
      <c r="A140" s="16">
        <v>30902</v>
      </c>
      <c r="B140" s="63" t="s">
        <v>146</v>
      </c>
      <c r="C140" s="64">
        <v>116666.66666666667</v>
      </c>
      <c r="D140" s="64">
        <v>465100</v>
      </c>
    </row>
    <row r="141" spans="1:4" ht="15.75" customHeight="1">
      <c r="A141" s="16">
        <v>30903</v>
      </c>
      <c r="B141" s="63" t="s">
        <v>147</v>
      </c>
      <c r="C141" s="64">
        <v>729169.66666666663</v>
      </c>
      <c r="D141" s="64">
        <v>1567028.3333333333</v>
      </c>
    </row>
    <row r="142" spans="1:4" ht="15.75" customHeight="1">
      <c r="A142" s="16">
        <v>30904</v>
      </c>
      <c r="B142" s="63" t="s">
        <v>148</v>
      </c>
      <c r="C142" s="64">
        <v>217735.33333333334</v>
      </c>
      <c r="D142" s="64">
        <v>743333.33333333337</v>
      </c>
    </row>
    <row r="143" spans="1:4" ht="15.75" customHeight="1">
      <c r="A143" s="16">
        <v>30905</v>
      </c>
      <c r="B143" s="63" t="s">
        <v>149</v>
      </c>
      <c r="C143" s="64">
        <v>423333.33333333331</v>
      </c>
      <c r="D143" s="64">
        <v>3460000</v>
      </c>
    </row>
    <row r="144" spans="1:4" ht="15.75" customHeight="1">
      <c r="A144" s="16">
        <v>31001</v>
      </c>
      <c r="B144" s="63" t="s">
        <v>150</v>
      </c>
      <c r="C144" s="64">
        <v>683333.33333333337</v>
      </c>
      <c r="D144" s="64">
        <v>3100000</v>
      </c>
    </row>
    <row r="145" spans="1:4" ht="15.75" customHeight="1">
      <c r="A145" s="16">
        <v>31002</v>
      </c>
      <c r="B145" s="63" t="s">
        <v>151</v>
      </c>
      <c r="C145" s="64">
        <v>100000</v>
      </c>
      <c r="D145" s="64">
        <v>125833.33333333333</v>
      </c>
    </row>
    <row r="146" spans="1:4" ht="15.75" customHeight="1">
      <c r="A146" s="16">
        <v>31003</v>
      </c>
      <c r="B146" s="63" t="s">
        <v>152</v>
      </c>
      <c r="C146" s="64">
        <v>166666.66666666666</v>
      </c>
      <c r="D146" s="64">
        <v>1623333.3333333333</v>
      </c>
    </row>
    <row r="147" spans="1:4" ht="15.75" customHeight="1">
      <c r="A147" s="16">
        <v>31101</v>
      </c>
      <c r="B147" s="63" t="s">
        <v>153</v>
      </c>
      <c r="C147" s="64">
        <v>0</v>
      </c>
      <c r="D147" s="64">
        <v>6666.666666666667</v>
      </c>
    </row>
    <row r="148" spans="1:4" ht="15.75" customHeight="1">
      <c r="A148" s="16">
        <v>31201</v>
      </c>
      <c r="B148" s="63" t="s">
        <v>154</v>
      </c>
      <c r="C148" s="64">
        <v>85000</v>
      </c>
      <c r="D148" s="64">
        <v>203466.66666666666</v>
      </c>
    </row>
    <row r="149" spans="1:4" ht="15.75" customHeight="1">
      <c r="A149" s="16">
        <v>31202</v>
      </c>
      <c r="B149" s="63" t="s">
        <v>155</v>
      </c>
      <c r="C149" s="64">
        <v>10000</v>
      </c>
      <c r="D149" s="64">
        <v>25866.666666666668</v>
      </c>
    </row>
    <row r="150" spans="1:4" ht="15.75" customHeight="1">
      <c r="A150" s="16">
        <v>31203</v>
      </c>
      <c r="B150" s="63" t="s">
        <v>156</v>
      </c>
      <c r="C150" s="64">
        <v>0</v>
      </c>
      <c r="D150" s="64">
        <v>11666.666666666666</v>
      </c>
    </row>
    <row r="151" spans="1:4" ht="15.75" customHeight="1">
      <c r="A151" s="16">
        <v>31204</v>
      </c>
      <c r="B151" s="63" t="s">
        <v>157</v>
      </c>
      <c r="C151" s="64">
        <v>136666.66666666666</v>
      </c>
      <c r="D151" s="64">
        <v>360000</v>
      </c>
    </row>
    <row r="152" spans="1:4" ht="15.75" customHeight="1">
      <c r="A152" s="16">
        <v>31205</v>
      </c>
      <c r="B152" s="63" t="s">
        <v>158</v>
      </c>
      <c r="C152" s="64">
        <v>96980.333333333328</v>
      </c>
      <c r="D152" s="64">
        <v>1577833.3333333333</v>
      </c>
    </row>
    <row r="153" spans="1:4" ht="15.75" customHeight="1">
      <c r="A153" s="16">
        <v>31206</v>
      </c>
      <c r="B153" s="63" t="s">
        <v>159</v>
      </c>
      <c r="C153" s="64">
        <v>180000</v>
      </c>
      <c r="D153" s="64">
        <v>693333.33333333337</v>
      </c>
    </row>
    <row r="154" spans="1:4" ht="15.75" customHeight="1">
      <c r="A154" s="16">
        <v>31301</v>
      </c>
      <c r="B154" s="63" t="s">
        <v>160</v>
      </c>
      <c r="C154" s="64">
        <v>96666.666666666672</v>
      </c>
      <c r="D154" s="64">
        <v>113553.33333333333</v>
      </c>
    </row>
    <row r="155" spans="1:4" ht="15.75" customHeight="1">
      <c r="A155" s="16">
        <v>31302</v>
      </c>
      <c r="B155" s="63" t="s">
        <v>161</v>
      </c>
      <c r="C155" s="64">
        <v>11666.666666666666</v>
      </c>
      <c r="D155" s="64">
        <v>6666.666666666667</v>
      </c>
    </row>
    <row r="156" spans="1:4" ht="15.75" customHeight="1">
      <c r="A156" s="16">
        <v>31303</v>
      </c>
      <c r="B156" s="63" t="s">
        <v>162</v>
      </c>
      <c r="C156" s="64">
        <v>0</v>
      </c>
      <c r="D156" s="64">
        <v>0</v>
      </c>
    </row>
    <row r="157" spans="1:4" ht="15.75" customHeight="1">
      <c r="A157" s="16">
        <v>31304</v>
      </c>
      <c r="B157" s="63" t="s">
        <v>163</v>
      </c>
      <c r="C157" s="64">
        <v>0</v>
      </c>
      <c r="D157" s="64">
        <v>0</v>
      </c>
    </row>
    <row r="158" spans="1:4" ht="15.75" customHeight="1">
      <c r="A158" s="16">
        <v>31401</v>
      </c>
      <c r="B158" s="63" t="s">
        <v>164</v>
      </c>
      <c r="C158" s="64">
        <v>300000</v>
      </c>
      <c r="D158" s="64">
        <v>453333.33333333331</v>
      </c>
    </row>
    <row r="159" spans="1:4" ht="15.75" customHeight="1">
      <c r="A159" s="16">
        <v>31402</v>
      </c>
      <c r="B159" s="63" t="s">
        <v>165</v>
      </c>
      <c r="C159" s="64">
        <v>16666.666666666668</v>
      </c>
      <c r="D159" s="64">
        <v>76666.666666666672</v>
      </c>
    </row>
    <row r="160" spans="1:4" ht="15.75" customHeight="1">
      <c r="A160" s="16">
        <v>31403</v>
      </c>
      <c r="B160" s="63" t="s">
        <v>166</v>
      </c>
      <c r="C160" s="64">
        <v>40000</v>
      </c>
      <c r="D160" s="64">
        <v>112933.33333333333</v>
      </c>
    </row>
    <row r="161" spans="1:4" ht="15.75" customHeight="1">
      <c r="A161" s="16">
        <v>31404</v>
      </c>
      <c r="B161" s="63" t="s">
        <v>167</v>
      </c>
      <c r="C161" s="64">
        <v>0</v>
      </c>
      <c r="D161" s="64">
        <v>0</v>
      </c>
    </row>
    <row r="162" spans="1:4" ht="15.75" customHeight="1">
      <c r="A162" s="16">
        <v>31405</v>
      </c>
      <c r="B162" s="63" t="s">
        <v>168</v>
      </c>
      <c r="C162" s="64">
        <v>0</v>
      </c>
      <c r="D162" s="64">
        <v>4500</v>
      </c>
    </row>
    <row r="163" spans="1:4" ht="15.75" customHeight="1">
      <c r="A163" s="16">
        <v>31501</v>
      </c>
      <c r="B163" s="63" t="s">
        <v>169</v>
      </c>
      <c r="C163" s="64">
        <v>28333.333333333332</v>
      </c>
      <c r="D163" s="64">
        <v>40666.666666666664</v>
      </c>
    </row>
    <row r="164" spans="1:4" ht="15.75" customHeight="1">
      <c r="A164" s="16">
        <v>31601</v>
      </c>
      <c r="B164" s="63" t="s">
        <v>170</v>
      </c>
      <c r="C164" s="64">
        <v>24666.666666666668</v>
      </c>
      <c r="D164" s="64">
        <v>198836.66666666666</v>
      </c>
    </row>
    <row r="165" spans="1:4" ht="15.75" customHeight="1">
      <c r="A165" s="16">
        <v>31602</v>
      </c>
      <c r="B165" s="63" t="s">
        <v>171</v>
      </c>
      <c r="C165" s="64">
        <v>100346.33333333333</v>
      </c>
      <c r="D165" s="64">
        <v>426657.33333333331</v>
      </c>
    </row>
    <row r="166" spans="1:4" ht="15.75" customHeight="1">
      <c r="A166" s="16">
        <v>40101</v>
      </c>
      <c r="B166" s="63" t="s">
        <v>172</v>
      </c>
      <c r="C166" s="64">
        <v>0</v>
      </c>
      <c r="D166" s="64">
        <v>1540614.6666666667</v>
      </c>
    </row>
    <row r="167" spans="1:4" ht="15.75" customHeight="1">
      <c r="A167" s="16">
        <v>40102</v>
      </c>
      <c r="B167" s="63" t="s">
        <v>173</v>
      </c>
      <c r="C167" s="64">
        <v>119297.66666666667</v>
      </c>
      <c r="D167" s="64">
        <v>516666.66666666669</v>
      </c>
    </row>
    <row r="168" spans="1:4" ht="15.75" customHeight="1">
      <c r="A168" s="16">
        <v>40103</v>
      </c>
      <c r="B168" s="63" t="s">
        <v>174</v>
      </c>
      <c r="C168" s="64">
        <v>0</v>
      </c>
      <c r="D168" s="64">
        <v>20000</v>
      </c>
    </row>
    <row r="169" spans="1:4" ht="15.75" customHeight="1">
      <c r="A169" s="16">
        <v>40104</v>
      </c>
      <c r="B169" s="63" t="s">
        <v>175</v>
      </c>
      <c r="C169" s="64">
        <v>0</v>
      </c>
      <c r="D169" s="64">
        <v>0</v>
      </c>
    </row>
    <row r="170" spans="1:4" ht="15.75" customHeight="1">
      <c r="A170" s="16">
        <v>40201</v>
      </c>
      <c r="B170" s="63" t="s">
        <v>176</v>
      </c>
      <c r="C170" s="64">
        <v>220154</v>
      </c>
      <c r="D170" s="64">
        <v>895535</v>
      </c>
    </row>
    <row r="171" spans="1:4" ht="15.75" customHeight="1">
      <c r="A171" s="16">
        <v>40202</v>
      </c>
      <c r="B171" s="63" t="s">
        <v>177</v>
      </c>
      <c r="C171" s="64">
        <v>0</v>
      </c>
      <c r="D171" s="64">
        <v>0</v>
      </c>
    </row>
    <row r="172" spans="1:4" ht="15.75" customHeight="1">
      <c r="A172" s="16">
        <v>40301</v>
      </c>
      <c r="B172" s="63" t="s">
        <v>178</v>
      </c>
      <c r="C172" s="64">
        <v>8000</v>
      </c>
      <c r="D172" s="64">
        <v>30000</v>
      </c>
    </row>
    <row r="173" spans="1:4" ht="15.75" customHeight="1">
      <c r="A173" s="16">
        <v>40302</v>
      </c>
      <c r="B173" s="63" t="s">
        <v>179</v>
      </c>
      <c r="C173" s="64">
        <v>6666.666666666667</v>
      </c>
      <c r="D173" s="64">
        <v>30966.666666666668</v>
      </c>
    </row>
    <row r="174" spans="1:4" ht="15.75" customHeight="1">
      <c r="A174" s="16">
        <v>40401</v>
      </c>
      <c r="B174" s="63" t="s">
        <v>180</v>
      </c>
      <c r="C174" s="64">
        <v>36666.666666666664</v>
      </c>
      <c r="D174" s="64">
        <v>70000</v>
      </c>
    </row>
    <row r="175" spans="1:4" ht="15.75" customHeight="1">
      <c r="A175" s="16">
        <v>40402</v>
      </c>
      <c r="B175" s="63" t="s">
        <v>181</v>
      </c>
      <c r="C175" s="64">
        <v>26666.666666666668</v>
      </c>
      <c r="D175" s="64">
        <v>65000</v>
      </c>
    </row>
    <row r="176" spans="1:4" ht="15.75" customHeight="1">
      <c r="A176" s="16">
        <v>40501</v>
      </c>
      <c r="B176" s="63" t="s">
        <v>182</v>
      </c>
      <c r="C176" s="64">
        <v>0</v>
      </c>
      <c r="D176" s="64">
        <v>0</v>
      </c>
    </row>
    <row r="177" spans="1:4" ht="15.75" customHeight="1">
      <c r="A177" s="16">
        <v>40502</v>
      </c>
      <c r="B177" s="63" t="s">
        <v>183</v>
      </c>
      <c r="C177" s="64">
        <v>0</v>
      </c>
      <c r="D177" s="64">
        <v>0</v>
      </c>
    </row>
    <row r="178" spans="1:4" ht="15.75" customHeight="1">
      <c r="A178" s="16">
        <v>40503</v>
      </c>
      <c r="B178" s="63" t="s">
        <v>184</v>
      </c>
      <c r="C178" s="64">
        <v>0</v>
      </c>
      <c r="D178" s="64">
        <v>0</v>
      </c>
    </row>
    <row r="179" spans="1:4" ht="15.75" customHeight="1">
      <c r="A179" s="16">
        <v>40504</v>
      </c>
      <c r="B179" s="63" t="s">
        <v>185</v>
      </c>
      <c r="C179" s="64">
        <v>0</v>
      </c>
      <c r="D179" s="64">
        <v>0</v>
      </c>
    </row>
    <row r="180" spans="1:4" ht="15.75" customHeight="1">
      <c r="A180" s="16">
        <v>40505</v>
      </c>
      <c r="B180" s="63" t="s">
        <v>186</v>
      </c>
      <c r="C180" s="64">
        <v>0</v>
      </c>
      <c r="D180" s="64">
        <v>0</v>
      </c>
    </row>
    <row r="181" spans="1:4" ht="15.75" customHeight="1">
      <c r="A181" s="16">
        <v>40601</v>
      </c>
      <c r="B181" s="63" t="s">
        <v>187</v>
      </c>
      <c r="C181" s="64">
        <v>16666.666666666668</v>
      </c>
      <c r="D181" s="64">
        <v>126666.66666666667</v>
      </c>
    </row>
    <row r="182" spans="1:4" ht="15.75" customHeight="1">
      <c r="A182" s="16">
        <v>40602</v>
      </c>
      <c r="B182" s="63" t="s">
        <v>188</v>
      </c>
      <c r="C182" s="64">
        <v>3333.3333333333335</v>
      </c>
      <c r="D182" s="64">
        <v>32000</v>
      </c>
    </row>
    <row r="183" spans="1:4" ht="15.75" customHeight="1">
      <c r="A183" s="16">
        <v>40603</v>
      </c>
      <c r="B183" s="63" t="s">
        <v>189</v>
      </c>
      <c r="C183" s="64">
        <v>10000</v>
      </c>
      <c r="D183" s="64">
        <v>73333.333333333328</v>
      </c>
    </row>
    <row r="184" spans="1:4" ht="15.75" customHeight="1">
      <c r="A184" s="16">
        <v>40701</v>
      </c>
      <c r="B184" s="63" t="s">
        <v>190</v>
      </c>
      <c r="C184" s="64">
        <v>133333.33333333334</v>
      </c>
      <c r="D184" s="64">
        <v>1323556.3333333333</v>
      </c>
    </row>
    <row r="185" spans="1:4" ht="15.75" customHeight="1">
      <c r="A185" s="16">
        <v>40702</v>
      </c>
      <c r="B185" s="63" t="s">
        <v>191</v>
      </c>
      <c r="C185" s="64">
        <v>0</v>
      </c>
      <c r="D185" s="64">
        <v>95617.666666666672</v>
      </c>
    </row>
    <row r="186" spans="1:4" ht="15.75" customHeight="1">
      <c r="A186" s="16">
        <v>40801</v>
      </c>
      <c r="B186" s="63" t="s">
        <v>192</v>
      </c>
      <c r="C186" s="64">
        <v>0</v>
      </c>
      <c r="D186" s="64">
        <v>18333.333333333332</v>
      </c>
    </row>
    <row r="187" spans="1:4" ht="15.75" customHeight="1">
      <c r="A187" s="16">
        <v>40802</v>
      </c>
      <c r="B187" s="63" t="s">
        <v>193</v>
      </c>
      <c r="C187" s="64">
        <v>18333.333333333332</v>
      </c>
      <c r="D187" s="64">
        <v>53780</v>
      </c>
    </row>
    <row r="188" spans="1:4" ht="15.75" customHeight="1">
      <c r="A188" s="16">
        <v>40901</v>
      </c>
      <c r="B188" s="63" t="s">
        <v>194</v>
      </c>
      <c r="C188" s="64">
        <v>10000</v>
      </c>
      <c r="D188" s="64">
        <v>86666.666666666672</v>
      </c>
    </row>
    <row r="189" spans="1:4" ht="15.75" customHeight="1">
      <c r="A189" s="16">
        <v>40902</v>
      </c>
      <c r="B189" s="63" t="s">
        <v>195</v>
      </c>
      <c r="C189" s="64">
        <v>0</v>
      </c>
      <c r="D189" s="64">
        <v>9666.6666666666661</v>
      </c>
    </row>
    <row r="190" spans="1:4" ht="15.75" customHeight="1">
      <c r="A190" s="16">
        <v>40903</v>
      </c>
      <c r="B190" s="63" t="s">
        <v>196</v>
      </c>
      <c r="C190" s="64">
        <v>0</v>
      </c>
      <c r="D190" s="64">
        <v>4000</v>
      </c>
    </row>
    <row r="191" spans="1:4" ht="15.75" customHeight="1">
      <c r="A191" s="16">
        <v>41001</v>
      </c>
      <c r="B191" s="63" t="s">
        <v>197</v>
      </c>
      <c r="C191" s="64">
        <v>10000</v>
      </c>
      <c r="D191" s="64">
        <v>50000</v>
      </c>
    </row>
    <row r="192" spans="1:4" ht="15.75" customHeight="1">
      <c r="A192" s="16">
        <v>41101</v>
      </c>
      <c r="B192" s="63" t="s">
        <v>198</v>
      </c>
      <c r="C192" s="64">
        <v>10000</v>
      </c>
      <c r="D192" s="64">
        <v>106500</v>
      </c>
    </row>
    <row r="193" spans="1:4" ht="15.75" customHeight="1">
      <c r="A193" s="16">
        <v>41201</v>
      </c>
      <c r="B193" s="63" t="s">
        <v>199</v>
      </c>
      <c r="C193" s="64">
        <v>0</v>
      </c>
      <c r="D193" s="64">
        <v>99333.333333333328</v>
      </c>
    </row>
    <row r="194" spans="1:4" ht="15.75" customHeight="1">
      <c r="A194" s="16">
        <v>41202</v>
      </c>
      <c r="B194" s="63" t="s">
        <v>200</v>
      </c>
      <c r="C194" s="64">
        <v>6666.666666666667</v>
      </c>
      <c r="D194" s="64">
        <v>0</v>
      </c>
    </row>
    <row r="195" spans="1:4" ht="15.75" customHeight="1">
      <c r="A195" s="16">
        <v>41301</v>
      </c>
      <c r="B195" s="63" t="s">
        <v>154</v>
      </c>
      <c r="C195" s="64">
        <v>0</v>
      </c>
      <c r="D195" s="64">
        <v>1666.6666666666667</v>
      </c>
    </row>
    <row r="196" spans="1:4" ht="15.75" customHeight="1">
      <c r="A196" s="16">
        <v>41401</v>
      </c>
      <c r="B196" s="63" t="s">
        <v>201</v>
      </c>
      <c r="C196" s="64">
        <v>33333.333333333336</v>
      </c>
      <c r="D196" s="64">
        <v>206666.66666666666</v>
      </c>
    </row>
    <row r="197" spans="1:4" ht="15.75" customHeight="1">
      <c r="A197" s="16">
        <v>41501</v>
      </c>
      <c r="B197" s="63" t="s">
        <v>202</v>
      </c>
      <c r="C197" s="64">
        <v>0</v>
      </c>
      <c r="D197" s="64">
        <v>0</v>
      </c>
    </row>
    <row r="198" spans="1:4" ht="15.75" customHeight="1">
      <c r="A198" s="16">
        <v>41502</v>
      </c>
      <c r="B198" s="63" t="s">
        <v>203</v>
      </c>
      <c r="C198" s="64">
        <v>0</v>
      </c>
      <c r="D198" s="64">
        <v>6666.666666666667</v>
      </c>
    </row>
    <row r="199" spans="1:4" ht="15.75" customHeight="1">
      <c r="A199" s="16">
        <v>41503</v>
      </c>
      <c r="B199" s="63" t="s">
        <v>204</v>
      </c>
      <c r="C199" s="64">
        <v>0</v>
      </c>
      <c r="D199" s="64">
        <v>5666.666666666667</v>
      </c>
    </row>
    <row r="200" spans="1:4" ht="15.75" customHeight="1">
      <c r="A200" s="16">
        <v>41601</v>
      </c>
      <c r="B200" s="63" t="s">
        <v>205</v>
      </c>
      <c r="C200" s="64">
        <v>0</v>
      </c>
      <c r="D200" s="64">
        <v>13333.333333333334</v>
      </c>
    </row>
    <row r="201" spans="1:4" ht="15.75" customHeight="1">
      <c r="A201" s="16">
        <v>50101</v>
      </c>
      <c r="B201" s="63" t="s">
        <v>206</v>
      </c>
      <c r="C201" s="64">
        <v>0</v>
      </c>
      <c r="D201" s="64">
        <v>6454178.666666667</v>
      </c>
    </row>
    <row r="202" spans="1:4" ht="15.75" customHeight="1">
      <c r="A202" s="16">
        <v>50102</v>
      </c>
      <c r="B202" s="63" t="s">
        <v>207</v>
      </c>
      <c r="C202" s="64">
        <v>43333.333333333336</v>
      </c>
      <c r="D202" s="64">
        <v>18000</v>
      </c>
    </row>
    <row r="203" spans="1:4" ht="15.75" customHeight="1">
      <c r="A203" s="16">
        <v>50103</v>
      </c>
      <c r="B203" s="63" t="s">
        <v>208</v>
      </c>
      <c r="C203" s="64">
        <v>10000</v>
      </c>
      <c r="D203" s="64">
        <v>6666.666666666667</v>
      </c>
    </row>
    <row r="204" spans="1:4" ht="15.75" customHeight="1">
      <c r="A204" s="16">
        <v>50104</v>
      </c>
      <c r="B204" s="63" t="s">
        <v>209</v>
      </c>
      <c r="C204" s="64">
        <v>0</v>
      </c>
      <c r="D204" s="64">
        <v>3500</v>
      </c>
    </row>
    <row r="205" spans="1:4" ht="15.75" customHeight="1">
      <c r="A205" s="16">
        <v>50201</v>
      </c>
      <c r="B205" s="63" t="s">
        <v>210</v>
      </c>
      <c r="C205" s="64">
        <v>5592</v>
      </c>
      <c r="D205" s="64">
        <v>204248.66666666666</v>
      </c>
    </row>
    <row r="206" spans="1:4" ht="15.75" customHeight="1">
      <c r="A206" s="16">
        <v>50202</v>
      </c>
      <c r="B206" s="63" t="s">
        <v>211</v>
      </c>
      <c r="C206" s="64">
        <v>1666.6666666666667</v>
      </c>
      <c r="D206" s="64">
        <v>36666.666666666664</v>
      </c>
    </row>
    <row r="207" spans="1:4" ht="15.75" customHeight="1">
      <c r="A207" s="16">
        <v>50203</v>
      </c>
      <c r="B207" s="63" t="s">
        <v>212</v>
      </c>
      <c r="C207" s="64">
        <v>0</v>
      </c>
      <c r="D207" s="64">
        <v>1014732.3333333334</v>
      </c>
    </row>
    <row r="208" spans="1:4" ht="15.75" customHeight="1">
      <c r="A208" s="16">
        <v>50204</v>
      </c>
      <c r="B208" s="63" t="s">
        <v>213</v>
      </c>
      <c r="C208" s="64">
        <v>11166.666666666666</v>
      </c>
      <c r="D208" s="64">
        <v>11333.333333333334</v>
      </c>
    </row>
    <row r="209" spans="1:4" ht="15.75" customHeight="1">
      <c r="A209" s="16">
        <v>50301</v>
      </c>
      <c r="B209" s="63" t="s">
        <v>214</v>
      </c>
      <c r="C209" s="64">
        <v>22133.333333333332</v>
      </c>
      <c r="D209" s="64">
        <v>731625.66666666663</v>
      </c>
    </row>
    <row r="210" spans="1:4" ht="15.75" customHeight="1">
      <c r="A210" s="16">
        <v>50302</v>
      </c>
      <c r="B210" s="63" t="s">
        <v>215</v>
      </c>
      <c r="C210" s="64">
        <v>6666.333333333333</v>
      </c>
      <c r="D210" s="64">
        <v>8333.3333333333339</v>
      </c>
    </row>
    <row r="211" spans="1:4" ht="15.75" customHeight="1">
      <c r="A211" s="16">
        <v>50303</v>
      </c>
      <c r="B211" s="63" t="s">
        <v>216</v>
      </c>
      <c r="C211" s="64">
        <v>13333.333333333334</v>
      </c>
      <c r="D211" s="64">
        <v>63133.333333333336</v>
      </c>
    </row>
    <row r="212" spans="1:4" ht="15.75" customHeight="1">
      <c r="A212" s="16">
        <v>50401</v>
      </c>
      <c r="B212" s="63" t="s">
        <v>217</v>
      </c>
      <c r="C212" s="64">
        <v>26666.666666666668</v>
      </c>
      <c r="D212" s="64">
        <v>125266.66666666667</v>
      </c>
    </row>
    <row r="213" spans="1:4" ht="15.75" customHeight="1">
      <c r="A213" s="16">
        <v>50402</v>
      </c>
      <c r="B213" s="63" t="s">
        <v>218</v>
      </c>
      <c r="C213" s="64">
        <v>0</v>
      </c>
      <c r="D213" s="64">
        <v>50000</v>
      </c>
    </row>
    <row r="214" spans="1:4" ht="15.75" customHeight="1">
      <c r="A214" s="16">
        <v>50403</v>
      </c>
      <c r="B214" s="63" t="s">
        <v>219</v>
      </c>
      <c r="C214" s="64">
        <v>0</v>
      </c>
      <c r="D214" s="64">
        <v>83333.333333333328</v>
      </c>
    </row>
    <row r="215" spans="1:4" ht="15.75" customHeight="1">
      <c r="A215" s="16">
        <v>50404</v>
      </c>
      <c r="B215" s="63" t="s">
        <v>220</v>
      </c>
      <c r="C215" s="64">
        <v>6666.666666666667</v>
      </c>
      <c r="D215" s="64">
        <v>101667</v>
      </c>
    </row>
    <row r="216" spans="1:4" ht="15.75" customHeight="1">
      <c r="A216" s="38">
        <v>50405</v>
      </c>
      <c r="B216" s="72" t="s">
        <v>221</v>
      </c>
      <c r="C216" s="64">
        <v>26666.666666666668</v>
      </c>
      <c r="D216" s="64">
        <v>15045.333333333334</v>
      </c>
    </row>
    <row r="217" spans="1:4" ht="15.75" customHeight="1">
      <c r="A217" s="16">
        <v>50501</v>
      </c>
      <c r="B217" s="63" t="s">
        <v>222</v>
      </c>
      <c r="C217" s="64">
        <v>100000</v>
      </c>
      <c r="D217" s="64">
        <v>71145</v>
      </c>
    </row>
    <row r="218" spans="1:4" ht="15.75" customHeight="1">
      <c r="A218" s="16">
        <v>50502</v>
      </c>
      <c r="B218" s="63" t="s">
        <v>223</v>
      </c>
      <c r="C218" s="64">
        <v>25333.333333333332</v>
      </c>
      <c r="D218" s="64">
        <v>105666.66666666667</v>
      </c>
    </row>
    <row r="219" spans="1:4" ht="15.75" customHeight="1">
      <c r="A219" s="16">
        <v>50601</v>
      </c>
      <c r="B219" s="63" t="s">
        <v>224</v>
      </c>
      <c r="C219" s="64">
        <v>0</v>
      </c>
      <c r="D219" s="64">
        <v>0</v>
      </c>
    </row>
    <row r="220" spans="1:4" ht="15.75" customHeight="1">
      <c r="A220" s="16">
        <v>50602</v>
      </c>
      <c r="B220" s="63" t="s">
        <v>225</v>
      </c>
      <c r="C220" s="64">
        <v>0</v>
      </c>
      <c r="D220" s="64">
        <v>27333.333333333332</v>
      </c>
    </row>
    <row r="221" spans="1:4" ht="15.75" customHeight="1">
      <c r="A221" s="16">
        <v>50701</v>
      </c>
      <c r="B221" s="63" t="s">
        <v>226</v>
      </c>
      <c r="C221" s="64">
        <v>6197.666666666667</v>
      </c>
      <c r="D221" s="64">
        <v>46666.666666666664</v>
      </c>
    </row>
    <row r="222" spans="1:4" ht="15.75" customHeight="1">
      <c r="A222" s="16">
        <v>50702</v>
      </c>
      <c r="B222" s="63" t="s">
        <v>227</v>
      </c>
      <c r="C222" s="64">
        <v>12270</v>
      </c>
      <c r="D222" s="64">
        <v>29383.333333333332</v>
      </c>
    </row>
    <row r="223" spans="1:4" ht="15.75" customHeight="1">
      <c r="A223" s="16">
        <v>50801</v>
      </c>
      <c r="B223" s="63" t="s">
        <v>228</v>
      </c>
      <c r="C223" s="64">
        <v>479833</v>
      </c>
      <c r="D223" s="64">
        <v>2070870</v>
      </c>
    </row>
    <row r="224" spans="1:4" ht="15.75" customHeight="1">
      <c r="A224" s="16">
        <v>50802</v>
      </c>
      <c r="B224" s="63" t="s">
        <v>229</v>
      </c>
      <c r="C224" s="64">
        <v>128356.33333333333</v>
      </c>
      <c r="D224" s="64">
        <v>373894.66666666669</v>
      </c>
    </row>
    <row r="225" spans="1:4" ht="15.75" customHeight="1">
      <c r="A225" s="16">
        <v>50901</v>
      </c>
      <c r="B225" s="63" t="s">
        <v>230</v>
      </c>
      <c r="C225" s="64">
        <v>60333.333333333336</v>
      </c>
      <c r="D225" s="64">
        <v>2455390.6666666665</v>
      </c>
    </row>
    <row r="226" spans="1:4" ht="15.75" customHeight="1">
      <c r="A226" s="16">
        <v>50902</v>
      </c>
      <c r="B226" s="63" t="s">
        <v>231</v>
      </c>
      <c r="C226" s="64">
        <v>0</v>
      </c>
      <c r="D226" s="64">
        <v>0</v>
      </c>
    </row>
    <row r="227" spans="1:4" ht="15.75" customHeight="1">
      <c r="A227" s="16">
        <v>51001</v>
      </c>
      <c r="B227" s="63" t="s">
        <v>232</v>
      </c>
      <c r="C227" s="64">
        <v>0</v>
      </c>
      <c r="D227" s="64">
        <v>9666.6666666666661</v>
      </c>
    </row>
    <row r="228" spans="1:4" ht="15.75" customHeight="1">
      <c r="A228" s="16">
        <v>51002</v>
      </c>
      <c r="B228" s="63" t="s">
        <v>233</v>
      </c>
      <c r="C228" s="64">
        <v>0</v>
      </c>
      <c r="D228" s="64">
        <v>1833.3333333333333</v>
      </c>
    </row>
    <row r="229" spans="1:4" ht="15.75" customHeight="1">
      <c r="A229" s="16">
        <v>51003</v>
      </c>
      <c r="B229" s="63" t="s">
        <v>234</v>
      </c>
      <c r="C229" s="64">
        <v>0</v>
      </c>
      <c r="D229" s="64">
        <v>0</v>
      </c>
    </row>
    <row r="230" spans="1:4" ht="15.75" customHeight="1">
      <c r="A230" s="16">
        <v>51101</v>
      </c>
      <c r="B230" s="63" t="s">
        <v>235</v>
      </c>
      <c r="C230" s="64">
        <v>6666.666666666667</v>
      </c>
      <c r="D230" s="64">
        <v>28780.666666666668</v>
      </c>
    </row>
    <row r="231" spans="1:4" ht="15.75" customHeight="1">
      <c r="A231" s="16">
        <v>51102</v>
      </c>
      <c r="B231" s="63" t="s">
        <v>236</v>
      </c>
      <c r="C231" s="64">
        <v>12333.333333333334</v>
      </c>
      <c r="D231" s="64">
        <v>34166.666666666664</v>
      </c>
    </row>
    <row r="232" spans="1:4" ht="15.75" customHeight="1">
      <c r="A232" s="16">
        <v>51103</v>
      </c>
      <c r="B232" s="63" t="s">
        <v>237</v>
      </c>
      <c r="C232" s="64">
        <v>17853.333333333332</v>
      </c>
      <c r="D232" s="64">
        <v>0</v>
      </c>
    </row>
    <row r="233" spans="1:4" ht="15.75" customHeight="1">
      <c r="A233" s="16">
        <v>51201</v>
      </c>
      <c r="B233" s="63" t="s">
        <v>238</v>
      </c>
      <c r="C233" s="64">
        <v>186666.66666666666</v>
      </c>
      <c r="D233" s="64">
        <v>1243710.3333333333</v>
      </c>
    </row>
    <row r="234" spans="1:4" ht="15.75" customHeight="1">
      <c r="A234" s="16">
        <v>51202</v>
      </c>
      <c r="B234" s="63" t="s">
        <v>239</v>
      </c>
      <c r="C234" s="64">
        <v>12333.333333333334</v>
      </c>
      <c r="D234" s="64">
        <v>45653.333333333336</v>
      </c>
    </row>
    <row r="235" spans="1:4" ht="15.75" customHeight="1">
      <c r="A235" s="16">
        <v>51203</v>
      </c>
      <c r="B235" s="63" t="s">
        <v>240</v>
      </c>
      <c r="C235" s="64">
        <v>47466.666666666664</v>
      </c>
      <c r="D235" s="64">
        <v>97000</v>
      </c>
    </row>
    <row r="236" spans="1:4" ht="15.75" customHeight="1">
      <c r="A236" s="16">
        <v>51204</v>
      </c>
      <c r="B236" s="63" t="s">
        <v>241</v>
      </c>
      <c r="C236" s="64">
        <v>0</v>
      </c>
      <c r="D236" s="64">
        <v>2666.6666666666665</v>
      </c>
    </row>
    <row r="237" spans="1:4" ht="15.75" customHeight="1">
      <c r="A237" s="16">
        <v>51301</v>
      </c>
      <c r="B237" s="63" t="s">
        <v>242</v>
      </c>
      <c r="C237" s="64">
        <v>11333.333333333334</v>
      </c>
      <c r="D237" s="64">
        <v>8333.3333333333339</v>
      </c>
    </row>
    <row r="238" spans="1:4" ht="15.75" customHeight="1">
      <c r="A238" s="16">
        <v>51302</v>
      </c>
      <c r="B238" s="63" t="s">
        <v>243</v>
      </c>
      <c r="C238" s="64">
        <v>30000</v>
      </c>
      <c r="D238" s="64">
        <v>60042.666666666664</v>
      </c>
    </row>
    <row r="239" spans="1:4" ht="15.75" customHeight="1">
      <c r="A239" s="16">
        <v>51401</v>
      </c>
      <c r="B239" s="63" t="s">
        <v>244</v>
      </c>
      <c r="C239" s="64">
        <v>22836.666666666668</v>
      </c>
      <c r="D239" s="64">
        <v>97264.666666666672</v>
      </c>
    </row>
    <row r="240" spans="1:4" ht="15.75" customHeight="1">
      <c r="A240" s="16">
        <v>51402</v>
      </c>
      <c r="B240" s="63" t="s">
        <v>245</v>
      </c>
      <c r="C240" s="64">
        <v>1000</v>
      </c>
      <c r="D240" s="64">
        <v>0</v>
      </c>
    </row>
    <row r="241" spans="1:4" ht="15.75" customHeight="1">
      <c r="A241" s="16">
        <v>51501</v>
      </c>
      <c r="B241" s="63" t="s">
        <v>246</v>
      </c>
      <c r="C241" s="64">
        <v>566666.66666666663</v>
      </c>
      <c r="D241" s="64">
        <v>2928160.6666666665</v>
      </c>
    </row>
    <row r="242" spans="1:4" ht="15.75" customHeight="1">
      <c r="A242" s="16">
        <v>51601</v>
      </c>
      <c r="B242" s="63" t="s">
        <v>247</v>
      </c>
      <c r="C242" s="64">
        <v>0</v>
      </c>
      <c r="D242" s="64">
        <v>0</v>
      </c>
    </row>
    <row r="243" spans="1:4" ht="15.75" customHeight="1">
      <c r="A243" s="16">
        <v>60101</v>
      </c>
      <c r="B243" s="63" t="s">
        <v>248</v>
      </c>
      <c r="C243" s="64">
        <v>8442597.666666666</v>
      </c>
      <c r="D243" s="64">
        <v>23710012.333333332</v>
      </c>
    </row>
    <row r="244" spans="1:4" ht="15.75" customHeight="1">
      <c r="A244" s="16">
        <v>60201</v>
      </c>
      <c r="B244" s="63" t="s">
        <v>249</v>
      </c>
      <c r="C244" s="64">
        <v>150933.33333333334</v>
      </c>
      <c r="D244" s="64">
        <v>149210.66666666666</v>
      </c>
    </row>
    <row r="245" spans="1:4" ht="15.75" customHeight="1">
      <c r="A245" s="16">
        <v>60202</v>
      </c>
      <c r="B245" s="63" t="s">
        <v>250</v>
      </c>
      <c r="C245" s="64">
        <v>571752.33333333337</v>
      </c>
      <c r="D245" s="64">
        <v>1691073</v>
      </c>
    </row>
    <row r="246" spans="1:4" ht="15.75" customHeight="1">
      <c r="A246" s="16">
        <v>60301</v>
      </c>
      <c r="B246" s="63" t="s">
        <v>251</v>
      </c>
      <c r="C246" s="64">
        <v>3194833.3333333335</v>
      </c>
      <c r="D246" s="64">
        <v>7221000.333333333</v>
      </c>
    </row>
    <row r="247" spans="1:4" ht="15.75" customHeight="1">
      <c r="A247" s="16">
        <v>60302</v>
      </c>
      <c r="B247" s="63" t="s">
        <v>252</v>
      </c>
      <c r="C247" s="64">
        <v>682933.33333333337</v>
      </c>
      <c r="D247" s="64">
        <v>959236.66666666663</v>
      </c>
    </row>
    <row r="248" spans="1:4" ht="15.75" customHeight="1">
      <c r="A248" s="16">
        <v>60303</v>
      </c>
      <c r="B248" s="63" t="s">
        <v>253</v>
      </c>
      <c r="C248" s="64">
        <v>498666.66666666669</v>
      </c>
      <c r="D248" s="64">
        <v>3139450</v>
      </c>
    </row>
    <row r="249" spans="1:4" ht="15.75" customHeight="1">
      <c r="A249" s="16">
        <v>60401</v>
      </c>
      <c r="B249" s="63" t="s">
        <v>254</v>
      </c>
      <c r="C249" s="64">
        <v>102785</v>
      </c>
      <c r="D249" s="64">
        <v>226280.33333333334</v>
      </c>
    </row>
    <row r="250" spans="1:4" ht="15.75" customHeight="1">
      <c r="A250" s="16">
        <v>60402</v>
      </c>
      <c r="B250" s="63" t="s">
        <v>255</v>
      </c>
      <c r="C250" s="64">
        <v>32666.666666666668</v>
      </c>
      <c r="D250" s="64">
        <v>13938.666666666666</v>
      </c>
    </row>
    <row r="251" spans="1:4" ht="15.75" customHeight="1">
      <c r="A251" s="16">
        <v>60501</v>
      </c>
      <c r="B251" s="63" t="s">
        <v>256</v>
      </c>
      <c r="C251" s="64">
        <v>310917.66666666669</v>
      </c>
      <c r="D251" s="64">
        <v>302097</v>
      </c>
    </row>
    <row r="252" spans="1:4" ht="15.75" customHeight="1">
      <c r="A252" s="16">
        <v>60502</v>
      </c>
      <c r="B252" s="63" t="s">
        <v>257</v>
      </c>
      <c r="C252" s="64">
        <v>34333.333333333336</v>
      </c>
      <c r="D252" s="64">
        <v>76334.666666666672</v>
      </c>
    </row>
    <row r="253" spans="1:4" ht="15.75" customHeight="1">
      <c r="A253" s="16">
        <v>60601</v>
      </c>
      <c r="B253" s="63" t="s">
        <v>159</v>
      </c>
      <c r="C253" s="64">
        <v>210228</v>
      </c>
      <c r="D253" s="64">
        <v>281639.33333333331</v>
      </c>
    </row>
    <row r="254" spans="1:4" ht="15.75" customHeight="1">
      <c r="A254" s="16">
        <v>70101</v>
      </c>
      <c r="B254" s="63" t="s">
        <v>258</v>
      </c>
      <c r="C254" s="64">
        <v>103906309.66666667</v>
      </c>
      <c r="D254" s="64">
        <v>308774217</v>
      </c>
    </row>
    <row r="255" spans="1:4" ht="15.75" customHeight="1">
      <c r="A255" s="16">
        <v>70102</v>
      </c>
      <c r="B255" s="63" t="s">
        <v>259</v>
      </c>
      <c r="C255" s="64">
        <v>1593441.6666666667</v>
      </c>
      <c r="D255" s="64">
        <v>4214966.666666667</v>
      </c>
    </row>
    <row r="256" spans="1:4" ht="15.75" customHeight="1">
      <c r="A256" s="16">
        <v>70103</v>
      </c>
      <c r="B256" s="63" t="s">
        <v>260</v>
      </c>
      <c r="C256" s="64">
        <v>179715.33333333334</v>
      </c>
      <c r="D256" s="64">
        <v>2496602.6666666665</v>
      </c>
    </row>
    <row r="257" spans="1:4" ht="15.75" customHeight="1">
      <c r="A257" s="16">
        <v>70104</v>
      </c>
      <c r="B257" s="63" t="s">
        <v>261</v>
      </c>
      <c r="C257" s="64">
        <v>2458666.6666666665</v>
      </c>
      <c r="D257" s="64">
        <v>5292925.333333333</v>
      </c>
    </row>
    <row r="258" spans="1:4" ht="15.75" customHeight="1">
      <c r="A258" s="16">
        <v>70105</v>
      </c>
      <c r="B258" s="63" t="s">
        <v>262</v>
      </c>
      <c r="C258" s="64">
        <v>622344</v>
      </c>
      <c r="D258" s="64">
        <v>1464130.6666666667</v>
      </c>
    </row>
    <row r="259" spans="1:4" ht="15.75" customHeight="1">
      <c r="A259" s="16">
        <v>70201</v>
      </c>
      <c r="B259" s="63" t="s">
        <v>263</v>
      </c>
      <c r="C259" s="64">
        <v>1716333.3333333333</v>
      </c>
      <c r="D259" s="64">
        <v>13908200</v>
      </c>
    </row>
    <row r="260" spans="1:4" ht="15.75" customHeight="1">
      <c r="A260" s="16">
        <v>70202</v>
      </c>
      <c r="B260" s="63" t="s">
        <v>264</v>
      </c>
      <c r="C260" s="64">
        <v>95333.333333333328</v>
      </c>
      <c r="D260" s="64">
        <v>552864.66666666663</v>
      </c>
    </row>
    <row r="261" spans="1:4" ht="15.75" customHeight="1">
      <c r="A261" s="16">
        <v>70301</v>
      </c>
      <c r="B261" s="63" t="s">
        <v>265</v>
      </c>
      <c r="C261" s="64">
        <v>666666.66666666663</v>
      </c>
      <c r="D261" s="64">
        <v>2395037</v>
      </c>
    </row>
    <row r="262" spans="1:4" ht="15.75" customHeight="1">
      <c r="A262" s="16">
        <v>70302</v>
      </c>
      <c r="B262" s="63" t="s">
        <v>266</v>
      </c>
      <c r="C262" s="64">
        <v>51000</v>
      </c>
      <c r="D262" s="64">
        <v>126223.33333333333</v>
      </c>
    </row>
    <row r="263" spans="1:4" ht="15.75" customHeight="1">
      <c r="A263" s="16">
        <v>70303</v>
      </c>
      <c r="B263" s="63" t="s">
        <v>267</v>
      </c>
      <c r="C263" s="64">
        <v>6666.666666666667</v>
      </c>
      <c r="D263" s="64">
        <v>41940.666666666664</v>
      </c>
    </row>
    <row r="264" spans="1:4" ht="15.75" customHeight="1">
      <c r="A264" s="16">
        <v>70401</v>
      </c>
      <c r="B264" s="63" t="s">
        <v>268</v>
      </c>
      <c r="C264" s="64">
        <v>124633.33333333333</v>
      </c>
      <c r="D264" s="64">
        <v>173033.33333333334</v>
      </c>
    </row>
    <row r="265" spans="1:4" ht="15.75" customHeight="1">
      <c r="A265" s="16">
        <v>70402</v>
      </c>
      <c r="B265" s="63" t="s">
        <v>269</v>
      </c>
      <c r="C265" s="64">
        <v>64805.666666666664</v>
      </c>
      <c r="D265" s="64">
        <v>400000</v>
      </c>
    </row>
    <row r="266" spans="1:4" ht="15.75" customHeight="1">
      <c r="A266" s="16">
        <v>70403</v>
      </c>
      <c r="B266" s="63" t="s">
        <v>270</v>
      </c>
      <c r="C266" s="64">
        <v>331214</v>
      </c>
      <c r="D266" s="64">
        <v>3647379</v>
      </c>
    </row>
    <row r="267" spans="1:4" ht="15.75" customHeight="1">
      <c r="A267" s="16">
        <v>70404</v>
      </c>
      <c r="B267" s="63" t="s">
        <v>271</v>
      </c>
      <c r="C267" s="64">
        <v>60000</v>
      </c>
      <c r="D267" s="64">
        <v>397354</v>
      </c>
    </row>
    <row r="268" spans="1:4" ht="15.75" customHeight="1">
      <c r="A268" s="16">
        <v>70501</v>
      </c>
      <c r="B268" s="63" t="s">
        <v>272</v>
      </c>
      <c r="C268" s="64">
        <v>426666.66666666669</v>
      </c>
      <c r="D268" s="64">
        <v>548426.33333333337</v>
      </c>
    </row>
    <row r="269" spans="1:4" ht="15.75" customHeight="1">
      <c r="A269" s="16">
        <v>70502</v>
      </c>
      <c r="B269" s="63" t="s">
        <v>273</v>
      </c>
      <c r="C269" s="64">
        <v>174283.33333333334</v>
      </c>
      <c r="D269" s="64">
        <v>899458.33333333337</v>
      </c>
    </row>
    <row r="270" spans="1:4" ht="15.75" customHeight="1">
      <c r="A270" s="16">
        <v>70503</v>
      </c>
      <c r="B270" s="63" t="s">
        <v>274</v>
      </c>
      <c r="C270" s="64">
        <v>305333.33333333331</v>
      </c>
      <c r="D270" s="64">
        <v>271833.33333333331</v>
      </c>
    </row>
    <row r="271" spans="1:4" ht="15.75" customHeight="1">
      <c r="A271" s="16">
        <v>70601</v>
      </c>
      <c r="B271" s="63" t="s">
        <v>275</v>
      </c>
      <c r="C271" s="64">
        <v>365666.66666666669</v>
      </c>
      <c r="D271" s="64">
        <v>973333.66666666663</v>
      </c>
    </row>
    <row r="272" spans="1:4" ht="15.75" customHeight="1">
      <c r="A272" s="16">
        <v>70602</v>
      </c>
      <c r="B272" s="63" t="s">
        <v>276</v>
      </c>
      <c r="C272" s="64">
        <v>71806</v>
      </c>
      <c r="D272" s="64">
        <v>70000</v>
      </c>
    </row>
    <row r="273" spans="1:4" ht="15.75" customHeight="1">
      <c r="A273" s="16">
        <v>70603</v>
      </c>
      <c r="B273" s="63" t="s">
        <v>277</v>
      </c>
      <c r="C273" s="64">
        <v>120000</v>
      </c>
      <c r="D273" s="64">
        <v>664333.33333333337</v>
      </c>
    </row>
    <row r="274" spans="1:4" ht="15.75" customHeight="1">
      <c r="A274" s="16">
        <v>70701</v>
      </c>
      <c r="B274" s="63" t="s">
        <v>278</v>
      </c>
      <c r="C274" s="64">
        <v>26666.666666666668</v>
      </c>
      <c r="D274" s="64">
        <v>30000</v>
      </c>
    </row>
    <row r="275" spans="1:4" ht="15.75" customHeight="1">
      <c r="A275" s="16">
        <v>70702</v>
      </c>
      <c r="B275" s="63" t="s">
        <v>279</v>
      </c>
      <c r="C275" s="64">
        <v>0</v>
      </c>
      <c r="D275" s="64">
        <v>80269.333333333328</v>
      </c>
    </row>
    <row r="276" spans="1:4" ht="15.75" customHeight="1">
      <c r="A276" s="16">
        <v>70703</v>
      </c>
      <c r="B276" s="63" t="s">
        <v>280</v>
      </c>
      <c r="C276" s="64">
        <v>66666.666666666672</v>
      </c>
      <c r="D276" s="64">
        <v>122886</v>
      </c>
    </row>
    <row r="277" spans="1:4" ht="15.75" customHeight="1">
      <c r="A277" s="16">
        <v>70704</v>
      </c>
      <c r="B277" s="63" t="s">
        <v>281</v>
      </c>
      <c r="C277" s="64">
        <v>17801.333333333332</v>
      </c>
      <c r="D277" s="64">
        <v>41666.666666666664</v>
      </c>
    </row>
    <row r="278" spans="1:4" ht="15.75" customHeight="1">
      <c r="A278" s="16">
        <v>70705</v>
      </c>
      <c r="B278" s="63" t="s">
        <v>282</v>
      </c>
      <c r="C278" s="64">
        <v>3333.3333333333335</v>
      </c>
      <c r="D278" s="64">
        <v>5000</v>
      </c>
    </row>
    <row r="279" spans="1:4" ht="15.75" customHeight="1">
      <c r="A279" s="16">
        <v>70706</v>
      </c>
      <c r="B279" s="63" t="s">
        <v>283</v>
      </c>
      <c r="C279" s="64">
        <v>1600000</v>
      </c>
      <c r="D279" s="64">
        <v>2929683.3333333335</v>
      </c>
    </row>
    <row r="280" spans="1:4" ht="15.75" customHeight="1">
      <c r="A280" s="16">
        <v>70707</v>
      </c>
      <c r="B280" s="63" t="s">
        <v>284</v>
      </c>
      <c r="C280" s="64">
        <v>45000</v>
      </c>
      <c r="D280" s="64">
        <v>50000</v>
      </c>
    </row>
    <row r="281" spans="1:4" ht="15.75" customHeight="1">
      <c r="A281" s="16">
        <v>70801</v>
      </c>
      <c r="B281" s="63" t="s">
        <v>285</v>
      </c>
      <c r="C281" s="64">
        <v>416000</v>
      </c>
      <c r="D281" s="64">
        <v>750000</v>
      </c>
    </row>
    <row r="282" spans="1:4" ht="15.75" customHeight="1">
      <c r="A282" s="16">
        <v>70802</v>
      </c>
      <c r="B282" s="63" t="s">
        <v>286</v>
      </c>
      <c r="C282" s="64">
        <v>2000</v>
      </c>
      <c r="D282" s="64">
        <v>15000</v>
      </c>
    </row>
    <row r="283" spans="1:4" ht="15.75" customHeight="1">
      <c r="A283" s="16">
        <v>70803</v>
      </c>
      <c r="B283" s="63" t="s">
        <v>287</v>
      </c>
      <c r="C283" s="64">
        <v>22233.333333333332</v>
      </c>
      <c r="D283" s="64">
        <v>23247</v>
      </c>
    </row>
    <row r="284" spans="1:4" ht="15.75" customHeight="1">
      <c r="A284" s="16">
        <v>70804</v>
      </c>
      <c r="B284" s="63" t="s">
        <v>288</v>
      </c>
      <c r="C284" s="64">
        <v>12333.333333333334</v>
      </c>
      <c r="D284" s="64">
        <v>10000</v>
      </c>
    </row>
    <row r="285" spans="1:4" ht="15.75" customHeight="1">
      <c r="A285" s="16">
        <v>70805</v>
      </c>
      <c r="B285" s="63" t="s">
        <v>289</v>
      </c>
      <c r="C285" s="64">
        <v>10000</v>
      </c>
      <c r="D285" s="64">
        <v>45000</v>
      </c>
    </row>
    <row r="286" spans="1:4" ht="15.75" customHeight="1">
      <c r="A286" s="16">
        <v>70901</v>
      </c>
      <c r="B286" s="63" t="s">
        <v>290</v>
      </c>
      <c r="C286" s="64">
        <v>50000</v>
      </c>
      <c r="D286" s="64">
        <v>634302.66666666663</v>
      </c>
    </row>
    <row r="287" spans="1:4" ht="15.75" customHeight="1">
      <c r="A287" s="16">
        <v>70902</v>
      </c>
      <c r="B287" s="63" t="s">
        <v>291</v>
      </c>
      <c r="C287" s="64">
        <v>23666.666666666668</v>
      </c>
      <c r="D287" s="64">
        <v>114400</v>
      </c>
    </row>
    <row r="288" spans="1:4" ht="15.75" customHeight="1">
      <c r="A288" s="16">
        <v>70903</v>
      </c>
      <c r="B288" s="63" t="s">
        <v>292</v>
      </c>
      <c r="C288" s="64">
        <v>80000</v>
      </c>
      <c r="D288" s="64">
        <v>273458</v>
      </c>
    </row>
    <row r="289" spans="1:4" ht="15.75" customHeight="1">
      <c r="A289" s="16">
        <v>70904</v>
      </c>
      <c r="B289" s="63" t="s">
        <v>293</v>
      </c>
      <c r="C289" s="64">
        <v>12666.666666666666</v>
      </c>
      <c r="D289" s="64">
        <v>51066.666666666664</v>
      </c>
    </row>
    <row r="290" spans="1:4" ht="15.75" customHeight="1">
      <c r="A290" s="16">
        <v>71001</v>
      </c>
      <c r="B290" s="63" t="s">
        <v>294</v>
      </c>
      <c r="C290" s="64">
        <v>4354306.666666667</v>
      </c>
      <c r="D290" s="64">
        <v>10589406.333333334</v>
      </c>
    </row>
    <row r="291" spans="1:4" ht="15.75" customHeight="1">
      <c r="A291" s="16">
        <v>71002</v>
      </c>
      <c r="B291" s="63" t="s">
        <v>295</v>
      </c>
      <c r="C291" s="64">
        <v>91666.666666666672</v>
      </c>
      <c r="D291" s="64">
        <v>243347.66666666666</v>
      </c>
    </row>
    <row r="292" spans="1:4" ht="15.75" customHeight="1">
      <c r="A292" s="16">
        <v>71003</v>
      </c>
      <c r="B292" s="63" t="s">
        <v>296</v>
      </c>
      <c r="C292" s="64">
        <v>171543.33333333334</v>
      </c>
      <c r="D292" s="64">
        <v>1094856.3333333333</v>
      </c>
    </row>
    <row r="293" spans="1:4" ht="15.75" customHeight="1">
      <c r="A293" s="16">
        <v>71004</v>
      </c>
      <c r="B293" s="63" t="s">
        <v>297</v>
      </c>
      <c r="C293" s="64">
        <v>66046.666666666672</v>
      </c>
      <c r="D293" s="64">
        <v>348600</v>
      </c>
    </row>
    <row r="294" spans="1:4" ht="15.75" customHeight="1">
      <c r="A294" s="16">
        <v>71005</v>
      </c>
      <c r="B294" s="63" t="s">
        <v>222</v>
      </c>
      <c r="C294" s="64">
        <v>13000</v>
      </c>
      <c r="D294" s="64">
        <v>65783.333333333328</v>
      </c>
    </row>
    <row r="295" spans="1:4" ht="15.75" customHeight="1">
      <c r="A295" s="16">
        <v>71101</v>
      </c>
      <c r="B295" s="63" t="s">
        <v>298</v>
      </c>
      <c r="C295" s="64">
        <v>200538</v>
      </c>
      <c r="D295" s="64">
        <v>953824</v>
      </c>
    </row>
    <row r="296" spans="1:4" ht="15.75" customHeight="1">
      <c r="A296" s="16">
        <v>71102</v>
      </c>
      <c r="B296" s="63" t="s">
        <v>299</v>
      </c>
      <c r="C296" s="64">
        <v>106666.66666666667</v>
      </c>
      <c r="D296" s="64">
        <v>531500</v>
      </c>
    </row>
    <row r="297" spans="1:4" ht="15.75" customHeight="1">
      <c r="A297" s="16">
        <v>71103</v>
      </c>
      <c r="B297" s="63" t="s">
        <v>300</v>
      </c>
      <c r="C297" s="64">
        <v>89133.333333333328</v>
      </c>
      <c r="D297" s="64">
        <v>175298.66666666666</v>
      </c>
    </row>
    <row r="298" spans="1:4" ht="15.75" customHeight="1">
      <c r="A298" s="16">
        <v>71104</v>
      </c>
      <c r="B298" s="63" t="s">
        <v>301</v>
      </c>
      <c r="C298" s="64">
        <v>216943.33333333334</v>
      </c>
      <c r="D298" s="64">
        <v>514801.66666666669</v>
      </c>
    </row>
    <row r="299" spans="1:4" ht="15.75" customHeight="1">
      <c r="A299" s="16">
        <v>71105</v>
      </c>
      <c r="B299" s="63" t="s">
        <v>302</v>
      </c>
      <c r="C299" s="64">
        <v>7666.666666666667</v>
      </c>
      <c r="D299" s="64">
        <v>48333.333333333336</v>
      </c>
    </row>
    <row r="300" spans="1:4" ht="15.75" customHeight="1">
      <c r="A300" s="16">
        <v>71106</v>
      </c>
      <c r="B300" s="63" t="s">
        <v>303</v>
      </c>
      <c r="C300" s="64">
        <v>53500</v>
      </c>
      <c r="D300" s="64">
        <v>243606.66666666666</v>
      </c>
    </row>
    <row r="301" spans="1:4" ht="15.75" customHeight="1">
      <c r="A301" s="16">
        <v>71201</v>
      </c>
      <c r="B301" s="63" t="s">
        <v>304</v>
      </c>
      <c r="C301" s="64">
        <v>33333.333333333336</v>
      </c>
      <c r="D301" s="64">
        <v>226416</v>
      </c>
    </row>
    <row r="302" spans="1:4" ht="15.75" customHeight="1">
      <c r="A302" s="16">
        <v>71301</v>
      </c>
      <c r="B302" s="63" t="s">
        <v>305</v>
      </c>
      <c r="C302" s="64">
        <v>105000</v>
      </c>
      <c r="D302" s="64">
        <v>476786.66666666669</v>
      </c>
    </row>
    <row r="303" spans="1:4" ht="15.75" customHeight="1">
      <c r="A303" s="16">
        <v>71302</v>
      </c>
      <c r="B303" s="63" t="s">
        <v>306</v>
      </c>
      <c r="C303" s="64">
        <v>22646.333333333332</v>
      </c>
      <c r="D303" s="64">
        <v>65000</v>
      </c>
    </row>
    <row r="304" spans="1:4" ht="15.75" customHeight="1">
      <c r="A304" s="16">
        <v>71401</v>
      </c>
      <c r="B304" s="63" t="s">
        <v>307</v>
      </c>
      <c r="C304" s="64">
        <v>243292.33333333334</v>
      </c>
      <c r="D304" s="64">
        <v>879333.66666666663</v>
      </c>
    </row>
    <row r="305" spans="1:4" ht="15.75" customHeight="1">
      <c r="A305" s="16">
        <v>71402</v>
      </c>
      <c r="B305" s="63" t="s">
        <v>308</v>
      </c>
      <c r="C305" s="64">
        <v>313333.33333333331</v>
      </c>
      <c r="D305" s="64">
        <v>676666.66666666663</v>
      </c>
    </row>
    <row r="306" spans="1:4" ht="15.75" customHeight="1">
      <c r="A306" s="16">
        <v>71403</v>
      </c>
      <c r="B306" s="63" t="s">
        <v>309</v>
      </c>
      <c r="C306" s="64">
        <v>91666.666666666672</v>
      </c>
      <c r="D306" s="64">
        <v>11666.666666666666</v>
      </c>
    </row>
    <row r="307" spans="1:4" ht="15.75" customHeight="1">
      <c r="A307" s="16">
        <v>71501</v>
      </c>
      <c r="B307" s="63" t="s">
        <v>310</v>
      </c>
      <c r="C307" s="64">
        <v>115000</v>
      </c>
      <c r="D307" s="64">
        <v>672933.33333333337</v>
      </c>
    </row>
    <row r="308" spans="1:4" ht="15.75" customHeight="1">
      <c r="A308" s="16">
        <v>71502</v>
      </c>
      <c r="B308" s="63" t="s">
        <v>311</v>
      </c>
      <c r="C308" s="64">
        <v>144564.66666666666</v>
      </c>
      <c r="D308" s="64">
        <v>316310.66666666669</v>
      </c>
    </row>
    <row r="309" spans="1:4" ht="15.75" customHeight="1">
      <c r="A309" s="16">
        <v>71503</v>
      </c>
      <c r="B309" s="63" t="s">
        <v>257</v>
      </c>
      <c r="C309" s="64">
        <v>30733.333333333332</v>
      </c>
      <c r="D309" s="64">
        <v>165166.66666666666</v>
      </c>
    </row>
    <row r="310" spans="1:4" ht="15.75" customHeight="1">
      <c r="A310" s="16">
        <v>80101</v>
      </c>
      <c r="B310" s="63" t="s">
        <v>312</v>
      </c>
      <c r="C310" s="64">
        <v>5246642.666666667</v>
      </c>
      <c r="D310" s="64">
        <v>9665134.666666666</v>
      </c>
    </row>
    <row r="311" spans="1:4" ht="15.75" customHeight="1">
      <c r="A311" s="16">
        <v>80102</v>
      </c>
      <c r="B311" s="63" t="s">
        <v>299</v>
      </c>
      <c r="C311" s="64">
        <v>11333.333333333334</v>
      </c>
      <c r="D311" s="64">
        <v>40000</v>
      </c>
    </row>
    <row r="312" spans="1:4" ht="15.75" customHeight="1">
      <c r="A312" s="16">
        <v>80201</v>
      </c>
      <c r="B312" s="63" t="s">
        <v>313</v>
      </c>
      <c r="C312" s="64">
        <v>1947982.6666666667</v>
      </c>
      <c r="D312" s="64">
        <v>5138772.666666667</v>
      </c>
    </row>
    <row r="313" spans="1:4" ht="15.75" customHeight="1">
      <c r="A313" s="16">
        <v>80202</v>
      </c>
      <c r="B313" s="63" t="s">
        <v>314</v>
      </c>
      <c r="C313" s="64">
        <v>1213046.6666666667</v>
      </c>
      <c r="D313" s="64">
        <v>1533333.3333333333</v>
      </c>
    </row>
    <row r="314" spans="1:4" ht="15.75" customHeight="1">
      <c r="A314" s="16">
        <v>80301</v>
      </c>
      <c r="B314" s="63" t="s">
        <v>315</v>
      </c>
      <c r="C314" s="64">
        <v>66666.666666666672</v>
      </c>
      <c r="D314" s="64">
        <v>148677.66666666666</v>
      </c>
    </row>
    <row r="315" spans="1:4" ht="15.75" customHeight="1">
      <c r="A315" s="16">
        <v>80302</v>
      </c>
      <c r="B315" s="63" t="s">
        <v>316</v>
      </c>
      <c r="C315" s="64">
        <v>405853.33333333331</v>
      </c>
      <c r="D315" s="64">
        <v>2221563</v>
      </c>
    </row>
    <row r="316" spans="1:4" ht="15.75" customHeight="1">
      <c r="A316" s="16">
        <v>80303</v>
      </c>
      <c r="B316" s="63" t="s">
        <v>276</v>
      </c>
      <c r="C316" s="64">
        <v>206528.33333333334</v>
      </c>
      <c r="D316" s="64">
        <v>258066.66666666666</v>
      </c>
    </row>
    <row r="317" spans="1:4" ht="15.75" customHeight="1">
      <c r="A317" s="16">
        <v>80304</v>
      </c>
      <c r="B317" s="63" t="s">
        <v>317</v>
      </c>
      <c r="C317" s="64">
        <v>233333.33333333334</v>
      </c>
      <c r="D317" s="64">
        <v>938299</v>
      </c>
    </row>
    <row r="318" spans="1:4" ht="15.75" customHeight="1">
      <c r="A318" s="16">
        <v>80401</v>
      </c>
      <c r="B318" s="63" t="s">
        <v>318</v>
      </c>
      <c r="C318" s="64">
        <v>416666.66666666669</v>
      </c>
      <c r="D318" s="64">
        <v>453359.33333333331</v>
      </c>
    </row>
    <row r="319" spans="1:4" ht="15.75" customHeight="1">
      <c r="A319" s="16">
        <v>80402</v>
      </c>
      <c r="B319" s="63" t="s">
        <v>319</v>
      </c>
      <c r="C319" s="64">
        <v>34166.666666666664</v>
      </c>
      <c r="D319" s="64">
        <v>66666.666666666672</v>
      </c>
    </row>
    <row r="320" spans="1:4" ht="15.75" customHeight="1">
      <c r="A320" s="16">
        <v>80501</v>
      </c>
      <c r="B320" s="63" t="s">
        <v>265</v>
      </c>
      <c r="C320" s="64">
        <v>87269.666666666672</v>
      </c>
      <c r="D320" s="64">
        <v>319770</v>
      </c>
    </row>
    <row r="321" spans="1:4" ht="15.75" customHeight="1">
      <c r="A321" s="16">
        <v>80601</v>
      </c>
      <c r="B321" s="63" t="s">
        <v>320</v>
      </c>
      <c r="C321" s="64">
        <v>0</v>
      </c>
      <c r="D321" s="64">
        <v>0</v>
      </c>
    </row>
    <row r="322" spans="1:4" ht="15.75" customHeight="1">
      <c r="A322" s="16">
        <v>80602</v>
      </c>
      <c r="B322" s="63" t="s">
        <v>321</v>
      </c>
      <c r="C322" s="64">
        <v>0</v>
      </c>
      <c r="D322" s="64">
        <v>0</v>
      </c>
    </row>
    <row r="323" spans="1:4" ht="15.75" customHeight="1">
      <c r="A323" s="16">
        <v>80701</v>
      </c>
      <c r="B323" s="63" t="s">
        <v>322</v>
      </c>
      <c r="C323" s="64">
        <v>306666.66666666669</v>
      </c>
      <c r="D323" s="64">
        <v>440976.66666666669</v>
      </c>
    </row>
    <row r="324" spans="1:4" ht="15.75" customHeight="1">
      <c r="A324" s="16">
        <v>80702</v>
      </c>
      <c r="B324" s="63" t="s">
        <v>300</v>
      </c>
      <c r="C324" s="64">
        <v>58150.666666666664</v>
      </c>
      <c r="D324" s="64">
        <v>621333.33333333337</v>
      </c>
    </row>
    <row r="325" spans="1:4" ht="15.75" customHeight="1">
      <c r="A325" s="16">
        <v>80703</v>
      </c>
      <c r="B325" s="63" t="s">
        <v>323</v>
      </c>
      <c r="C325" s="64">
        <v>0</v>
      </c>
      <c r="D325" s="64">
        <v>5000</v>
      </c>
    </row>
    <row r="326" spans="1:4" ht="15.75" customHeight="1">
      <c r="A326" s="16">
        <v>80801</v>
      </c>
      <c r="B326" s="63" t="s">
        <v>324</v>
      </c>
      <c r="C326" s="64">
        <v>0</v>
      </c>
      <c r="D326" s="64">
        <v>124500</v>
      </c>
    </row>
    <row r="327" spans="1:4" ht="15.75" customHeight="1">
      <c r="A327" s="16">
        <v>80802</v>
      </c>
      <c r="B327" s="63" t="s">
        <v>325</v>
      </c>
      <c r="C327" s="64">
        <v>19000</v>
      </c>
      <c r="D327" s="64">
        <v>126673.33333333333</v>
      </c>
    </row>
    <row r="328" spans="1:4" ht="15.75" customHeight="1">
      <c r="A328" s="16">
        <v>80803</v>
      </c>
      <c r="B328" s="63" t="s">
        <v>326</v>
      </c>
      <c r="C328" s="64">
        <v>0</v>
      </c>
      <c r="D328" s="64">
        <v>238333.33333333334</v>
      </c>
    </row>
    <row r="329" spans="1:4" ht="15.75" customHeight="1">
      <c r="A329" s="16">
        <v>80901</v>
      </c>
      <c r="B329" s="63" t="s">
        <v>327</v>
      </c>
      <c r="C329" s="64">
        <v>0</v>
      </c>
      <c r="D329" s="64">
        <v>0</v>
      </c>
    </row>
    <row r="330" spans="1:4" ht="15.75" customHeight="1">
      <c r="A330" s="16">
        <v>90101</v>
      </c>
      <c r="B330" s="63" t="s">
        <v>328</v>
      </c>
      <c r="C330" s="64">
        <v>1370555</v>
      </c>
      <c r="D330" s="64">
        <v>4550001</v>
      </c>
    </row>
    <row r="331" spans="1:4" ht="15.75" customHeight="1">
      <c r="A331" s="16">
        <v>90102</v>
      </c>
      <c r="B331" s="63" t="s">
        <v>329</v>
      </c>
      <c r="C331" s="64">
        <v>373333.33333333331</v>
      </c>
      <c r="D331" s="64">
        <v>337548</v>
      </c>
    </row>
    <row r="332" spans="1:4" ht="15.75" customHeight="1">
      <c r="A332" s="16">
        <v>90103</v>
      </c>
      <c r="B332" s="63" t="s">
        <v>330</v>
      </c>
      <c r="C332" s="64">
        <v>0</v>
      </c>
      <c r="D332" s="64">
        <v>0</v>
      </c>
    </row>
    <row r="333" spans="1:4" ht="15.75" customHeight="1">
      <c r="A333" s="16">
        <v>90104</v>
      </c>
      <c r="B333" s="63" t="s">
        <v>331</v>
      </c>
      <c r="C333" s="64">
        <v>0</v>
      </c>
      <c r="D333" s="64">
        <v>99733.333333333328</v>
      </c>
    </row>
    <row r="334" spans="1:4" ht="15.75" customHeight="1">
      <c r="A334" s="16">
        <v>90201</v>
      </c>
      <c r="B334" s="63" t="s">
        <v>332</v>
      </c>
      <c r="C334" s="64">
        <v>0</v>
      </c>
      <c r="D334" s="64">
        <v>0</v>
      </c>
    </row>
    <row r="335" spans="1:4" ht="15.75" customHeight="1">
      <c r="A335" s="16">
        <v>90202</v>
      </c>
      <c r="B335" s="63" t="s">
        <v>222</v>
      </c>
      <c r="C335" s="64">
        <v>0</v>
      </c>
      <c r="D335" s="64">
        <v>0</v>
      </c>
    </row>
    <row r="336" spans="1:4" ht="15.75" customHeight="1">
      <c r="A336" s="16">
        <v>90203</v>
      </c>
      <c r="B336" s="63" t="s">
        <v>333</v>
      </c>
      <c r="C336" s="64">
        <v>76811.333333333328</v>
      </c>
      <c r="D336" s="64">
        <v>28333.333333333332</v>
      </c>
    </row>
    <row r="337" spans="1:4" ht="15.75" customHeight="1">
      <c r="A337" s="16">
        <v>90301</v>
      </c>
      <c r="B337" s="63" t="s">
        <v>334</v>
      </c>
      <c r="C337" s="64">
        <v>45001.333333333336</v>
      </c>
      <c r="D337" s="64">
        <v>32305.333333333332</v>
      </c>
    </row>
    <row r="338" spans="1:4" ht="15.75" customHeight="1">
      <c r="A338" s="16">
        <v>90302</v>
      </c>
      <c r="B338" s="63" t="s">
        <v>256</v>
      </c>
      <c r="C338" s="64">
        <v>55072.333333333336</v>
      </c>
      <c r="D338" s="64">
        <v>196551</v>
      </c>
    </row>
    <row r="339" spans="1:4" ht="15.75" customHeight="1">
      <c r="A339" s="16">
        <v>90303</v>
      </c>
      <c r="B339" s="63" t="s">
        <v>335</v>
      </c>
      <c r="C339" s="64">
        <v>103981.33333333333</v>
      </c>
      <c r="D339" s="64">
        <v>361860.33333333331</v>
      </c>
    </row>
    <row r="340" spans="1:4" ht="15.75" customHeight="1">
      <c r="A340" s="16">
        <v>90401</v>
      </c>
      <c r="B340" s="63" t="s">
        <v>276</v>
      </c>
      <c r="C340" s="64">
        <v>15248.333333333334</v>
      </c>
      <c r="D340" s="64">
        <v>92197.333333333328</v>
      </c>
    </row>
    <row r="341" spans="1:4" ht="15.75" customHeight="1">
      <c r="A341" s="16">
        <v>90402</v>
      </c>
      <c r="B341" s="63" t="s">
        <v>336</v>
      </c>
      <c r="C341" s="64">
        <v>0</v>
      </c>
      <c r="D341" s="64">
        <v>0</v>
      </c>
    </row>
    <row r="342" spans="1:4" ht="15.75" customHeight="1">
      <c r="A342" s="16">
        <v>90501</v>
      </c>
      <c r="B342" s="63" t="s">
        <v>337</v>
      </c>
      <c r="C342" s="64">
        <v>0</v>
      </c>
      <c r="D342" s="64">
        <v>0</v>
      </c>
    </row>
    <row r="343" spans="1:4" ht="15.75" customHeight="1">
      <c r="A343" s="16">
        <v>90502</v>
      </c>
      <c r="B343" s="63" t="s">
        <v>338</v>
      </c>
      <c r="C343" s="64">
        <v>19929.333333333332</v>
      </c>
      <c r="D343" s="64">
        <v>0</v>
      </c>
    </row>
    <row r="344" spans="1:4" ht="15.75" customHeight="1">
      <c r="A344" s="16">
        <v>90503</v>
      </c>
      <c r="B344" s="63" t="s">
        <v>339</v>
      </c>
      <c r="C344" s="64">
        <v>12166.666666666666</v>
      </c>
      <c r="D344" s="64">
        <v>0</v>
      </c>
    </row>
    <row r="345" spans="1:4" ht="15.75" customHeight="1">
      <c r="A345" s="51"/>
      <c r="B345" s="51"/>
      <c r="C345" s="56"/>
      <c r="D345" s="56"/>
    </row>
    <row r="346" spans="1:4" ht="15.75" customHeight="1">
      <c r="A346" s="51"/>
      <c r="B346" s="51"/>
      <c r="C346" s="56"/>
      <c r="D346" s="56"/>
    </row>
    <row r="347" spans="1:4" ht="15.75" customHeight="1">
      <c r="A347" s="51"/>
      <c r="B347" s="51"/>
      <c r="C347" s="56"/>
      <c r="D347" s="56"/>
    </row>
    <row r="348" spans="1:4" ht="15.75" customHeight="1">
      <c r="A348" s="51"/>
      <c r="B348" s="51"/>
      <c r="C348" s="56"/>
      <c r="D348" s="56"/>
    </row>
    <row r="349" spans="1:4" ht="15.75" customHeight="1">
      <c r="A349" s="51"/>
      <c r="B349" s="51"/>
      <c r="C349" s="56"/>
      <c r="D349" s="56"/>
    </row>
    <row r="350" spans="1:4" ht="15.75" customHeight="1">
      <c r="A350" s="51"/>
      <c r="B350" s="51"/>
      <c r="C350" s="56"/>
      <c r="D350" s="56"/>
    </row>
    <row r="351" spans="1:4" ht="15.75" customHeight="1">
      <c r="A351" s="51"/>
      <c r="B351" s="51"/>
      <c r="C351" s="56"/>
      <c r="D351" s="56"/>
    </row>
    <row r="352" spans="1:4" ht="15.75" customHeight="1">
      <c r="A352" s="51"/>
      <c r="B352" s="51"/>
      <c r="C352" s="56"/>
      <c r="D352" s="56"/>
    </row>
    <row r="353" spans="1:4" ht="15.75" customHeight="1">
      <c r="A353" s="51"/>
      <c r="B353" s="51"/>
      <c r="C353" s="56"/>
      <c r="D353" s="56"/>
    </row>
    <row r="354" spans="1:4" ht="15.75" customHeight="1">
      <c r="A354" s="51"/>
      <c r="B354" s="51"/>
      <c r="C354" s="56"/>
      <c r="D354" s="56"/>
    </row>
    <row r="355" spans="1:4" ht="15.75" customHeight="1">
      <c r="A355" s="51"/>
      <c r="B355" s="51"/>
      <c r="C355" s="56"/>
      <c r="D355" s="56"/>
    </row>
    <row r="356" spans="1:4" ht="15.75" customHeight="1">
      <c r="A356" s="51"/>
      <c r="B356" s="51"/>
      <c r="C356" s="56"/>
      <c r="D356" s="56"/>
    </row>
    <row r="357" spans="1:4" ht="15.75" customHeight="1">
      <c r="A357" s="51"/>
      <c r="B357" s="51"/>
      <c r="C357" s="56"/>
      <c r="D357" s="56"/>
    </row>
    <row r="358" spans="1:4" ht="15.75" customHeight="1">
      <c r="A358" s="51"/>
      <c r="B358" s="51"/>
      <c r="C358" s="56"/>
      <c r="D358" s="56"/>
    </row>
    <row r="359" spans="1:4" ht="15.75" customHeight="1">
      <c r="A359" s="51"/>
      <c r="B359" s="51"/>
      <c r="C359" s="56"/>
      <c r="D359" s="56"/>
    </row>
    <row r="360" spans="1:4" ht="15.75" customHeight="1">
      <c r="A360" s="51"/>
      <c r="B360" s="51"/>
      <c r="C360" s="56"/>
      <c r="D360" s="56"/>
    </row>
    <row r="361" spans="1:4" ht="15.75" customHeight="1">
      <c r="A361" s="51"/>
      <c r="B361" s="51"/>
      <c r="C361" s="56"/>
      <c r="D361" s="56"/>
    </row>
    <row r="362" spans="1:4" ht="15.75" customHeight="1">
      <c r="A362" s="51"/>
      <c r="B362" s="51"/>
      <c r="C362" s="56"/>
      <c r="D362" s="56"/>
    </row>
    <row r="363" spans="1:4" ht="15.75" customHeight="1">
      <c r="A363" s="51"/>
      <c r="B363" s="51"/>
      <c r="C363" s="56"/>
      <c r="D363" s="56"/>
    </row>
    <row r="364" spans="1:4" ht="15.75" customHeight="1">
      <c r="A364" s="51"/>
      <c r="B364" s="51"/>
      <c r="C364" s="56"/>
      <c r="D364" s="56"/>
    </row>
    <row r="365" spans="1:4" ht="15.75" customHeight="1">
      <c r="A365" s="51"/>
      <c r="B365" s="51"/>
      <c r="C365" s="56"/>
      <c r="D365" s="56"/>
    </row>
    <row r="366" spans="1:4" ht="15.75" customHeight="1">
      <c r="A366" s="51"/>
      <c r="B366" s="51"/>
      <c r="C366" s="56"/>
      <c r="D366" s="56"/>
    </row>
    <row r="367" spans="1:4" ht="15.75" customHeight="1">
      <c r="A367" s="51"/>
      <c r="B367" s="51"/>
      <c r="C367" s="56"/>
      <c r="D367" s="56"/>
    </row>
    <row r="368" spans="1:4" ht="15.75" customHeight="1">
      <c r="A368" s="51"/>
      <c r="B368" s="51"/>
      <c r="C368" s="56"/>
      <c r="D368" s="56"/>
    </row>
    <row r="369" spans="1:4" ht="15.75" customHeight="1">
      <c r="A369" s="51"/>
      <c r="B369" s="51"/>
      <c r="C369" s="56"/>
      <c r="D369" s="56"/>
    </row>
    <row r="370" spans="1:4" ht="15.75" customHeight="1">
      <c r="A370" s="51"/>
      <c r="B370" s="51"/>
      <c r="C370" s="56"/>
      <c r="D370" s="56"/>
    </row>
    <row r="371" spans="1:4" ht="15.75" customHeight="1">
      <c r="A371" s="51"/>
      <c r="B371" s="51"/>
      <c r="C371" s="56"/>
      <c r="D371" s="56"/>
    </row>
    <row r="372" spans="1:4" ht="15.75" customHeight="1">
      <c r="A372" s="51"/>
      <c r="B372" s="51"/>
      <c r="C372" s="56"/>
      <c r="D372" s="56"/>
    </row>
    <row r="373" spans="1:4" ht="15.75" customHeight="1">
      <c r="A373" s="51"/>
      <c r="B373" s="51"/>
      <c r="C373" s="56"/>
      <c r="D373" s="56"/>
    </row>
    <row r="374" spans="1:4" ht="15.75" customHeight="1">
      <c r="A374" s="51"/>
      <c r="B374" s="51"/>
      <c r="C374" s="56"/>
      <c r="D374" s="56"/>
    </row>
    <row r="375" spans="1:4" ht="15.75" customHeight="1">
      <c r="A375" s="51"/>
      <c r="B375" s="51"/>
      <c r="C375" s="56"/>
      <c r="D375" s="56"/>
    </row>
    <row r="376" spans="1:4" ht="15.75" customHeight="1">
      <c r="A376" s="51"/>
      <c r="B376" s="51"/>
      <c r="C376" s="56"/>
      <c r="D376" s="56"/>
    </row>
    <row r="377" spans="1:4" ht="15.75" customHeight="1">
      <c r="A377" s="51"/>
      <c r="B377" s="51"/>
      <c r="C377" s="56"/>
      <c r="D377" s="56"/>
    </row>
    <row r="378" spans="1:4" ht="15.75" customHeight="1">
      <c r="A378" s="51"/>
      <c r="B378" s="51"/>
      <c r="C378" s="56"/>
      <c r="D378" s="56"/>
    </row>
    <row r="379" spans="1:4" ht="15.75" customHeight="1">
      <c r="A379" s="51"/>
      <c r="B379" s="51"/>
      <c r="C379" s="56"/>
      <c r="D379" s="56"/>
    </row>
    <row r="380" spans="1:4" ht="15.75" customHeight="1">
      <c r="A380" s="51"/>
      <c r="B380" s="51"/>
      <c r="C380" s="56"/>
      <c r="D380" s="56"/>
    </row>
    <row r="381" spans="1:4" ht="15.75" customHeight="1">
      <c r="A381" s="51"/>
      <c r="B381" s="51"/>
      <c r="C381" s="56"/>
      <c r="D381" s="56"/>
    </row>
    <row r="382" spans="1:4" ht="15.75" customHeight="1">
      <c r="A382" s="51"/>
      <c r="B382" s="51"/>
      <c r="C382" s="56"/>
      <c r="D382" s="56"/>
    </row>
    <row r="383" spans="1:4" ht="15.75" customHeight="1">
      <c r="A383" s="51"/>
      <c r="B383" s="51"/>
      <c r="C383" s="56"/>
      <c r="D383" s="56"/>
    </row>
    <row r="384" spans="1:4" ht="15.75" customHeight="1">
      <c r="A384" s="51"/>
      <c r="B384" s="51"/>
      <c r="C384" s="56"/>
      <c r="D384" s="56"/>
    </row>
    <row r="385" spans="1:4" ht="15.75" customHeight="1">
      <c r="A385" s="51"/>
      <c r="B385" s="51"/>
      <c r="C385" s="56"/>
      <c r="D385" s="56"/>
    </row>
    <row r="386" spans="1:4" ht="15.75" customHeight="1">
      <c r="A386" s="51"/>
      <c r="B386" s="51"/>
      <c r="C386" s="56"/>
      <c r="D386" s="56"/>
    </row>
    <row r="387" spans="1:4" ht="15.75" customHeight="1">
      <c r="A387" s="51"/>
      <c r="B387" s="51"/>
      <c r="C387" s="56"/>
      <c r="D387" s="56"/>
    </row>
    <row r="388" spans="1:4" ht="15.75" customHeight="1">
      <c r="A388" s="51"/>
      <c r="B388" s="51"/>
      <c r="C388" s="56"/>
      <c r="D388" s="56"/>
    </row>
    <row r="389" spans="1:4" ht="15.75" customHeight="1">
      <c r="A389" s="51"/>
      <c r="B389" s="51"/>
      <c r="C389" s="56"/>
      <c r="D389" s="56"/>
    </row>
    <row r="390" spans="1:4" ht="15.75" customHeight="1">
      <c r="A390" s="51"/>
      <c r="B390" s="51"/>
      <c r="C390" s="56"/>
      <c r="D390" s="56"/>
    </row>
    <row r="391" spans="1:4" ht="15.75" customHeight="1">
      <c r="A391" s="51"/>
      <c r="B391" s="51"/>
      <c r="C391" s="56"/>
      <c r="D391" s="56"/>
    </row>
    <row r="392" spans="1:4" ht="15.75" customHeight="1">
      <c r="A392" s="51"/>
      <c r="B392" s="51"/>
      <c r="C392" s="56"/>
      <c r="D392" s="56"/>
    </row>
    <row r="393" spans="1:4" ht="15.75" customHeight="1">
      <c r="A393" s="51"/>
      <c r="B393" s="51"/>
      <c r="C393" s="56"/>
      <c r="D393" s="56"/>
    </row>
    <row r="394" spans="1:4" ht="15.75" customHeight="1">
      <c r="A394" s="51"/>
      <c r="B394" s="51"/>
      <c r="C394" s="56"/>
      <c r="D394" s="56"/>
    </row>
    <row r="395" spans="1:4" ht="15.75" customHeight="1">
      <c r="A395" s="51"/>
      <c r="B395" s="51"/>
      <c r="C395" s="56"/>
      <c r="D395" s="56"/>
    </row>
    <row r="396" spans="1:4" ht="15.75" customHeight="1">
      <c r="A396" s="51"/>
      <c r="B396" s="51"/>
      <c r="C396" s="56"/>
      <c r="D396" s="56"/>
    </row>
    <row r="397" spans="1:4" ht="15.75" customHeight="1">
      <c r="A397" s="51"/>
      <c r="B397" s="51"/>
      <c r="C397" s="56"/>
      <c r="D397" s="56"/>
    </row>
    <row r="398" spans="1:4" ht="15.75" customHeight="1">
      <c r="A398" s="51"/>
      <c r="B398" s="51"/>
      <c r="C398" s="56"/>
      <c r="D398" s="56"/>
    </row>
    <row r="399" spans="1:4" ht="15.75" customHeight="1">
      <c r="A399" s="51"/>
      <c r="B399" s="51"/>
      <c r="C399" s="56"/>
      <c r="D399" s="56"/>
    </row>
    <row r="400" spans="1:4" ht="15.75" customHeight="1">
      <c r="A400" s="51"/>
      <c r="B400" s="51"/>
      <c r="C400" s="56"/>
      <c r="D400" s="56"/>
    </row>
    <row r="401" spans="1:4" ht="15.75" customHeight="1">
      <c r="A401" s="51"/>
      <c r="B401" s="51"/>
      <c r="C401" s="56"/>
      <c r="D401" s="56"/>
    </row>
    <row r="402" spans="1:4" ht="15.75" customHeight="1">
      <c r="A402" s="51"/>
      <c r="B402" s="51"/>
      <c r="C402" s="56"/>
      <c r="D402" s="56"/>
    </row>
    <row r="403" spans="1:4" ht="15.75" customHeight="1">
      <c r="A403" s="51"/>
      <c r="B403" s="51"/>
      <c r="C403" s="56"/>
      <c r="D403" s="56"/>
    </row>
    <row r="404" spans="1:4" ht="15.75" customHeight="1">
      <c r="A404" s="51"/>
      <c r="B404" s="51"/>
      <c r="C404" s="56"/>
      <c r="D404" s="56"/>
    </row>
    <row r="405" spans="1:4" ht="15.75" customHeight="1">
      <c r="A405" s="51"/>
      <c r="B405" s="51"/>
      <c r="C405" s="56"/>
      <c r="D405" s="56"/>
    </row>
    <row r="406" spans="1:4" ht="15.75" customHeight="1">
      <c r="A406" s="51"/>
      <c r="B406" s="51"/>
      <c r="C406" s="56"/>
      <c r="D406" s="56"/>
    </row>
    <row r="407" spans="1:4" ht="15.75" customHeight="1">
      <c r="A407" s="51"/>
      <c r="B407" s="51"/>
      <c r="C407" s="56"/>
      <c r="D407" s="56"/>
    </row>
    <row r="408" spans="1:4" ht="15.75" customHeight="1">
      <c r="A408" s="51"/>
      <c r="B408" s="51"/>
      <c r="C408" s="56"/>
      <c r="D408" s="56"/>
    </row>
    <row r="409" spans="1:4" ht="15.75" customHeight="1">
      <c r="A409" s="51"/>
      <c r="B409" s="51"/>
      <c r="C409" s="56"/>
      <c r="D409" s="56"/>
    </row>
    <row r="410" spans="1:4" ht="15.75" customHeight="1">
      <c r="A410" s="51"/>
      <c r="B410" s="51"/>
      <c r="C410" s="56"/>
      <c r="D410" s="56"/>
    </row>
    <row r="411" spans="1:4" ht="15.75" customHeight="1">
      <c r="A411" s="51"/>
      <c r="B411" s="51"/>
      <c r="C411" s="56"/>
      <c r="D411" s="56"/>
    </row>
    <row r="412" spans="1:4" ht="15.75" customHeight="1">
      <c r="A412" s="51"/>
      <c r="B412" s="51"/>
      <c r="C412" s="56"/>
      <c r="D412" s="56"/>
    </row>
    <row r="413" spans="1:4" ht="15.75" customHeight="1">
      <c r="A413" s="51"/>
      <c r="B413" s="51"/>
      <c r="C413" s="56"/>
      <c r="D413" s="56"/>
    </row>
    <row r="414" spans="1:4" ht="15.75" customHeight="1">
      <c r="A414" s="51"/>
      <c r="B414" s="51"/>
      <c r="C414" s="56"/>
      <c r="D414" s="56"/>
    </row>
    <row r="415" spans="1:4" ht="15.75" customHeight="1">
      <c r="A415" s="51"/>
      <c r="B415" s="51"/>
      <c r="C415" s="56"/>
      <c r="D415" s="56"/>
    </row>
    <row r="416" spans="1:4" ht="15.75" customHeight="1">
      <c r="A416" s="51"/>
      <c r="B416" s="51"/>
      <c r="C416" s="56"/>
      <c r="D416" s="56"/>
    </row>
    <row r="417" spans="1:4" ht="15.75" customHeight="1">
      <c r="A417" s="51"/>
      <c r="B417" s="51"/>
      <c r="C417" s="56"/>
      <c r="D417" s="56"/>
    </row>
    <row r="418" spans="1:4" ht="15.75" customHeight="1">
      <c r="A418" s="51"/>
      <c r="B418" s="51"/>
      <c r="C418" s="56"/>
      <c r="D418" s="56"/>
    </row>
    <row r="419" spans="1:4" ht="15.75" customHeight="1">
      <c r="A419" s="51"/>
      <c r="B419" s="51"/>
      <c r="C419" s="56"/>
      <c r="D419" s="56"/>
    </row>
    <row r="420" spans="1:4" ht="15.75" customHeight="1">
      <c r="A420" s="51"/>
      <c r="B420" s="51"/>
      <c r="C420" s="56"/>
      <c r="D420" s="56"/>
    </row>
    <row r="421" spans="1:4" ht="15.75" customHeight="1">
      <c r="A421" s="51"/>
      <c r="B421" s="51"/>
      <c r="C421" s="56"/>
      <c r="D421" s="56"/>
    </row>
    <row r="422" spans="1:4" ht="15.75" customHeight="1">
      <c r="A422" s="51"/>
      <c r="B422" s="51"/>
      <c r="C422" s="56"/>
      <c r="D422" s="56"/>
    </row>
    <row r="423" spans="1:4" ht="15.75" customHeight="1">
      <c r="A423" s="51"/>
      <c r="B423" s="51"/>
      <c r="C423" s="56"/>
      <c r="D423" s="56"/>
    </row>
    <row r="424" spans="1:4" ht="15.75" customHeight="1">
      <c r="A424" s="51"/>
      <c r="B424" s="51"/>
      <c r="C424" s="56"/>
      <c r="D424" s="56"/>
    </row>
    <row r="425" spans="1:4" ht="15.75" customHeight="1">
      <c r="A425" s="51"/>
      <c r="B425" s="51"/>
      <c r="C425" s="56"/>
      <c r="D425" s="56"/>
    </row>
    <row r="426" spans="1:4" ht="15.75" customHeight="1">
      <c r="A426" s="51"/>
      <c r="B426" s="51"/>
      <c r="C426" s="56"/>
      <c r="D426" s="56"/>
    </row>
    <row r="427" spans="1:4" ht="15.75" customHeight="1">
      <c r="A427" s="51"/>
      <c r="B427" s="51"/>
      <c r="C427" s="56"/>
      <c r="D427" s="56"/>
    </row>
    <row r="428" spans="1:4" ht="15.75" customHeight="1">
      <c r="A428" s="51"/>
      <c r="B428" s="51"/>
      <c r="C428" s="56"/>
      <c r="D428" s="56"/>
    </row>
    <row r="429" spans="1:4" ht="15.75" customHeight="1">
      <c r="A429" s="51"/>
      <c r="B429" s="51"/>
      <c r="C429" s="56"/>
      <c r="D429" s="56"/>
    </row>
    <row r="430" spans="1:4" ht="15.75" customHeight="1">
      <c r="A430" s="51"/>
      <c r="B430" s="51"/>
      <c r="C430" s="56"/>
      <c r="D430" s="56"/>
    </row>
    <row r="431" spans="1:4" ht="15.75" customHeight="1">
      <c r="A431" s="51"/>
      <c r="B431" s="51"/>
      <c r="C431" s="56"/>
      <c r="D431" s="56"/>
    </row>
    <row r="432" spans="1:4" ht="15.75" customHeight="1">
      <c r="A432" s="51"/>
      <c r="B432" s="51"/>
      <c r="C432" s="56"/>
      <c r="D432" s="56"/>
    </row>
    <row r="433" spans="1:4" ht="15.75" customHeight="1">
      <c r="A433" s="51"/>
      <c r="B433" s="51"/>
      <c r="C433" s="56"/>
      <c r="D433" s="56"/>
    </row>
    <row r="434" spans="1:4" ht="15.75" customHeight="1">
      <c r="A434" s="51"/>
      <c r="B434" s="51"/>
      <c r="C434" s="56"/>
      <c r="D434" s="56"/>
    </row>
    <row r="435" spans="1:4" ht="15.75" customHeight="1">
      <c r="A435" s="51"/>
      <c r="B435" s="51"/>
      <c r="C435" s="56"/>
      <c r="D435" s="56"/>
    </row>
    <row r="436" spans="1:4" ht="15.75" customHeight="1">
      <c r="A436" s="51"/>
      <c r="B436" s="51"/>
      <c r="C436" s="56"/>
      <c r="D436" s="56"/>
    </row>
    <row r="437" spans="1:4" ht="15.75" customHeight="1">
      <c r="A437" s="51"/>
      <c r="B437" s="51"/>
      <c r="C437" s="56"/>
      <c r="D437" s="56"/>
    </row>
    <row r="438" spans="1:4" ht="15.75" customHeight="1">
      <c r="A438" s="51"/>
      <c r="B438" s="51"/>
      <c r="C438" s="56"/>
      <c r="D438" s="56"/>
    </row>
    <row r="439" spans="1:4" ht="15.75" customHeight="1">
      <c r="A439" s="51"/>
      <c r="B439" s="51"/>
      <c r="C439" s="56"/>
      <c r="D439" s="56"/>
    </row>
    <row r="440" spans="1:4" ht="15.75" customHeight="1">
      <c r="A440" s="51"/>
      <c r="B440" s="51"/>
      <c r="C440" s="56"/>
      <c r="D440" s="56"/>
    </row>
    <row r="441" spans="1:4" ht="15.75" customHeight="1">
      <c r="A441" s="51"/>
      <c r="B441" s="51"/>
      <c r="C441" s="56"/>
      <c r="D441" s="56"/>
    </row>
    <row r="442" spans="1:4" ht="15.75" customHeight="1">
      <c r="A442" s="51"/>
      <c r="B442" s="51"/>
      <c r="C442" s="56"/>
      <c r="D442" s="56"/>
    </row>
    <row r="443" spans="1:4" ht="15.75" customHeight="1">
      <c r="A443" s="51"/>
      <c r="B443" s="51"/>
      <c r="C443" s="56"/>
      <c r="D443" s="56"/>
    </row>
    <row r="444" spans="1:4" ht="15.75" customHeight="1">
      <c r="A444" s="51"/>
      <c r="B444" s="51"/>
      <c r="C444" s="56"/>
      <c r="D444" s="56"/>
    </row>
    <row r="445" spans="1:4" ht="15.75" customHeight="1">
      <c r="A445" s="51"/>
      <c r="B445" s="51"/>
      <c r="C445" s="56"/>
      <c r="D445" s="56"/>
    </row>
    <row r="446" spans="1:4" ht="15.75" customHeight="1">
      <c r="A446" s="51"/>
      <c r="B446" s="51"/>
      <c r="C446" s="56"/>
      <c r="D446" s="56"/>
    </row>
    <row r="447" spans="1:4" ht="15.75" customHeight="1">
      <c r="A447" s="51"/>
      <c r="B447" s="51"/>
      <c r="C447" s="56"/>
      <c r="D447" s="56"/>
    </row>
    <row r="448" spans="1:4" ht="15.75" customHeight="1">
      <c r="A448" s="51"/>
      <c r="B448" s="51"/>
      <c r="C448" s="56"/>
      <c r="D448" s="56"/>
    </row>
    <row r="449" spans="1:4" ht="15.75" customHeight="1">
      <c r="A449" s="51"/>
      <c r="B449" s="51"/>
      <c r="C449" s="56"/>
      <c r="D449" s="56"/>
    </row>
    <row r="450" spans="1:4" ht="15.75" customHeight="1">
      <c r="A450" s="51"/>
      <c r="B450" s="51"/>
      <c r="C450" s="56"/>
      <c r="D450" s="56"/>
    </row>
    <row r="451" spans="1:4" ht="15.75" customHeight="1">
      <c r="A451" s="51"/>
      <c r="B451" s="51"/>
      <c r="C451" s="56"/>
      <c r="D451" s="56"/>
    </row>
    <row r="452" spans="1:4" ht="15.75" customHeight="1">
      <c r="A452" s="51"/>
      <c r="B452" s="51"/>
      <c r="C452" s="56"/>
      <c r="D452" s="56"/>
    </row>
    <row r="453" spans="1:4" ht="15.75" customHeight="1">
      <c r="A453" s="51"/>
      <c r="B453" s="51"/>
      <c r="C453" s="56"/>
      <c r="D453" s="56"/>
    </row>
    <row r="454" spans="1:4" ht="15.75" customHeight="1">
      <c r="A454" s="51"/>
      <c r="B454" s="51"/>
      <c r="C454" s="56"/>
      <c r="D454" s="56"/>
    </row>
    <row r="455" spans="1:4" ht="15.75" customHeight="1">
      <c r="A455" s="51"/>
      <c r="B455" s="51"/>
      <c r="C455" s="56"/>
      <c r="D455" s="56"/>
    </row>
    <row r="456" spans="1:4" ht="15.75" customHeight="1">
      <c r="A456" s="51"/>
      <c r="B456" s="51"/>
      <c r="C456" s="56"/>
      <c r="D456" s="56"/>
    </row>
    <row r="457" spans="1:4" ht="15.75" customHeight="1">
      <c r="A457" s="51"/>
      <c r="B457" s="51"/>
      <c r="C457" s="56"/>
      <c r="D457" s="56"/>
    </row>
    <row r="458" spans="1:4" ht="15.75" customHeight="1">
      <c r="A458" s="51"/>
      <c r="B458" s="51"/>
      <c r="C458" s="56"/>
      <c r="D458" s="56"/>
    </row>
    <row r="459" spans="1:4" ht="15.75" customHeight="1">
      <c r="A459" s="51"/>
      <c r="B459" s="51"/>
      <c r="C459" s="56"/>
      <c r="D459" s="56"/>
    </row>
    <row r="460" spans="1:4" ht="15.75" customHeight="1">
      <c r="A460" s="51"/>
      <c r="B460" s="51"/>
      <c r="C460" s="56"/>
      <c r="D460" s="56"/>
    </row>
    <row r="461" spans="1:4" ht="15.75" customHeight="1">
      <c r="A461" s="51"/>
      <c r="B461" s="51"/>
      <c r="C461" s="56"/>
      <c r="D461" s="56"/>
    </row>
    <row r="462" spans="1:4" ht="15.75" customHeight="1">
      <c r="A462" s="51"/>
      <c r="B462" s="51"/>
      <c r="C462" s="56"/>
      <c r="D462" s="56"/>
    </row>
    <row r="463" spans="1:4" ht="15.75" customHeight="1">
      <c r="A463" s="51"/>
      <c r="B463" s="51"/>
      <c r="C463" s="56"/>
      <c r="D463" s="56"/>
    </row>
    <row r="464" spans="1:4" ht="15.75" customHeight="1">
      <c r="A464" s="51"/>
      <c r="B464" s="51"/>
      <c r="C464" s="56"/>
      <c r="D464" s="56"/>
    </row>
    <row r="465" spans="1:4" ht="15.75" customHeight="1">
      <c r="A465" s="51"/>
      <c r="B465" s="51"/>
      <c r="C465" s="56"/>
      <c r="D465" s="56"/>
    </row>
    <row r="466" spans="1:4" ht="15.75" customHeight="1">
      <c r="A466" s="51"/>
      <c r="B466" s="51"/>
      <c r="C466" s="56"/>
      <c r="D466" s="56"/>
    </row>
    <row r="467" spans="1:4" ht="15.75" customHeight="1">
      <c r="A467" s="51"/>
      <c r="B467" s="51"/>
      <c r="C467" s="56"/>
      <c r="D467" s="56"/>
    </row>
    <row r="468" spans="1:4" ht="15.75" customHeight="1">
      <c r="A468" s="51"/>
      <c r="B468" s="51"/>
      <c r="C468" s="56"/>
      <c r="D468" s="56"/>
    </row>
    <row r="469" spans="1:4" ht="15.75" customHeight="1">
      <c r="A469" s="51"/>
      <c r="B469" s="51"/>
      <c r="C469" s="56"/>
      <c r="D469" s="56"/>
    </row>
    <row r="470" spans="1:4" ht="15.75" customHeight="1">
      <c r="A470" s="51"/>
      <c r="B470" s="51"/>
      <c r="C470" s="56"/>
      <c r="D470" s="56"/>
    </row>
    <row r="471" spans="1:4" ht="15.75" customHeight="1">
      <c r="A471" s="51"/>
      <c r="B471" s="51"/>
      <c r="C471" s="56"/>
      <c r="D471" s="56"/>
    </row>
    <row r="472" spans="1:4" ht="15.75" customHeight="1">
      <c r="A472" s="51"/>
      <c r="B472" s="51"/>
      <c r="C472" s="56"/>
      <c r="D472" s="56"/>
    </row>
    <row r="473" spans="1:4" ht="15.75" customHeight="1">
      <c r="A473" s="51"/>
      <c r="B473" s="51"/>
      <c r="C473" s="56"/>
      <c r="D473" s="56"/>
    </row>
    <row r="474" spans="1:4" ht="15.75" customHeight="1">
      <c r="A474" s="51"/>
      <c r="B474" s="51"/>
      <c r="C474" s="56"/>
      <c r="D474" s="56"/>
    </row>
    <row r="475" spans="1:4" ht="15.75" customHeight="1">
      <c r="A475" s="51"/>
      <c r="B475" s="51"/>
      <c r="C475" s="56"/>
      <c r="D475" s="56"/>
    </row>
    <row r="476" spans="1:4" ht="15.75" customHeight="1">
      <c r="A476" s="51"/>
      <c r="B476" s="51"/>
      <c r="C476" s="56"/>
      <c r="D476" s="56"/>
    </row>
    <row r="477" spans="1:4" ht="15.75" customHeight="1">
      <c r="A477" s="51"/>
      <c r="B477" s="51"/>
      <c r="C477" s="56"/>
      <c r="D477" s="56"/>
    </row>
    <row r="478" spans="1:4" ht="15.75" customHeight="1">
      <c r="A478" s="51"/>
      <c r="B478" s="51"/>
      <c r="C478" s="56"/>
      <c r="D478" s="56"/>
    </row>
    <row r="479" spans="1:4" ht="15.75" customHeight="1">
      <c r="A479" s="51"/>
      <c r="B479" s="51"/>
      <c r="C479" s="56"/>
      <c r="D479" s="56"/>
    </row>
    <row r="480" spans="1:4" ht="15.75" customHeight="1">
      <c r="A480" s="51"/>
      <c r="B480" s="51"/>
      <c r="C480" s="56"/>
      <c r="D480" s="56"/>
    </row>
    <row r="481" spans="1:4" ht="15.75" customHeight="1">
      <c r="A481" s="51"/>
      <c r="B481" s="51"/>
      <c r="C481" s="56"/>
      <c r="D481" s="56"/>
    </row>
    <row r="482" spans="1:4" ht="15.75" customHeight="1">
      <c r="A482" s="51"/>
      <c r="B482" s="51"/>
      <c r="C482" s="56"/>
      <c r="D482" s="56"/>
    </row>
    <row r="483" spans="1:4" ht="15.75" customHeight="1">
      <c r="A483" s="51"/>
      <c r="B483" s="51"/>
      <c r="C483" s="56"/>
      <c r="D483" s="56"/>
    </row>
    <row r="484" spans="1:4" ht="15.75" customHeight="1">
      <c r="A484" s="51"/>
      <c r="B484" s="51"/>
      <c r="C484" s="56"/>
      <c r="D484" s="56"/>
    </row>
    <row r="485" spans="1:4" ht="15.75" customHeight="1">
      <c r="A485" s="51"/>
      <c r="B485" s="51"/>
      <c r="C485" s="56"/>
      <c r="D485" s="56"/>
    </row>
    <row r="486" spans="1:4" ht="15.75" customHeight="1">
      <c r="A486" s="51"/>
      <c r="B486" s="51"/>
      <c r="C486" s="56"/>
      <c r="D486" s="56"/>
    </row>
    <row r="487" spans="1:4" ht="15.75" customHeight="1">
      <c r="A487" s="51"/>
      <c r="B487" s="51"/>
      <c r="C487" s="56"/>
      <c r="D487" s="56"/>
    </row>
    <row r="488" spans="1:4" ht="15.75" customHeight="1">
      <c r="A488" s="51"/>
      <c r="B488" s="51"/>
      <c r="C488" s="56"/>
      <c r="D488" s="56"/>
    </row>
    <row r="489" spans="1:4" ht="15.75" customHeight="1">
      <c r="A489" s="51"/>
      <c r="B489" s="51"/>
      <c r="C489" s="56"/>
      <c r="D489" s="56"/>
    </row>
    <row r="490" spans="1:4" ht="15.75" customHeight="1">
      <c r="A490" s="51"/>
      <c r="B490" s="51"/>
      <c r="C490" s="56"/>
      <c r="D490" s="56"/>
    </row>
    <row r="491" spans="1:4" ht="15.75" customHeight="1">
      <c r="A491" s="51"/>
      <c r="B491" s="51"/>
      <c r="C491" s="56"/>
      <c r="D491" s="56"/>
    </row>
    <row r="492" spans="1:4" ht="15.75" customHeight="1">
      <c r="A492" s="51"/>
      <c r="B492" s="51"/>
      <c r="C492" s="56"/>
      <c r="D492" s="56"/>
    </row>
    <row r="493" spans="1:4" ht="15.75" customHeight="1">
      <c r="A493" s="51"/>
      <c r="B493" s="51"/>
      <c r="C493" s="56"/>
      <c r="D493" s="56"/>
    </row>
    <row r="494" spans="1:4" ht="15.75" customHeight="1">
      <c r="A494" s="51"/>
      <c r="B494" s="51"/>
      <c r="C494" s="56"/>
      <c r="D494" s="56"/>
    </row>
    <row r="495" spans="1:4" ht="15.75" customHeight="1">
      <c r="A495" s="51"/>
      <c r="B495" s="51"/>
      <c r="C495" s="56"/>
      <c r="D495" s="56"/>
    </row>
    <row r="496" spans="1:4" ht="15.75" customHeight="1">
      <c r="A496" s="51"/>
      <c r="B496" s="51"/>
      <c r="C496" s="56"/>
      <c r="D496" s="56"/>
    </row>
    <row r="497" spans="1:4" ht="15.75" customHeight="1">
      <c r="A497" s="51"/>
      <c r="B497" s="51"/>
      <c r="C497" s="56"/>
      <c r="D497" s="56"/>
    </row>
    <row r="498" spans="1:4" ht="15.75" customHeight="1">
      <c r="A498" s="51"/>
      <c r="B498" s="51"/>
      <c r="C498" s="56"/>
      <c r="D498" s="56"/>
    </row>
    <row r="499" spans="1:4" ht="15.75" customHeight="1">
      <c r="A499" s="51"/>
      <c r="B499" s="51"/>
      <c r="C499" s="56"/>
      <c r="D499" s="56"/>
    </row>
    <row r="500" spans="1:4" ht="15.75" customHeight="1">
      <c r="A500" s="51"/>
      <c r="B500" s="51"/>
      <c r="C500" s="56"/>
      <c r="D500" s="56"/>
    </row>
    <row r="501" spans="1:4" ht="15.75" customHeight="1">
      <c r="A501" s="51"/>
      <c r="B501" s="51"/>
      <c r="C501" s="56"/>
      <c r="D501" s="56"/>
    </row>
    <row r="502" spans="1:4" ht="15.75" customHeight="1">
      <c r="A502" s="51"/>
      <c r="B502" s="51"/>
      <c r="C502" s="56"/>
      <c r="D502" s="56"/>
    </row>
    <row r="503" spans="1:4" ht="15.75" customHeight="1">
      <c r="A503" s="51"/>
      <c r="B503" s="51"/>
      <c r="C503" s="56"/>
      <c r="D503" s="56"/>
    </row>
    <row r="504" spans="1:4" ht="15.75" customHeight="1">
      <c r="A504" s="51"/>
      <c r="B504" s="51"/>
      <c r="C504" s="56"/>
      <c r="D504" s="56"/>
    </row>
    <row r="505" spans="1:4" ht="15.75" customHeight="1">
      <c r="A505" s="51"/>
      <c r="B505" s="51"/>
      <c r="C505" s="56"/>
      <c r="D505" s="56"/>
    </row>
    <row r="506" spans="1:4" ht="15.75" customHeight="1">
      <c r="A506" s="51"/>
      <c r="B506" s="51"/>
      <c r="C506" s="56"/>
      <c r="D506" s="56"/>
    </row>
    <row r="507" spans="1:4" ht="15.75" customHeight="1">
      <c r="A507" s="51"/>
      <c r="B507" s="51"/>
      <c r="C507" s="56"/>
      <c r="D507" s="56"/>
    </row>
    <row r="508" spans="1:4" ht="15.75" customHeight="1">
      <c r="A508" s="51"/>
      <c r="B508" s="51"/>
      <c r="C508" s="56"/>
      <c r="D508" s="56"/>
    </row>
    <row r="509" spans="1:4" ht="15.75" customHeight="1">
      <c r="A509" s="51"/>
      <c r="B509" s="51"/>
      <c r="C509" s="56"/>
      <c r="D509" s="56"/>
    </row>
    <row r="510" spans="1:4" ht="15.75" customHeight="1">
      <c r="A510" s="51"/>
      <c r="B510" s="51"/>
      <c r="C510" s="56"/>
      <c r="D510" s="56"/>
    </row>
    <row r="511" spans="1:4" ht="15.75" customHeight="1">
      <c r="A511" s="51"/>
      <c r="B511" s="51"/>
      <c r="C511" s="56"/>
      <c r="D511" s="56"/>
    </row>
    <row r="512" spans="1:4" ht="15.75" customHeight="1">
      <c r="A512" s="51"/>
      <c r="B512" s="51"/>
      <c r="C512" s="56"/>
      <c r="D512" s="56"/>
    </row>
    <row r="513" spans="1:4" ht="15.75" customHeight="1">
      <c r="A513" s="51"/>
      <c r="B513" s="51"/>
      <c r="C513" s="56"/>
      <c r="D513" s="56"/>
    </row>
    <row r="514" spans="1:4" ht="15.75" customHeight="1">
      <c r="A514" s="51"/>
      <c r="B514" s="51"/>
      <c r="C514" s="56"/>
      <c r="D514" s="56"/>
    </row>
    <row r="515" spans="1:4" ht="15.75" customHeight="1">
      <c r="A515" s="51"/>
      <c r="B515" s="51"/>
      <c r="C515" s="56"/>
      <c r="D515" s="56"/>
    </row>
    <row r="516" spans="1:4" ht="15.75" customHeight="1">
      <c r="A516" s="51"/>
      <c r="B516" s="51"/>
      <c r="C516" s="56"/>
      <c r="D516" s="56"/>
    </row>
    <row r="517" spans="1:4" ht="15.75" customHeight="1">
      <c r="A517" s="51"/>
      <c r="B517" s="51"/>
      <c r="C517" s="56"/>
      <c r="D517" s="56"/>
    </row>
    <row r="518" spans="1:4" ht="15.75" customHeight="1">
      <c r="A518" s="51"/>
      <c r="B518" s="51"/>
      <c r="C518" s="56"/>
      <c r="D518" s="56"/>
    </row>
    <row r="519" spans="1:4" ht="15.75" customHeight="1">
      <c r="A519" s="51"/>
      <c r="B519" s="51"/>
      <c r="C519" s="56"/>
      <c r="D519" s="56"/>
    </row>
    <row r="520" spans="1:4" ht="15.75" customHeight="1">
      <c r="A520" s="51"/>
      <c r="B520" s="51"/>
      <c r="C520" s="56"/>
      <c r="D520" s="56"/>
    </row>
    <row r="521" spans="1:4" ht="15.75" customHeight="1">
      <c r="A521" s="51"/>
      <c r="B521" s="51"/>
      <c r="C521" s="56"/>
      <c r="D521" s="56"/>
    </row>
    <row r="522" spans="1:4" ht="15.75" customHeight="1">
      <c r="A522" s="51"/>
      <c r="B522" s="51"/>
      <c r="C522" s="56"/>
      <c r="D522" s="56"/>
    </row>
    <row r="523" spans="1:4" ht="15.75" customHeight="1">
      <c r="A523" s="51"/>
      <c r="B523" s="51"/>
      <c r="C523" s="56"/>
      <c r="D523" s="56"/>
    </row>
    <row r="524" spans="1:4" ht="15.75" customHeight="1">
      <c r="A524" s="51"/>
      <c r="B524" s="51"/>
      <c r="C524" s="56"/>
      <c r="D524" s="56"/>
    </row>
    <row r="525" spans="1:4" ht="15.75" customHeight="1">
      <c r="A525" s="51"/>
      <c r="B525" s="51"/>
      <c r="C525" s="56"/>
      <c r="D525" s="56"/>
    </row>
    <row r="526" spans="1:4" ht="15.75" customHeight="1">
      <c r="A526" s="51"/>
      <c r="B526" s="51"/>
      <c r="C526" s="56"/>
      <c r="D526" s="56"/>
    </row>
    <row r="527" spans="1:4" ht="15.75" customHeight="1">
      <c r="A527" s="51"/>
      <c r="B527" s="51"/>
      <c r="C527" s="56"/>
      <c r="D527" s="56"/>
    </row>
    <row r="528" spans="1:4" ht="15.75" customHeight="1">
      <c r="A528" s="51"/>
      <c r="B528" s="51"/>
      <c r="C528" s="56"/>
      <c r="D528" s="56"/>
    </row>
    <row r="529" spans="1:4" ht="15.75" customHeight="1">
      <c r="A529" s="51"/>
      <c r="B529" s="51"/>
      <c r="C529" s="56"/>
      <c r="D529" s="56"/>
    </row>
    <row r="530" spans="1:4" ht="15.75" customHeight="1">
      <c r="A530" s="51"/>
      <c r="B530" s="51"/>
      <c r="C530" s="56"/>
      <c r="D530" s="56"/>
    </row>
    <row r="531" spans="1:4" ht="15.75" customHeight="1">
      <c r="A531" s="51"/>
      <c r="B531" s="51"/>
      <c r="C531" s="56"/>
      <c r="D531" s="56"/>
    </row>
    <row r="532" spans="1:4" ht="15.75" customHeight="1">
      <c r="A532" s="51"/>
      <c r="B532" s="51"/>
      <c r="C532" s="56"/>
      <c r="D532" s="56"/>
    </row>
    <row r="533" spans="1:4" ht="15.75" customHeight="1">
      <c r="A533" s="51"/>
      <c r="B533" s="51"/>
      <c r="C533" s="56"/>
      <c r="D533" s="56"/>
    </row>
    <row r="534" spans="1:4" ht="15.75" customHeight="1">
      <c r="A534" s="51"/>
      <c r="B534" s="51"/>
      <c r="C534" s="56"/>
      <c r="D534" s="56"/>
    </row>
    <row r="535" spans="1:4" ht="15.75" customHeight="1">
      <c r="A535" s="51"/>
      <c r="B535" s="51"/>
      <c r="C535" s="56"/>
      <c r="D535" s="56"/>
    </row>
    <row r="536" spans="1:4" ht="15.75" customHeight="1">
      <c r="A536" s="51"/>
      <c r="B536" s="51"/>
      <c r="C536" s="56"/>
      <c r="D536" s="56"/>
    </row>
    <row r="537" spans="1:4" ht="15.75" customHeight="1">
      <c r="A537" s="51"/>
      <c r="B537" s="51"/>
      <c r="C537" s="56"/>
      <c r="D537" s="56"/>
    </row>
    <row r="538" spans="1:4" ht="15.75" customHeight="1">
      <c r="A538" s="51"/>
      <c r="B538" s="51"/>
      <c r="C538" s="56"/>
      <c r="D538" s="56"/>
    </row>
    <row r="539" spans="1:4" ht="15.75" customHeight="1">
      <c r="A539" s="51"/>
      <c r="B539" s="51"/>
      <c r="C539" s="56"/>
      <c r="D539" s="56"/>
    </row>
    <row r="540" spans="1:4" ht="15.75" customHeight="1">
      <c r="A540" s="51"/>
      <c r="B540" s="51"/>
      <c r="C540" s="56"/>
      <c r="D540" s="56"/>
    </row>
    <row r="541" spans="1:4" ht="15.75" customHeight="1">
      <c r="A541" s="51"/>
      <c r="B541" s="51"/>
      <c r="C541" s="56"/>
      <c r="D541" s="56"/>
    </row>
    <row r="542" spans="1:4" ht="15.75" customHeight="1">
      <c r="A542" s="51"/>
      <c r="B542" s="51"/>
      <c r="C542" s="56"/>
      <c r="D542" s="56"/>
    </row>
    <row r="543" spans="1:4" ht="15.75" customHeight="1">
      <c r="A543" s="51"/>
      <c r="B543" s="51"/>
      <c r="C543" s="56"/>
      <c r="D543" s="56"/>
    </row>
    <row r="544" spans="1:4" ht="15.75" customHeight="1">
      <c r="A544" s="51"/>
      <c r="B544" s="51"/>
      <c r="C544" s="56"/>
      <c r="D544" s="56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F1000"/>
  <sheetViews>
    <sheetView workbookViewId="0">
      <selection activeCell="D12" sqref="D12"/>
    </sheetView>
  </sheetViews>
  <sheetFormatPr baseColWidth="10" defaultColWidth="12.6640625" defaultRowHeight="15" customHeight="1"/>
  <cols>
    <col min="1" max="6" width="12.6640625" customWidth="1"/>
  </cols>
  <sheetData>
    <row r="1" spans="1:6" ht="15.75" customHeight="1">
      <c r="A1" s="57" t="s">
        <v>362</v>
      </c>
      <c r="B1" s="57" t="s">
        <v>363</v>
      </c>
      <c r="C1" s="78" t="s">
        <v>376</v>
      </c>
      <c r="D1" s="78" t="s">
        <v>377</v>
      </c>
    </row>
    <row r="2" spans="1:6" ht="15.75" customHeight="1">
      <c r="A2" s="63">
        <v>1</v>
      </c>
      <c r="B2" s="63" t="s">
        <v>364</v>
      </c>
      <c r="C2" s="65">
        <v>6.4558145074071804</v>
      </c>
      <c r="D2" s="65">
        <v>4.7739977939537548</v>
      </c>
    </row>
    <row r="3" spans="1:6" ht="15.75" customHeight="1">
      <c r="A3" s="63">
        <v>2</v>
      </c>
      <c r="B3" s="63" t="s">
        <v>365</v>
      </c>
      <c r="C3" s="65">
        <v>35.369328104483429</v>
      </c>
      <c r="D3" s="65">
        <v>132.80616989308052</v>
      </c>
    </row>
    <row r="4" spans="1:6" ht="15.75" customHeight="1">
      <c r="A4" s="63">
        <v>3</v>
      </c>
      <c r="B4" s="63" t="s">
        <v>124</v>
      </c>
      <c r="C4" s="65">
        <v>17.765955699950737</v>
      </c>
      <c r="D4" s="65">
        <v>95.787540351231584</v>
      </c>
    </row>
    <row r="5" spans="1:6" ht="15.75" customHeight="1">
      <c r="A5" s="63">
        <v>4</v>
      </c>
      <c r="B5" s="63" t="s">
        <v>172</v>
      </c>
      <c r="C5" s="65">
        <v>1.3416179093280143</v>
      </c>
      <c r="D5" s="65">
        <v>9.6964947179322944</v>
      </c>
    </row>
    <row r="6" spans="1:6" ht="15.75" customHeight="1">
      <c r="A6" s="63">
        <v>5</v>
      </c>
      <c r="B6" s="63" t="s">
        <v>206</v>
      </c>
      <c r="C6" s="65">
        <v>2.2901685392507072</v>
      </c>
      <c r="D6" s="65">
        <v>21.736277493935532</v>
      </c>
    </row>
    <row r="7" spans="1:6" ht="15.75" customHeight="1">
      <c r="A7" s="63">
        <v>6</v>
      </c>
      <c r="B7" s="63" t="s">
        <v>248</v>
      </c>
      <c r="C7" s="65">
        <v>29.293184298790312</v>
      </c>
      <c r="D7" s="65">
        <v>71.260588426317071</v>
      </c>
    </row>
    <row r="8" spans="1:6" ht="15.75" customHeight="1">
      <c r="A8" s="63">
        <v>7</v>
      </c>
      <c r="B8" s="63" t="s">
        <v>366</v>
      </c>
      <c r="C8" s="65">
        <v>45.517461384731341</v>
      </c>
      <c r="D8" s="65">
        <v>120.11171973481328</v>
      </c>
      <c r="F8" s="51"/>
    </row>
    <row r="9" spans="1:6" ht="15.75" customHeight="1">
      <c r="A9" s="63">
        <v>8</v>
      </c>
      <c r="B9" s="63" t="s">
        <v>367</v>
      </c>
      <c r="C9" s="65">
        <v>24.133621586671811</v>
      </c>
      <c r="D9" s="65">
        <v>46.170402341252604</v>
      </c>
    </row>
    <row r="10" spans="1:6" ht="15.75" customHeight="1">
      <c r="A10" s="63">
        <v>9</v>
      </c>
      <c r="B10" s="63" t="s">
        <v>368</v>
      </c>
      <c r="C10" s="65">
        <v>18.566836052092366</v>
      </c>
      <c r="D10" s="65">
        <v>43.075510159389289</v>
      </c>
    </row>
    <row r="11" spans="1:6" ht="15.75" customHeight="1">
      <c r="A11" s="63">
        <v>10</v>
      </c>
      <c r="B11" s="63" t="s">
        <v>370</v>
      </c>
      <c r="C11" s="65">
        <v>29.56415825300348</v>
      </c>
      <c r="D11" s="65">
        <v>71.534663094285023</v>
      </c>
    </row>
    <row r="12" spans="1:6" ht="15.75" customHeight="1">
      <c r="A12" s="63">
        <v>11</v>
      </c>
      <c r="B12" s="63" t="s">
        <v>369</v>
      </c>
      <c r="C12" s="65">
        <v>27.967838571166535</v>
      </c>
      <c r="D12" s="65">
        <v>93.589228783522614</v>
      </c>
    </row>
    <row r="13" spans="1:6" ht="15.75" customHeight="1"/>
    <row r="14" spans="1:6" ht="15.75" customHeight="1">
      <c r="C14" s="54"/>
      <c r="D14" s="54"/>
    </row>
    <row r="15" spans="1:6" ht="15.75" customHeight="1">
      <c r="C15" s="54"/>
      <c r="D15" s="54"/>
    </row>
    <row r="16" spans="1:6" ht="15.75" customHeight="1">
      <c r="C16" s="54"/>
      <c r="D16" s="54"/>
    </row>
    <row r="17" spans="3:4" ht="15.75" customHeight="1">
      <c r="C17" s="54"/>
      <c r="D17" s="54"/>
    </row>
    <row r="18" spans="3:4" ht="15.75" customHeight="1">
      <c r="C18" s="54"/>
      <c r="D18" s="54"/>
    </row>
    <row r="19" spans="3:4" ht="15.75" customHeight="1">
      <c r="C19" s="54"/>
      <c r="D19" s="54"/>
    </row>
    <row r="20" spans="3:4" ht="15.75" customHeight="1">
      <c r="C20" s="54"/>
      <c r="D20" s="54"/>
    </row>
    <row r="21" spans="3:4" ht="15.75" customHeight="1">
      <c r="C21" s="54"/>
      <c r="D21" s="54"/>
    </row>
    <row r="22" spans="3:4" ht="15.75" customHeight="1">
      <c r="C22" s="54"/>
      <c r="D22" s="54"/>
    </row>
    <row r="23" spans="3:4" ht="15.75" customHeight="1">
      <c r="C23" s="54"/>
      <c r="D23" s="54"/>
    </row>
    <row r="24" spans="3:4" ht="15.75" customHeight="1">
      <c r="C24" s="54"/>
      <c r="D24" s="54"/>
    </row>
    <row r="25" spans="3:4" ht="15.75" customHeight="1">
      <c r="C25" s="54"/>
      <c r="D25" s="54"/>
    </row>
    <row r="26" spans="3:4" ht="15.75" customHeight="1">
      <c r="C26" s="54"/>
      <c r="D26" s="54"/>
    </row>
    <row r="27" spans="3:4" ht="15.75" customHeight="1">
      <c r="C27" s="54"/>
      <c r="D27" s="54"/>
    </row>
    <row r="28" spans="3:4" ht="15.75" customHeight="1">
      <c r="C28" s="54"/>
      <c r="D28" s="54"/>
    </row>
    <row r="29" spans="3:4" ht="15.75" customHeight="1">
      <c r="C29" s="54"/>
      <c r="D29" s="54"/>
    </row>
    <row r="30" spans="3:4" ht="15.75" customHeight="1">
      <c r="C30" s="54"/>
      <c r="D30" s="54"/>
    </row>
    <row r="31" spans="3:4" ht="15.75" customHeight="1">
      <c r="C31" s="54"/>
      <c r="D31" s="54"/>
    </row>
    <row r="32" spans="3:4" ht="15.75" customHeight="1">
      <c r="C32" s="54"/>
      <c r="D32" s="54"/>
    </row>
    <row r="33" spans="3:4" ht="15.75" customHeight="1">
      <c r="C33" s="54"/>
      <c r="D33" s="54"/>
    </row>
    <row r="34" spans="3:4" ht="15.75" customHeight="1">
      <c r="C34" s="54"/>
      <c r="D34" s="54"/>
    </row>
    <row r="35" spans="3:4" ht="15.75" customHeight="1">
      <c r="C35" s="54"/>
      <c r="D35" s="54"/>
    </row>
    <row r="36" spans="3:4" ht="15.75" customHeight="1">
      <c r="C36" s="54"/>
      <c r="D36" s="54"/>
    </row>
    <row r="37" spans="3:4" ht="15.75" customHeight="1">
      <c r="C37" s="54"/>
      <c r="D37" s="54"/>
    </row>
    <row r="38" spans="3:4" ht="15.75" customHeight="1">
      <c r="C38" s="54"/>
      <c r="D38" s="54"/>
    </row>
    <row r="39" spans="3:4" ht="15.75" customHeight="1">
      <c r="C39" s="54"/>
      <c r="D39" s="54"/>
    </row>
    <row r="40" spans="3:4" ht="15.75" customHeight="1">
      <c r="C40" s="54"/>
      <c r="D40" s="54"/>
    </row>
    <row r="41" spans="3:4" ht="15.75" customHeight="1">
      <c r="C41" s="54"/>
      <c r="D41" s="54"/>
    </row>
    <row r="42" spans="3:4" ht="15.75" customHeight="1">
      <c r="C42" s="54"/>
      <c r="D42" s="54"/>
    </row>
    <row r="43" spans="3:4" ht="15.75" customHeight="1">
      <c r="C43" s="54"/>
      <c r="D43" s="54"/>
    </row>
    <row r="44" spans="3:4" ht="15.75" customHeight="1">
      <c r="C44" s="54"/>
      <c r="D44" s="54"/>
    </row>
    <row r="45" spans="3:4" ht="15.75" customHeight="1">
      <c r="C45" s="54"/>
      <c r="D45" s="54"/>
    </row>
    <row r="46" spans="3:4" ht="15.75" customHeight="1">
      <c r="C46" s="54"/>
      <c r="D46" s="54"/>
    </row>
    <row r="47" spans="3:4" ht="15.75" customHeight="1">
      <c r="C47" s="54"/>
      <c r="D47" s="54"/>
    </row>
    <row r="48" spans="3:4" ht="15.75" customHeight="1">
      <c r="C48" s="54"/>
      <c r="D48" s="54"/>
    </row>
    <row r="49" spans="3:4" ht="15.75" customHeight="1">
      <c r="C49" s="54"/>
      <c r="D49" s="54"/>
    </row>
    <row r="50" spans="3:4" ht="15.75" customHeight="1">
      <c r="C50" s="54"/>
      <c r="D50" s="54"/>
    </row>
    <row r="51" spans="3:4" ht="15.75" customHeight="1">
      <c r="C51" s="54"/>
      <c r="D51" s="54"/>
    </row>
    <row r="52" spans="3:4" ht="15.75" customHeight="1">
      <c r="C52" s="54"/>
      <c r="D52" s="54"/>
    </row>
    <row r="53" spans="3:4" ht="15.75" customHeight="1">
      <c r="C53" s="54"/>
      <c r="D53" s="54"/>
    </row>
    <row r="54" spans="3:4" ht="15.75" customHeight="1">
      <c r="C54" s="54"/>
      <c r="D54" s="54"/>
    </row>
    <row r="55" spans="3:4" ht="15.75" customHeight="1">
      <c r="C55" s="54"/>
      <c r="D55" s="54"/>
    </row>
    <row r="56" spans="3:4" ht="15.75" customHeight="1">
      <c r="C56" s="54"/>
      <c r="D56" s="54"/>
    </row>
    <row r="57" spans="3:4" ht="15.75" customHeight="1">
      <c r="C57" s="54"/>
      <c r="D57" s="54"/>
    </row>
    <row r="58" spans="3:4" ht="15.75" customHeight="1">
      <c r="C58" s="54"/>
      <c r="D58" s="54"/>
    </row>
    <row r="59" spans="3:4" ht="15.75" customHeight="1">
      <c r="C59" s="54"/>
      <c r="D59" s="54"/>
    </row>
    <row r="60" spans="3:4" ht="15.75" customHeight="1">
      <c r="C60" s="54"/>
      <c r="D60" s="54"/>
    </row>
    <row r="61" spans="3:4" ht="15.75" customHeight="1">
      <c r="C61" s="54"/>
      <c r="D61" s="54"/>
    </row>
    <row r="62" spans="3:4" ht="15.75" customHeight="1">
      <c r="C62" s="54"/>
      <c r="D62" s="54"/>
    </row>
    <row r="63" spans="3:4" ht="15.75" customHeight="1">
      <c r="C63" s="54"/>
      <c r="D63" s="54"/>
    </row>
    <row r="64" spans="3:4" ht="15.75" customHeight="1">
      <c r="C64" s="54"/>
      <c r="D64" s="54"/>
    </row>
    <row r="65" spans="3:4" ht="15.75" customHeight="1">
      <c r="C65" s="54"/>
      <c r="D65" s="54"/>
    </row>
    <row r="66" spans="3:4" ht="15.75" customHeight="1">
      <c r="C66" s="54"/>
      <c r="D66" s="54"/>
    </row>
    <row r="67" spans="3:4" ht="15.75" customHeight="1">
      <c r="C67" s="54"/>
      <c r="D67" s="54"/>
    </row>
    <row r="68" spans="3:4" ht="15.75" customHeight="1">
      <c r="C68" s="54"/>
      <c r="D68" s="54"/>
    </row>
    <row r="69" spans="3:4" ht="15.75" customHeight="1">
      <c r="C69" s="54"/>
      <c r="D69" s="54"/>
    </row>
    <row r="70" spans="3:4" ht="15.75" customHeight="1">
      <c r="C70" s="54"/>
      <c r="D70" s="54"/>
    </row>
    <row r="71" spans="3:4" ht="15.75" customHeight="1">
      <c r="C71" s="54"/>
      <c r="D71" s="54"/>
    </row>
    <row r="72" spans="3:4" ht="15.75" customHeight="1">
      <c r="C72" s="54"/>
      <c r="D72" s="54"/>
    </row>
    <row r="73" spans="3:4" ht="15.75" customHeight="1">
      <c r="C73" s="54"/>
      <c r="D73" s="54"/>
    </row>
    <row r="74" spans="3:4" ht="15.75" customHeight="1">
      <c r="C74" s="54"/>
      <c r="D74" s="54"/>
    </row>
    <row r="75" spans="3:4" ht="15.75" customHeight="1">
      <c r="C75" s="54"/>
      <c r="D75" s="54"/>
    </row>
    <row r="76" spans="3:4" ht="15.75" customHeight="1">
      <c r="C76" s="54"/>
      <c r="D76" s="54"/>
    </row>
    <row r="77" spans="3:4" ht="15.75" customHeight="1">
      <c r="C77" s="54"/>
      <c r="D77" s="54"/>
    </row>
    <row r="78" spans="3:4" ht="15.75" customHeight="1">
      <c r="C78" s="54"/>
      <c r="D78" s="54"/>
    </row>
    <row r="79" spans="3:4" ht="15.75" customHeight="1">
      <c r="C79" s="54"/>
      <c r="D79" s="54"/>
    </row>
    <row r="80" spans="3:4" ht="15.75" customHeight="1">
      <c r="C80" s="54"/>
      <c r="D80" s="54"/>
    </row>
    <row r="81" spans="3:4" ht="15.75" customHeight="1">
      <c r="C81" s="54"/>
      <c r="D81" s="54"/>
    </row>
    <row r="82" spans="3:4" ht="15.75" customHeight="1">
      <c r="C82" s="54"/>
      <c r="D82" s="54"/>
    </row>
    <row r="83" spans="3:4" ht="15.75" customHeight="1">
      <c r="C83" s="54"/>
      <c r="D83" s="54"/>
    </row>
    <row r="84" spans="3:4" ht="15.75" customHeight="1">
      <c r="C84" s="54"/>
      <c r="D84" s="54"/>
    </row>
    <row r="85" spans="3:4" ht="15.75" customHeight="1">
      <c r="C85" s="54"/>
      <c r="D85" s="54"/>
    </row>
    <row r="86" spans="3:4" ht="15.75" customHeight="1">
      <c r="C86" s="54"/>
      <c r="D86" s="54"/>
    </row>
    <row r="87" spans="3:4" ht="15.75" customHeight="1">
      <c r="C87" s="54"/>
      <c r="D87" s="54"/>
    </row>
    <row r="88" spans="3:4" ht="15.75" customHeight="1">
      <c r="C88" s="54"/>
      <c r="D88" s="54"/>
    </row>
    <row r="89" spans="3:4" ht="15.75" customHeight="1">
      <c r="C89" s="54"/>
      <c r="D89" s="54"/>
    </row>
    <row r="90" spans="3:4" ht="15.75" customHeight="1">
      <c r="C90" s="54"/>
      <c r="D90" s="54"/>
    </row>
    <row r="91" spans="3:4" ht="15.75" customHeight="1">
      <c r="C91" s="54"/>
      <c r="D91" s="54"/>
    </row>
    <row r="92" spans="3:4" ht="15.75" customHeight="1">
      <c r="C92" s="54"/>
      <c r="D92" s="54"/>
    </row>
    <row r="93" spans="3:4" ht="15.75" customHeight="1">
      <c r="C93" s="54"/>
      <c r="D93" s="54"/>
    </row>
    <row r="94" spans="3:4" ht="15.75" customHeight="1">
      <c r="C94" s="54"/>
      <c r="D94" s="54"/>
    </row>
    <row r="95" spans="3:4" ht="15.75" customHeight="1">
      <c r="C95" s="54"/>
      <c r="D95" s="54"/>
    </row>
    <row r="96" spans="3:4" ht="15.75" customHeight="1">
      <c r="C96" s="54"/>
      <c r="D96" s="54"/>
    </row>
    <row r="97" spans="3:4" ht="15.75" customHeight="1">
      <c r="C97" s="54"/>
      <c r="D97" s="54"/>
    </row>
    <row r="98" spans="3:4" ht="15.75" customHeight="1">
      <c r="C98" s="54"/>
      <c r="D98" s="54"/>
    </row>
    <row r="99" spans="3:4" ht="15.75" customHeight="1">
      <c r="C99" s="54"/>
      <c r="D99" s="54"/>
    </row>
    <row r="100" spans="3:4" ht="15.75" customHeight="1">
      <c r="C100" s="54"/>
      <c r="D100" s="54"/>
    </row>
    <row r="101" spans="3:4" ht="15.75" customHeight="1">
      <c r="C101" s="54"/>
      <c r="D101" s="54"/>
    </row>
    <row r="102" spans="3:4" ht="15.75" customHeight="1">
      <c r="C102" s="54"/>
      <c r="D102" s="54"/>
    </row>
    <row r="103" spans="3:4" ht="15.75" customHeight="1">
      <c r="C103" s="54"/>
      <c r="D103" s="54"/>
    </row>
    <row r="104" spans="3:4" ht="15.75" customHeight="1">
      <c r="C104" s="54"/>
      <c r="D104" s="54"/>
    </row>
    <row r="105" spans="3:4" ht="15.75" customHeight="1">
      <c r="C105" s="54"/>
      <c r="D105" s="54"/>
    </row>
    <row r="106" spans="3:4" ht="15.75" customHeight="1">
      <c r="C106" s="54"/>
      <c r="D106" s="54"/>
    </row>
    <row r="107" spans="3:4" ht="15.75" customHeight="1">
      <c r="C107" s="54"/>
      <c r="D107" s="54"/>
    </row>
    <row r="108" spans="3:4" ht="15.75" customHeight="1">
      <c r="C108" s="54"/>
      <c r="D108" s="54"/>
    </row>
    <row r="109" spans="3:4" ht="15.75" customHeight="1">
      <c r="C109" s="54"/>
      <c r="D109" s="54"/>
    </row>
    <row r="110" spans="3:4" ht="15.75" customHeight="1">
      <c r="C110" s="54"/>
      <c r="D110" s="54"/>
    </row>
    <row r="111" spans="3:4" ht="15.75" customHeight="1">
      <c r="C111" s="54"/>
      <c r="D111" s="54"/>
    </row>
    <row r="112" spans="3:4" ht="15.75" customHeight="1">
      <c r="C112" s="54"/>
      <c r="D112" s="54"/>
    </row>
    <row r="113" spans="3:4" ht="15.75" customHeight="1">
      <c r="C113" s="54"/>
      <c r="D113" s="54"/>
    </row>
    <row r="114" spans="3:4" ht="15.75" customHeight="1">
      <c r="C114" s="54"/>
      <c r="D114" s="54"/>
    </row>
    <row r="115" spans="3:4" ht="15.75" customHeight="1">
      <c r="C115" s="54"/>
      <c r="D115" s="54"/>
    </row>
    <row r="116" spans="3:4" ht="15.75" customHeight="1">
      <c r="C116" s="54"/>
      <c r="D116" s="54"/>
    </row>
    <row r="117" spans="3:4" ht="15.75" customHeight="1">
      <c r="C117" s="54"/>
      <c r="D117" s="54"/>
    </row>
    <row r="118" spans="3:4" ht="15.75" customHeight="1">
      <c r="C118" s="54"/>
      <c r="D118" s="54"/>
    </row>
    <row r="119" spans="3:4" ht="15.75" customHeight="1">
      <c r="C119" s="54"/>
      <c r="D119" s="54"/>
    </row>
    <row r="120" spans="3:4" ht="15.75" customHeight="1">
      <c r="C120" s="54"/>
      <c r="D120" s="54"/>
    </row>
    <row r="121" spans="3:4" ht="15.75" customHeight="1">
      <c r="C121" s="54"/>
      <c r="D121" s="54"/>
    </row>
    <row r="122" spans="3:4" ht="15.75" customHeight="1">
      <c r="C122" s="54"/>
      <c r="D122" s="54"/>
    </row>
    <row r="123" spans="3:4" ht="15.75" customHeight="1">
      <c r="C123" s="54"/>
      <c r="D123" s="54"/>
    </row>
    <row r="124" spans="3:4" ht="15.75" customHeight="1">
      <c r="C124" s="54"/>
      <c r="D124" s="54"/>
    </row>
    <row r="125" spans="3:4" ht="15.75" customHeight="1">
      <c r="C125" s="54"/>
      <c r="D125" s="54"/>
    </row>
    <row r="126" spans="3:4" ht="15.75" customHeight="1">
      <c r="C126" s="54"/>
      <c r="D126" s="54"/>
    </row>
    <row r="127" spans="3:4" ht="15.75" customHeight="1">
      <c r="C127" s="54"/>
      <c r="D127" s="54"/>
    </row>
    <row r="128" spans="3:4" ht="15.75" customHeight="1">
      <c r="C128" s="54"/>
      <c r="D128" s="54"/>
    </row>
    <row r="129" spans="3:4" ht="15.75" customHeight="1">
      <c r="C129" s="54"/>
      <c r="D129" s="54"/>
    </row>
    <row r="130" spans="3:4" ht="15.75" customHeight="1">
      <c r="C130" s="54"/>
      <c r="D130" s="54"/>
    </row>
    <row r="131" spans="3:4" ht="15.75" customHeight="1">
      <c r="C131" s="54"/>
      <c r="D131" s="54"/>
    </row>
    <row r="132" spans="3:4" ht="15.75" customHeight="1">
      <c r="C132" s="54"/>
      <c r="D132" s="54"/>
    </row>
    <row r="133" spans="3:4" ht="15.75" customHeight="1">
      <c r="C133" s="54"/>
      <c r="D133" s="54"/>
    </row>
    <row r="134" spans="3:4" ht="15.75" customHeight="1">
      <c r="C134" s="54"/>
      <c r="D134" s="54"/>
    </row>
    <row r="135" spans="3:4" ht="15.75" customHeight="1">
      <c r="C135" s="54"/>
      <c r="D135" s="54"/>
    </row>
    <row r="136" spans="3:4" ht="15.75" customHeight="1">
      <c r="C136" s="54"/>
      <c r="D136" s="54"/>
    </row>
    <row r="137" spans="3:4" ht="15.75" customHeight="1">
      <c r="C137" s="54"/>
      <c r="D137" s="54"/>
    </row>
    <row r="138" spans="3:4" ht="15.75" customHeight="1">
      <c r="C138" s="54"/>
      <c r="D138" s="54"/>
    </row>
    <row r="139" spans="3:4" ht="15.75" customHeight="1">
      <c r="C139" s="54"/>
      <c r="D139" s="54"/>
    </row>
    <row r="140" spans="3:4" ht="15.75" customHeight="1">
      <c r="C140" s="54"/>
      <c r="D140" s="54"/>
    </row>
    <row r="141" spans="3:4" ht="15.75" customHeight="1">
      <c r="C141" s="54"/>
      <c r="D141" s="54"/>
    </row>
    <row r="142" spans="3:4" ht="15.75" customHeight="1">
      <c r="C142" s="54"/>
      <c r="D142" s="54"/>
    </row>
    <row r="143" spans="3:4" ht="15.75" customHeight="1">
      <c r="C143" s="54"/>
      <c r="D143" s="54"/>
    </row>
    <row r="144" spans="3:4" ht="15.75" customHeight="1">
      <c r="C144" s="54"/>
      <c r="D144" s="54"/>
    </row>
    <row r="145" spans="3:4" ht="15.75" customHeight="1">
      <c r="C145" s="54"/>
      <c r="D145" s="54"/>
    </row>
    <row r="146" spans="3:4" ht="15.75" customHeight="1">
      <c r="C146" s="54"/>
      <c r="D146" s="54"/>
    </row>
    <row r="147" spans="3:4" ht="15.75" customHeight="1">
      <c r="C147" s="54"/>
      <c r="D147" s="54"/>
    </row>
    <row r="148" spans="3:4" ht="15.75" customHeight="1">
      <c r="C148" s="54"/>
      <c r="D148" s="54"/>
    </row>
    <row r="149" spans="3:4" ht="15.75" customHeight="1">
      <c r="C149" s="54"/>
      <c r="D149" s="54"/>
    </row>
    <row r="150" spans="3:4" ht="15.75" customHeight="1">
      <c r="C150" s="54"/>
      <c r="D150" s="54"/>
    </row>
    <row r="151" spans="3:4" ht="15.75" customHeight="1">
      <c r="C151" s="54"/>
      <c r="D151" s="54"/>
    </row>
    <row r="152" spans="3:4" ht="15.75" customHeight="1">
      <c r="C152" s="54"/>
      <c r="D152" s="54"/>
    </row>
    <row r="153" spans="3:4" ht="15.75" customHeight="1">
      <c r="C153" s="54"/>
      <c r="D153" s="54"/>
    </row>
    <row r="154" spans="3:4" ht="15.75" customHeight="1">
      <c r="C154" s="54"/>
      <c r="D154" s="54"/>
    </row>
    <row r="155" spans="3:4" ht="15.75" customHeight="1">
      <c r="C155" s="54"/>
      <c r="D155" s="54"/>
    </row>
    <row r="156" spans="3:4" ht="15.75" customHeight="1">
      <c r="C156" s="54"/>
      <c r="D156" s="54"/>
    </row>
    <row r="157" spans="3:4" ht="15.75" customHeight="1">
      <c r="C157" s="54"/>
      <c r="D157" s="54"/>
    </row>
    <row r="158" spans="3:4" ht="15.75" customHeight="1">
      <c r="C158" s="54"/>
      <c r="D158" s="54"/>
    </row>
    <row r="159" spans="3:4" ht="15.75" customHeight="1">
      <c r="C159" s="54"/>
      <c r="D159" s="54"/>
    </row>
    <row r="160" spans="3:4" ht="15.75" customHeight="1">
      <c r="C160" s="54"/>
      <c r="D160" s="54"/>
    </row>
    <row r="161" spans="3:4" ht="15.75" customHeight="1">
      <c r="C161" s="54"/>
      <c r="D161" s="54"/>
    </row>
    <row r="162" spans="3:4" ht="15.75" customHeight="1">
      <c r="C162" s="54"/>
      <c r="D162" s="54"/>
    </row>
    <row r="163" spans="3:4" ht="15.75" customHeight="1">
      <c r="C163" s="54"/>
      <c r="D163" s="54"/>
    </row>
    <row r="164" spans="3:4" ht="15.75" customHeight="1">
      <c r="C164" s="54"/>
      <c r="D164" s="54"/>
    </row>
    <row r="165" spans="3:4" ht="15.75" customHeight="1">
      <c r="C165" s="54"/>
      <c r="D165" s="54"/>
    </row>
    <row r="166" spans="3:4" ht="15.75" customHeight="1">
      <c r="C166" s="54"/>
      <c r="D166" s="54"/>
    </row>
    <row r="167" spans="3:4" ht="15.75" customHeight="1">
      <c r="C167" s="54"/>
      <c r="D167" s="54"/>
    </row>
    <row r="168" spans="3:4" ht="15.75" customHeight="1">
      <c r="C168" s="54"/>
      <c r="D168" s="54"/>
    </row>
    <row r="169" spans="3:4" ht="15.75" customHeight="1">
      <c r="C169" s="54"/>
      <c r="D169" s="54"/>
    </row>
    <row r="170" spans="3:4" ht="15.75" customHeight="1">
      <c r="C170" s="54"/>
      <c r="D170" s="54"/>
    </row>
    <row r="171" spans="3:4" ht="15.75" customHeight="1">
      <c r="C171" s="54"/>
      <c r="D171" s="54"/>
    </row>
    <row r="172" spans="3:4" ht="15.75" customHeight="1">
      <c r="C172" s="54"/>
      <c r="D172" s="54"/>
    </row>
    <row r="173" spans="3:4" ht="15.75" customHeight="1">
      <c r="C173" s="54"/>
      <c r="D173" s="54"/>
    </row>
    <row r="174" spans="3:4" ht="15.75" customHeight="1">
      <c r="C174" s="54"/>
      <c r="D174" s="54"/>
    </row>
    <row r="175" spans="3:4" ht="15.75" customHeight="1">
      <c r="C175" s="54"/>
      <c r="D175" s="54"/>
    </row>
    <row r="176" spans="3:4" ht="15.75" customHeight="1">
      <c r="C176" s="54"/>
      <c r="D176" s="54"/>
    </row>
    <row r="177" spans="3:4" ht="15.75" customHeight="1">
      <c r="C177" s="54"/>
      <c r="D177" s="54"/>
    </row>
    <row r="178" spans="3:4" ht="15.75" customHeight="1">
      <c r="C178" s="54"/>
      <c r="D178" s="54"/>
    </row>
    <row r="179" spans="3:4" ht="15.75" customHeight="1">
      <c r="C179" s="54"/>
      <c r="D179" s="54"/>
    </row>
    <row r="180" spans="3:4" ht="15.75" customHeight="1">
      <c r="C180" s="54"/>
      <c r="D180" s="54"/>
    </row>
    <row r="181" spans="3:4" ht="15.75" customHeight="1">
      <c r="C181" s="54"/>
      <c r="D181" s="54"/>
    </row>
    <row r="182" spans="3:4" ht="15.75" customHeight="1">
      <c r="C182" s="54"/>
      <c r="D182" s="54"/>
    </row>
    <row r="183" spans="3:4" ht="15.75" customHeight="1">
      <c r="C183" s="54"/>
      <c r="D183" s="54"/>
    </row>
    <row r="184" spans="3:4" ht="15.75" customHeight="1">
      <c r="C184" s="54"/>
      <c r="D184" s="54"/>
    </row>
    <row r="185" spans="3:4" ht="15.75" customHeight="1">
      <c r="C185" s="54"/>
      <c r="D185" s="54"/>
    </row>
    <row r="186" spans="3:4" ht="15.75" customHeight="1">
      <c r="C186" s="54"/>
      <c r="D186" s="54"/>
    </row>
    <row r="187" spans="3:4" ht="15.75" customHeight="1">
      <c r="C187" s="54"/>
      <c r="D187" s="54"/>
    </row>
    <row r="188" spans="3:4" ht="15.75" customHeight="1">
      <c r="C188" s="54"/>
      <c r="D188" s="54"/>
    </row>
    <row r="189" spans="3:4" ht="15.75" customHeight="1">
      <c r="C189" s="54"/>
      <c r="D189" s="54"/>
    </row>
    <row r="190" spans="3:4" ht="15.75" customHeight="1">
      <c r="C190" s="54"/>
      <c r="D190" s="54"/>
    </row>
    <row r="191" spans="3:4" ht="15.75" customHeight="1">
      <c r="C191" s="54"/>
      <c r="D191" s="54"/>
    </row>
    <row r="192" spans="3:4" ht="15.75" customHeight="1">
      <c r="C192" s="54"/>
      <c r="D192" s="54"/>
    </row>
    <row r="193" spans="3:4" ht="15.75" customHeight="1">
      <c r="C193" s="54"/>
      <c r="D193" s="54"/>
    </row>
    <row r="194" spans="3:4" ht="15.75" customHeight="1">
      <c r="C194" s="54"/>
      <c r="D194" s="54"/>
    </row>
    <row r="195" spans="3:4" ht="15.75" customHeight="1">
      <c r="C195" s="54"/>
      <c r="D195" s="54"/>
    </row>
    <row r="196" spans="3:4" ht="15.75" customHeight="1">
      <c r="C196" s="54"/>
      <c r="D196" s="54"/>
    </row>
    <row r="197" spans="3:4" ht="15.75" customHeight="1">
      <c r="C197" s="54"/>
      <c r="D197" s="54"/>
    </row>
    <row r="198" spans="3:4" ht="15.75" customHeight="1">
      <c r="C198" s="54"/>
      <c r="D198" s="54"/>
    </row>
    <row r="199" spans="3:4" ht="15.75" customHeight="1">
      <c r="C199" s="54"/>
      <c r="D199" s="54"/>
    </row>
    <row r="200" spans="3:4" ht="15.75" customHeight="1">
      <c r="C200" s="54"/>
      <c r="D200" s="54"/>
    </row>
    <row r="201" spans="3:4" ht="15.75" customHeight="1">
      <c r="C201" s="54"/>
      <c r="D201" s="54"/>
    </row>
    <row r="202" spans="3:4" ht="15.75" customHeight="1">
      <c r="C202" s="54"/>
      <c r="D202" s="54"/>
    </row>
    <row r="203" spans="3:4" ht="15.75" customHeight="1">
      <c r="C203" s="54"/>
      <c r="D203" s="54"/>
    </row>
    <row r="204" spans="3:4" ht="15.75" customHeight="1">
      <c r="C204" s="54"/>
      <c r="D204" s="54"/>
    </row>
    <row r="205" spans="3:4" ht="15.75" customHeight="1">
      <c r="C205" s="54"/>
      <c r="D205" s="54"/>
    </row>
    <row r="206" spans="3:4" ht="15.75" customHeight="1">
      <c r="C206" s="54"/>
      <c r="D206" s="54"/>
    </row>
    <row r="207" spans="3:4" ht="15.75" customHeight="1">
      <c r="C207" s="54"/>
      <c r="D207" s="54"/>
    </row>
    <row r="208" spans="3:4" ht="15.75" customHeight="1">
      <c r="C208" s="54"/>
      <c r="D208" s="54"/>
    </row>
    <row r="209" spans="3:4" ht="15.75" customHeight="1">
      <c r="C209" s="54"/>
      <c r="D209" s="54"/>
    </row>
    <row r="210" spans="3:4" ht="15.75" customHeight="1">
      <c r="C210" s="54"/>
      <c r="D210" s="54"/>
    </row>
    <row r="211" spans="3:4" ht="15.75" customHeight="1">
      <c r="C211" s="54"/>
      <c r="D211" s="54"/>
    </row>
    <row r="212" spans="3:4" ht="15.75" customHeight="1">
      <c r="C212" s="54"/>
      <c r="D212" s="54"/>
    </row>
    <row r="213" spans="3:4" ht="15.75" customHeight="1">
      <c r="C213" s="54"/>
      <c r="D213" s="54"/>
    </row>
    <row r="214" spans="3:4" ht="15.75" customHeight="1">
      <c r="C214" s="54"/>
      <c r="D214" s="54"/>
    </row>
    <row r="215" spans="3:4" ht="15.75" customHeight="1">
      <c r="C215" s="54"/>
      <c r="D215" s="54"/>
    </row>
    <row r="216" spans="3:4" ht="15.75" customHeight="1">
      <c r="C216" s="54"/>
      <c r="D216" s="54"/>
    </row>
    <row r="217" spans="3:4" ht="15.75" customHeight="1">
      <c r="C217" s="54"/>
      <c r="D217" s="54"/>
    </row>
    <row r="218" spans="3:4" ht="15.75" customHeight="1">
      <c r="C218" s="54"/>
      <c r="D218" s="54"/>
    </row>
    <row r="219" spans="3:4" ht="15.75" customHeight="1">
      <c r="C219" s="54"/>
      <c r="D219" s="54"/>
    </row>
    <row r="220" spans="3:4" ht="15.75" customHeight="1">
      <c r="C220" s="54"/>
      <c r="D220" s="54"/>
    </row>
    <row r="221" spans="3:4" ht="15.75" customHeight="1"/>
    <row r="222" spans="3:4" ht="15.75" customHeight="1"/>
    <row r="223" spans="3:4" ht="15.75" customHeight="1"/>
    <row r="224" spans="3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5" width="12.6640625" customWidth="1"/>
    <col min="6" max="6" width="12.6640625" hidden="1" customWidth="1"/>
  </cols>
  <sheetData>
    <row r="1" spans="1:4" ht="15.75" customHeight="1">
      <c r="A1" s="57" t="s">
        <v>362</v>
      </c>
      <c r="B1" s="57" t="s">
        <v>363</v>
      </c>
      <c r="C1" s="79" t="s">
        <v>380</v>
      </c>
      <c r="D1" s="79" t="s">
        <v>381</v>
      </c>
    </row>
    <row r="2" spans="1:4" ht="15.75" customHeight="1">
      <c r="A2" s="63">
        <v>1</v>
      </c>
      <c r="B2" s="63" t="s">
        <v>364</v>
      </c>
      <c r="C2" s="64">
        <v>3765270.6666666665</v>
      </c>
      <c r="D2" s="64">
        <v>2883491.6666666665</v>
      </c>
    </row>
    <row r="3" spans="1:4" ht="15.75" customHeight="1">
      <c r="A3" s="63">
        <v>2</v>
      </c>
      <c r="B3" s="63" t="s">
        <v>365</v>
      </c>
      <c r="C3" s="64">
        <v>97189089.333333328</v>
      </c>
      <c r="D3" s="64">
        <v>398816554.66666669</v>
      </c>
    </row>
    <row r="4" spans="1:4" ht="15.75" customHeight="1">
      <c r="A4" s="63">
        <v>3</v>
      </c>
      <c r="B4" s="63" t="s">
        <v>124</v>
      </c>
      <c r="C4" s="64">
        <v>31531998.333333332</v>
      </c>
      <c r="D4" s="64">
        <v>191103006.33333334</v>
      </c>
    </row>
    <row r="5" spans="1:4" ht="15.75" customHeight="1">
      <c r="A5" s="63">
        <v>4</v>
      </c>
      <c r="B5" s="63" t="s">
        <v>172</v>
      </c>
      <c r="C5" s="64">
        <v>669118.33333333337</v>
      </c>
      <c r="D5" s="64">
        <v>5482237</v>
      </c>
    </row>
    <row r="6" spans="1:4" ht="15.75" customHeight="1">
      <c r="A6" s="63">
        <v>5</v>
      </c>
      <c r="B6" s="63" t="s">
        <v>206</v>
      </c>
      <c r="C6" s="64">
        <v>1901372</v>
      </c>
      <c r="D6" s="64">
        <v>18665360.333333332</v>
      </c>
    </row>
    <row r="7" spans="1:4" ht="15.75" customHeight="1">
      <c r="A7" s="63">
        <v>6</v>
      </c>
      <c r="B7" s="63" t="s">
        <v>248</v>
      </c>
      <c r="C7" s="64">
        <v>14232647.333333334</v>
      </c>
      <c r="D7" s="64">
        <v>37770273</v>
      </c>
    </row>
    <row r="8" spans="1:4" ht="15.75" customHeight="1">
      <c r="A8" s="63">
        <v>7</v>
      </c>
      <c r="B8" s="63" t="s">
        <v>366</v>
      </c>
      <c r="C8" s="64">
        <v>122199835.66666667</v>
      </c>
      <c r="D8" s="64">
        <v>370787877.33333331</v>
      </c>
    </row>
    <row r="9" spans="1:4" ht="15.75" customHeight="1">
      <c r="A9" s="63">
        <v>8</v>
      </c>
      <c r="B9" s="63" t="s">
        <v>367</v>
      </c>
      <c r="C9" s="64">
        <v>10253307.333333334</v>
      </c>
      <c r="D9" s="64">
        <v>22340459.666666668</v>
      </c>
    </row>
    <row r="10" spans="1:4" ht="15.75" customHeight="1">
      <c r="A10" s="63">
        <v>9</v>
      </c>
      <c r="B10" s="63" t="s">
        <v>368</v>
      </c>
      <c r="C10" s="64">
        <v>2072099</v>
      </c>
      <c r="D10" s="64">
        <v>5698529.666666667</v>
      </c>
    </row>
    <row r="11" spans="1:4" ht="15.75" customHeight="1">
      <c r="A11" s="63">
        <v>10</v>
      </c>
      <c r="B11" s="63" t="s">
        <v>370</v>
      </c>
      <c r="C11" s="64">
        <v>4376433.333333333</v>
      </c>
      <c r="D11" s="64">
        <v>11319687</v>
      </c>
    </row>
    <row r="12" spans="1:4" ht="15.75" customHeight="1">
      <c r="A12" s="63">
        <v>11</v>
      </c>
      <c r="B12" s="63" t="s">
        <v>369</v>
      </c>
      <c r="C12" s="64">
        <v>283814738</v>
      </c>
      <c r="D12" s="64">
        <v>1053547789.6666666</v>
      </c>
    </row>
    <row r="13" spans="1:4" ht="15.75" customHeight="1"/>
    <row r="14" spans="1:4" ht="15.75" customHeight="1">
      <c r="C14" s="56"/>
      <c r="D14" s="56"/>
    </row>
    <row r="15" spans="1:4" ht="15.75" customHeight="1">
      <c r="C15" s="56"/>
      <c r="D15" s="56"/>
    </row>
    <row r="16" spans="1:4" ht="15.75" customHeight="1">
      <c r="C16" s="56"/>
      <c r="D16" s="56"/>
    </row>
    <row r="17" spans="3:4" ht="15.75" customHeight="1">
      <c r="C17" s="56"/>
      <c r="D17" s="56"/>
    </row>
    <row r="18" spans="3:4" ht="15.75" customHeight="1">
      <c r="C18" s="56"/>
      <c r="D18" s="56"/>
    </row>
    <row r="19" spans="3:4" ht="15.75" customHeight="1">
      <c r="C19" s="56"/>
      <c r="D19" s="56"/>
    </row>
    <row r="20" spans="3:4" ht="15.75" customHeight="1">
      <c r="C20" s="56"/>
      <c r="D20" s="56"/>
    </row>
    <row r="21" spans="3:4" ht="15.75" customHeight="1">
      <c r="C21" s="56"/>
      <c r="D21" s="56"/>
    </row>
    <row r="22" spans="3:4" ht="15.75" customHeight="1">
      <c r="C22" s="56"/>
      <c r="D22" s="56"/>
    </row>
    <row r="23" spans="3:4" ht="15.75" customHeight="1">
      <c r="C23" s="56"/>
      <c r="D23" s="56"/>
    </row>
    <row r="24" spans="3:4" ht="15.75" customHeight="1">
      <c r="C24" s="56"/>
      <c r="D24" s="56"/>
    </row>
    <row r="25" spans="3:4" ht="15.75" customHeight="1">
      <c r="C25" s="56"/>
      <c r="D25" s="56"/>
    </row>
    <row r="26" spans="3:4" ht="15.75" customHeight="1">
      <c r="C26" s="56"/>
      <c r="D26" s="56"/>
    </row>
    <row r="27" spans="3:4" ht="15.75" customHeight="1">
      <c r="C27" s="56"/>
      <c r="D27" s="56"/>
    </row>
    <row r="28" spans="3:4" ht="15.75" customHeight="1">
      <c r="C28" s="56"/>
      <c r="D28" s="56"/>
    </row>
    <row r="29" spans="3:4" ht="15.75" customHeight="1">
      <c r="C29" s="56"/>
      <c r="D29" s="56"/>
    </row>
    <row r="30" spans="3:4" ht="15.75" customHeight="1">
      <c r="C30" s="56"/>
      <c r="D30" s="56"/>
    </row>
    <row r="31" spans="3:4" ht="15.75" customHeight="1">
      <c r="C31" s="56"/>
      <c r="D31" s="56"/>
    </row>
    <row r="32" spans="3:4" ht="15.75" customHeight="1">
      <c r="C32" s="56"/>
      <c r="D32" s="56"/>
    </row>
    <row r="33" spans="3:4" ht="15.75" customHeight="1">
      <c r="C33" s="56"/>
      <c r="D33" s="56"/>
    </row>
    <row r="34" spans="3:4" ht="15.75" customHeight="1">
      <c r="C34" s="56"/>
      <c r="D34" s="56"/>
    </row>
    <row r="35" spans="3:4" ht="15.75" customHeight="1">
      <c r="C35" s="56"/>
      <c r="D35" s="56"/>
    </row>
    <row r="36" spans="3:4" ht="15.75" customHeight="1">
      <c r="C36" s="56"/>
      <c r="D36" s="56"/>
    </row>
    <row r="37" spans="3:4" ht="15.75" customHeight="1">
      <c r="C37" s="56"/>
      <c r="D37" s="56"/>
    </row>
    <row r="38" spans="3:4" ht="15.75" customHeight="1">
      <c r="C38" s="56"/>
      <c r="D38" s="56"/>
    </row>
    <row r="39" spans="3:4" ht="15.75" customHeight="1">
      <c r="C39" s="56"/>
      <c r="D39" s="56"/>
    </row>
    <row r="40" spans="3:4" ht="15.75" customHeight="1">
      <c r="C40" s="56"/>
      <c r="D40" s="56"/>
    </row>
    <row r="41" spans="3:4" ht="15.75" customHeight="1">
      <c r="C41" s="56"/>
      <c r="D41" s="56"/>
    </row>
    <row r="42" spans="3:4" ht="15.75" customHeight="1">
      <c r="C42" s="56"/>
      <c r="D42" s="56"/>
    </row>
    <row r="43" spans="3:4" ht="15.75" customHeight="1">
      <c r="C43" s="56"/>
      <c r="D43" s="56"/>
    </row>
    <row r="44" spans="3:4" ht="15.75" customHeight="1">
      <c r="C44" s="56"/>
      <c r="D44" s="56"/>
    </row>
    <row r="45" spans="3:4" ht="15.75" customHeight="1">
      <c r="C45" s="56"/>
      <c r="D45" s="56"/>
    </row>
    <row r="46" spans="3:4" ht="15.75" customHeight="1">
      <c r="C46" s="56"/>
      <c r="D46" s="56"/>
    </row>
    <row r="47" spans="3:4" ht="15.75" customHeight="1">
      <c r="C47" s="56"/>
      <c r="D47" s="56"/>
    </row>
    <row r="48" spans="3:4" ht="15.75" customHeight="1">
      <c r="C48" s="56"/>
      <c r="D48" s="56"/>
    </row>
    <row r="49" spans="3:4" ht="15.75" customHeight="1">
      <c r="C49" s="56"/>
      <c r="D49" s="56"/>
    </row>
    <row r="50" spans="3:4" ht="15.75" customHeight="1">
      <c r="C50" s="56"/>
      <c r="D50" s="56"/>
    </row>
    <row r="51" spans="3:4" ht="15.75" customHeight="1">
      <c r="C51" s="56"/>
      <c r="D51" s="56"/>
    </row>
    <row r="52" spans="3:4" ht="15.75" customHeight="1">
      <c r="C52" s="56"/>
      <c r="D52" s="56"/>
    </row>
    <row r="53" spans="3:4" ht="15.75" customHeight="1">
      <c r="C53" s="56"/>
      <c r="D53" s="56"/>
    </row>
    <row r="54" spans="3:4" ht="15.75" customHeight="1">
      <c r="C54" s="56"/>
      <c r="D54" s="56"/>
    </row>
    <row r="55" spans="3:4" ht="15.75" customHeight="1">
      <c r="C55" s="56"/>
      <c r="D55" s="56"/>
    </row>
    <row r="56" spans="3:4" ht="15.75" customHeight="1">
      <c r="C56" s="56"/>
      <c r="D56" s="56"/>
    </row>
    <row r="57" spans="3:4" ht="15.75" customHeight="1">
      <c r="C57" s="56"/>
      <c r="D57" s="56"/>
    </row>
    <row r="58" spans="3:4" ht="15.75" customHeight="1">
      <c r="C58" s="56"/>
      <c r="D58" s="56"/>
    </row>
    <row r="59" spans="3:4" ht="15.75" customHeight="1">
      <c r="C59" s="56"/>
      <c r="D59" s="56"/>
    </row>
    <row r="60" spans="3:4" ht="15.75" customHeight="1">
      <c r="C60" s="56"/>
      <c r="D60" s="56"/>
    </row>
    <row r="61" spans="3:4" ht="15.75" customHeight="1">
      <c r="C61" s="56"/>
      <c r="D61" s="56"/>
    </row>
    <row r="62" spans="3:4" ht="15.75" customHeight="1">
      <c r="C62" s="56"/>
      <c r="D62" s="56"/>
    </row>
    <row r="63" spans="3:4" ht="15.75" customHeight="1">
      <c r="C63" s="56"/>
      <c r="D63" s="56"/>
    </row>
    <row r="64" spans="3:4" ht="15.75" customHeight="1">
      <c r="C64" s="56"/>
      <c r="D64" s="56"/>
    </row>
    <row r="65" spans="3:4" ht="15.75" customHeight="1">
      <c r="C65" s="56"/>
      <c r="D65" s="56"/>
    </row>
    <row r="66" spans="3:4" ht="15.75" customHeight="1">
      <c r="C66" s="56"/>
      <c r="D66" s="56"/>
    </row>
    <row r="67" spans="3:4" ht="15.75" customHeight="1">
      <c r="C67" s="56"/>
      <c r="D67" s="56"/>
    </row>
    <row r="68" spans="3:4" ht="15.75" customHeight="1">
      <c r="C68" s="56"/>
      <c r="D68" s="56"/>
    </row>
    <row r="69" spans="3:4" ht="15.75" customHeight="1">
      <c r="C69" s="56"/>
      <c r="D69" s="56"/>
    </row>
    <row r="70" spans="3:4" ht="15.75" customHeight="1">
      <c r="C70" s="56"/>
      <c r="D70" s="56"/>
    </row>
    <row r="71" spans="3:4" ht="15.75" customHeight="1">
      <c r="C71" s="56"/>
      <c r="D71" s="56"/>
    </row>
    <row r="72" spans="3:4" ht="15.75" customHeight="1">
      <c r="C72" s="56"/>
      <c r="D72" s="56"/>
    </row>
    <row r="73" spans="3:4" ht="15.75" customHeight="1">
      <c r="C73" s="56"/>
      <c r="D73" s="56"/>
    </row>
    <row r="74" spans="3:4" ht="15.75" customHeight="1">
      <c r="C74" s="56"/>
      <c r="D74" s="56"/>
    </row>
    <row r="75" spans="3:4" ht="15.75" customHeight="1">
      <c r="C75" s="56"/>
      <c r="D75" s="56"/>
    </row>
    <row r="76" spans="3:4" ht="15.75" customHeight="1">
      <c r="C76" s="56"/>
      <c r="D76" s="56"/>
    </row>
    <row r="77" spans="3:4" ht="15.75" customHeight="1">
      <c r="C77" s="56"/>
      <c r="D77" s="56"/>
    </row>
    <row r="78" spans="3:4" ht="15.75" customHeight="1">
      <c r="C78" s="56"/>
      <c r="D78" s="56"/>
    </row>
    <row r="79" spans="3:4" ht="15.75" customHeight="1">
      <c r="C79" s="56"/>
      <c r="D79" s="56"/>
    </row>
    <row r="80" spans="3:4" ht="15.75" customHeight="1">
      <c r="C80" s="56"/>
      <c r="D80" s="56"/>
    </row>
    <row r="81" spans="3:4" ht="15.75" customHeight="1">
      <c r="C81" s="56"/>
      <c r="D81" s="56"/>
    </row>
    <row r="82" spans="3:4" ht="15.75" customHeight="1">
      <c r="C82" s="56"/>
      <c r="D82" s="56"/>
    </row>
    <row r="83" spans="3:4" ht="15.75" customHeight="1">
      <c r="C83" s="56"/>
      <c r="D83" s="56"/>
    </row>
    <row r="84" spans="3:4" ht="15.75" customHeight="1">
      <c r="C84" s="56"/>
      <c r="D84" s="56"/>
    </row>
    <row r="85" spans="3:4" ht="15.75" customHeight="1">
      <c r="C85" s="56"/>
      <c r="D85" s="56"/>
    </row>
    <row r="86" spans="3:4" ht="15.75" customHeight="1">
      <c r="C86" s="56"/>
      <c r="D86" s="56"/>
    </row>
    <row r="87" spans="3:4" ht="15.75" customHeight="1">
      <c r="C87" s="56"/>
      <c r="D87" s="56"/>
    </row>
    <row r="88" spans="3:4" ht="15.75" customHeight="1">
      <c r="C88" s="56"/>
      <c r="D88" s="56"/>
    </row>
    <row r="89" spans="3:4" ht="15.75" customHeight="1">
      <c r="C89" s="56"/>
      <c r="D89" s="56"/>
    </row>
    <row r="90" spans="3:4" ht="15.75" customHeight="1">
      <c r="C90" s="56"/>
      <c r="D90" s="56"/>
    </row>
    <row r="91" spans="3:4" ht="15.75" customHeight="1">
      <c r="C91" s="56"/>
      <c r="D91" s="56"/>
    </row>
    <row r="92" spans="3:4" ht="15.75" customHeight="1">
      <c r="C92" s="56"/>
      <c r="D92" s="56"/>
    </row>
    <row r="93" spans="3:4" ht="15.75" customHeight="1">
      <c r="C93" s="56"/>
      <c r="D93" s="56"/>
    </row>
    <row r="94" spans="3:4" ht="15.75" customHeight="1">
      <c r="C94" s="56"/>
      <c r="D94" s="56"/>
    </row>
    <row r="95" spans="3:4" ht="15.75" customHeight="1">
      <c r="C95" s="56"/>
      <c r="D95" s="56"/>
    </row>
    <row r="96" spans="3:4" ht="15.75" customHeight="1">
      <c r="C96" s="56"/>
      <c r="D96" s="56"/>
    </row>
    <row r="97" spans="3:4" ht="15.75" customHeight="1">
      <c r="C97" s="56"/>
      <c r="D97" s="56"/>
    </row>
    <row r="98" spans="3:4" ht="15.75" customHeight="1">
      <c r="C98" s="56"/>
      <c r="D98" s="56"/>
    </row>
    <row r="99" spans="3:4" ht="15.75" customHeight="1">
      <c r="C99" s="56"/>
      <c r="D99" s="56"/>
    </row>
    <row r="100" spans="3:4" ht="15.75" customHeight="1">
      <c r="C100" s="56"/>
      <c r="D100" s="56"/>
    </row>
    <row r="101" spans="3:4" ht="15.75" customHeight="1">
      <c r="C101" s="56"/>
      <c r="D101" s="56"/>
    </row>
    <row r="102" spans="3:4" ht="15.75" customHeight="1">
      <c r="C102" s="56"/>
      <c r="D102" s="56"/>
    </row>
    <row r="103" spans="3:4" ht="15.75" customHeight="1">
      <c r="C103" s="56"/>
      <c r="D103" s="56"/>
    </row>
    <row r="104" spans="3:4" ht="15.75" customHeight="1">
      <c r="C104" s="56"/>
      <c r="D104" s="56"/>
    </row>
    <row r="105" spans="3:4" ht="15.75" customHeight="1">
      <c r="C105" s="56"/>
      <c r="D105" s="56"/>
    </row>
    <row r="106" spans="3:4" ht="15.75" customHeight="1">
      <c r="C106" s="56"/>
      <c r="D106" s="56"/>
    </row>
    <row r="107" spans="3:4" ht="15.75" customHeight="1">
      <c r="C107" s="56"/>
      <c r="D107" s="56"/>
    </row>
    <row r="108" spans="3:4" ht="15.75" customHeight="1">
      <c r="C108" s="56"/>
      <c r="D108" s="56"/>
    </row>
    <row r="109" spans="3:4" ht="15.75" customHeight="1">
      <c r="C109" s="56"/>
      <c r="D109" s="56"/>
    </row>
    <row r="110" spans="3:4" ht="15.75" customHeight="1">
      <c r="C110" s="56"/>
      <c r="D110" s="56"/>
    </row>
    <row r="111" spans="3:4" ht="15.75" customHeight="1">
      <c r="C111" s="56"/>
      <c r="D111" s="56"/>
    </row>
    <row r="112" spans="3:4" ht="15.75" customHeight="1">
      <c r="C112" s="56"/>
      <c r="D112" s="56"/>
    </row>
    <row r="113" spans="3:4" ht="15.75" customHeight="1">
      <c r="C113" s="56"/>
      <c r="D113" s="56"/>
    </row>
    <row r="114" spans="3:4" ht="15.75" customHeight="1">
      <c r="C114" s="56"/>
      <c r="D114" s="56"/>
    </row>
    <row r="115" spans="3:4" ht="15.75" customHeight="1">
      <c r="C115" s="56"/>
      <c r="D115" s="56"/>
    </row>
    <row r="116" spans="3:4" ht="15.75" customHeight="1">
      <c r="C116" s="56"/>
      <c r="D116" s="56"/>
    </row>
    <row r="117" spans="3:4" ht="15.75" customHeight="1">
      <c r="C117" s="56"/>
      <c r="D117" s="56"/>
    </row>
    <row r="118" spans="3:4" ht="15.75" customHeight="1">
      <c r="C118" s="56"/>
      <c r="D118" s="56"/>
    </row>
    <row r="119" spans="3:4" ht="15.75" customHeight="1">
      <c r="C119" s="56"/>
      <c r="D119" s="56"/>
    </row>
    <row r="120" spans="3:4" ht="15.75" customHeight="1">
      <c r="C120" s="56"/>
      <c r="D120" s="56"/>
    </row>
    <row r="121" spans="3:4" ht="15.75" customHeight="1">
      <c r="C121" s="56"/>
      <c r="D121" s="56"/>
    </row>
    <row r="122" spans="3:4" ht="15.75" customHeight="1">
      <c r="C122" s="56"/>
      <c r="D122" s="56"/>
    </row>
    <row r="123" spans="3:4" ht="15.75" customHeight="1">
      <c r="C123" s="56"/>
      <c r="D123" s="56"/>
    </row>
    <row r="124" spans="3:4" ht="15.75" customHeight="1">
      <c r="C124" s="56"/>
      <c r="D124" s="56"/>
    </row>
    <row r="125" spans="3:4" ht="15.75" customHeight="1">
      <c r="C125" s="56"/>
      <c r="D125" s="56"/>
    </row>
    <row r="126" spans="3:4" ht="15.75" customHeight="1">
      <c r="C126" s="56"/>
      <c r="D126" s="56"/>
    </row>
    <row r="127" spans="3:4" ht="15.75" customHeight="1">
      <c r="C127" s="56"/>
      <c r="D127" s="56"/>
    </row>
    <row r="128" spans="3:4" ht="15.75" customHeight="1">
      <c r="C128" s="56"/>
      <c r="D128" s="56"/>
    </row>
    <row r="129" spans="3:4" ht="15.75" customHeight="1">
      <c r="C129" s="56"/>
      <c r="D129" s="56"/>
    </row>
    <row r="130" spans="3:4" ht="15.75" customHeight="1">
      <c r="C130" s="56"/>
      <c r="D130" s="56"/>
    </row>
    <row r="131" spans="3:4" ht="15.75" customHeight="1">
      <c r="C131" s="56"/>
      <c r="D131" s="56"/>
    </row>
    <row r="132" spans="3:4" ht="15.75" customHeight="1">
      <c r="C132" s="56"/>
      <c r="D132" s="56"/>
    </row>
    <row r="133" spans="3:4" ht="15.75" customHeight="1">
      <c r="C133" s="56"/>
      <c r="D133" s="56"/>
    </row>
    <row r="134" spans="3:4" ht="15.75" customHeight="1">
      <c r="C134" s="56"/>
      <c r="D134" s="56"/>
    </row>
    <row r="135" spans="3:4" ht="15.75" customHeight="1">
      <c r="C135" s="56"/>
      <c r="D135" s="56"/>
    </row>
    <row r="136" spans="3:4" ht="15.75" customHeight="1">
      <c r="C136" s="56"/>
      <c r="D136" s="56"/>
    </row>
    <row r="137" spans="3:4" ht="15.75" customHeight="1">
      <c r="C137" s="56"/>
      <c r="D137" s="56"/>
    </row>
    <row r="138" spans="3:4" ht="15.75" customHeight="1">
      <c r="C138" s="56"/>
      <c r="D138" s="56"/>
    </row>
    <row r="139" spans="3:4" ht="15.75" customHeight="1">
      <c r="C139" s="56"/>
      <c r="D139" s="56"/>
    </row>
    <row r="140" spans="3:4" ht="15.75" customHeight="1">
      <c r="C140" s="56"/>
      <c r="D140" s="56"/>
    </row>
    <row r="141" spans="3:4" ht="15.75" customHeight="1">
      <c r="C141" s="56"/>
      <c r="D141" s="56"/>
    </row>
    <row r="142" spans="3:4" ht="15.75" customHeight="1">
      <c r="C142" s="56"/>
      <c r="D142" s="56"/>
    </row>
    <row r="143" spans="3:4" ht="15.75" customHeight="1">
      <c r="C143" s="56"/>
      <c r="D143" s="56"/>
    </row>
    <row r="144" spans="3:4" ht="15.75" customHeight="1">
      <c r="C144" s="56"/>
      <c r="D144" s="56"/>
    </row>
    <row r="145" spans="3:4" ht="15.75" customHeight="1">
      <c r="C145" s="56"/>
      <c r="D145" s="56"/>
    </row>
    <row r="146" spans="3:4" ht="15.75" customHeight="1">
      <c r="C146" s="56"/>
      <c r="D146" s="56"/>
    </row>
    <row r="147" spans="3:4" ht="15.75" customHeight="1">
      <c r="C147" s="56"/>
      <c r="D147" s="56"/>
    </row>
    <row r="148" spans="3:4" ht="15.75" customHeight="1">
      <c r="C148" s="56"/>
      <c r="D148" s="56"/>
    </row>
    <row r="149" spans="3:4" ht="15.75" customHeight="1">
      <c r="C149" s="56"/>
      <c r="D149" s="56"/>
    </row>
    <row r="150" spans="3:4" ht="15.75" customHeight="1">
      <c r="C150" s="56"/>
      <c r="D150" s="56"/>
    </row>
    <row r="151" spans="3:4" ht="15.75" customHeight="1">
      <c r="C151" s="56"/>
      <c r="D151" s="56"/>
    </row>
    <row r="152" spans="3:4" ht="15.75" customHeight="1">
      <c r="C152" s="56"/>
      <c r="D152" s="56"/>
    </row>
    <row r="153" spans="3:4" ht="15.75" customHeight="1">
      <c r="C153" s="56"/>
      <c r="D153" s="56"/>
    </row>
    <row r="154" spans="3:4" ht="15.75" customHeight="1">
      <c r="C154" s="56"/>
      <c r="D154" s="56"/>
    </row>
    <row r="155" spans="3:4" ht="15.75" customHeight="1">
      <c r="C155" s="56"/>
      <c r="D155" s="56"/>
    </row>
    <row r="156" spans="3:4" ht="15.75" customHeight="1">
      <c r="C156" s="56"/>
      <c r="D156" s="56"/>
    </row>
    <row r="157" spans="3:4" ht="15.75" customHeight="1">
      <c r="C157" s="56"/>
      <c r="D157" s="56"/>
    </row>
    <row r="158" spans="3:4" ht="15.75" customHeight="1">
      <c r="C158" s="56"/>
      <c r="D158" s="56"/>
    </row>
    <row r="159" spans="3:4" ht="15.75" customHeight="1">
      <c r="C159" s="56"/>
      <c r="D159" s="56"/>
    </row>
    <row r="160" spans="3:4" ht="15.75" customHeight="1">
      <c r="C160" s="56"/>
      <c r="D160" s="56"/>
    </row>
    <row r="161" spans="3:4" ht="15.75" customHeight="1">
      <c r="C161" s="56"/>
      <c r="D161" s="56"/>
    </row>
    <row r="162" spans="3:4" ht="15.75" customHeight="1">
      <c r="C162" s="56"/>
      <c r="D162" s="56"/>
    </row>
    <row r="163" spans="3:4" ht="15.75" customHeight="1">
      <c r="C163" s="56"/>
      <c r="D163" s="56"/>
    </row>
    <row r="164" spans="3:4" ht="15.75" customHeight="1">
      <c r="C164" s="56"/>
      <c r="D164" s="56"/>
    </row>
    <row r="165" spans="3:4" ht="15.75" customHeight="1">
      <c r="C165" s="56"/>
      <c r="D165" s="56"/>
    </row>
    <row r="166" spans="3:4" ht="15.75" customHeight="1">
      <c r="C166" s="56"/>
      <c r="D166" s="56"/>
    </row>
    <row r="167" spans="3:4" ht="15.75" customHeight="1">
      <c r="C167" s="56"/>
      <c r="D167" s="56"/>
    </row>
    <row r="168" spans="3:4" ht="15.75" customHeight="1">
      <c r="C168" s="56"/>
      <c r="D168" s="56"/>
    </row>
    <row r="169" spans="3:4" ht="15.75" customHeight="1">
      <c r="C169" s="56"/>
      <c r="D169" s="56"/>
    </row>
    <row r="170" spans="3:4" ht="15.75" customHeight="1">
      <c r="C170" s="56"/>
      <c r="D170" s="56"/>
    </row>
    <row r="171" spans="3:4" ht="15.75" customHeight="1">
      <c r="C171" s="56"/>
      <c r="D171" s="56"/>
    </row>
    <row r="172" spans="3:4" ht="15.75" customHeight="1">
      <c r="C172" s="56"/>
      <c r="D172" s="56"/>
    </row>
    <row r="173" spans="3:4" ht="15.75" customHeight="1">
      <c r="C173" s="56"/>
      <c r="D173" s="56"/>
    </row>
    <row r="174" spans="3:4" ht="15.75" customHeight="1">
      <c r="C174" s="56"/>
      <c r="D174" s="56"/>
    </row>
    <row r="175" spans="3:4" ht="15.75" customHeight="1">
      <c r="C175" s="56"/>
      <c r="D175" s="56"/>
    </row>
    <row r="176" spans="3:4" ht="15.75" customHeight="1">
      <c r="C176" s="56"/>
      <c r="D176" s="56"/>
    </row>
    <row r="177" spans="3:4" ht="15.75" customHeight="1">
      <c r="C177" s="56"/>
      <c r="D177" s="56"/>
    </row>
    <row r="178" spans="3:4" ht="15.75" customHeight="1">
      <c r="C178" s="56"/>
      <c r="D178" s="56"/>
    </row>
    <row r="179" spans="3:4" ht="15.75" customHeight="1">
      <c r="C179" s="56"/>
      <c r="D179" s="56"/>
    </row>
    <row r="180" spans="3:4" ht="15.75" customHeight="1">
      <c r="C180" s="56"/>
      <c r="D180" s="56"/>
    </row>
    <row r="181" spans="3:4" ht="15.75" customHeight="1">
      <c r="C181" s="56"/>
      <c r="D181" s="56"/>
    </row>
    <row r="182" spans="3:4" ht="15.75" customHeight="1">
      <c r="C182" s="56"/>
      <c r="D182" s="56"/>
    </row>
    <row r="183" spans="3:4" ht="15.75" customHeight="1">
      <c r="C183" s="56"/>
      <c r="D183" s="56"/>
    </row>
    <row r="184" spans="3:4" ht="15.75" customHeight="1">
      <c r="C184" s="56"/>
      <c r="D184" s="56"/>
    </row>
    <row r="185" spans="3:4" ht="15.75" customHeight="1">
      <c r="C185" s="56"/>
      <c r="D185" s="56"/>
    </row>
    <row r="186" spans="3:4" ht="15.75" customHeight="1">
      <c r="C186" s="56"/>
      <c r="D186" s="56"/>
    </row>
    <row r="187" spans="3:4" ht="15.75" customHeight="1">
      <c r="C187" s="56"/>
      <c r="D187" s="56"/>
    </row>
    <row r="188" spans="3:4" ht="15.75" customHeight="1">
      <c r="C188" s="56"/>
      <c r="D188" s="56"/>
    </row>
    <row r="189" spans="3:4" ht="15.75" customHeight="1">
      <c r="C189" s="56"/>
      <c r="D189" s="56"/>
    </row>
    <row r="190" spans="3:4" ht="15.75" customHeight="1">
      <c r="C190" s="56"/>
      <c r="D190" s="56"/>
    </row>
    <row r="191" spans="3:4" ht="15.75" customHeight="1">
      <c r="C191" s="56"/>
      <c r="D191" s="56"/>
    </row>
    <row r="192" spans="3:4" ht="15.75" customHeight="1">
      <c r="C192" s="56"/>
      <c r="D192" s="56"/>
    </row>
    <row r="193" spans="3:4" ht="15.75" customHeight="1">
      <c r="C193" s="56"/>
      <c r="D193" s="56"/>
    </row>
    <row r="194" spans="3:4" ht="15.75" customHeight="1">
      <c r="C194" s="56"/>
      <c r="D194" s="56"/>
    </row>
    <row r="195" spans="3:4" ht="15.75" customHeight="1">
      <c r="C195" s="56"/>
      <c r="D195" s="56"/>
    </row>
    <row r="196" spans="3:4" ht="15.75" customHeight="1">
      <c r="C196" s="56"/>
      <c r="D196" s="56"/>
    </row>
    <row r="197" spans="3:4" ht="15.75" customHeight="1">
      <c r="C197" s="56"/>
      <c r="D197" s="56"/>
    </row>
    <row r="198" spans="3:4" ht="15.75" customHeight="1">
      <c r="C198" s="56"/>
      <c r="D198" s="56"/>
    </row>
    <row r="199" spans="3:4" ht="15.75" customHeight="1">
      <c r="C199" s="56"/>
      <c r="D199" s="56"/>
    </row>
    <row r="200" spans="3:4" ht="15.75" customHeight="1">
      <c r="C200" s="56"/>
      <c r="D200" s="56"/>
    </row>
    <row r="201" spans="3:4" ht="15.75" customHeight="1">
      <c r="C201" s="56"/>
      <c r="D201" s="56"/>
    </row>
    <row r="202" spans="3:4" ht="15.75" customHeight="1">
      <c r="C202" s="56"/>
      <c r="D202" s="56"/>
    </row>
    <row r="203" spans="3:4" ht="15.75" customHeight="1">
      <c r="C203" s="56"/>
      <c r="D203" s="56"/>
    </row>
    <row r="204" spans="3:4" ht="15.75" customHeight="1">
      <c r="C204" s="56"/>
      <c r="D204" s="56"/>
    </row>
    <row r="205" spans="3:4" ht="15.75" customHeight="1">
      <c r="C205" s="56"/>
      <c r="D205" s="56"/>
    </row>
    <row r="206" spans="3:4" ht="15.75" customHeight="1">
      <c r="C206" s="56"/>
      <c r="D206" s="56"/>
    </row>
    <row r="207" spans="3:4" ht="15.75" customHeight="1">
      <c r="C207" s="56"/>
      <c r="D207" s="56"/>
    </row>
    <row r="208" spans="3:4" ht="15.75" customHeight="1">
      <c r="C208" s="56"/>
      <c r="D208" s="56"/>
    </row>
    <row r="209" spans="3:4" ht="15.75" customHeight="1">
      <c r="C209" s="56"/>
      <c r="D209" s="56"/>
    </row>
    <row r="210" spans="3:4" ht="15.75" customHeight="1">
      <c r="C210" s="56"/>
      <c r="D210" s="56"/>
    </row>
    <row r="211" spans="3:4" ht="15.75" customHeight="1">
      <c r="C211" s="56"/>
      <c r="D211" s="56"/>
    </row>
    <row r="212" spans="3:4" ht="15.75" customHeight="1">
      <c r="C212" s="56"/>
      <c r="D212" s="56"/>
    </row>
    <row r="213" spans="3:4" ht="15.75" customHeight="1">
      <c r="C213" s="56"/>
      <c r="D213" s="56"/>
    </row>
    <row r="214" spans="3:4" ht="15.75" customHeight="1">
      <c r="C214" s="56"/>
      <c r="D214" s="56"/>
    </row>
    <row r="215" spans="3:4" ht="15.75" customHeight="1">
      <c r="C215" s="56"/>
      <c r="D215" s="56"/>
    </row>
    <row r="216" spans="3:4" ht="15.75" customHeight="1">
      <c r="C216" s="56"/>
      <c r="D216" s="56"/>
    </row>
    <row r="217" spans="3:4" ht="15.75" customHeight="1">
      <c r="C217" s="56"/>
      <c r="D217" s="56"/>
    </row>
    <row r="218" spans="3:4" ht="15.75" customHeight="1">
      <c r="C218" s="56"/>
      <c r="D218" s="56"/>
    </row>
    <row r="219" spans="3:4" ht="15.75" customHeight="1">
      <c r="C219" s="56"/>
      <c r="D219" s="56"/>
    </row>
    <row r="220" spans="3:4" ht="15.75" customHeight="1">
      <c r="C220" s="56"/>
      <c r="D220" s="56"/>
    </row>
    <row r="221" spans="3:4" ht="15.75" customHeight="1"/>
    <row r="222" spans="3:4" ht="15.75" customHeight="1"/>
    <row r="223" spans="3:4" ht="15.75" customHeight="1"/>
    <row r="224" spans="3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J1000"/>
  <sheetViews>
    <sheetView workbookViewId="0">
      <selection activeCell="I3" sqref="I3"/>
    </sheetView>
  </sheetViews>
  <sheetFormatPr baseColWidth="10" defaultColWidth="12.6640625" defaultRowHeight="15" customHeight="1"/>
  <cols>
    <col min="1" max="6" width="12.6640625" customWidth="1"/>
  </cols>
  <sheetData>
    <row r="1" spans="1:10" ht="15.75" customHeight="1">
      <c r="A1" s="80" t="s">
        <v>382</v>
      </c>
      <c r="B1" s="80" t="s">
        <v>383</v>
      </c>
      <c r="C1" s="81" t="s">
        <v>384</v>
      </c>
      <c r="D1" s="81" t="s">
        <v>385</v>
      </c>
      <c r="E1" s="82" t="s">
        <v>386</v>
      </c>
      <c r="F1" s="82" t="s">
        <v>387</v>
      </c>
      <c r="G1" s="83" t="s">
        <v>388</v>
      </c>
      <c r="H1" s="83" t="s">
        <v>389</v>
      </c>
      <c r="I1" s="84" t="s">
        <v>390</v>
      </c>
      <c r="J1" s="84" t="s">
        <v>391</v>
      </c>
    </row>
    <row r="2" spans="1:10" ht="15.75" customHeight="1">
      <c r="A2" s="63">
        <v>11</v>
      </c>
      <c r="B2" s="85" t="s">
        <v>392</v>
      </c>
      <c r="C2" s="63">
        <v>999</v>
      </c>
      <c r="D2" s="63">
        <v>200</v>
      </c>
      <c r="E2" s="63">
        <v>200</v>
      </c>
      <c r="F2" s="63">
        <v>100</v>
      </c>
      <c r="G2" s="63">
        <v>100</v>
      </c>
      <c r="H2" s="63">
        <v>50</v>
      </c>
      <c r="I2" s="63">
        <v>50</v>
      </c>
      <c r="J2" s="63">
        <v>0</v>
      </c>
    </row>
    <row r="3" spans="1:10" ht="15.75" customHeight="1"/>
    <row r="4" spans="1:10" ht="15.75" customHeight="1"/>
    <row r="5" spans="1:10" ht="15.75" customHeight="1"/>
    <row r="6" spans="1:10" ht="15.75" customHeight="1"/>
    <row r="7" spans="1:10" ht="15.75" customHeight="1"/>
    <row r="8" spans="1:10" ht="15.75" customHeight="1"/>
    <row r="9" spans="1:10" ht="15.75" customHeight="1"/>
    <row r="10" spans="1:10" ht="15.75" customHeight="1"/>
    <row r="11" spans="1:10" ht="15.75" customHeight="1"/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2026-06-09T19:04:31Z</dcterms:modified>
</cp:coreProperties>
</file>