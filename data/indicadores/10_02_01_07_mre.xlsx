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 2012" sheetId="1" r:id="rId4"/>
    <sheet state="visible" name="Datos procesados 2024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Mapa" sheetId="8" r:id="rId11"/>
  </sheets>
  <definedNames/>
  <calcPr/>
  <extLst>
    <ext uri="GoogleSheetsCustomDataVersion2">
      <go:sheetsCustomData xmlns:go="http://customooxmlschemas.google.com/" r:id="rId12" roundtripDataChecksum="T4YlrhWCh2ioJ19p+dDuoJjNQrz+/Xqdx3hY3tUUToo="/>
    </ext>
  </extLst>
</workbook>
</file>

<file path=xl/sharedStrings.xml><?xml version="1.0" encoding="utf-8"?>
<sst xmlns="http://schemas.openxmlformats.org/spreadsheetml/2006/main" count="939" uniqueCount="455">
  <si>
    <t>MUN</t>
  </si>
  <si>
    <t>Cantidad de pobres que son migrantes</t>
  </si>
  <si>
    <t xml:space="preserve">Suma de privaciones de los migrantes </t>
  </si>
  <si>
    <t>Cantidad de personas migrantes</t>
  </si>
  <si>
    <t>H de personas migrantes</t>
  </si>
  <si>
    <t>A de personas migrantes</t>
  </si>
  <si>
    <t>IPM de personas migrantes 2012</t>
  </si>
  <si>
    <t>Cantidad de pobres que NO son migrantes</t>
  </si>
  <si>
    <t>Suma de privaciones de pobres que NO son migrantes</t>
  </si>
  <si>
    <t>Cantidad de personas que NO son migrantes</t>
  </si>
  <si>
    <t>H de personas que NO son migrantes</t>
  </si>
  <si>
    <t>A de personas que NO son migrantes</t>
  </si>
  <si>
    <t>IPM de personas que NO son migrantes 2012</t>
  </si>
  <si>
    <t>Brecha 2012</t>
  </si>
  <si>
    <t>dep_res_cod</t>
  </si>
  <si>
    <t>migracion |      Freq.     Percent        Cum.</t>
  </si>
  <si>
    <t>------------+-----------------------------------</t>
  </si>
  <si>
    <t>0 |     98,135       13.86       13.86</t>
  </si>
  <si>
    <t>1 |    609,949       86.14      100.00</t>
  </si>
  <si>
    <t>Total |    708,084      100.00</t>
  </si>
  <si>
    <t>0 |     68,638       88.84       88.84</t>
  </si>
  <si>
    <t>1 |      8,621       11.16      100.00</t>
  </si>
  <si>
    <t>.</t>
  </si>
  <si>
    <t>-</t>
  </si>
  <si>
    <t>Total |     77,259      100.00</t>
  </si>
  <si>
    <t>promedio</t>
  </si>
  <si>
    <t>desv</t>
  </si>
  <si>
    <t>codigo_nuevo</t>
  </si>
  <si>
    <t>IPM de personas migrantes 2024</t>
  </si>
  <si>
    <t>IPM de personas que NO son migrantes 2024</t>
  </si>
  <si>
    <t xml:space="preserve">Brecha </t>
  </si>
  <si>
    <t>idep</t>
  </si>
  <si>
    <t>Brecha 2024</t>
  </si>
  <si>
    <t>id</t>
  </si>
  <si>
    <t>Municipio</t>
  </si>
  <si>
    <t>Brecha de pobreza migrantes/no-migrantes 2012</t>
  </si>
  <si>
    <t>Brecha de pobreza migrantes/no-migrantes 2024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</si>
  <si>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</si>
  <si>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</si>
  <si>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</si>
  <si>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</si>
  <si>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</si>
  <si>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</si>
  <si>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</si>
  <si>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</si>
  <si>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</si>
  <si>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</si>
  <si>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</si>
  <si>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</si>
  <si>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</si>
  <si>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</si>
  <si>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</si>
  <si>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</si>
  <si>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</si>
  <si>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</si>
  <si>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</si>
  <si>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</si>
  <si>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</si>
  <si>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</si>
  <si>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</si>
  <si>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 (Camataqui)</t>
  </si>
  <si>
    <t>Culpina</t>
  </si>
  <si>
    <t>Las Carreras</t>
  </si>
  <si>
    <t>Muyupampa (Villa Vaca Gúzman)</t>
  </si>
  <si>
    <t>Huacaya</t>
  </si>
  <si>
    <t>Macharéti</t>
  </si>
  <si>
    <t>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</si>
  <si>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</si>
  <si>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</si>
  <si>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</si>
  <si>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</si>
  <si>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</si>
  <si>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</si>
  <si>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</si>
  <si>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</si>
  <si>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</si>
  <si>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</si>
  <si>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</si>
  <si>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</si>
  <si>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</si>
  <si>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</si>
  <si>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</si>
  <si>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</si>
  <si>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</si>
  <si>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</si>
  <si>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Puerto Acosta</t>
  </si>
  <si>
    <t>Mocomoco</t>
  </si>
  <si>
    <t>Pto.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</si>
  <si>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</si>
  <si>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</si>
  <si>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</si>
  <si>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</si>
  <si>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</si>
  <si>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</si>
  <si>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</si>
  <si>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</si>
  <si>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</si>
  <si>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</si>
  <si>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</si>
  <si>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</si>
  <si>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</si>
  <si>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</si>
  <si>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</si>
  <si>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</si>
  <si>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</si>
  <si>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Tiawanacu</t>
  </si>
  <si>
    <t>Desaguadero</t>
  </si>
  <si>
    <t>San Andres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</si>
  <si>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</si>
  <si>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</si>
  <si>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</si>
  <si>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</si>
  <si>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</si>
  <si>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</si>
  <si>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</si>
  <si>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</si>
  <si>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</si>
  <si>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</si>
  <si>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</si>
  <si>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</si>
  <si>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</si>
  <si>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</si>
  <si>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</si>
  <si>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</si>
  <si>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</si>
  <si>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</si>
  <si>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</si>
  <si>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</si>
  <si>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</si>
  <si>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</si>
  <si>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</si>
  <si>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</si>
  <si>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</si>
  <si>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</si>
  <si>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</si>
  <si>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</si>
  <si>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</si>
  <si>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</si>
  <si>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</si>
  <si>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 xml:space="preserve">Ixiamas 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</si>
  <si>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</si>
  <si>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</si>
  <si>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</si>
  <si>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</si>
  <si>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</si>
  <si>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</si>
  <si>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</si>
  <si>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</si>
  <si>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</si>
  <si>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</si>
  <si>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</si>
  <si>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</si>
  <si>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</si>
  <si>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 xml:space="preserve">Cochabamba </t>
  </si>
  <si>
    <t>Aiquile</t>
  </si>
  <si>
    <t>Pasorapa</t>
  </si>
  <si>
    <t>Omereque</t>
  </si>
  <si>
    <t>Independencia</t>
  </si>
  <si>
    <t>Morochata</t>
  </si>
  <si>
    <t>Cocapata</t>
  </si>
  <si>
    <t xml:space="preserve">Tarata </t>
  </si>
  <si>
    <t>Anzaldo</t>
  </si>
  <si>
    <t>Arbieto</t>
  </si>
  <si>
    <t>Sacabamba</t>
  </si>
  <si>
    <t>Arani</t>
  </si>
  <si>
    <t>Vacas</t>
  </si>
  <si>
    <t xml:space="preserve">Arque </t>
  </si>
  <si>
    <t>Tacopaya</t>
  </si>
  <si>
    <t>Capinota</t>
  </si>
  <si>
    <t>Santivañez</t>
  </si>
  <si>
    <t>Sicaya</t>
  </si>
  <si>
    <t>Cliza</t>
  </si>
  <si>
    <t>Toko</t>
  </si>
  <si>
    <t>Tolata</t>
  </si>
  <si>
    <t>Quillacollo</t>
  </si>
  <si>
    <t>Sipesipe</t>
  </si>
  <si>
    <t>Tiquipaya</t>
  </si>
  <si>
    <t xml:space="preserve">Vinto </t>
  </si>
  <si>
    <t>Colcapirhua</t>
  </si>
  <si>
    <t>Sacaba</t>
  </si>
  <si>
    <t>Colomi</t>
  </si>
  <si>
    <t>Villa Tunari</t>
  </si>
  <si>
    <t>Tapacarí</t>
  </si>
  <si>
    <t xml:space="preserve">Totora 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</si>
  <si>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</si>
  <si>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</si>
  <si>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</si>
  <si>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</si>
  <si>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</si>
  <si>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</si>
  <si>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</si>
  <si>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</si>
  <si>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</si>
  <si>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</si>
  <si>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</si>
  <si>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</si>
  <si>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</si>
  <si>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</t>
  </si>
  <si>
    <t>Bolivar</t>
  </si>
  <si>
    <t>Tiraque</t>
  </si>
  <si>
    <t>Shinahota</t>
  </si>
  <si>
    <t>Oruro</t>
  </si>
  <si>
    <t>Caracollo</t>
  </si>
  <si>
    <t>El Choro</t>
  </si>
  <si>
    <t>Pari - Paría - Soracachi</t>
  </si>
  <si>
    <t>Challapata</t>
  </si>
  <si>
    <t>Quillacas</t>
  </si>
  <si>
    <t>Corque</t>
  </si>
  <si>
    <t>Choque 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</si>
  <si>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</si>
  <si>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</si>
  <si>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</si>
  <si>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</si>
  <si>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</si>
  <si>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</si>
  <si>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</si>
  <si>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</si>
  <si>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</si>
  <si>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</si>
  <si>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</si>
  <si>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</si>
  <si>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García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</si>
  <si>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</si>
  <si>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</si>
  <si>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</si>
  <si>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</si>
  <si>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</si>
  <si>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</si>
  <si>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</si>
  <si>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</si>
  <si>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</si>
  <si>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Huari</t>
  </si>
  <si>
    <t>La Rivera</t>
  </si>
  <si>
    <t>Todos Santos</t>
  </si>
  <si>
    <t>Carangas</t>
  </si>
  <si>
    <t>Huayllamarca</t>
  </si>
  <si>
    <t>Potosí</t>
  </si>
  <si>
    <t>Tinguipaya</t>
  </si>
  <si>
    <t>Yocalla</t>
  </si>
  <si>
    <t>Urmiri</t>
  </si>
  <si>
    <t xml:space="preserve">Uncía </t>
  </si>
  <si>
    <t>Chayanta</t>
  </si>
  <si>
    <t>Llallagua</t>
  </si>
  <si>
    <t>Chuquiuta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</si>
  <si>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</si>
  <si>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</si>
  <si>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</si>
  <si>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</si>
  <si>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</si>
  <si>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</si>
  <si>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</si>
  <si>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</si>
  <si>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S. P. de Buena Vista</t>
  </si>
  <si>
    <t>Toro Toro</t>
  </si>
  <si>
    <t>Cotagaita</t>
  </si>
  <si>
    <t>Vitichi</t>
  </si>
  <si>
    <t>Villa de Sacaca</t>
  </si>
  <si>
    <t>Caripuyo</t>
  </si>
  <si>
    <t>Tupiza</t>
  </si>
  <si>
    <t>Atocha</t>
  </si>
  <si>
    <t>Colcha "K"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</si>
  <si>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</si>
  <si>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</si>
  <si>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</si>
  <si>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</si>
  <si>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</si>
  <si>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</si>
  <si>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</si>
  <si>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</si>
  <si>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</si>
  <si>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</si>
  <si>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</si>
  <si>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</si>
  <si>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</si>
  <si>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</si>
  <si>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</si>
  <si>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</si>
  <si>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</si>
  <si>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</si>
  <si>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</si>
  <si>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</si>
  <si>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</si>
  <si>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</si>
  <si>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</si>
  <si>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</si>
  <si>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</si>
  <si>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</si>
  <si>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</si>
  <si>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</si>
  <si>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</si>
  <si>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</si>
  <si>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</si>
  <si>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</si>
  <si>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</si>
  <si>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</si>
  <si>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Velazco</t>
  </si>
  <si>
    <t>San Miguel de Velazco</t>
  </si>
  <si>
    <t>San Rafael</t>
  </si>
  <si>
    <t>Buena Vista</t>
  </si>
  <si>
    <t>San Carlos</t>
  </si>
  <si>
    <t>Yapacaní</t>
  </si>
  <si>
    <t>San Juan de Yapacaní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</si>
  <si>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</si>
  <si>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</si>
  <si>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</si>
  <si>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</si>
  <si>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</si>
  <si>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</si>
  <si>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</si>
  <si>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</si>
  <si>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</si>
  <si>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 xml:space="preserve">Cuevo </t>
  </si>
  <si>
    <t>Gutiérrez</t>
  </si>
  <si>
    <t>Camiri</t>
  </si>
  <si>
    <t>Boyuibe</t>
  </si>
  <si>
    <t>Vallegrande</t>
  </si>
  <si>
    <t xml:space="preserve">Trigal </t>
  </si>
  <si>
    <t>Moro Moro</t>
  </si>
  <si>
    <t>Postrer Valle</t>
  </si>
  <si>
    <t>Pucará</t>
  </si>
  <si>
    <t>Samaipata</t>
  </si>
  <si>
    <t>Pampa Grande</t>
  </si>
  <si>
    <t>Mairana</t>
  </si>
  <si>
    <t>Quirusillas</t>
  </si>
  <si>
    <t>Montero</t>
  </si>
  <si>
    <t>Gral. 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</si>
  <si>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</si>
  <si>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</si>
  <si>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</si>
  <si>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</si>
  <si>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</si>
  <si>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</si>
  <si>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</si>
  <si>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</si>
  <si>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</si>
  <si>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</si>
  <si>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</si>
  <si>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</si>
  <si>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</si>
  <si>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</si>
  <si>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Carmen Rivero Tórrez</t>
  </si>
  <si>
    <t>Ascensión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</si>
  <si>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</si>
  <si>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</si>
  <si>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</si>
  <si>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</si>
  <si>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</si>
  <si>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</si>
  <si>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</si>
  <si>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</si>
  <si>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</si>
  <si>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</si>
  <si>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</si>
  <si>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</si>
  <si>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</si>
  <si>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</si>
  <si>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</si>
  <si>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</si>
  <si>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</si>
  <si>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</si>
  <si>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</si>
  <si>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 xml:space="preserve">Cobija </t>
  </si>
  <si>
    <t>Porvenir</t>
  </si>
  <si>
    <t>Bolpebra</t>
  </si>
  <si>
    <t>Bella Flor</t>
  </si>
  <si>
    <t xml:space="preserve">Puerto Rico </t>
  </si>
  <si>
    <t>Filadelfia</t>
  </si>
  <si>
    <t>Puerto Gonzalez Moreno</t>
  </si>
  <si>
    <t>San Lorenzo</t>
  </si>
  <si>
    <t>Sena</t>
  </si>
  <si>
    <t xml:space="preserve">Santa Rosa </t>
  </si>
  <si>
    <t>Ingavi</t>
  </si>
  <si>
    <t>Nueva Esperanza</t>
  </si>
  <si>
    <t>Villa Nueva (Loma Alta)</t>
  </si>
  <si>
    <t>Santos Mercado</t>
  </si>
  <si>
    <t>Alcalá</t>
  </si>
  <si>
    <t>Villa Abecia</t>
  </si>
  <si>
    <t>Villa Vaca Guzmán</t>
  </si>
  <si>
    <t>Huacaya (Autonomía Guaraní Chaqueño de Huacaya)</t>
  </si>
  <si>
    <t>Macharetí</t>
  </si>
  <si>
    <t>Nuestra Señora de La Paz</t>
  </si>
  <si>
    <t>Villa Ancoraimes</t>
  </si>
  <si>
    <t>Santiago de Callapa</t>
  </si>
  <si>
    <t>Puerto Mayor de Carabuco</t>
  </si>
  <si>
    <t>Puerto Mayor de Guaqui</t>
  </si>
  <si>
    <t>Tiahuanacu</t>
  </si>
  <si>
    <t>La (Marka) San Andrés de Machaca</t>
  </si>
  <si>
    <t>Jesús de Machaka</t>
  </si>
  <si>
    <t>Sicasica</t>
  </si>
  <si>
    <t>Ixiamas</t>
  </si>
  <si>
    <t>Cochabamba</t>
  </si>
  <si>
    <t>Ayopaya</t>
  </si>
  <si>
    <t>Tarata</t>
  </si>
  <si>
    <t>Arque</t>
  </si>
  <si>
    <t>Santiváñez</t>
  </si>
  <si>
    <t>Toco</t>
  </si>
  <si>
    <t>Vinto</t>
  </si>
  <si>
    <t>Totora</t>
  </si>
  <si>
    <t>Villa Gualberto Villarroel</t>
  </si>
  <si>
    <t>Bolívar</t>
  </si>
  <si>
    <t>Paria</t>
  </si>
  <si>
    <t>Santuario de Quillacas</t>
  </si>
  <si>
    <t>Choquecota</t>
  </si>
  <si>
    <t>Yunguyo del Litoral</t>
  </si>
  <si>
    <t>Salinas de Garci Mendoza (Autonomía Indígena Originario Campesina de Salinas)</t>
  </si>
  <si>
    <t>Uru Chipaya (Nación Originaria Uru Chipaya)</t>
  </si>
  <si>
    <t>Andamarca</t>
  </si>
  <si>
    <t>Santiago de Huari</t>
  </si>
  <si>
    <t>Santiago de Huayllamarca</t>
  </si>
  <si>
    <t>Uncía</t>
  </si>
  <si>
    <t>Chuquihuta Ayllu Jucumani</t>
  </si>
  <si>
    <t>Sacaca</t>
  </si>
  <si>
    <t>San Pablo</t>
  </si>
  <si>
    <t>Villa Montes</t>
  </si>
  <si>
    <t>San Miguel</t>
  </si>
  <si>
    <t>San Juan</t>
  </si>
  <si>
    <t>San José</t>
  </si>
  <si>
    <t>Colpa Bélgica</t>
  </si>
  <si>
    <t>Charagua (Autonomía Guaraní Charagua Iyambae)</t>
  </si>
  <si>
    <t>Cuevo</t>
  </si>
  <si>
    <t>Gutiérrez (Autonomía Indígena Kereimba Iyaambae)</t>
  </si>
  <si>
    <t>Trigal</t>
  </si>
  <si>
    <t>Moromoro</t>
  </si>
  <si>
    <t>Postrervalle</t>
  </si>
  <si>
    <t>Pampagrande</t>
  </si>
  <si>
    <t>General Saavedra</t>
  </si>
  <si>
    <t>Fernández Alonso</t>
  </si>
  <si>
    <t>San Antonio de Lomerio</t>
  </si>
  <si>
    <t>El Carmen Rivero Tórrez</t>
  </si>
  <si>
    <t>Ascención de Guarayos</t>
  </si>
  <si>
    <t>Puerto Menor de Rurrenabaque</t>
  </si>
  <si>
    <t>Santa Ana</t>
  </si>
  <si>
    <t>Cobija</t>
  </si>
  <si>
    <t>Puerto Rico</t>
  </si>
  <si>
    <t>Puerto Gonzalo Moreno</t>
  </si>
  <si>
    <t>Villa Nueva</t>
  </si>
  <si>
    <t>id_departamento</t>
  </si>
  <si>
    <t>Departamento</t>
  </si>
  <si>
    <t>Chuquisaca</t>
  </si>
  <si>
    <t>Santa Cruz</t>
  </si>
  <si>
    <t>Beni</t>
  </si>
  <si>
    <t>Pando</t>
  </si>
  <si>
    <t>Gran Chaco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</si>
  <si>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</si>
  <si>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</si>
  <si>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</si>
  <si>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</si>
  <si>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</si>
  <si>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</si>
  <si>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</si>
  <si>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</si>
  <si>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</si>
  <si>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</si>
  <si>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</si>
  <si>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 xml:space="preserve">Brecha de pobreza migrantes/no-migrantes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</si>
</sst>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"/>
    <numFmt numFmtId="165" formatCode="0.0000"/>
  </numFmts>
  <fonts count="6">
    <font>
      <sz val="10.0"/>
      <color rgb="FF000000"/>
      <name val="Arial"/>
      <scheme val="minor"/>
    </font>
    <font>
      <sz val="11.0"/>
      <color theme="1"/>
      <name val="Calibri"/>
    </font>
    <font>
      <sz val="10.0"/>
      <color theme="1"/>
      <name val="Arial"/>
    </font>
    <font>
      <b/>
      <sz val="11.0"/>
      <color rgb="FFFFFFFF"/>
      <name val="Calibri"/>
    </font>
    <font>
      <b/>
      <sz val="11.0"/>
      <color theme="1"/>
      <name val="Calibri"/>
    </font>
    <font>
      <b/>
      <sz val="9.0"/>
      <color theme="1"/>
      <name val="Play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1" numFmtId="165" xfId="0" applyAlignment="1" applyFont="1" applyNumberFormat="1">
      <alignment shrinkToFit="0" wrapText="1"/>
    </xf>
    <xf borderId="0" fillId="0" fontId="1" numFmtId="164" xfId="0" applyFont="1" applyNumberFormat="1"/>
    <xf borderId="0" fillId="0" fontId="2" numFmtId="165" xfId="0" applyAlignment="1" applyFont="1" applyNumberFormat="1">
      <alignment shrinkToFit="0" wrapText="1"/>
    </xf>
    <xf borderId="0" fillId="0" fontId="1" numFmtId="2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1" numFmtId="1" xfId="0" applyAlignment="1" applyFont="1" applyNumberFormat="1">
      <alignment horizontal="right"/>
    </xf>
    <xf borderId="0" fillId="0" fontId="1" numFmtId="165" xfId="0" applyFont="1" applyNumberFormat="1"/>
    <xf borderId="0" fillId="0" fontId="1" numFmtId="165" xfId="0" applyAlignment="1" applyFont="1" applyNumberFormat="1">
      <alignment horizontal="right"/>
    </xf>
    <xf borderId="0" fillId="0" fontId="2" numFmtId="165" xfId="0" applyFont="1" applyNumberFormat="1"/>
    <xf borderId="0" fillId="0" fontId="1" numFmtId="2" xfId="0" applyFont="1" applyNumberFormat="1"/>
    <xf borderId="0" fillId="0" fontId="1" numFmtId="0" xfId="0" applyFont="1"/>
    <xf borderId="0" fillId="0" fontId="1" numFmtId="2" xfId="0" applyAlignment="1" applyFont="1" applyNumberFormat="1">
      <alignment horizontal="right"/>
    </xf>
    <xf borderId="0" fillId="0" fontId="2" numFmtId="1" xfId="0" applyFont="1" applyNumberFormat="1"/>
    <xf borderId="0" fillId="0" fontId="2" numFmtId="1" xfId="0" applyAlignment="1" applyFont="1" applyNumberFormat="1">
      <alignment horizontal="right"/>
    </xf>
    <xf borderId="0" fillId="0" fontId="2" numFmtId="164" xfId="0" applyFont="1" applyNumberFormat="1"/>
    <xf borderId="0" fillId="0" fontId="2" numFmtId="2" xfId="0" applyFont="1" applyNumberFormat="1"/>
    <xf borderId="0" fillId="0" fontId="2" numFmtId="0" xfId="0" applyFont="1"/>
    <xf borderId="0" fillId="0" fontId="2" numFmtId="2" xfId="0" applyAlignment="1" applyFont="1" applyNumberFormat="1">
      <alignment shrinkToFit="0" wrapText="1"/>
    </xf>
    <xf borderId="1" fillId="2" fontId="3" numFmtId="164" xfId="0" applyAlignment="1" applyBorder="1" applyFill="1" applyFont="1" applyNumberFormat="1">
      <alignment horizontal="center"/>
    </xf>
    <xf borderId="1" fillId="2" fontId="3" numFmtId="49" xfId="0" applyAlignment="1" applyBorder="1" applyFont="1" applyNumberFormat="1">
      <alignment horizontal="center"/>
    </xf>
    <xf borderId="1" fillId="2" fontId="3" numFmtId="4" xfId="0" applyAlignment="1" applyBorder="1" applyFont="1" applyNumberFormat="1">
      <alignment horizontal="center" shrinkToFit="0" wrapText="1"/>
    </xf>
    <xf borderId="1" fillId="2" fontId="3" numFmtId="4" xfId="0" applyAlignment="1" applyBorder="1" applyFont="1" applyNumberFormat="1">
      <alignment horizontal="center" shrinkToFit="0" wrapText="1"/>
    </xf>
    <xf borderId="0" fillId="0" fontId="1" numFmtId="164" xfId="0" applyAlignment="1" applyFont="1" applyNumberFormat="1">
      <alignment horizontal="right"/>
    </xf>
    <xf borderId="1" fillId="3" fontId="1" numFmtId="49" xfId="0" applyBorder="1" applyFill="1" applyFont="1" applyNumberFormat="1"/>
    <xf borderId="0" fillId="0" fontId="2" numFmtId="4" xfId="0" applyFont="1" applyNumberFormat="1"/>
    <xf borderId="1" fillId="3" fontId="1" numFmtId="164" xfId="0" applyAlignment="1" applyBorder="1" applyFont="1" applyNumberFormat="1">
      <alignment horizontal="right"/>
    </xf>
    <xf borderId="0" fillId="0" fontId="2" numFmtId="49" xfId="0" applyFont="1" applyNumberFormat="1"/>
    <xf borderId="1" fillId="2" fontId="3" numFmtId="164" xfId="0" applyAlignment="1" applyBorder="1" applyFont="1" applyNumberFormat="1">
      <alignment horizontal="center" shrinkToFit="0" wrapText="1"/>
    </xf>
    <xf borderId="1" fillId="2" fontId="3" numFmtId="49" xfId="0" applyAlignment="1" applyBorder="1" applyFont="1" applyNumberFormat="1">
      <alignment horizontal="center" shrinkToFit="0" wrapText="1"/>
    </xf>
    <xf borderId="0" fillId="0" fontId="1" numFmtId="4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  <xf borderId="0" fillId="0" fontId="1" numFmtId="4" xfId="0" applyFont="1" applyNumberFormat="1"/>
    <xf borderId="1" fillId="2" fontId="3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right"/>
    </xf>
    <xf borderId="0" fillId="0" fontId="2" numFmtId="3" xfId="0" applyAlignment="1" applyFont="1" applyNumberFormat="1">
      <alignment horizontal="right"/>
    </xf>
    <xf borderId="0" fillId="0" fontId="2" numFmtId="3" xfId="0" applyFont="1" applyNumberFormat="1"/>
    <xf borderId="2" fillId="4" fontId="4" numFmtId="0" xfId="0" applyBorder="1" applyFill="1" applyFont="1"/>
    <xf borderId="2" fillId="5" fontId="5" numFmtId="0" xfId="0" applyAlignment="1" applyBorder="1" applyFill="1" applyFont="1">
      <alignment horizontal="center" shrinkToFit="0" wrapText="1"/>
    </xf>
    <xf borderId="2" fillId="6" fontId="5" numFmtId="0" xfId="0" applyAlignment="1" applyBorder="1" applyFill="1" applyFont="1">
      <alignment horizontal="center" shrinkToFit="0" wrapText="1"/>
    </xf>
    <xf borderId="2" fillId="7" fontId="5" numFmtId="0" xfId="0" applyAlignment="1" applyBorder="1" applyFill="1" applyFont="1">
      <alignment horizontal="center" shrinkToFit="0" wrapText="1"/>
    </xf>
    <xf borderId="2" fillId="8" fontId="5" numFmtId="0" xfId="0" applyAlignment="1" applyBorder="1" applyFill="1" applyFont="1">
      <alignment horizontal="center" shrinkToFit="0" wrapText="1"/>
    </xf>
    <xf borderId="2" fillId="0" fontId="1" numFmtId="0" xfId="0" applyAlignment="1" applyBorder="1" applyFont="1">
      <alignment horizontal="right"/>
    </xf>
    <xf borderId="2" fillId="0" fontId="1" numFmtId="0" xfId="0" applyBorder="1" applyFont="1"/>
    <xf borderId="2" fillId="0" fontId="2" numFmtId="2" xfId="0" applyAlignment="1" applyBorder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2">
    <tableStyle count="2" pivot="0" name="Indicador_MUN-style">
      <tableStyleElement dxfId="1" type="firstRowStripe"/>
      <tableStyleElement dxfId="2" type="secondRowStripe"/>
    </tableStyle>
    <tableStyle count="2" pivot="0" name="Absoluto_MU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1" displayName="Table_1" name="Table_1" id="1">
  <tableColumns count="1">
    <tableColumn name="Column1" id="1"/>
  </tableColumns>
  <tableStyleInfo name="Indicador_MUN-style" showColumnStripes="0" showFirstColumn="1" showLastColumn="1" showRowStripes="1"/>
</table>
</file>

<file path=xl/tables/table2.xml><?xml version="1.0" encoding="utf-8"?>
<table xmlns="http://schemas.openxmlformats.org/spreadsheetml/2006/main" headerRowCount="0" ref="D1" displayName="Table_2" name="Table_2" id="2">
  <tableColumns count="1">
    <tableColumn name="Column1" id="1"/>
  </tableColumns>
  <tableStyleInfo name="Absoluto_MU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4.25"/>
    <col customWidth="1" min="6" max="6" width="12.63"/>
  </cols>
  <sheetData>
    <row r="1" ht="60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0</v>
      </c>
      <c r="I1" s="2" t="s">
        <v>7</v>
      </c>
      <c r="J1" s="2" t="s">
        <v>8</v>
      </c>
      <c r="K1" s="2" t="s">
        <v>9</v>
      </c>
      <c r="L1" s="3" t="s">
        <v>10</v>
      </c>
      <c r="M1" s="5" t="s">
        <v>11</v>
      </c>
      <c r="N1" s="3" t="s">
        <v>12</v>
      </c>
      <c r="O1" s="6" t="s">
        <v>13</v>
      </c>
      <c r="P1" s="2"/>
      <c r="Q1" s="4" t="s">
        <v>14</v>
      </c>
      <c r="R1" s="2" t="s">
        <v>1</v>
      </c>
      <c r="S1" s="2" t="s">
        <v>2</v>
      </c>
      <c r="T1" s="2" t="s">
        <v>3</v>
      </c>
      <c r="U1" s="3" t="s">
        <v>4</v>
      </c>
      <c r="V1" s="3" t="s">
        <v>5</v>
      </c>
      <c r="W1" s="3" t="s">
        <v>6</v>
      </c>
      <c r="X1" s="6" t="s">
        <v>13</v>
      </c>
      <c r="Y1" s="2"/>
      <c r="Z1" s="2"/>
      <c r="AA1" s="2"/>
      <c r="AB1" s="2"/>
      <c r="AC1" s="7"/>
      <c r="AD1" s="7"/>
      <c r="AE1" s="7"/>
      <c r="AF1" s="7"/>
      <c r="AG1" s="7"/>
      <c r="AH1" s="7"/>
      <c r="AI1" s="7"/>
      <c r="AJ1" s="7"/>
      <c r="AK1" s="7"/>
    </row>
    <row r="2" ht="15.75" customHeight="1">
      <c r="A2" s="4">
        <v>10101.0</v>
      </c>
      <c r="B2" s="8">
        <v>60.0</v>
      </c>
      <c r="C2" s="8">
        <v>26.555556178092957</v>
      </c>
      <c r="D2" s="8">
        <v>193.0</v>
      </c>
      <c r="E2" s="9">
        <f t="shared" ref="E2:E14" si="1">B2/D2</f>
        <v>0.310880829</v>
      </c>
      <c r="F2" s="10">
        <f t="shared" ref="F2:F14" si="2">C2/B2</f>
        <v>0.442592603</v>
      </c>
      <c r="G2" s="10">
        <f t="shared" ref="G2:G14" si="3">E2*F2</f>
        <v>0.1375935553</v>
      </c>
      <c r="H2" s="4">
        <v>10101.0</v>
      </c>
      <c r="I2" s="8">
        <v>662.0</v>
      </c>
      <c r="J2" s="8">
        <v>301.3333409130573</v>
      </c>
      <c r="K2" s="8">
        <v>2756.0</v>
      </c>
      <c r="L2" s="10">
        <f t="shared" ref="L2:L339" si="4">I2/K2</f>
        <v>0.240203193</v>
      </c>
      <c r="M2" s="11">
        <f t="shared" ref="M2:M45" si="5">J2/I2</f>
        <v>0.4551863156</v>
      </c>
      <c r="N2" s="11">
        <f t="shared" ref="N2:N45" si="6">L2*M2</f>
        <v>0.1093372064</v>
      </c>
      <c r="O2" s="12">
        <f t="shared" ref="O2:O14" si="7">N2/G2</f>
        <v>0.7946390088</v>
      </c>
      <c r="P2" s="13"/>
      <c r="Q2" s="4">
        <v>1.0</v>
      </c>
      <c r="R2" s="8">
        <v>267.0</v>
      </c>
      <c r="S2" s="8">
        <v>126.00000315904617</v>
      </c>
      <c r="T2" s="8">
        <v>544.0</v>
      </c>
      <c r="U2" s="9">
        <f t="shared" ref="U2:U10" si="8">R2/T2</f>
        <v>0.4908088235</v>
      </c>
      <c r="V2" s="10">
        <f t="shared" ref="V2:V10" si="9">S2/R2</f>
        <v>0.4719101242</v>
      </c>
      <c r="W2" s="10">
        <f t="shared" ref="W2:W10" si="10">U2*V2</f>
        <v>0.2316176529</v>
      </c>
      <c r="X2" s="14">
        <f t="shared" ref="X2:X10" si="11">W14/W2</f>
        <v>0.7483320395</v>
      </c>
      <c r="Y2" s="13"/>
      <c r="Z2" s="15" t="s">
        <v>15</v>
      </c>
      <c r="AA2" s="15"/>
      <c r="AB2" s="16">
        <v>2024.0</v>
      </c>
    </row>
    <row r="3" ht="15.75" customHeight="1">
      <c r="A3" s="4">
        <v>10102.0</v>
      </c>
      <c r="B3" s="8">
        <v>20.0</v>
      </c>
      <c r="C3" s="8">
        <v>8.666666835546494</v>
      </c>
      <c r="D3" s="8">
        <v>24.0</v>
      </c>
      <c r="E3" s="9">
        <f t="shared" si="1"/>
        <v>0.8333333333</v>
      </c>
      <c r="F3" s="10">
        <f t="shared" si="2"/>
        <v>0.4333333418</v>
      </c>
      <c r="G3" s="10">
        <f t="shared" si="3"/>
        <v>0.3611111181</v>
      </c>
      <c r="H3" s="4">
        <v>10102.0</v>
      </c>
      <c r="I3" s="8">
        <v>58.0</v>
      </c>
      <c r="J3" s="8">
        <v>24.333333879709244</v>
      </c>
      <c r="K3" s="8">
        <v>224.0</v>
      </c>
      <c r="L3" s="10">
        <f t="shared" si="4"/>
        <v>0.2589285714</v>
      </c>
      <c r="M3" s="11">
        <f t="shared" si="5"/>
        <v>0.4195402393</v>
      </c>
      <c r="N3" s="11">
        <f t="shared" si="6"/>
        <v>0.1086309548</v>
      </c>
      <c r="O3" s="12">
        <f t="shared" si="7"/>
        <v>0.3008241767</v>
      </c>
      <c r="P3" s="13"/>
      <c r="Q3" s="4">
        <v>2.0</v>
      </c>
      <c r="R3" s="8">
        <v>568.0</v>
      </c>
      <c r="S3" s="8">
        <v>247.77778381109238</v>
      </c>
      <c r="T3" s="8">
        <v>1446.0</v>
      </c>
      <c r="U3" s="9">
        <f t="shared" si="8"/>
        <v>0.3928077455</v>
      </c>
      <c r="V3" s="10">
        <f t="shared" si="9"/>
        <v>0.4362284926</v>
      </c>
      <c r="W3" s="10">
        <f t="shared" si="10"/>
        <v>0.1713539307</v>
      </c>
      <c r="X3" s="14">
        <f t="shared" si="11"/>
        <v>0.7846709132</v>
      </c>
      <c r="Y3" s="13"/>
      <c r="Z3" s="15" t="s">
        <v>16</v>
      </c>
      <c r="AA3" s="15"/>
      <c r="AB3" s="15"/>
    </row>
    <row r="4" ht="15.75" customHeight="1">
      <c r="A4" s="4">
        <v>10103.0</v>
      </c>
      <c r="B4" s="8">
        <v>10.0</v>
      </c>
      <c r="C4" s="8">
        <v>5.444444566965103</v>
      </c>
      <c r="D4" s="8">
        <v>14.0</v>
      </c>
      <c r="E4" s="9">
        <f t="shared" si="1"/>
        <v>0.7142857143</v>
      </c>
      <c r="F4" s="10">
        <f t="shared" si="2"/>
        <v>0.5444444567</v>
      </c>
      <c r="G4" s="10">
        <f t="shared" si="3"/>
        <v>0.3888888976</v>
      </c>
      <c r="H4" s="4">
        <v>10103.0</v>
      </c>
      <c r="I4" s="8">
        <v>144.0</v>
      </c>
      <c r="J4" s="8">
        <v>76.77777987718582</v>
      </c>
      <c r="K4" s="8">
        <v>165.0</v>
      </c>
      <c r="L4" s="10">
        <f t="shared" si="4"/>
        <v>0.8727272727</v>
      </c>
      <c r="M4" s="11">
        <f t="shared" si="5"/>
        <v>0.5331790269</v>
      </c>
      <c r="N4" s="11">
        <f t="shared" si="6"/>
        <v>0.465319878</v>
      </c>
      <c r="O4" s="12">
        <f t="shared" si="7"/>
        <v>1.196536802</v>
      </c>
      <c r="P4" s="13"/>
      <c r="Q4" s="4">
        <v>3.0</v>
      </c>
      <c r="R4" s="8">
        <v>744.0</v>
      </c>
      <c r="S4" s="8">
        <v>329.88889706134796</v>
      </c>
      <c r="T4" s="8">
        <v>1592.0</v>
      </c>
      <c r="U4" s="9">
        <f t="shared" si="8"/>
        <v>0.4673366834</v>
      </c>
      <c r="V4" s="10">
        <f t="shared" si="9"/>
        <v>0.4433990552</v>
      </c>
      <c r="W4" s="10">
        <f t="shared" si="10"/>
        <v>0.2072166439</v>
      </c>
      <c r="X4" s="14">
        <f t="shared" si="11"/>
        <v>0.7639353538</v>
      </c>
      <c r="Y4" s="13"/>
      <c r="Z4" s="15" t="s">
        <v>17</v>
      </c>
      <c r="AA4" s="15"/>
      <c r="AB4" s="15"/>
    </row>
    <row r="5" ht="15.75" customHeight="1">
      <c r="A5" s="4">
        <v>10201.0</v>
      </c>
      <c r="B5" s="8">
        <v>3.0</v>
      </c>
      <c r="C5" s="8">
        <v>2.0000000298023224</v>
      </c>
      <c r="D5" s="8">
        <v>4.0</v>
      </c>
      <c r="E5" s="9">
        <f t="shared" si="1"/>
        <v>0.75</v>
      </c>
      <c r="F5" s="10">
        <f t="shared" si="2"/>
        <v>0.6666666766</v>
      </c>
      <c r="G5" s="10">
        <f t="shared" si="3"/>
        <v>0.5000000075</v>
      </c>
      <c r="H5" s="4">
        <v>10201.0</v>
      </c>
      <c r="I5" s="8">
        <v>54.0</v>
      </c>
      <c r="J5" s="8">
        <v>29.000000834465027</v>
      </c>
      <c r="K5" s="8">
        <v>85.0</v>
      </c>
      <c r="L5" s="10">
        <f t="shared" si="4"/>
        <v>0.6352941176</v>
      </c>
      <c r="M5" s="11">
        <f t="shared" si="5"/>
        <v>0.5370370525</v>
      </c>
      <c r="N5" s="11">
        <f t="shared" si="6"/>
        <v>0.3411764804</v>
      </c>
      <c r="O5" s="12">
        <f t="shared" si="7"/>
        <v>0.6823529506</v>
      </c>
      <c r="P5" s="13"/>
      <c r="Q5" s="4">
        <v>4.0</v>
      </c>
      <c r="R5" s="8">
        <v>232.0</v>
      </c>
      <c r="S5" s="8">
        <v>102.55555805563927</v>
      </c>
      <c r="T5" s="8">
        <v>494.0</v>
      </c>
      <c r="U5" s="9">
        <f t="shared" si="8"/>
        <v>0.4696356275</v>
      </c>
      <c r="V5" s="10">
        <f t="shared" si="9"/>
        <v>0.4420498192</v>
      </c>
      <c r="W5" s="10">
        <f t="shared" si="10"/>
        <v>0.2076023442</v>
      </c>
      <c r="X5" s="14">
        <f t="shared" si="11"/>
        <v>0.8823414135</v>
      </c>
      <c r="Y5" s="13"/>
      <c r="Z5" s="15" t="s">
        <v>18</v>
      </c>
      <c r="AA5" s="15"/>
      <c r="AB5" s="15"/>
    </row>
    <row r="6" ht="15.75" customHeight="1">
      <c r="A6" s="4">
        <v>10202.0</v>
      </c>
      <c r="B6" s="8">
        <v>6.0</v>
      </c>
      <c r="C6" s="8">
        <v>3.333333432674408</v>
      </c>
      <c r="D6" s="8">
        <v>10.0</v>
      </c>
      <c r="E6" s="9">
        <f t="shared" si="1"/>
        <v>0.6</v>
      </c>
      <c r="F6" s="10">
        <f t="shared" si="2"/>
        <v>0.5555555721</v>
      </c>
      <c r="G6" s="10">
        <f t="shared" si="3"/>
        <v>0.3333333433</v>
      </c>
      <c r="H6" s="4">
        <v>10202.0</v>
      </c>
      <c r="I6" s="8">
        <v>74.0</v>
      </c>
      <c r="J6" s="8">
        <v>36.77777874469757</v>
      </c>
      <c r="K6" s="8">
        <v>124.0</v>
      </c>
      <c r="L6" s="10">
        <f t="shared" si="4"/>
        <v>0.5967741935</v>
      </c>
      <c r="M6" s="11">
        <f t="shared" si="5"/>
        <v>0.4969970101</v>
      </c>
      <c r="N6" s="11">
        <f t="shared" si="6"/>
        <v>0.2965949899</v>
      </c>
      <c r="O6" s="12">
        <f t="shared" si="7"/>
        <v>0.8897849431</v>
      </c>
      <c r="P6" s="13"/>
      <c r="Q6" s="4">
        <v>5.0</v>
      </c>
      <c r="R6" s="8">
        <v>575.0</v>
      </c>
      <c r="S6" s="8">
        <v>255.55556175112724</v>
      </c>
      <c r="T6" s="8">
        <v>1065.0</v>
      </c>
      <c r="U6" s="9">
        <f t="shared" si="8"/>
        <v>0.5399061033</v>
      </c>
      <c r="V6" s="10">
        <f t="shared" si="9"/>
        <v>0.4444444552</v>
      </c>
      <c r="W6" s="10">
        <f t="shared" si="10"/>
        <v>0.2399582739</v>
      </c>
      <c r="X6" s="14">
        <f t="shared" si="11"/>
        <v>0.8896012334</v>
      </c>
      <c r="Y6" s="13"/>
      <c r="Z6" s="15" t="s">
        <v>16</v>
      </c>
      <c r="AA6" s="15"/>
      <c r="AB6" s="15"/>
    </row>
    <row r="7" ht="15.75" customHeight="1">
      <c r="A7" s="4">
        <v>10301.0</v>
      </c>
      <c r="B7" s="8">
        <v>4.0</v>
      </c>
      <c r="C7" s="8">
        <v>2.2222222685813904</v>
      </c>
      <c r="D7" s="8">
        <v>5.0</v>
      </c>
      <c r="E7" s="9">
        <f t="shared" si="1"/>
        <v>0.8</v>
      </c>
      <c r="F7" s="10">
        <f t="shared" si="2"/>
        <v>0.5555555671</v>
      </c>
      <c r="G7" s="10">
        <f t="shared" si="3"/>
        <v>0.4444444537</v>
      </c>
      <c r="H7" s="4">
        <v>10301.0</v>
      </c>
      <c r="I7" s="8">
        <v>93.0</v>
      </c>
      <c r="J7" s="8">
        <v>44.88889002799988</v>
      </c>
      <c r="K7" s="8">
        <v>234.0</v>
      </c>
      <c r="L7" s="10">
        <f t="shared" si="4"/>
        <v>0.3974358974</v>
      </c>
      <c r="M7" s="11">
        <f t="shared" si="5"/>
        <v>0.4826762369</v>
      </c>
      <c r="N7" s="11">
        <f t="shared" si="6"/>
        <v>0.1918328634</v>
      </c>
      <c r="O7" s="12">
        <f t="shared" si="7"/>
        <v>0.4316239336</v>
      </c>
      <c r="P7" s="13"/>
      <c r="Q7" s="4">
        <v>6.0</v>
      </c>
      <c r="R7" s="8">
        <v>124.0</v>
      </c>
      <c r="S7" s="8">
        <v>52.444445848464966</v>
      </c>
      <c r="T7" s="8">
        <v>490.0</v>
      </c>
      <c r="U7" s="9">
        <f t="shared" si="8"/>
        <v>0.2530612245</v>
      </c>
      <c r="V7" s="10">
        <f t="shared" si="9"/>
        <v>0.4229390794</v>
      </c>
      <c r="W7" s="10">
        <f t="shared" si="10"/>
        <v>0.1070294813</v>
      </c>
      <c r="X7" s="14">
        <f t="shared" si="11"/>
        <v>0.7849842265</v>
      </c>
      <c r="Y7" s="13"/>
      <c r="Z7" s="15" t="s">
        <v>19</v>
      </c>
      <c r="AA7" s="15"/>
      <c r="AB7" s="15"/>
    </row>
    <row r="8" ht="15.75" customHeight="1">
      <c r="A8" s="4">
        <v>10302.0</v>
      </c>
      <c r="B8" s="8">
        <v>1.0</v>
      </c>
      <c r="C8" s="8">
        <v>0.7777777910232544</v>
      </c>
      <c r="D8" s="8">
        <v>4.0</v>
      </c>
      <c r="E8" s="9">
        <f t="shared" si="1"/>
        <v>0.25</v>
      </c>
      <c r="F8" s="10">
        <f t="shared" si="2"/>
        <v>0.777777791</v>
      </c>
      <c r="G8" s="10">
        <f t="shared" si="3"/>
        <v>0.1944444478</v>
      </c>
      <c r="H8" s="4">
        <v>10302.0</v>
      </c>
      <c r="I8" s="8">
        <v>45.0</v>
      </c>
      <c r="J8" s="8">
        <v>21.888889491558075</v>
      </c>
      <c r="K8" s="8">
        <v>91.0</v>
      </c>
      <c r="L8" s="10">
        <f t="shared" si="4"/>
        <v>0.4945054945</v>
      </c>
      <c r="M8" s="11">
        <f t="shared" si="5"/>
        <v>0.4864197665</v>
      </c>
      <c r="N8" s="11">
        <f t="shared" si="6"/>
        <v>0.2405372472</v>
      </c>
      <c r="O8" s="12">
        <f t="shared" si="7"/>
        <v>1.237048679</v>
      </c>
      <c r="P8" s="13"/>
      <c r="Q8" s="4">
        <v>7.0</v>
      </c>
      <c r="R8" s="8">
        <v>719.0</v>
      </c>
      <c r="S8" s="8">
        <v>305.3333407342434</v>
      </c>
      <c r="T8" s="8">
        <v>1872.0</v>
      </c>
      <c r="U8" s="9">
        <f t="shared" si="8"/>
        <v>0.3840811966</v>
      </c>
      <c r="V8" s="10">
        <f t="shared" si="9"/>
        <v>0.4246638953</v>
      </c>
      <c r="W8" s="10">
        <f t="shared" si="10"/>
        <v>0.1631054171</v>
      </c>
      <c r="X8" s="14">
        <f t="shared" si="11"/>
        <v>0.6648482045</v>
      </c>
      <c r="Y8" s="13"/>
      <c r="Z8" s="15"/>
      <c r="AA8" s="15"/>
      <c r="AB8" s="15"/>
    </row>
    <row r="9" ht="15.75" customHeight="1">
      <c r="A9" s="4">
        <v>10303.0</v>
      </c>
      <c r="B9" s="8">
        <v>7.0</v>
      </c>
      <c r="C9" s="8">
        <v>3.2222222983837128</v>
      </c>
      <c r="D9" s="8">
        <v>12.0</v>
      </c>
      <c r="E9" s="9">
        <f t="shared" si="1"/>
        <v>0.5833333333</v>
      </c>
      <c r="F9" s="10">
        <f t="shared" si="2"/>
        <v>0.4603174712</v>
      </c>
      <c r="G9" s="10">
        <f t="shared" si="3"/>
        <v>0.2685185249</v>
      </c>
      <c r="H9" s="4">
        <v>10303.0</v>
      </c>
      <c r="I9" s="8">
        <v>59.0</v>
      </c>
      <c r="J9" s="8">
        <v>26.888889610767365</v>
      </c>
      <c r="K9" s="8">
        <v>122.0</v>
      </c>
      <c r="L9" s="10">
        <f t="shared" si="4"/>
        <v>0.4836065574</v>
      </c>
      <c r="M9" s="11">
        <f t="shared" si="5"/>
        <v>0.4557438917</v>
      </c>
      <c r="N9" s="11">
        <f t="shared" si="6"/>
        <v>0.2204007345</v>
      </c>
      <c r="O9" s="12">
        <f t="shared" si="7"/>
        <v>0.820802716</v>
      </c>
      <c r="P9" s="13"/>
      <c r="Q9" s="4">
        <v>8.0</v>
      </c>
      <c r="R9" s="8">
        <v>599.0</v>
      </c>
      <c r="S9" s="8">
        <v>284.7777847647667</v>
      </c>
      <c r="T9" s="8">
        <v>976.0</v>
      </c>
      <c r="U9" s="9">
        <f t="shared" si="8"/>
        <v>0.6137295082</v>
      </c>
      <c r="V9" s="10">
        <f t="shared" si="9"/>
        <v>0.4754220113</v>
      </c>
      <c r="W9" s="10">
        <f t="shared" si="10"/>
        <v>0.2917805172</v>
      </c>
      <c r="X9" s="14">
        <f t="shared" si="11"/>
        <v>0.7541674636</v>
      </c>
      <c r="Y9" s="13"/>
      <c r="Z9" s="15"/>
      <c r="AA9" s="15"/>
      <c r="AB9" s="16">
        <v>2012.0</v>
      </c>
    </row>
    <row r="10" ht="15.75" customHeight="1">
      <c r="A10" s="4">
        <v>10304.0</v>
      </c>
      <c r="B10" s="8">
        <v>6.0</v>
      </c>
      <c r="C10" s="8">
        <v>2.888888955116272</v>
      </c>
      <c r="D10" s="8">
        <v>16.0</v>
      </c>
      <c r="E10" s="9">
        <f t="shared" si="1"/>
        <v>0.375</v>
      </c>
      <c r="F10" s="10">
        <f t="shared" si="2"/>
        <v>0.4814814925</v>
      </c>
      <c r="G10" s="10">
        <f t="shared" si="3"/>
        <v>0.1805555597</v>
      </c>
      <c r="H10" s="4">
        <v>10304.0</v>
      </c>
      <c r="I10" s="8">
        <v>43.0</v>
      </c>
      <c r="J10" s="8">
        <v>20.111111670732498</v>
      </c>
      <c r="K10" s="8">
        <v>156.0</v>
      </c>
      <c r="L10" s="10">
        <f t="shared" si="4"/>
        <v>0.2756410256</v>
      </c>
      <c r="M10" s="11">
        <f t="shared" si="5"/>
        <v>0.4677002714</v>
      </c>
      <c r="N10" s="11">
        <f t="shared" si="6"/>
        <v>0.1289173825</v>
      </c>
      <c r="O10" s="12">
        <f t="shared" si="7"/>
        <v>0.7140039483</v>
      </c>
      <c r="P10" s="13"/>
      <c r="Q10" s="4">
        <v>9.0</v>
      </c>
      <c r="R10" s="8">
        <v>111.0</v>
      </c>
      <c r="S10" s="8">
        <v>50.88889038562775</v>
      </c>
      <c r="T10" s="8">
        <v>142.0</v>
      </c>
      <c r="U10" s="9">
        <f t="shared" si="8"/>
        <v>0.7816901408</v>
      </c>
      <c r="V10" s="10">
        <f t="shared" si="9"/>
        <v>0.4584584719</v>
      </c>
      <c r="W10" s="10">
        <f t="shared" si="10"/>
        <v>0.3583724675</v>
      </c>
      <c r="X10" s="14">
        <f t="shared" si="11"/>
        <v>0.7010493993</v>
      </c>
      <c r="Y10" s="13"/>
      <c r="Z10" s="15"/>
      <c r="AA10" s="15"/>
      <c r="AB10" s="15"/>
    </row>
    <row r="11" ht="15.75" customHeight="1">
      <c r="A11" s="4">
        <v>10401.0</v>
      </c>
      <c r="B11" s="8">
        <v>8.0</v>
      </c>
      <c r="C11" s="8">
        <v>3.4444445371627808</v>
      </c>
      <c r="D11" s="8">
        <v>11.0</v>
      </c>
      <c r="E11" s="9">
        <f t="shared" si="1"/>
        <v>0.7272727273</v>
      </c>
      <c r="F11" s="10">
        <f t="shared" si="2"/>
        <v>0.4305555671</v>
      </c>
      <c r="G11" s="10">
        <f t="shared" si="3"/>
        <v>0.3131313216</v>
      </c>
      <c r="H11" s="4">
        <v>10401.0</v>
      </c>
      <c r="I11" s="8">
        <v>89.0</v>
      </c>
      <c r="J11" s="8">
        <v>42.4444454908371</v>
      </c>
      <c r="K11" s="8">
        <v>196.0</v>
      </c>
      <c r="L11" s="10">
        <f t="shared" si="4"/>
        <v>0.4540816327</v>
      </c>
      <c r="M11" s="11">
        <f t="shared" si="5"/>
        <v>0.4769038819</v>
      </c>
      <c r="N11" s="11">
        <f t="shared" si="6"/>
        <v>0.2165532933</v>
      </c>
      <c r="O11" s="12">
        <f t="shared" si="7"/>
        <v>0.691573402</v>
      </c>
      <c r="Q11" s="17"/>
      <c r="X11" s="18"/>
      <c r="Z11" s="19" t="s">
        <v>15</v>
      </c>
      <c r="AA11" s="19"/>
      <c r="AB11" s="19"/>
    </row>
    <row r="12" ht="15.75" customHeight="1">
      <c r="A12" s="4">
        <v>10402.0</v>
      </c>
      <c r="B12" s="8">
        <v>3.0</v>
      </c>
      <c r="C12" s="8">
        <v>1.1111111342906952</v>
      </c>
      <c r="D12" s="8">
        <v>8.0</v>
      </c>
      <c r="E12" s="9">
        <f t="shared" si="1"/>
        <v>0.375</v>
      </c>
      <c r="F12" s="10">
        <f t="shared" si="2"/>
        <v>0.3703703781</v>
      </c>
      <c r="G12" s="10">
        <f t="shared" si="3"/>
        <v>0.1388888918</v>
      </c>
      <c r="H12" s="4">
        <v>10402.0</v>
      </c>
      <c r="I12" s="8">
        <v>76.0</v>
      </c>
      <c r="J12" s="8">
        <v>33.66666755080223</v>
      </c>
      <c r="K12" s="8">
        <v>184.0</v>
      </c>
      <c r="L12" s="10">
        <f t="shared" si="4"/>
        <v>0.4130434783</v>
      </c>
      <c r="M12" s="11">
        <f t="shared" si="5"/>
        <v>0.4429824678</v>
      </c>
      <c r="N12" s="11">
        <f t="shared" si="6"/>
        <v>0.1829710193</v>
      </c>
      <c r="O12" s="12">
        <f t="shared" si="7"/>
        <v>1.317391311</v>
      </c>
      <c r="Q12" s="17"/>
      <c r="X12" s="18"/>
      <c r="Z12" s="19" t="s">
        <v>16</v>
      </c>
      <c r="AA12" s="19"/>
      <c r="AB12" s="19"/>
    </row>
    <row r="13" ht="15.75" customHeight="1">
      <c r="A13" s="4">
        <v>10403.0</v>
      </c>
      <c r="B13" s="8">
        <v>5.0</v>
      </c>
      <c r="C13" s="8">
        <v>2.2222222685813904</v>
      </c>
      <c r="D13" s="8">
        <v>6.0</v>
      </c>
      <c r="E13" s="9">
        <f t="shared" si="1"/>
        <v>0.8333333333</v>
      </c>
      <c r="F13" s="10">
        <f t="shared" si="2"/>
        <v>0.4444444537</v>
      </c>
      <c r="G13" s="10">
        <f t="shared" si="3"/>
        <v>0.3703703781</v>
      </c>
      <c r="H13" s="4">
        <v>10403.0</v>
      </c>
      <c r="I13" s="8">
        <v>23.0</v>
      </c>
      <c r="J13" s="8">
        <v>11.111111402511597</v>
      </c>
      <c r="K13" s="8">
        <v>94.0</v>
      </c>
      <c r="L13" s="10">
        <f t="shared" si="4"/>
        <v>0.2446808511</v>
      </c>
      <c r="M13" s="11">
        <f t="shared" si="5"/>
        <v>0.4830918001</v>
      </c>
      <c r="N13" s="11">
        <f t="shared" si="6"/>
        <v>0.1182033128</v>
      </c>
      <c r="O13" s="12">
        <f t="shared" si="7"/>
        <v>0.3191489379</v>
      </c>
      <c r="P13" s="19"/>
      <c r="Q13" s="4" t="s">
        <v>14</v>
      </c>
      <c r="R13" s="2" t="s">
        <v>7</v>
      </c>
      <c r="S13" s="2" t="s">
        <v>8</v>
      </c>
      <c r="T13" s="2" t="s">
        <v>9</v>
      </c>
      <c r="U13" s="3" t="s">
        <v>10</v>
      </c>
      <c r="V13" s="5" t="s">
        <v>11</v>
      </c>
      <c r="W13" s="3" t="s">
        <v>12</v>
      </c>
      <c r="X13" s="18"/>
      <c r="Z13" s="19" t="s">
        <v>20</v>
      </c>
      <c r="AA13" s="19"/>
      <c r="AB13" s="19"/>
    </row>
    <row r="14" ht="15.75" customHeight="1">
      <c r="A14" s="4">
        <v>10404.0</v>
      </c>
      <c r="B14" s="8">
        <v>8.0</v>
      </c>
      <c r="C14" s="8">
        <v>4.4444445967674255</v>
      </c>
      <c r="D14" s="8">
        <v>13.0</v>
      </c>
      <c r="E14" s="9">
        <f t="shared" si="1"/>
        <v>0.6153846154</v>
      </c>
      <c r="F14" s="10">
        <f t="shared" si="2"/>
        <v>0.5555555746</v>
      </c>
      <c r="G14" s="10">
        <f t="shared" si="3"/>
        <v>0.3418803536</v>
      </c>
      <c r="H14" s="4">
        <v>10404.0</v>
      </c>
      <c r="I14" s="8">
        <v>36.0</v>
      </c>
      <c r="J14" s="8">
        <v>14.666667073965073</v>
      </c>
      <c r="K14" s="8">
        <v>90.0</v>
      </c>
      <c r="L14" s="10">
        <f t="shared" si="4"/>
        <v>0.4</v>
      </c>
      <c r="M14" s="11">
        <f t="shared" si="5"/>
        <v>0.4074074187</v>
      </c>
      <c r="N14" s="11">
        <f t="shared" si="6"/>
        <v>0.1629629675</v>
      </c>
      <c r="O14" s="12">
        <f t="shared" si="7"/>
        <v>0.4766666636</v>
      </c>
      <c r="P14" s="19"/>
      <c r="Q14" s="4">
        <v>1.0</v>
      </c>
      <c r="R14" s="8">
        <v>2560.0</v>
      </c>
      <c r="S14" s="8">
        <v>1198.5555863976479</v>
      </c>
      <c r="T14" s="8">
        <v>6915.0</v>
      </c>
      <c r="U14" s="11">
        <f t="shared" ref="U14:U22" si="12">R14/T14</f>
        <v>0.3702096891</v>
      </c>
      <c r="V14" s="11">
        <f t="shared" ref="V14:V22" si="13">S14/R14</f>
        <v>0.4681857759</v>
      </c>
      <c r="W14" s="11">
        <f t="shared" ref="W14:W22" si="14">U14*V14</f>
        <v>0.1733269105</v>
      </c>
      <c r="X14" s="18"/>
      <c r="Z14" s="19" t="s">
        <v>21</v>
      </c>
      <c r="AA14" s="19"/>
      <c r="AB14" s="19"/>
    </row>
    <row r="15" ht="15.75" customHeight="1">
      <c r="A15" s="4">
        <v>10405.0</v>
      </c>
      <c r="B15" s="8" t="s">
        <v>22</v>
      </c>
      <c r="C15" s="8" t="s">
        <v>23</v>
      </c>
      <c r="D15" s="8" t="s">
        <v>23</v>
      </c>
      <c r="E15" s="9" t="s">
        <v>22</v>
      </c>
      <c r="F15" s="10" t="s">
        <v>22</v>
      </c>
      <c r="G15" s="10" t="s">
        <v>22</v>
      </c>
      <c r="H15" s="4">
        <v>10405.0</v>
      </c>
      <c r="I15" s="8">
        <v>5.0</v>
      </c>
      <c r="J15" s="8">
        <v>2.4444445073604584</v>
      </c>
      <c r="K15" s="8">
        <v>14.0</v>
      </c>
      <c r="L15" s="10">
        <f t="shared" si="4"/>
        <v>0.3571428571</v>
      </c>
      <c r="M15" s="11">
        <f t="shared" si="5"/>
        <v>0.4888889015</v>
      </c>
      <c r="N15" s="11">
        <f t="shared" si="6"/>
        <v>0.1746031791</v>
      </c>
      <c r="O15" s="12" t="s">
        <v>22</v>
      </c>
      <c r="P15" s="19"/>
      <c r="Q15" s="4">
        <v>2.0</v>
      </c>
      <c r="R15" s="8">
        <v>4252.0</v>
      </c>
      <c r="S15" s="8">
        <v>1793.1111544966698</v>
      </c>
      <c r="T15" s="8">
        <v>13336.0</v>
      </c>
      <c r="U15" s="11">
        <f t="shared" si="12"/>
        <v>0.3188362328</v>
      </c>
      <c r="V15" s="11">
        <f t="shared" si="13"/>
        <v>0.4217100551</v>
      </c>
      <c r="W15" s="11">
        <f t="shared" si="14"/>
        <v>0.1344564453</v>
      </c>
      <c r="X15" s="18"/>
      <c r="Z15" s="19" t="s">
        <v>16</v>
      </c>
      <c r="AA15" s="19"/>
      <c r="AB15" s="19"/>
    </row>
    <row r="16" ht="15.75" customHeight="1">
      <c r="A16" s="4">
        <v>10501.0</v>
      </c>
      <c r="B16" s="8">
        <v>18.0</v>
      </c>
      <c r="C16" s="8">
        <v>7.555555760860443</v>
      </c>
      <c r="D16" s="8">
        <v>47.0</v>
      </c>
      <c r="E16" s="9">
        <f t="shared" ref="E16:E70" si="15">B16/D16</f>
        <v>0.3829787234</v>
      </c>
      <c r="F16" s="10">
        <f t="shared" ref="F16:F40" si="16">C16/B16</f>
        <v>0.4197530978</v>
      </c>
      <c r="G16" s="10">
        <f t="shared" ref="G16:G40" si="17">E16*F16</f>
        <v>0.1607565056</v>
      </c>
      <c r="H16" s="4">
        <v>10501.0</v>
      </c>
      <c r="I16" s="8">
        <v>173.0</v>
      </c>
      <c r="J16" s="8">
        <v>80.33333548903465</v>
      </c>
      <c r="K16" s="8">
        <v>442.0</v>
      </c>
      <c r="L16" s="10">
        <f t="shared" si="4"/>
        <v>0.3914027149</v>
      </c>
      <c r="M16" s="11">
        <f t="shared" si="5"/>
        <v>0.4643545404</v>
      </c>
      <c r="N16" s="11">
        <f t="shared" si="6"/>
        <v>0.1817496278</v>
      </c>
      <c r="O16" s="12">
        <f t="shared" ref="O16:O40" si="18">N16/G16</f>
        <v>1.130589566</v>
      </c>
      <c r="P16" s="19"/>
      <c r="Q16" s="4">
        <v>3.0</v>
      </c>
      <c r="R16" s="8">
        <v>3860.0</v>
      </c>
      <c r="S16" s="8">
        <v>1694.4444861710072</v>
      </c>
      <c r="T16" s="8">
        <v>10704.0</v>
      </c>
      <c r="U16" s="11">
        <f t="shared" si="12"/>
        <v>0.360612855</v>
      </c>
      <c r="V16" s="11">
        <f t="shared" si="13"/>
        <v>0.4389752555</v>
      </c>
      <c r="W16" s="11">
        <f t="shared" si="14"/>
        <v>0.1583001202</v>
      </c>
      <c r="X16" s="18"/>
      <c r="Z16" s="19" t="s">
        <v>24</v>
      </c>
      <c r="AA16" s="19"/>
      <c r="AB16" s="19"/>
    </row>
    <row r="17" ht="15.75" customHeight="1">
      <c r="A17" s="4">
        <v>10502.0</v>
      </c>
      <c r="B17" s="8">
        <v>30.0</v>
      </c>
      <c r="C17" s="8">
        <v>16.444444954395294</v>
      </c>
      <c r="D17" s="8">
        <v>37.0</v>
      </c>
      <c r="E17" s="9">
        <f t="shared" si="15"/>
        <v>0.8108108108</v>
      </c>
      <c r="F17" s="10">
        <f t="shared" si="16"/>
        <v>0.5481481651</v>
      </c>
      <c r="G17" s="10">
        <f t="shared" si="17"/>
        <v>0.4444444582</v>
      </c>
      <c r="H17" s="4">
        <v>10502.0</v>
      </c>
      <c r="I17" s="8">
        <v>117.0</v>
      </c>
      <c r="J17" s="8">
        <v>57.444446206092834</v>
      </c>
      <c r="K17" s="8">
        <v>177.0</v>
      </c>
      <c r="L17" s="10">
        <f t="shared" si="4"/>
        <v>0.6610169492</v>
      </c>
      <c r="M17" s="11">
        <f t="shared" si="5"/>
        <v>0.4909781727</v>
      </c>
      <c r="N17" s="11">
        <f t="shared" si="6"/>
        <v>0.3245448938</v>
      </c>
      <c r="O17" s="12">
        <f t="shared" si="18"/>
        <v>0.7302259884</v>
      </c>
      <c r="P17" s="19"/>
      <c r="Q17" s="4">
        <v>4.0</v>
      </c>
      <c r="R17" s="8">
        <v>2751.0</v>
      </c>
      <c r="S17" s="8">
        <v>1171.7778051495552</v>
      </c>
      <c r="T17" s="8">
        <v>6397.0</v>
      </c>
      <c r="U17" s="11">
        <f t="shared" si="12"/>
        <v>0.4300453338</v>
      </c>
      <c r="V17" s="11">
        <f t="shared" si="13"/>
        <v>0.4259461306</v>
      </c>
      <c r="W17" s="11">
        <f t="shared" si="14"/>
        <v>0.1831761459</v>
      </c>
      <c r="X17" s="18"/>
      <c r="Z17" s="19"/>
      <c r="AA17" s="19"/>
      <c r="AB17" s="19"/>
    </row>
    <row r="18" ht="15.75" customHeight="1">
      <c r="A18" s="4">
        <v>10601.0</v>
      </c>
      <c r="B18" s="8">
        <v>4.0</v>
      </c>
      <c r="C18" s="8">
        <v>2.555555611848831</v>
      </c>
      <c r="D18" s="8">
        <v>11.0</v>
      </c>
      <c r="E18" s="9">
        <f t="shared" si="15"/>
        <v>0.3636363636</v>
      </c>
      <c r="F18" s="10">
        <f t="shared" si="16"/>
        <v>0.638888903</v>
      </c>
      <c r="G18" s="10">
        <f t="shared" si="17"/>
        <v>0.2323232374</v>
      </c>
      <c r="H18" s="4">
        <v>10601.0</v>
      </c>
      <c r="I18" s="8">
        <v>93.0</v>
      </c>
      <c r="J18" s="8">
        <v>46.22222343087196</v>
      </c>
      <c r="K18" s="8">
        <v>211.0</v>
      </c>
      <c r="L18" s="10">
        <f t="shared" si="4"/>
        <v>0.4407582938</v>
      </c>
      <c r="M18" s="11">
        <f t="shared" si="5"/>
        <v>0.4970131552</v>
      </c>
      <c r="N18" s="11">
        <f t="shared" si="6"/>
        <v>0.2190626703</v>
      </c>
      <c r="O18" s="12">
        <f t="shared" si="18"/>
        <v>0.9429219079</v>
      </c>
      <c r="P18" s="19"/>
      <c r="Q18" s="4">
        <v>5.0</v>
      </c>
      <c r="R18" s="8">
        <v>4962.0</v>
      </c>
      <c r="S18" s="8">
        <v>2218.777832210064</v>
      </c>
      <c r="T18" s="8">
        <v>10394.0</v>
      </c>
      <c r="U18" s="11">
        <f t="shared" si="12"/>
        <v>0.4773908024</v>
      </c>
      <c r="V18" s="11">
        <f t="shared" si="13"/>
        <v>0.4471539364</v>
      </c>
      <c r="W18" s="11">
        <f t="shared" si="14"/>
        <v>0.2134671765</v>
      </c>
      <c r="X18" s="18"/>
    </row>
    <row r="19" ht="15.75" customHeight="1">
      <c r="A19" s="4">
        <v>10602.0</v>
      </c>
      <c r="B19" s="8">
        <v>15.0</v>
      </c>
      <c r="C19" s="8">
        <v>6.888889014720917</v>
      </c>
      <c r="D19" s="8">
        <v>20.0</v>
      </c>
      <c r="E19" s="9">
        <f t="shared" si="15"/>
        <v>0.75</v>
      </c>
      <c r="F19" s="10">
        <f t="shared" si="16"/>
        <v>0.4592592676</v>
      </c>
      <c r="G19" s="10">
        <f t="shared" si="17"/>
        <v>0.3444444507</v>
      </c>
      <c r="H19" s="4">
        <v>10602.0</v>
      </c>
      <c r="I19" s="8">
        <v>202.0</v>
      </c>
      <c r="J19" s="8">
        <v>90.77778008580208</v>
      </c>
      <c r="K19" s="8">
        <v>342.0</v>
      </c>
      <c r="L19" s="10">
        <f t="shared" si="4"/>
        <v>0.5906432749</v>
      </c>
      <c r="M19" s="11">
        <f t="shared" si="5"/>
        <v>0.4493949509</v>
      </c>
      <c r="N19" s="11">
        <f t="shared" si="6"/>
        <v>0.2654321055</v>
      </c>
      <c r="O19" s="12">
        <f t="shared" si="18"/>
        <v>0.7706093245</v>
      </c>
      <c r="P19" s="19"/>
      <c r="Q19" s="4">
        <v>6.0</v>
      </c>
      <c r="R19" s="8">
        <v>766.0</v>
      </c>
      <c r="S19" s="8">
        <v>324.55556416511536</v>
      </c>
      <c r="T19" s="8">
        <v>3863.0</v>
      </c>
      <c r="U19" s="11">
        <f t="shared" si="12"/>
        <v>0.1982914833</v>
      </c>
      <c r="V19" s="11">
        <f t="shared" si="13"/>
        <v>0.4237017809</v>
      </c>
      <c r="W19" s="11">
        <f t="shared" si="14"/>
        <v>0.08401645461</v>
      </c>
      <c r="X19" s="18"/>
    </row>
    <row r="20" ht="15.75" customHeight="1">
      <c r="A20" s="4">
        <v>10701.0</v>
      </c>
      <c r="B20" s="8">
        <v>4.0</v>
      </c>
      <c r="C20" s="8">
        <v>1.7777778208255768</v>
      </c>
      <c r="D20" s="8">
        <v>8.0</v>
      </c>
      <c r="E20" s="9">
        <f t="shared" si="15"/>
        <v>0.5</v>
      </c>
      <c r="F20" s="10">
        <f t="shared" si="16"/>
        <v>0.4444444552</v>
      </c>
      <c r="G20" s="10">
        <f t="shared" si="17"/>
        <v>0.2222222276</v>
      </c>
      <c r="H20" s="4">
        <v>10701.0</v>
      </c>
      <c r="I20" s="8">
        <v>132.0</v>
      </c>
      <c r="J20" s="8">
        <v>59.666668087244034</v>
      </c>
      <c r="K20" s="8">
        <v>281.0</v>
      </c>
      <c r="L20" s="10">
        <f t="shared" si="4"/>
        <v>0.4697508897</v>
      </c>
      <c r="M20" s="11">
        <f t="shared" si="5"/>
        <v>0.4520202128</v>
      </c>
      <c r="N20" s="11">
        <f t="shared" si="6"/>
        <v>0.2123368971</v>
      </c>
      <c r="O20" s="12">
        <f t="shared" si="18"/>
        <v>0.9555160138</v>
      </c>
      <c r="Q20" s="4">
        <v>7.0</v>
      </c>
      <c r="R20" s="8">
        <v>3367.0</v>
      </c>
      <c r="S20" s="8">
        <v>1362.4444780051708</v>
      </c>
      <c r="T20" s="8">
        <v>12564.0</v>
      </c>
      <c r="U20" s="11">
        <f t="shared" si="12"/>
        <v>0.2679879019</v>
      </c>
      <c r="V20" s="11">
        <f t="shared" si="13"/>
        <v>0.4046464146</v>
      </c>
      <c r="W20" s="11">
        <f t="shared" si="14"/>
        <v>0.1084403437</v>
      </c>
      <c r="X20" s="18"/>
    </row>
    <row r="21" ht="15.75" customHeight="1">
      <c r="A21" s="4">
        <v>10702.0</v>
      </c>
      <c r="B21" s="8">
        <v>9.0</v>
      </c>
      <c r="C21" s="8">
        <v>4.777777910232544</v>
      </c>
      <c r="D21" s="8">
        <v>22.0</v>
      </c>
      <c r="E21" s="9">
        <f t="shared" si="15"/>
        <v>0.4090909091</v>
      </c>
      <c r="F21" s="10">
        <f t="shared" si="16"/>
        <v>0.5308642122</v>
      </c>
      <c r="G21" s="10">
        <f t="shared" si="17"/>
        <v>0.2171717232</v>
      </c>
      <c r="H21" s="4">
        <v>10702.0</v>
      </c>
      <c r="I21" s="8">
        <v>118.0</v>
      </c>
      <c r="J21" s="8">
        <v>55.000001072883606</v>
      </c>
      <c r="K21" s="8">
        <v>227.0</v>
      </c>
      <c r="L21" s="10">
        <f t="shared" si="4"/>
        <v>0.5198237885</v>
      </c>
      <c r="M21" s="11">
        <f t="shared" si="5"/>
        <v>0.466101704</v>
      </c>
      <c r="N21" s="11">
        <f t="shared" si="6"/>
        <v>0.2422907536</v>
      </c>
      <c r="O21" s="12">
        <f t="shared" si="18"/>
        <v>1.115664369</v>
      </c>
      <c r="P21" s="19"/>
      <c r="Q21" s="4">
        <v>8.0</v>
      </c>
      <c r="R21" s="8">
        <v>1815.0</v>
      </c>
      <c r="S21" s="8">
        <v>799.6666879355907</v>
      </c>
      <c r="T21" s="8">
        <v>3634.0</v>
      </c>
      <c r="U21" s="11">
        <f t="shared" si="12"/>
        <v>0.4994496423</v>
      </c>
      <c r="V21" s="11">
        <f t="shared" si="13"/>
        <v>0.4405877069</v>
      </c>
      <c r="W21" s="11">
        <f t="shared" si="14"/>
        <v>0.2200513726</v>
      </c>
      <c r="X21" s="18"/>
    </row>
    <row r="22" ht="15.75" customHeight="1">
      <c r="A22" s="4">
        <v>10703.0</v>
      </c>
      <c r="B22" s="8">
        <v>3.0</v>
      </c>
      <c r="C22" s="8">
        <v>1.3333333730697632</v>
      </c>
      <c r="D22" s="8">
        <v>3.0</v>
      </c>
      <c r="E22" s="9">
        <f t="shared" si="15"/>
        <v>1</v>
      </c>
      <c r="F22" s="10">
        <f t="shared" si="16"/>
        <v>0.4444444577</v>
      </c>
      <c r="G22" s="10">
        <f t="shared" si="17"/>
        <v>0.4444444577</v>
      </c>
      <c r="H22" s="4">
        <v>10703.0</v>
      </c>
      <c r="I22" s="8">
        <v>14.0</v>
      </c>
      <c r="J22" s="8">
        <v>7.111111283302307</v>
      </c>
      <c r="K22" s="8">
        <v>32.0</v>
      </c>
      <c r="L22" s="10">
        <f t="shared" si="4"/>
        <v>0.4375</v>
      </c>
      <c r="M22" s="11">
        <f t="shared" si="5"/>
        <v>0.5079365202</v>
      </c>
      <c r="N22" s="11">
        <f t="shared" si="6"/>
        <v>0.2222222276</v>
      </c>
      <c r="O22" s="12">
        <f t="shared" si="18"/>
        <v>0.4999999972</v>
      </c>
      <c r="P22" s="19"/>
      <c r="Q22" s="4">
        <v>9.0</v>
      </c>
      <c r="R22" s="8">
        <v>460.0</v>
      </c>
      <c r="S22" s="8">
        <v>208.77778336405754</v>
      </c>
      <c r="T22" s="8">
        <v>831.0</v>
      </c>
      <c r="U22" s="11">
        <f t="shared" si="12"/>
        <v>0.5535499398</v>
      </c>
      <c r="V22" s="11">
        <f t="shared" si="13"/>
        <v>0.4538647464</v>
      </c>
      <c r="W22" s="11">
        <f t="shared" si="14"/>
        <v>0.2512368031</v>
      </c>
      <c r="X22" s="18"/>
    </row>
    <row r="23" ht="15.75" customHeight="1">
      <c r="A23" s="4">
        <v>10704.0</v>
      </c>
      <c r="B23" s="8">
        <v>2.0</v>
      </c>
      <c r="C23" s="8">
        <v>1.1111111640930176</v>
      </c>
      <c r="D23" s="8">
        <v>3.0</v>
      </c>
      <c r="E23" s="9">
        <f t="shared" si="15"/>
        <v>0.6666666667</v>
      </c>
      <c r="F23" s="10">
        <f t="shared" si="16"/>
        <v>0.555555582</v>
      </c>
      <c r="G23" s="10">
        <f t="shared" si="17"/>
        <v>0.370370388</v>
      </c>
      <c r="H23" s="4">
        <v>10704.0</v>
      </c>
      <c r="I23" s="8">
        <v>15.0</v>
      </c>
      <c r="J23" s="8">
        <v>7.888889104127884</v>
      </c>
      <c r="K23" s="8">
        <v>46.0</v>
      </c>
      <c r="L23" s="10">
        <f t="shared" si="4"/>
        <v>0.3260869565</v>
      </c>
      <c r="M23" s="11">
        <f t="shared" si="5"/>
        <v>0.5259259403</v>
      </c>
      <c r="N23" s="11">
        <f t="shared" si="6"/>
        <v>0.1714975892</v>
      </c>
      <c r="O23" s="12">
        <f t="shared" si="18"/>
        <v>0.4630434688</v>
      </c>
      <c r="P23" s="19"/>
      <c r="Q23" s="17"/>
      <c r="R23" s="19"/>
      <c r="S23" s="19"/>
      <c r="T23" s="19"/>
      <c r="X23" s="18"/>
    </row>
    <row r="24" ht="15.75" customHeight="1">
      <c r="A24" s="4">
        <v>10801.0</v>
      </c>
      <c r="B24" s="8">
        <v>6.0</v>
      </c>
      <c r="C24" s="8">
        <v>2.6666667461395264</v>
      </c>
      <c r="D24" s="8">
        <v>9.0</v>
      </c>
      <c r="E24" s="9">
        <f t="shared" si="15"/>
        <v>0.6666666667</v>
      </c>
      <c r="F24" s="10">
        <f t="shared" si="16"/>
        <v>0.4444444577</v>
      </c>
      <c r="G24" s="10">
        <f t="shared" si="17"/>
        <v>0.2962963051</v>
      </c>
      <c r="H24" s="4">
        <v>10801.0</v>
      </c>
      <c r="I24" s="8">
        <v>51.0</v>
      </c>
      <c r="J24" s="8">
        <v>23.55555611848831</v>
      </c>
      <c r="K24" s="8">
        <v>151.0</v>
      </c>
      <c r="L24" s="10">
        <f t="shared" si="4"/>
        <v>0.3377483444</v>
      </c>
      <c r="M24" s="11">
        <f t="shared" si="5"/>
        <v>0.4618736494</v>
      </c>
      <c r="N24" s="11">
        <f t="shared" si="6"/>
        <v>0.1559970604</v>
      </c>
      <c r="O24" s="12">
        <f t="shared" si="18"/>
        <v>0.5264900631</v>
      </c>
      <c r="P24" s="19"/>
      <c r="Q24" s="17"/>
      <c r="R24" s="19"/>
      <c r="S24" s="19"/>
      <c r="T24" s="19"/>
      <c r="X24" s="18"/>
    </row>
    <row r="25" ht="15.75" customHeight="1">
      <c r="A25" s="4">
        <v>10901.0</v>
      </c>
      <c r="B25" s="8">
        <v>1.0</v>
      </c>
      <c r="C25" s="8">
        <v>0.4444444477558136</v>
      </c>
      <c r="D25" s="8">
        <v>6.0</v>
      </c>
      <c r="E25" s="9">
        <f t="shared" si="15"/>
        <v>0.1666666667</v>
      </c>
      <c r="F25" s="10">
        <f t="shared" si="16"/>
        <v>0.4444444478</v>
      </c>
      <c r="G25" s="10">
        <f t="shared" si="17"/>
        <v>0.07407407463</v>
      </c>
      <c r="H25" s="4">
        <v>10901.0</v>
      </c>
      <c r="I25" s="8">
        <v>40.0</v>
      </c>
      <c r="J25" s="8">
        <v>16.555555999279022</v>
      </c>
      <c r="K25" s="8">
        <v>95.0</v>
      </c>
      <c r="L25" s="10">
        <f t="shared" si="4"/>
        <v>0.4210526316</v>
      </c>
      <c r="M25" s="11">
        <f t="shared" si="5"/>
        <v>0.4138889</v>
      </c>
      <c r="N25" s="11">
        <f t="shared" si="6"/>
        <v>0.1742690105</v>
      </c>
      <c r="O25" s="12">
        <f t="shared" si="18"/>
        <v>2.352631624</v>
      </c>
      <c r="P25" s="19"/>
      <c r="Q25" s="17"/>
      <c r="R25" s="19"/>
      <c r="S25" s="19"/>
      <c r="T25" s="19"/>
      <c r="X25" s="18"/>
    </row>
    <row r="26" ht="15.75" customHeight="1">
      <c r="A26" s="4">
        <v>10902.0</v>
      </c>
      <c r="B26" s="8">
        <v>6.0</v>
      </c>
      <c r="C26" s="8">
        <v>2.666666716337204</v>
      </c>
      <c r="D26" s="8">
        <v>10.0</v>
      </c>
      <c r="E26" s="9">
        <f t="shared" si="15"/>
        <v>0.6</v>
      </c>
      <c r="F26" s="10">
        <f t="shared" si="16"/>
        <v>0.4444444527</v>
      </c>
      <c r="G26" s="10">
        <f t="shared" si="17"/>
        <v>0.2666666716</v>
      </c>
      <c r="H26" s="4">
        <v>10902.0</v>
      </c>
      <c r="I26" s="8">
        <v>42.0</v>
      </c>
      <c r="J26" s="8">
        <v>21.666667252779007</v>
      </c>
      <c r="K26" s="8">
        <v>103.0</v>
      </c>
      <c r="L26" s="10">
        <f t="shared" si="4"/>
        <v>0.4077669903</v>
      </c>
      <c r="M26" s="11">
        <f t="shared" si="5"/>
        <v>0.5158730298</v>
      </c>
      <c r="N26" s="11">
        <f t="shared" si="6"/>
        <v>0.2103559927</v>
      </c>
      <c r="O26" s="12">
        <f t="shared" si="18"/>
        <v>0.7888349581</v>
      </c>
      <c r="P26" s="19"/>
      <c r="Q26" s="17" t="s">
        <v>25</v>
      </c>
      <c r="R26" s="18">
        <f>AVERAGE(O2:O337)</f>
        <v>0.9598394096</v>
      </c>
      <c r="S26" s="19"/>
      <c r="T26" s="19"/>
      <c r="X26" s="18"/>
    </row>
    <row r="27" ht="15.75" customHeight="1">
      <c r="A27" s="4">
        <v>10903.0</v>
      </c>
      <c r="B27" s="8">
        <v>3.0</v>
      </c>
      <c r="C27" s="8">
        <v>1.3333333730697632</v>
      </c>
      <c r="D27" s="8">
        <v>3.0</v>
      </c>
      <c r="E27" s="9">
        <f t="shared" si="15"/>
        <v>1</v>
      </c>
      <c r="F27" s="10">
        <f t="shared" si="16"/>
        <v>0.4444444577</v>
      </c>
      <c r="G27" s="10">
        <f t="shared" si="17"/>
        <v>0.4444444577</v>
      </c>
      <c r="H27" s="4">
        <v>10903.0</v>
      </c>
      <c r="I27" s="8">
        <v>15.0</v>
      </c>
      <c r="J27" s="8">
        <v>6.6666668355464935</v>
      </c>
      <c r="K27" s="8">
        <v>44.0</v>
      </c>
      <c r="L27" s="10">
        <f t="shared" si="4"/>
        <v>0.3409090909</v>
      </c>
      <c r="M27" s="11">
        <f t="shared" si="5"/>
        <v>0.4444444557</v>
      </c>
      <c r="N27" s="11">
        <f t="shared" si="6"/>
        <v>0.1515151554</v>
      </c>
      <c r="O27" s="12">
        <f t="shared" si="18"/>
        <v>0.3409090894</v>
      </c>
      <c r="P27" s="19"/>
      <c r="Q27" s="19" t="s">
        <v>26</v>
      </c>
      <c r="R27" s="18">
        <f>STDEV(O2:O337)</f>
        <v>0.6152268153</v>
      </c>
      <c r="S27" s="19"/>
      <c r="T27" s="19"/>
      <c r="X27" s="18"/>
    </row>
    <row r="28" ht="15.75" customHeight="1">
      <c r="A28" s="4">
        <v>11001.0</v>
      </c>
      <c r="B28" s="8">
        <v>5.0</v>
      </c>
      <c r="C28" s="8">
        <v>1.8888889253139496</v>
      </c>
      <c r="D28" s="8">
        <v>14.0</v>
      </c>
      <c r="E28" s="9">
        <f t="shared" si="15"/>
        <v>0.3571428571</v>
      </c>
      <c r="F28" s="10">
        <f t="shared" si="16"/>
        <v>0.3777777851</v>
      </c>
      <c r="G28" s="10">
        <f t="shared" si="17"/>
        <v>0.1349206375</v>
      </c>
      <c r="H28" s="4">
        <v>11001.0</v>
      </c>
      <c r="I28" s="8">
        <v>54.0</v>
      </c>
      <c r="J28" s="8">
        <v>25.000000715255737</v>
      </c>
      <c r="K28" s="8">
        <v>158.0</v>
      </c>
      <c r="L28" s="10">
        <f t="shared" si="4"/>
        <v>0.3417721519</v>
      </c>
      <c r="M28" s="11">
        <f t="shared" si="5"/>
        <v>0.4629629762</v>
      </c>
      <c r="N28" s="11">
        <f t="shared" si="6"/>
        <v>0.1582278526</v>
      </c>
      <c r="O28" s="12">
        <f t="shared" si="18"/>
        <v>1.172747591</v>
      </c>
      <c r="P28" s="19"/>
      <c r="Q28" s="17"/>
      <c r="R28" s="19"/>
      <c r="S28" s="19"/>
      <c r="T28" s="19"/>
      <c r="X28" s="18"/>
    </row>
    <row r="29" ht="15.75" customHeight="1">
      <c r="A29" s="4">
        <v>11002.0</v>
      </c>
      <c r="B29" s="8">
        <v>6.0</v>
      </c>
      <c r="C29" s="8">
        <v>2.3333334028720856</v>
      </c>
      <c r="D29" s="8">
        <v>10.0</v>
      </c>
      <c r="E29" s="9">
        <f t="shared" si="15"/>
        <v>0.6</v>
      </c>
      <c r="F29" s="10">
        <f t="shared" si="16"/>
        <v>0.3888889005</v>
      </c>
      <c r="G29" s="10">
        <f t="shared" si="17"/>
        <v>0.2333333403</v>
      </c>
      <c r="H29" s="4">
        <v>11002.0</v>
      </c>
      <c r="I29" s="8">
        <v>8.0</v>
      </c>
      <c r="J29" s="8">
        <v>3.11111119389534</v>
      </c>
      <c r="K29" s="8">
        <v>14.0</v>
      </c>
      <c r="L29" s="10">
        <f t="shared" si="4"/>
        <v>0.5714285714</v>
      </c>
      <c r="M29" s="11">
        <f t="shared" si="5"/>
        <v>0.3888888992</v>
      </c>
      <c r="N29" s="11">
        <f t="shared" si="6"/>
        <v>0.2222222281</v>
      </c>
      <c r="O29" s="12">
        <f t="shared" si="18"/>
        <v>0.9523809493</v>
      </c>
      <c r="Q29" s="17"/>
      <c r="R29" s="18">
        <f>R26-R27</f>
        <v>0.3446125944</v>
      </c>
      <c r="X29" s="18"/>
    </row>
    <row r="30" ht="15.75" customHeight="1">
      <c r="A30" s="4">
        <v>11003.0</v>
      </c>
      <c r="B30" s="8">
        <v>14.0</v>
      </c>
      <c r="C30" s="8">
        <v>5.888889044523239</v>
      </c>
      <c r="D30" s="8">
        <v>21.0</v>
      </c>
      <c r="E30" s="9">
        <f t="shared" si="15"/>
        <v>0.6666666667</v>
      </c>
      <c r="F30" s="10">
        <f t="shared" si="16"/>
        <v>0.4206349318</v>
      </c>
      <c r="G30" s="10">
        <f t="shared" si="17"/>
        <v>0.2804232878</v>
      </c>
      <c r="H30" s="4">
        <v>11003.0</v>
      </c>
      <c r="I30" s="8">
        <v>25.0</v>
      </c>
      <c r="J30" s="8">
        <v>11.222222447395325</v>
      </c>
      <c r="K30" s="8">
        <v>57.0</v>
      </c>
      <c r="L30" s="10">
        <f t="shared" si="4"/>
        <v>0.4385964912</v>
      </c>
      <c r="M30" s="11">
        <f t="shared" si="5"/>
        <v>0.4488888979</v>
      </c>
      <c r="N30" s="11">
        <f t="shared" si="6"/>
        <v>0.1968810956</v>
      </c>
      <c r="O30" s="12">
        <f t="shared" si="18"/>
        <v>0.7020853977</v>
      </c>
      <c r="Q30" s="17"/>
      <c r="R30" s="18">
        <f>R26-0.5*R27</f>
        <v>0.652226002</v>
      </c>
      <c r="X30" s="18"/>
    </row>
    <row r="31" ht="15.75" customHeight="1">
      <c r="A31" s="4">
        <v>20101.0</v>
      </c>
      <c r="B31" s="8">
        <v>17.0</v>
      </c>
      <c r="C31" s="8">
        <v>7.666666895151138</v>
      </c>
      <c r="D31" s="8">
        <v>176.0</v>
      </c>
      <c r="E31" s="9">
        <f t="shared" si="15"/>
        <v>0.09659090909</v>
      </c>
      <c r="F31" s="10">
        <f t="shared" si="16"/>
        <v>0.4509804056</v>
      </c>
      <c r="G31" s="10">
        <f t="shared" si="17"/>
        <v>0.04356060736</v>
      </c>
      <c r="H31" s="4">
        <v>20101.0</v>
      </c>
      <c r="I31" s="8">
        <v>108.0</v>
      </c>
      <c r="J31" s="8">
        <v>41.55555647611618</v>
      </c>
      <c r="K31" s="8">
        <v>2523.0</v>
      </c>
      <c r="L31" s="10">
        <f t="shared" si="4"/>
        <v>0.04280618312</v>
      </c>
      <c r="M31" s="11">
        <f t="shared" si="5"/>
        <v>0.3847736711</v>
      </c>
      <c r="N31" s="11">
        <f t="shared" si="6"/>
        <v>0.01647069222</v>
      </c>
      <c r="O31" s="12">
        <f t="shared" si="18"/>
        <v>0.3781097928</v>
      </c>
      <c r="Q31" s="17"/>
      <c r="R31" s="18">
        <f>R26</f>
        <v>0.9598394096</v>
      </c>
      <c r="X31" s="18"/>
    </row>
    <row r="32" ht="15.75" customHeight="1">
      <c r="A32" s="4">
        <v>20102.0</v>
      </c>
      <c r="B32" s="8">
        <v>16.0</v>
      </c>
      <c r="C32" s="8">
        <v>6.4444445967674255</v>
      </c>
      <c r="D32" s="8">
        <v>18.0</v>
      </c>
      <c r="E32" s="9">
        <f t="shared" si="15"/>
        <v>0.8888888889</v>
      </c>
      <c r="F32" s="10">
        <f t="shared" si="16"/>
        <v>0.4027777873</v>
      </c>
      <c r="G32" s="10">
        <f t="shared" si="17"/>
        <v>0.3580246998</v>
      </c>
      <c r="H32" s="4">
        <v>20102.0</v>
      </c>
      <c r="I32" s="8">
        <v>114.0</v>
      </c>
      <c r="J32" s="8">
        <v>47.66666793823242</v>
      </c>
      <c r="K32" s="8">
        <v>232.0</v>
      </c>
      <c r="L32" s="10">
        <f t="shared" si="4"/>
        <v>0.4913793103</v>
      </c>
      <c r="M32" s="11">
        <f t="shared" si="5"/>
        <v>0.4181286661</v>
      </c>
      <c r="N32" s="11">
        <f t="shared" si="6"/>
        <v>0.2054597756</v>
      </c>
      <c r="O32" s="12">
        <f t="shared" si="18"/>
        <v>0.5738703941</v>
      </c>
      <c r="Q32" s="17"/>
      <c r="R32" s="19">
        <v>1.0</v>
      </c>
      <c r="X32" s="18"/>
    </row>
    <row r="33" ht="15.75" customHeight="1">
      <c r="A33" s="4">
        <v>20103.0</v>
      </c>
      <c r="B33" s="8">
        <v>7.0</v>
      </c>
      <c r="C33" s="8">
        <v>3.0000000298023224</v>
      </c>
      <c r="D33" s="8">
        <v>29.0</v>
      </c>
      <c r="E33" s="9">
        <f t="shared" si="15"/>
        <v>0.2413793103</v>
      </c>
      <c r="F33" s="10">
        <f t="shared" si="16"/>
        <v>0.4285714328</v>
      </c>
      <c r="G33" s="10">
        <f t="shared" si="17"/>
        <v>0.1034482769</v>
      </c>
      <c r="H33" s="4">
        <v>20103.0</v>
      </c>
      <c r="I33" s="8">
        <v>37.0</v>
      </c>
      <c r="J33" s="8">
        <v>14.44444477558136</v>
      </c>
      <c r="K33" s="8">
        <v>237.0</v>
      </c>
      <c r="L33" s="10">
        <f t="shared" si="4"/>
        <v>0.1561181435</v>
      </c>
      <c r="M33" s="11">
        <f t="shared" si="5"/>
        <v>0.3903903993</v>
      </c>
      <c r="N33" s="11">
        <f t="shared" si="6"/>
        <v>0.06094702437</v>
      </c>
      <c r="O33" s="12">
        <f t="shared" si="18"/>
        <v>0.5891545631</v>
      </c>
      <c r="Q33" s="17"/>
      <c r="X33" s="18"/>
    </row>
    <row r="34" ht="15.75" customHeight="1">
      <c r="A34" s="4">
        <v>20104.0</v>
      </c>
      <c r="B34" s="8">
        <v>16.0</v>
      </c>
      <c r="C34" s="8">
        <v>7.2222223579883575</v>
      </c>
      <c r="D34" s="8">
        <v>22.0</v>
      </c>
      <c r="E34" s="9">
        <f t="shared" si="15"/>
        <v>0.7272727273</v>
      </c>
      <c r="F34" s="10">
        <f t="shared" si="16"/>
        <v>0.4513888974</v>
      </c>
      <c r="G34" s="10">
        <f t="shared" si="17"/>
        <v>0.3282828345</v>
      </c>
      <c r="H34" s="4">
        <v>20104.0</v>
      </c>
      <c r="I34" s="8">
        <v>58.0</v>
      </c>
      <c r="J34" s="8">
        <v>25.00000050663948</v>
      </c>
      <c r="K34" s="8">
        <v>105.0</v>
      </c>
      <c r="L34" s="10">
        <f t="shared" si="4"/>
        <v>0.5523809524</v>
      </c>
      <c r="M34" s="11">
        <f t="shared" si="5"/>
        <v>0.4310344915</v>
      </c>
      <c r="N34" s="11">
        <f t="shared" si="6"/>
        <v>0.2380952429</v>
      </c>
      <c r="O34" s="12">
        <f t="shared" si="18"/>
        <v>0.7252747263</v>
      </c>
      <c r="Q34" s="17"/>
      <c r="X34" s="18"/>
    </row>
    <row r="35" ht="15.75" customHeight="1">
      <c r="A35" s="4">
        <v>20105.0</v>
      </c>
      <c r="B35" s="8">
        <v>74.0</v>
      </c>
      <c r="C35" s="8">
        <v>29.555556267499924</v>
      </c>
      <c r="D35" s="8">
        <v>310.0</v>
      </c>
      <c r="E35" s="9">
        <f t="shared" si="15"/>
        <v>0.2387096774</v>
      </c>
      <c r="F35" s="10">
        <f t="shared" si="16"/>
        <v>0.399399409</v>
      </c>
      <c r="G35" s="10">
        <f t="shared" si="17"/>
        <v>0.09534050409</v>
      </c>
      <c r="H35" s="4">
        <v>20105.0</v>
      </c>
      <c r="I35" s="8">
        <v>692.0</v>
      </c>
      <c r="J35" s="8">
        <v>272.8888953924179</v>
      </c>
      <c r="K35" s="8">
        <v>2828.0</v>
      </c>
      <c r="L35" s="10">
        <f t="shared" si="4"/>
        <v>0.2446958982</v>
      </c>
      <c r="M35" s="11">
        <f t="shared" si="5"/>
        <v>0.3943481147</v>
      </c>
      <c r="N35" s="11">
        <f t="shared" si="6"/>
        <v>0.09649536612</v>
      </c>
      <c r="O35" s="12">
        <f t="shared" si="18"/>
        <v>1.012113026</v>
      </c>
      <c r="Q35" s="17"/>
      <c r="X35" s="18"/>
    </row>
    <row r="36" ht="15.75" customHeight="1">
      <c r="A36" s="4">
        <v>20201.0</v>
      </c>
      <c r="B36" s="8">
        <v>9.0</v>
      </c>
      <c r="C36" s="8">
        <v>3.333333432674408</v>
      </c>
      <c r="D36" s="8">
        <v>18.0</v>
      </c>
      <c r="E36" s="9">
        <f t="shared" si="15"/>
        <v>0.5</v>
      </c>
      <c r="F36" s="10">
        <f t="shared" si="16"/>
        <v>0.3703703814</v>
      </c>
      <c r="G36" s="10">
        <f t="shared" si="17"/>
        <v>0.1851851907</v>
      </c>
      <c r="H36" s="4">
        <v>20201.0</v>
      </c>
      <c r="I36" s="8">
        <v>85.0</v>
      </c>
      <c r="J36" s="8">
        <v>36.666667610406876</v>
      </c>
      <c r="K36" s="8">
        <v>202.0</v>
      </c>
      <c r="L36" s="10">
        <f t="shared" si="4"/>
        <v>0.4207920792</v>
      </c>
      <c r="M36" s="11">
        <f t="shared" si="5"/>
        <v>0.4313725601</v>
      </c>
      <c r="N36" s="11">
        <f t="shared" si="6"/>
        <v>0.1815181565</v>
      </c>
      <c r="O36" s="12">
        <f t="shared" si="18"/>
        <v>0.9801980158</v>
      </c>
      <c r="Q36" s="17"/>
      <c r="X36" s="18"/>
    </row>
    <row r="37" ht="15.75" customHeight="1">
      <c r="A37" s="4">
        <v>20202.0</v>
      </c>
      <c r="B37" s="8">
        <v>2.0</v>
      </c>
      <c r="C37" s="8">
        <v>1.0000000298023224</v>
      </c>
      <c r="D37" s="8">
        <v>4.0</v>
      </c>
      <c r="E37" s="9">
        <f t="shared" si="15"/>
        <v>0.5</v>
      </c>
      <c r="F37" s="10">
        <f t="shared" si="16"/>
        <v>0.5000000149</v>
      </c>
      <c r="G37" s="10">
        <f t="shared" si="17"/>
        <v>0.2500000075</v>
      </c>
      <c r="H37" s="4">
        <v>20202.0</v>
      </c>
      <c r="I37" s="8">
        <v>46.0</v>
      </c>
      <c r="J37" s="8">
        <v>19.22222277522087</v>
      </c>
      <c r="K37" s="8">
        <v>65.0</v>
      </c>
      <c r="L37" s="10">
        <f t="shared" si="4"/>
        <v>0.7076923077</v>
      </c>
      <c r="M37" s="11">
        <f t="shared" si="5"/>
        <v>0.4178744082</v>
      </c>
      <c r="N37" s="11">
        <f t="shared" si="6"/>
        <v>0.2957265042</v>
      </c>
      <c r="O37" s="12">
        <f t="shared" si="18"/>
        <v>1.182905982</v>
      </c>
      <c r="Q37" s="17"/>
      <c r="X37" s="18"/>
    </row>
    <row r="38" ht="15.75" customHeight="1">
      <c r="A38" s="4">
        <v>20203.0</v>
      </c>
      <c r="B38" s="8">
        <v>3.0</v>
      </c>
      <c r="C38" s="8">
        <v>1.444444477558136</v>
      </c>
      <c r="D38" s="8">
        <v>3.0</v>
      </c>
      <c r="E38" s="9">
        <f t="shared" si="15"/>
        <v>1</v>
      </c>
      <c r="F38" s="10">
        <f t="shared" si="16"/>
        <v>0.4814814925</v>
      </c>
      <c r="G38" s="10">
        <f t="shared" si="17"/>
        <v>0.4814814925</v>
      </c>
      <c r="H38" s="4">
        <v>20203.0</v>
      </c>
      <c r="I38" s="8">
        <v>15.0</v>
      </c>
      <c r="J38" s="8">
        <v>5.777777969837189</v>
      </c>
      <c r="K38" s="8">
        <v>62.0</v>
      </c>
      <c r="L38" s="10">
        <f t="shared" si="4"/>
        <v>0.2419354839</v>
      </c>
      <c r="M38" s="11">
        <f t="shared" si="5"/>
        <v>0.385185198</v>
      </c>
      <c r="N38" s="11">
        <f t="shared" si="6"/>
        <v>0.09318996726</v>
      </c>
      <c r="O38" s="12">
        <f t="shared" si="18"/>
        <v>0.1935483891</v>
      </c>
      <c r="Q38" s="17"/>
      <c r="X38" s="18"/>
    </row>
    <row r="39" ht="15.75" customHeight="1">
      <c r="A39" s="4">
        <v>20204.0</v>
      </c>
      <c r="B39" s="8">
        <v>1.0</v>
      </c>
      <c r="C39" s="8">
        <v>0.5555555820465088</v>
      </c>
      <c r="D39" s="8">
        <v>2.0</v>
      </c>
      <c r="E39" s="9">
        <f t="shared" si="15"/>
        <v>0.5</v>
      </c>
      <c r="F39" s="10">
        <f t="shared" si="16"/>
        <v>0.555555582</v>
      </c>
      <c r="G39" s="10">
        <f t="shared" si="17"/>
        <v>0.277777791</v>
      </c>
      <c r="H39" s="4">
        <v>20204.0</v>
      </c>
      <c r="I39" s="8">
        <v>16.0</v>
      </c>
      <c r="J39" s="8">
        <v>6.444444537162781</v>
      </c>
      <c r="K39" s="8">
        <v>39.0</v>
      </c>
      <c r="L39" s="10">
        <f t="shared" si="4"/>
        <v>0.4102564103</v>
      </c>
      <c r="M39" s="11">
        <f t="shared" si="5"/>
        <v>0.4027777836</v>
      </c>
      <c r="N39" s="11">
        <f t="shared" si="6"/>
        <v>0.1652421676</v>
      </c>
      <c r="O39" s="12">
        <f t="shared" si="18"/>
        <v>0.5948717751</v>
      </c>
      <c r="Q39" s="17"/>
      <c r="X39" s="18"/>
    </row>
    <row r="40" ht="15.75" customHeight="1">
      <c r="A40" s="4">
        <v>20205.0</v>
      </c>
      <c r="B40" s="8">
        <v>4.0</v>
      </c>
      <c r="C40" s="8">
        <v>1.7777777910232544</v>
      </c>
      <c r="D40" s="8">
        <v>10.0</v>
      </c>
      <c r="E40" s="9">
        <f t="shared" si="15"/>
        <v>0.4</v>
      </c>
      <c r="F40" s="10">
        <f t="shared" si="16"/>
        <v>0.4444444478</v>
      </c>
      <c r="G40" s="10">
        <f t="shared" si="17"/>
        <v>0.1777777791</v>
      </c>
      <c r="H40" s="4">
        <v>20205.0</v>
      </c>
      <c r="I40" s="8">
        <v>24.0</v>
      </c>
      <c r="J40" s="8">
        <v>9.888889104127884</v>
      </c>
      <c r="K40" s="8">
        <v>50.0</v>
      </c>
      <c r="L40" s="10">
        <f t="shared" si="4"/>
        <v>0.48</v>
      </c>
      <c r="M40" s="11">
        <f t="shared" si="5"/>
        <v>0.412037046</v>
      </c>
      <c r="N40" s="11">
        <f t="shared" si="6"/>
        <v>0.1977777821</v>
      </c>
      <c r="O40" s="12">
        <f t="shared" si="18"/>
        <v>1.112500016</v>
      </c>
      <c r="Q40" s="17"/>
      <c r="X40" s="18"/>
    </row>
    <row r="41" ht="15.75" customHeight="1">
      <c r="A41" s="4">
        <v>20206.0</v>
      </c>
      <c r="B41" s="8">
        <v>0.0</v>
      </c>
      <c r="C41" s="8">
        <v>0.0</v>
      </c>
      <c r="D41" s="8">
        <v>2.0</v>
      </c>
      <c r="E41" s="9">
        <f t="shared" si="15"/>
        <v>0</v>
      </c>
      <c r="F41" s="10" t="s">
        <v>22</v>
      </c>
      <c r="G41" s="10" t="s">
        <v>22</v>
      </c>
      <c r="H41" s="4">
        <v>20206.0</v>
      </c>
      <c r="I41" s="8">
        <v>14.0</v>
      </c>
      <c r="J41" s="8">
        <v>5.444444566965103</v>
      </c>
      <c r="K41" s="8">
        <v>55.0</v>
      </c>
      <c r="L41" s="10">
        <f t="shared" si="4"/>
        <v>0.2545454545</v>
      </c>
      <c r="M41" s="11">
        <f t="shared" si="5"/>
        <v>0.3888888976</v>
      </c>
      <c r="N41" s="11">
        <f t="shared" si="6"/>
        <v>0.09898990122</v>
      </c>
      <c r="O41" s="12" t="s">
        <v>22</v>
      </c>
      <c r="Q41" s="17"/>
      <c r="X41" s="18"/>
    </row>
    <row r="42" ht="15.75" customHeight="1">
      <c r="A42" s="4">
        <v>20301.0</v>
      </c>
      <c r="B42" s="8">
        <v>2.0</v>
      </c>
      <c r="C42" s="8">
        <v>1.0000000298023224</v>
      </c>
      <c r="D42" s="8">
        <v>5.0</v>
      </c>
      <c r="E42" s="9">
        <f t="shared" si="15"/>
        <v>0.4</v>
      </c>
      <c r="F42" s="10">
        <f t="shared" ref="F42:F46" si="19">C42/B42</f>
        <v>0.5000000149</v>
      </c>
      <c r="G42" s="10">
        <f t="shared" ref="G42:G46" si="20">E42*F42</f>
        <v>0.200000006</v>
      </c>
      <c r="H42" s="4">
        <v>20301.0</v>
      </c>
      <c r="I42" s="8">
        <v>25.0</v>
      </c>
      <c r="J42" s="8">
        <v>12.222222536802292</v>
      </c>
      <c r="K42" s="8">
        <v>65.0</v>
      </c>
      <c r="L42" s="10">
        <f t="shared" si="4"/>
        <v>0.3846153846</v>
      </c>
      <c r="M42" s="11">
        <f t="shared" si="5"/>
        <v>0.4888889015</v>
      </c>
      <c r="N42" s="11">
        <f t="shared" si="6"/>
        <v>0.1880341929</v>
      </c>
      <c r="O42" s="12">
        <f t="shared" ref="O42:O45" si="21">N42/G42</f>
        <v>0.9401709364</v>
      </c>
      <c r="Q42" s="17"/>
      <c r="X42" s="18"/>
    </row>
    <row r="43" ht="15.75" customHeight="1">
      <c r="A43" s="4">
        <v>20302.0</v>
      </c>
      <c r="B43" s="8">
        <v>8.0</v>
      </c>
      <c r="C43" s="8">
        <v>3.333333432674408</v>
      </c>
      <c r="D43" s="8">
        <v>10.0</v>
      </c>
      <c r="E43" s="9">
        <f t="shared" si="15"/>
        <v>0.8</v>
      </c>
      <c r="F43" s="10">
        <f t="shared" si="19"/>
        <v>0.4166666791</v>
      </c>
      <c r="G43" s="10">
        <f t="shared" si="20"/>
        <v>0.3333333433</v>
      </c>
      <c r="H43" s="4">
        <v>20302.0</v>
      </c>
      <c r="I43" s="8">
        <v>56.0</v>
      </c>
      <c r="J43" s="8">
        <v>25.888889640569687</v>
      </c>
      <c r="K43" s="8">
        <v>117.0</v>
      </c>
      <c r="L43" s="10">
        <f t="shared" si="4"/>
        <v>0.4786324786</v>
      </c>
      <c r="M43" s="11">
        <f t="shared" si="5"/>
        <v>0.4623016007</v>
      </c>
      <c r="N43" s="11">
        <f t="shared" si="6"/>
        <v>0.221272561</v>
      </c>
      <c r="O43" s="12">
        <f t="shared" si="21"/>
        <v>0.6638176633</v>
      </c>
      <c r="Q43" s="17"/>
      <c r="X43" s="18"/>
    </row>
    <row r="44" ht="15.75" customHeight="1">
      <c r="A44" s="4">
        <v>20303.0</v>
      </c>
      <c r="B44" s="8">
        <v>2.0</v>
      </c>
      <c r="C44" s="8">
        <v>0.6666666865348816</v>
      </c>
      <c r="D44" s="8">
        <v>3.0</v>
      </c>
      <c r="E44" s="9">
        <f t="shared" si="15"/>
        <v>0.6666666667</v>
      </c>
      <c r="F44" s="10">
        <f t="shared" si="19"/>
        <v>0.3333333433</v>
      </c>
      <c r="G44" s="10">
        <f t="shared" si="20"/>
        <v>0.2222222288</v>
      </c>
      <c r="H44" s="4">
        <v>20303.0</v>
      </c>
      <c r="I44" s="8">
        <v>21.0</v>
      </c>
      <c r="J44" s="8">
        <v>9.555555790662766</v>
      </c>
      <c r="K44" s="8">
        <v>35.0</v>
      </c>
      <c r="L44" s="10">
        <f t="shared" si="4"/>
        <v>0.6</v>
      </c>
      <c r="M44" s="11">
        <f t="shared" si="5"/>
        <v>0.4550264662</v>
      </c>
      <c r="N44" s="11">
        <f t="shared" si="6"/>
        <v>0.2730158797</v>
      </c>
      <c r="O44" s="12">
        <f t="shared" si="21"/>
        <v>1.228571422</v>
      </c>
      <c r="Q44" s="17"/>
      <c r="X44" s="18"/>
    </row>
    <row r="45" ht="15.75" customHeight="1">
      <c r="A45" s="4">
        <v>20304.0</v>
      </c>
      <c r="B45" s="8">
        <v>4.0</v>
      </c>
      <c r="C45" s="8">
        <v>1.444444477558136</v>
      </c>
      <c r="D45" s="8">
        <v>5.0</v>
      </c>
      <c r="E45" s="9">
        <f t="shared" si="15"/>
        <v>0.8</v>
      </c>
      <c r="F45" s="10">
        <f t="shared" si="19"/>
        <v>0.3611111194</v>
      </c>
      <c r="G45" s="10">
        <f t="shared" si="20"/>
        <v>0.2888888955</v>
      </c>
      <c r="H45" s="4">
        <v>20304.0</v>
      </c>
      <c r="I45" s="8">
        <v>4.0</v>
      </c>
      <c r="J45" s="8">
        <v>1.6666666865348816</v>
      </c>
      <c r="K45" s="8">
        <v>7.0</v>
      </c>
      <c r="L45" s="10">
        <f t="shared" si="4"/>
        <v>0.5714285714</v>
      </c>
      <c r="M45" s="11">
        <f t="shared" si="5"/>
        <v>0.4166666716</v>
      </c>
      <c r="N45" s="11">
        <f t="shared" si="6"/>
        <v>0.2380952409</v>
      </c>
      <c r="O45" s="12">
        <f t="shared" si="21"/>
        <v>0.8241758151</v>
      </c>
      <c r="Q45" s="17"/>
      <c r="X45" s="18"/>
    </row>
    <row r="46" ht="15.75" customHeight="1">
      <c r="A46" s="4">
        <v>20305.0</v>
      </c>
      <c r="B46" s="8">
        <v>2.0</v>
      </c>
      <c r="C46" s="8">
        <v>1.1111111640930176</v>
      </c>
      <c r="D46" s="8">
        <v>2.0</v>
      </c>
      <c r="E46" s="9">
        <f t="shared" si="15"/>
        <v>1</v>
      </c>
      <c r="F46" s="10">
        <f t="shared" si="19"/>
        <v>0.555555582</v>
      </c>
      <c r="G46" s="10">
        <f t="shared" si="20"/>
        <v>0.555555582</v>
      </c>
      <c r="H46" s="4">
        <v>20305.0</v>
      </c>
      <c r="I46" s="8">
        <v>0.0</v>
      </c>
      <c r="J46" s="8">
        <v>0.0</v>
      </c>
      <c r="K46" s="8">
        <v>5.0</v>
      </c>
      <c r="L46" s="10">
        <f t="shared" si="4"/>
        <v>0</v>
      </c>
      <c r="M46" s="11" t="s">
        <v>22</v>
      </c>
      <c r="N46" s="11" t="s">
        <v>22</v>
      </c>
      <c r="O46" s="12" t="s">
        <v>22</v>
      </c>
      <c r="Q46" s="17"/>
      <c r="X46" s="18"/>
    </row>
    <row r="47" ht="15.75" customHeight="1">
      <c r="A47" s="4">
        <v>20306.0</v>
      </c>
      <c r="B47" s="8">
        <v>0.0</v>
      </c>
      <c r="C47" s="8">
        <v>0.0</v>
      </c>
      <c r="D47" s="8">
        <v>1.0</v>
      </c>
      <c r="E47" s="9">
        <f t="shared" si="15"/>
        <v>0</v>
      </c>
      <c r="F47" s="10" t="s">
        <v>22</v>
      </c>
      <c r="G47" s="10" t="s">
        <v>22</v>
      </c>
      <c r="H47" s="4">
        <v>20306.0</v>
      </c>
      <c r="I47" s="8">
        <v>2.0</v>
      </c>
      <c r="J47" s="8">
        <v>0.6666666865348816</v>
      </c>
      <c r="K47" s="8">
        <v>5.0</v>
      </c>
      <c r="L47" s="10">
        <f t="shared" si="4"/>
        <v>0.4</v>
      </c>
      <c r="M47" s="11">
        <f t="shared" ref="M47:M110" si="22">J47/I47</f>
        <v>0.3333333433</v>
      </c>
      <c r="N47" s="11">
        <f t="shared" ref="N47:N110" si="23">L47*M47</f>
        <v>0.1333333373</v>
      </c>
      <c r="O47" s="12" t="s">
        <v>22</v>
      </c>
      <c r="Q47" s="17"/>
      <c r="X47" s="18"/>
    </row>
    <row r="48" ht="15.75" customHeight="1">
      <c r="A48" s="4">
        <v>20308.0</v>
      </c>
      <c r="B48" s="8">
        <v>8.0</v>
      </c>
      <c r="C48" s="8">
        <v>4.222222298383713</v>
      </c>
      <c r="D48" s="8">
        <v>12.0</v>
      </c>
      <c r="E48" s="9">
        <f t="shared" si="15"/>
        <v>0.6666666667</v>
      </c>
      <c r="F48" s="10">
        <f t="shared" ref="F48:F53" si="24">C48/B48</f>
        <v>0.5277777873</v>
      </c>
      <c r="G48" s="10">
        <f t="shared" ref="G48:G53" si="25">E48*F48</f>
        <v>0.3518518582</v>
      </c>
      <c r="H48" s="4">
        <v>20308.0</v>
      </c>
      <c r="I48" s="8">
        <v>44.0</v>
      </c>
      <c r="J48" s="8">
        <v>20.666667252779007</v>
      </c>
      <c r="K48" s="8">
        <v>55.0</v>
      </c>
      <c r="L48" s="10">
        <f t="shared" si="4"/>
        <v>0.8</v>
      </c>
      <c r="M48" s="11">
        <f t="shared" si="22"/>
        <v>0.469696983</v>
      </c>
      <c r="N48" s="11">
        <f t="shared" si="23"/>
        <v>0.3757575864</v>
      </c>
      <c r="O48" s="12">
        <f t="shared" ref="O48:O53" si="26">N48/G48</f>
        <v>1.067942595</v>
      </c>
      <c r="Q48" s="17"/>
      <c r="X48" s="18"/>
    </row>
    <row r="49" ht="15.75" customHeight="1">
      <c r="A49" s="4">
        <v>20401.0</v>
      </c>
      <c r="B49" s="8">
        <v>7.0</v>
      </c>
      <c r="C49" s="8">
        <v>3.8888890147209167</v>
      </c>
      <c r="D49" s="8">
        <v>15.0</v>
      </c>
      <c r="E49" s="9">
        <f t="shared" si="15"/>
        <v>0.4666666667</v>
      </c>
      <c r="F49" s="10">
        <f t="shared" si="24"/>
        <v>0.5555555735</v>
      </c>
      <c r="G49" s="10">
        <f t="shared" si="25"/>
        <v>0.2592592676</v>
      </c>
      <c r="H49" s="4">
        <v>20401.0</v>
      </c>
      <c r="I49" s="8">
        <v>53.0</v>
      </c>
      <c r="J49" s="8">
        <v>21.77777835726738</v>
      </c>
      <c r="K49" s="8">
        <v>120.0</v>
      </c>
      <c r="L49" s="10">
        <f t="shared" si="4"/>
        <v>0.4416666667</v>
      </c>
      <c r="M49" s="11">
        <f t="shared" si="22"/>
        <v>0.4109014784</v>
      </c>
      <c r="N49" s="11">
        <f t="shared" si="23"/>
        <v>0.1814814863</v>
      </c>
      <c r="O49" s="12">
        <f t="shared" si="26"/>
        <v>0.699999996</v>
      </c>
      <c r="Q49" s="17"/>
      <c r="X49" s="18"/>
    </row>
    <row r="50" ht="15.75" customHeight="1">
      <c r="A50" s="4">
        <v>20402.0</v>
      </c>
      <c r="B50" s="8">
        <v>4.0</v>
      </c>
      <c r="C50" s="8">
        <v>2.000000089406967</v>
      </c>
      <c r="D50" s="8">
        <v>8.0</v>
      </c>
      <c r="E50" s="9">
        <f t="shared" si="15"/>
        <v>0.5</v>
      </c>
      <c r="F50" s="10">
        <f t="shared" si="24"/>
        <v>0.5000000224</v>
      </c>
      <c r="G50" s="10">
        <f t="shared" si="25"/>
        <v>0.2500000112</v>
      </c>
      <c r="H50" s="4">
        <v>20402.0</v>
      </c>
      <c r="I50" s="8">
        <v>48.0</v>
      </c>
      <c r="J50" s="8">
        <v>19.444444924592972</v>
      </c>
      <c r="K50" s="8">
        <v>93.0</v>
      </c>
      <c r="L50" s="10">
        <f t="shared" si="4"/>
        <v>0.5161290323</v>
      </c>
      <c r="M50" s="11">
        <f t="shared" si="22"/>
        <v>0.4050926026</v>
      </c>
      <c r="N50" s="11">
        <f t="shared" si="23"/>
        <v>0.209080053</v>
      </c>
      <c r="O50" s="12">
        <f t="shared" si="26"/>
        <v>0.8363201744</v>
      </c>
      <c r="Q50" s="17"/>
      <c r="X50" s="18"/>
    </row>
    <row r="51" ht="15.75" customHeight="1">
      <c r="A51" s="4">
        <v>20403.0</v>
      </c>
      <c r="B51" s="8">
        <v>6.0</v>
      </c>
      <c r="C51" s="8">
        <v>2.666666716337204</v>
      </c>
      <c r="D51" s="8">
        <v>11.0</v>
      </c>
      <c r="E51" s="9">
        <f t="shared" si="15"/>
        <v>0.5454545455</v>
      </c>
      <c r="F51" s="10">
        <f t="shared" si="24"/>
        <v>0.4444444527</v>
      </c>
      <c r="G51" s="10">
        <f t="shared" si="25"/>
        <v>0.2424242469</v>
      </c>
      <c r="H51" s="4">
        <v>20403.0</v>
      </c>
      <c r="I51" s="8">
        <v>45.0</v>
      </c>
      <c r="J51" s="8">
        <v>18.88888931274414</v>
      </c>
      <c r="K51" s="8">
        <v>81.0</v>
      </c>
      <c r="L51" s="10">
        <f t="shared" si="4"/>
        <v>0.5555555556</v>
      </c>
      <c r="M51" s="11">
        <f t="shared" si="22"/>
        <v>0.4197530958</v>
      </c>
      <c r="N51" s="11">
        <f t="shared" si="23"/>
        <v>0.2331961644</v>
      </c>
      <c r="O51" s="12">
        <f t="shared" si="26"/>
        <v>0.96193416</v>
      </c>
      <c r="Q51" s="17"/>
      <c r="X51" s="18"/>
    </row>
    <row r="52" ht="15.75" customHeight="1">
      <c r="A52" s="4">
        <v>20404.0</v>
      </c>
      <c r="B52" s="8">
        <v>5.0</v>
      </c>
      <c r="C52" s="8">
        <v>2.1111111640930176</v>
      </c>
      <c r="D52" s="8">
        <v>6.0</v>
      </c>
      <c r="E52" s="9">
        <f t="shared" si="15"/>
        <v>0.8333333333</v>
      </c>
      <c r="F52" s="10">
        <f t="shared" si="24"/>
        <v>0.4222222328</v>
      </c>
      <c r="G52" s="10">
        <f t="shared" si="25"/>
        <v>0.3518518607</v>
      </c>
      <c r="H52" s="4">
        <v>20404.0</v>
      </c>
      <c r="I52" s="8">
        <v>10.0</v>
      </c>
      <c r="J52" s="8">
        <v>4.111111164093018</v>
      </c>
      <c r="K52" s="8">
        <v>19.0</v>
      </c>
      <c r="L52" s="10">
        <f t="shared" si="4"/>
        <v>0.5263157895</v>
      </c>
      <c r="M52" s="11">
        <f t="shared" si="22"/>
        <v>0.4111111164</v>
      </c>
      <c r="N52" s="11">
        <f t="shared" si="23"/>
        <v>0.2163742718</v>
      </c>
      <c r="O52" s="12">
        <f t="shared" si="26"/>
        <v>0.6149584412</v>
      </c>
      <c r="Q52" s="17"/>
      <c r="X52" s="18"/>
    </row>
    <row r="53" ht="15.75" customHeight="1">
      <c r="A53" s="4">
        <v>20405.0</v>
      </c>
      <c r="B53" s="8">
        <v>5.0</v>
      </c>
      <c r="C53" s="8">
        <v>2.333333432674408</v>
      </c>
      <c r="D53" s="8">
        <v>8.0</v>
      </c>
      <c r="E53" s="9">
        <f t="shared" si="15"/>
        <v>0.625</v>
      </c>
      <c r="F53" s="10">
        <f t="shared" si="24"/>
        <v>0.4666666865</v>
      </c>
      <c r="G53" s="10">
        <f t="shared" si="25"/>
        <v>0.2916666791</v>
      </c>
      <c r="H53" s="4">
        <v>20405.0</v>
      </c>
      <c r="I53" s="8">
        <v>42.0</v>
      </c>
      <c r="J53" s="8">
        <v>16.333333671092987</v>
      </c>
      <c r="K53" s="8">
        <v>71.0</v>
      </c>
      <c r="L53" s="10">
        <f t="shared" si="4"/>
        <v>0.5915492958</v>
      </c>
      <c r="M53" s="11">
        <f t="shared" si="22"/>
        <v>0.3888888969</v>
      </c>
      <c r="N53" s="11">
        <f t="shared" si="23"/>
        <v>0.2300469531</v>
      </c>
      <c r="O53" s="12">
        <f t="shared" si="26"/>
        <v>0.7887323771</v>
      </c>
      <c r="Q53" s="17"/>
      <c r="X53" s="18"/>
    </row>
    <row r="54" ht="15.75" customHeight="1">
      <c r="A54" s="4">
        <v>20501.0</v>
      </c>
      <c r="B54" s="8">
        <v>0.0</v>
      </c>
      <c r="C54" s="8">
        <v>0.0</v>
      </c>
      <c r="D54" s="8">
        <v>3.0</v>
      </c>
      <c r="E54" s="9">
        <f t="shared" si="15"/>
        <v>0</v>
      </c>
      <c r="F54" s="10" t="s">
        <v>22</v>
      </c>
      <c r="G54" s="10" t="s">
        <v>22</v>
      </c>
      <c r="H54" s="4">
        <v>20501.0</v>
      </c>
      <c r="I54" s="8">
        <v>48.0</v>
      </c>
      <c r="J54" s="8">
        <v>19.55555608868599</v>
      </c>
      <c r="K54" s="8">
        <v>115.0</v>
      </c>
      <c r="L54" s="10">
        <f t="shared" si="4"/>
        <v>0.4173913043</v>
      </c>
      <c r="M54" s="11">
        <f t="shared" si="22"/>
        <v>0.4074074185</v>
      </c>
      <c r="N54" s="11">
        <f t="shared" si="23"/>
        <v>0.1700483138</v>
      </c>
      <c r="O54" s="12" t="s">
        <v>22</v>
      </c>
      <c r="Q54" s="17"/>
      <c r="X54" s="18"/>
    </row>
    <row r="55" ht="15.75" customHeight="1">
      <c r="A55" s="4">
        <v>20502.0</v>
      </c>
      <c r="B55" s="8">
        <v>3.0</v>
      </c>
      <c r="C55" s="8">
        <v>1.222222238779068</v>
      </c>
      <c r="D55" s="8">
        <v>9.0</v>
      </c>
      <c r="E55" s="9">
        <f t="shared" si="15"/>
        <v>0.3333333333</v>
      </c>
      <c r="F55" s="10">
        <f t="shared" ref="F55:F60" si="27">C55/B55</f>
        <v>0.4074074129</v>
      </c>
      <c r="G55" s="10">
        <f t="shared" ref="G55:G60" si="28">E55*F55</f>
        <v>0.135802471</v>
      </c>
      <c r="H55" s="4">
        <v>20502.0</v>
      </c>
      <c r="I55" s="8">
        <v>23.0</v>
      </c>
      <c r="J55" s="8">
        <v>9.888889104127884</v>
      </c>
      <c r="K55" s="8">
        <v>40.0</v>
      </c>
      <c r="L55" s="10">
        <f t="shared" si="4"/>
        <v>0.575</v>
      </c>
      <c r="M55" s="11">
        <f t="shared" si="22"/>
        <v>0.4299517002</v>
      </c>
      <c r="N55" s="11">
        <f t="shared" si="23"/>
        <v>0.2472222276</v>
      </c>
      <c r="O55" s="12">
        <f t="shared" ref="O55:O60" si="29">N55/G55</f>
        <v>1.82045456</v>
      </c>
      <c r="Q55" s="17"/>
      <c r="X55" s="18"/>
    </row>
    <row r="56" ht="15.75" customHeight="1">
      <c r="A56" s="4">
        <v>20503.0</v>
      </c>
      <c r="B56" s="8">
        <v>7.0</v>
      </c>
      <c r="C56" s="8">
        <v>3.5555557012557983</v>
      </c>
      <c r="D56" s="8">
        <v>10.0</v>
      </c>
      <c r="E56" s="9">
        <f t="shared" si="15"/>
        <v>0.7</v>
      </c>
      <c r="F56" s="10">
        <f t="shared" si="27"/>
        <v>0.5079365288</v>
      </c>
      <c r="G56" s="10">
        <f t="shared" si="28"/>
        <v>0.3555555701</v>
      </c>
      <c r="H56" s="4">
        <v>20503.0</v>
      </c>
      <c r="I56" s="8">
        <v>18.0</v>
      </c>
      <c r="J56" s="8">
        <v>7.777777999639511</v>
      </c>
      <c r="K56" s="8">
        <v>31.0</v>
      </c>
      <c r="L56" s="10">
        <f t="shared" si="4"/>
        <v>0.5806451613</v>
      </c>
      <c r="M56" s="11">
        <f t="shared" si="22"/>
        <v>0.4320987778</v>
      </c>
      <c r="N56" s="11">
        <f t="shared" si="23"/>
        <v>0.2508960645</v>
      </c>
      <c r="O56" s="12">
        <f t="shared" si="29"/>
        <v>0.7056451525</v>
      </c>
      <c r="Q56" s="17"/>
      <c r="X56" s="18"/>
    </row>
    <row r="57" ht="15.75" customHeight="1">
      <c r="A57" s="4">
        <v>20601.0</v>
      </c>
      <c r="B57" s="8">
        <v>10.0</v>
      </c>
      <c r="C57" s="8">
        <v>3.8888889849185944</v>
      </c>
      <c r="D57" s="8">
        <v>20.0</v>
      </c>
      <c r="E57" s="9">
        <f t="shared" si="15"/>
        <v>0.5</v>
      </c>
      <c r="F57" s="10">
        <f t="shared" si="27"/>
        <v>0.3888888985</v>
      </c>
      <c r="G57" s="10">
        <f t="shared" si="28"/>
        <v>0.1944444492</v>
      </c>
      <c r="H57" s="4">
        <v>20601.0</v>
      </c>
      <c r="I57" s="8">
        <v>86.0</v>
      </c>
      <c r="J57" s="8">
        <v>39.00000122189522</v>
      </c>
      <c r="K57" s="8">
        <v>223.0</v>
      </c>
      <c r="L57" s="10">
        <f t="shared" si="4"/>
        <v>0.3856502242</v>
      </c>
      <c r="M57" s="11">
        <f t="shared" si="22"/>
        <v>0.4534883863</v>
      </c>
      <c r="N57" s="11">
        <f t="shared" si="23"/>
        <v>0.1748878979</v>
      </c>
      <c r="O57" s="12">
        <f t="shared" si="29"/>
        <v>0.8994234525</v>
      </c>
      <c r="Q57" s="17"/>
      <c r="X57" s="18"/>
    </row>
    <row r="58" ht="15.75" customHeight="1">
      <c r="A58" s="4">
        <v>20602.0</v>
      </c>
      <c r="B58" s="8">
        <v>20.0</v>
      </c>
      <c r="C58" s="8">
        <v>8.555555820465088</v>
      </c>
      <c r="D58" s="8">
        <v>31.0</v>
      </c>
      <c r="E58" s="9">
        <f t="shared" si="15"/>
        <v>0.6451612903</v>
      </c>
      <c r="F58" s="10">
        <f t="shared" si="27"/>
        <v>0.427777791</v>
      </c>
      <c r="G58" s="10">
        <f t="shared" si="28"/>
        <v>0.2759856716</v>
      </c>
      <c r="H58" s="4">
        <v>20602.0</v>
      </c>
      <c r="I58" s="8">
        <v>73.0</v>
      </c>
      <c r="J58" s="8">
        <v>33.66666758060455</v>
      </c>
      <c r="K58" s="8">
        <v>165.0</v>
      </c>
      <c r="L58" s="10">
        <f t="shared" si="4"/>
        <v>0.4424242424</v>
      </c>
      <c r="M58" s="11">
        <f t="shared" si="22"/>
        <v>0.4611872271</v>
      </c>
      <c r="N58" s="11">
        <f t="shared" si="23"/>
        <v>0.2040404096</v>
      </c>
      <c r="O58" s="12">
        <f t="shared" si="29"/>
        <v>0.7393152274</v>
      </c>
      <c r="Q58" s="17"/>
      <c r="X58" s="18"/>
    </row>
    <row r="59" ht="15.75" customHeight="1">
      <c r="A59" s="4">
        <v>20603.0</v>
      </c>
      <c r="B59" s="8">
        <v>3.0</v>
      </c>
      <c r="C59" s="8">
        <v>1.0000000298023224</v>
      </c>
      <c r="D59" s="8">
        <v>3.0</v>
      </c>
      <c r="E59" s="9">
        <f t="shared" si="15"/>
        <v>1</v>
      </c>
      <c r="F59" s="10">
        <f t="shared" si="27"/>
        <v>0.3333333433</v>
      </c>
      <c r="G59" s="10">
        <f t="shared" si="28"/>
        <v>0.3333333433</v>
      </c>
      <c r="H59" s="4">
        <v>20603.0</v>
      </c>
      <c r="I59" s="8">
        <v>40.0</v>
      </c>
      <c r="J59" s="8">
        <v>16.00000038743019</v>
      </c>
      <c r="K59" s="8">
        <v>73.0</v>
      </c>
      <c r="L59" s="10">
        <f t="shared" si="4"/>
        <v>0.5479452055</v>
      </c>
      <c r="M59" s="11">
        <f t="shared" si="22"/>
        <v>0.4000000097</v>
      </c>
      <c r="N59" s="11">
        <f t="shared" si="23"/>
        <v>0.2191780875</v>
      </c>
      <c r="O59" s="12">
        <f t="shared" si="29"/>
        <v>0.6575342429</v>
      </c>
      <c r="Q59" s="17"/>
      <c r="X59" s="18"/>
    </row>
    <row r="60" ht="15.75" customHeight="1">
      <c r="A60" s="4">
        <v>20604.0</v>
      </c>
      <c r="B60" s="8">
        <v>1.0</v>
      </c>
      <c r="C60" s="8">
        <v>0.3333333432674408</v>
      </c>
      <c r="D60" s="8">
        <v>2.0</v>
      </c>
      <c r="E60" s="9">
        <f t="shared" si="15"/>
        <v>0.5</v>
      </c>
      <c r="F60" s="10">
        <f t="shared" si="27"/>
        <v>0.3333333433</v>
      </c>
      <c r="G60" s="10">
        <f t="shared" si="28"/>
        <v>0.1666666716</v>
      </c>
      <c r="H60" s="4">
        <v>20604.0</v>
      </c>
      <c r="I60" s="8">
        <v>11.0</v>
      </c>
      <c r="J60" s="8">
        <v>5.000000089406967</v>
      </c>
      <c r="K60" s="8">
        <v>43.0</v>
      </c>
      <c r="L60" s="10">
        <f t="shared" si="4"/>
        <v>0.2558139535</v>
      </c>
      <c r="M60" s="11">
        <f t="shared" si="22"/>
        <v>0.4545454627</v>
      </c>
      <c r="N60" s="11">
        <f t="shared" si="23"/>
        <v>0.1162790718</v>
      </c>
      <c r="O60" s="12">
        <f t="shared" si="29"/>
        <v>0.6976744103</v>
      </c>
      <c r="Q60" s="17"/>
      <c r="X60" s="18"/>
    </row>
    <row r="61" ht="15.75" customHeight="1">
      <c r="A61" s="4">
        <v>20605.0</v>
      </c>
      <c r="B61" s="8">
        <v>0.0</v>
      </c>
      <c r="C61" s="8">
        <v>0.0</v>
      </c>
      <c r="D61" s="8">
        <v>1.0</v>
      </c>
      <c r="E61" s="9">
        <f t="shared" si="15"/>
        <v>0</v>
      </c>
      <c r="F61" s="10" t="s">
        <v>22</v>
      </c>
      <c r="G61" s="10" t="s">
        <v>22</v>
      </c>
      <c r="H61" s="4">
        <v>20605.0</v>
      </c>
      <c r="I61" s="8">
        <v>4.0</v>
      </c>
      <c r="J61" s="8">
        <v>2.0000000596046448</v>
      </c>
      <c r="K61" s="8">
        <v>11.0</v>
      </c>
      <c r="L61" s="10">
        <f t="shared" si="4"/>
        <v>0.3636363636</v>
      </c>
      <c r="M61" s="11">
        <f t="shared" si="22"/>
        <v>0.5000000149</v>
      </c>
      <c r="N61" s="11">
        <f t="shared" si="23"/>
        <v>0.1818181872</v>
      </c>
      <c r="O61" s="12" t="s">
        <v>22</v>
      </c>
      <c r="Q61" s="17"/>
      <c r="X61" s="18"/>
    </row>
    <row r="62" ht="15.75" customHeight="1">
      <c r="A62" s="4">
        <v>20606.0</v>
      </c>
      <c r="B62" s="8">
        <v>9.0</v>
      </c>
      <c r="C62" s="8">
        <v>3.8888889253139496</v>
      </c>
      <c r="D62" s="8">
        <v>13.0</v>
      </c>
      <c r="E62" s="9">
        <f t="shared" si="15"/>
        <v>0.6923076923</v>
      </c>
      <c r="F62" s="10">
        <f t="shared" ref="F62:F69" si="30">C62/B62</f>
        <v>0.4320987695</v>
      </c>
      <c r="G62" s="10">
        <f t="shared" ref="G62:G69" si="31">E62*F62</f>
        <v>0.2991453019</v>
      </c>
      <c r="H62" s="4">
        <v>20606.0</v>
      </c>
      <c r="I62" s="8">
        <v>25.0</v>
      </c>
      <c r="J62" s="8">
        <v>9.555555820465088</v>
      </c>
      <c r="K62" s="8">
        <v>148.0</v>
      </c>
      <c r="L62" s="10">
        <f t="shared" si="4"/>
        <v>0.1689189189</v>
      </c>
      <c r="M62" s="11">
        <f t="shared" si="22"/>
        <v>0.3822222328</v>
      </c>
      <c r="N62" s="11">
        <f t="shared" si="23"/>
        <v>0.06456456635</v>
      </c>
      <c r="O62" s="12">
        <f t="shared" ref="O62:O69" si="32">N62/G62</f>
        <v>0.2158301198</v>
      </c>
      <c r="Q62" s="17"/>
      <c r="X62" s="18"/>
    </row>
    <row r="63" ht="15.75" customHeight="1">
      <c r="A63" s="4">
        <v>20607.0</v>
      </c>
      <c r="B63" s="8">
        <v>7.0</v>
      </c>
      <c r="C63" s="8">
        <v>2.666666716337204</v>
      </c>
      <c r="D63" s="8">
        <v>22.0</v>
      </c>
      <c r="E63" s="9">
        <f t="shared" si="15"/>
        <v>0.3181818182</v>
      </c>
      <c r="F63" s="10">
        <f t="shared" si="30"/>
        <v>0.380952388</v>
      </c>
      <c r="G63" s="10">
        <f t="shared" si="31"/>
        <v>0.1212121235</v>
      </c>
      <c r="H63" s="4">
        <v>20607.0</v>
      </c>
      <c r="I63" s="8">
        <v>34.0</v>
      </c>
      <c r="J63" s="8">
        <v>12.444444745779037</v>
      </c>
      <c r="K63" s="8">
        <v>143.0</v>
      </c>
      <c r="L63" s="10">
        <f t="shared" si="4"/>
        <v>0.2377622378</v>
      </c>
      <c r="M63" s="11">
        <f t="shared" si="22"/>
        <v>0.3660130808</v>
      </c>
      <c r="N63" s="11">
        <f t="shared" si="23"/>
        <v>0.08702408913</v>
      </c>
      <c r="O63" s="12">
        <f t="shared" si="32"/>
        <v>0.717948722</v>
      </c>
      <c r="Q63" s="17"/>
      <c r="X63" s="18"/>
    </row>
    <row r="64" ht="15.75" customHeight="1">
      <c r="A64" s="4">
        <v>20608.0</v>
      </c>
      <c r="B64" s="8">
        <v>22.0</v>
      </c>
      <c r="C64" s="8">
        <v>8.333333551883698</v>
      </c>
      <c r="D64" s="8">
        <v>28.0</v>
      </c>
      <c r="E64" s="9">
        <f t="shared" si="15"/>
        <v>0.7857142857</v>
      </c>
      <c r="F64" s="10">
        <f t="shared" si="30"/>
        <v>0.3787878887</v>
      </c>
      <c r="G64" s="10">
        <f t="shared" si="31"/>
        <v>0.2976190554</v>
      </c>
      <c r="H64" s="4">
        <v>20608.0</v>
      </c>
      <c r="I64" s="8">
        <v>18.0</v>
      </c>
      <c r="J64" s="8">
        <v>7.555555760860443</v>
      </c>
      <c r="K64" s="8">
        <v>54.0</v>
      </c>
      <c r="L64" s="10">
        <f t="shared" si="4"/>
        <v>0.3333333333</v>
      </c>
      <c r="M64" s="11">
        <f t="shared" si="22"/>
        <v>0.4197530978</v>
      </c>
      <c r="N64" s="11">
        <f t="shared" si="23"/>
        <v>0.1399176993</v>
      </c>
      <c r="O64" s="12">
        <f t="shared" si="32"/>
        <v>0.4701234572</v>
      </c>
      <c r="Q64" s="17"/>
      <c r="X64" s="18"/>
    </row>
    <row r="65" ht="15.75" customHeight="1">
      <c r="A65" s="4">
        <v>20701.0</v>
      </c>
      <c r="B65" s="8">
        <v>6.0</v>
      </c>
      <c r="C65" s="8">
        <v>2.777777850627899</v>
      </c>
      <c r="D65" s="8">
        <v>10.0</v>
      </c>
      <c r="E65" s="9">
        <f t="shared" si="15"/>
        <v>0.6</v>
      </c>
      <c r="F65" s="10">
        <f t="shared" si="30"/>
        <v>0.4629629751</v>
      </c>
      <c r="G65" s="10">
        <f t="shared" si="31"/>
        <v>0.2777777851</v>
      </c>
      <c r="H65" s="4">
        <v>20701.0</v>
      </c>
      <c r="I65" s="8">
        <v>70.0</v>
      </c>
      <c r="J65" s="8">
        <v>31.888889729976654</v>
      </c>
      <c r="K65" s="8">
        <v>175.0</v>
      </c>
      <c r="L65" s="10">
        <f t="shared" si="4"/>
        <v>0.4</v>
      </c>
      <c r="M65" s="11">
        <f t="shared" si="22"/>
        <v>0.4555555676</v>
      </c>
      <c r="N65" s="11">
        <f t="shared" si="23"/>
        <v>0.182222227</v>
      </c>
      <c r="O65" s="12">
        <f t="shared" si="32"/>
        <v>0.6560000001</v>
      </c>
      <c r="Q65" s="17"/>
      <c r="X65" s="18"/>
    </row>
    <row r="66" ht="15.75" customHeight="1">
      <c r="A66" s="4">
        <v>20702.0</v>
      </c>
      <c r="B66" s="8">
        <v>4.0</v>
      </c>
      <c r="C66" s="8">
        <v>1.5555555820465088</v>
      </c>
      <c r="D66" s="8">
        <v>6.0</v>
      </c>
      <c r="E66" s="9">
        <f t="shared" si="15"/>
        <v>0.6666666667</v>
      </c>
      <c r="F66" s="10">
        <f t="shared" si="30"/>
        <v>0.3888888955</v>
      </c>
      <c r="G66" s="10">
        <f t="shared" si="31"/>
        <v>0.2592592637</v>
      </c>
      <c r="H66" s="4">
        <v>20702.0</v>
      </c>
      <c r="I66" s="8">
        <v>52.0</v>
      </c>
      <c r="J66" s="8">
        <v>23.444444924592972</v>
      </c>
      <c r="K66" s="8">
        <v>70.0</v>
      </c>
      <c r="L66" s="10">
        <f t="shared" si="4"/>
        <v>0.7428571429</v>
      </c>
      <c r="M66" s="11">
        <f t="shared" si="22"/>
        <v>0.4508547101</v>
      </c>
      <c r="N66" s="11">
        <f t="shared" si="23"/>
        <v>0.3349206418</v>
      </c>
      <c r="O66" s="12">
        <f t="shared" si="32"/>
        <v>1.291836739</v>
      </c>
      <c r="Q66" s="17"/>
      <c r="X66" s="18"/>
    </row>
    <row r="67" ht="15.75" customHeight="1">
      <c r="A67" s="4">
        <v>20801.0</v>
      </c>
      <c r="B67" s="8">
        <v>37.0</v>
      </c>
      <c r="C67" s="8">
        <v>15.000000268220901</v>
      </c>
      <c r="D67" s="8">
        <v>72.0</v>
      </c>
      <c r="E67" s="9">
        <f t="shared" si="15"/>
        <v>0.5138888889</v>
      </c>
      <c r="F67" s="10">
        <f t="shared" si="30"/>
        <v>0.4054054127</v>
      </c>
      <c r="G67" s="10">
        <f t="shared" si="31"/>
        <v>0.2083333371</v>
      </c>
      <c r="H67" s="4">
        <v>20801.0</v>
      </c>
      <c r="I67" s="8">
        <v>169.0</v>
      </c>
      <c r="J67" s="8">
        <v>66.00000149011612</v>
      </c>
      <c r="K67" s="8">
        <v>401.0</v>
      </c>
      <c r="L67" s="10">
        <f t="shared" si="4"/>
        <v>0.421446384</v>
      </c>
      <c r="M67" s="11">
        <f t="shared" si="22"/>
        <v>0.3905325532</v>
      </c>
      <c r="N67" s="11">
        <f t="shared" si="23"/>
        <v>0.1645885324</v>
      </c>
      <c r="O67" s="12">
        <f t="shared" si="32"/>
        <v>0.7900249414</v>
      </c>
      <c r="Q67" s="17"/>
      <c r="X67" s="18"/>
    </row>
    <row r="68" ht="15.75" customHeight="1">
      <c r="A68" s="4">
        <v>20802.0</v>
      </c>
      <c r="B68" s="8">
        <v>3.0</v>
      </c>
      <c r="C68" s="8">
        <v>1.1111111342906952</v>
      </c>
      <c r="D68" s="8">
        <v>6.0</v>
      </c>
      <c r="E68" s="9">
        <f t="shared" si="15"/>
        <v>0.5</v>
      </c>
      <c r="F68" s="10">
        <f t="shared" si="30"/>
        <v>0.3703703781</v>
      </c>
      <c r="G68" s="10">
        <f t="shared" si="31"/>
        <v>0.185185189</v>
      </c>
      <c r="H68" s="4">
        <v>20802.0</v>
      </c>
      <c r="I68" s="8">
        <v>40.0</v>
      </c>
      <c r="J68" s="8">
        <v>16.11111158132553</v>
      </c>
      <c r="K68" s="8">
        <v>93.0</v>
      </c>
      <c r="L68" s="10">
        <f t="shared" si="4"/>
        <v>0.4301075269</v>
      </c>
      <c r="M68" s="11">
        <f t="shared" si="22"/>
        <v>0.4027777895</v>
      </c>
      <c r="N68" s="11">
        <f t="shared" si="23"/>
        <v>0.1732377589</v>
      </c>
      <c r="O68" s="12">
        <f t="shared" si="32"/>
        <v>0.9354838788</v>
      </c>
      <c r="Q68" s="17"/>
      <c r="X68" s="18"/>
    </row>
    <row r="69" ht="15.75" customHeight="1">
      <c r="A69" s="4">
        <v>20803.0</v>
      </c>
      <c r="B69" s="8">
        <v>12.0</v>
      </c>
      <c r="C69" s="8">
        <v>6.444444626569748</v>
      </c>
      <c r="D69" s="8">
        <v>15.0</v>
      </c>
      <c r="E69" s="9">
        <f t="shared" si="15"/>
        <v>0.8</v>
      </c>
      <c r="F69" s="10">
        <f t="shared" si="30"/>
        <v>0.5370370522</v>
      </c>
      <c r="G69" s="10">
        <f t="shared" si="31"/>
        <v>0.4296296418</v>
      </c>
      <c r="H69" s="4">
        <v>20803.0</v>
      </c>
      <c r="I69" s="8">
        <v>30.0</v>
      </c>
      <c r="J69" s="8">
        <v>13.000000357627869</v>
      </c>
      <c r="K69" s="8">
        <v>65.0</v>
      </c>
      <c r="L69" s="10">
        <f t="shared" si="4"/>
        <v>0.4615384615</v>
      </c>
      <c r="M69" s="11">
        <f t="shared" si="22"/>
        <v>0.4333333453</v>
      </c>
      <c r="N69" s="11">
        <f t="shared" si="23"/>
        <v>0.2000000055</v>
      </c>
      <c r="O69" s="12">
        <f t="shared" si="32"/>
        <v>0.465517241</v>
      </c>
      <c r="Q69" s="17"/>
      <c r="X69" s="18"/>
    </row>
    <row r="70" ht="15.75" customHeight="1">
      <c r="A70" s="4">
        <v>20804.0</v>
      </c>
      <c r="B70" s="8">
        <v>0.0</v>
      </c>
      <c r="C70" s="8">
        <v>0.0</v>
      </c>
      <c r="D70" s="8">
        <v>2.0</v>
      </c>
      <c r="E70" s="9">
        <f t="shared" si="15"/>
        <v>0</v>
      </c>
      <c r="F70" s="10" t="s">
        <v>22</v>
      </c>
      <c r="G70" s="10" t="s">
        <v>22</v>
      </c>
      <c r="H70" s="4">
        <v>20804.0</v>
      </c>
      <c r="I70" s="8">
        <v>7.0</v>
      </c>
      <c r="J70" s="8">
        <v>2.888888955116272</v>
      </c>
      <c r="K70" s="8">
        <v>52.0</v>
      </c>
      <c r="L70" s="10">
        <f t="shared" si="4"/>
        <v>0.1346153846</v>
      </c>
      <c r="M70" s="11">
        <f t="shared" si="22"/>
        <v>0.4126984222</v>
      </c>
      <c r="N70" s="11">
        <f t="shared" si="23"/>
        <v>0.05555555683</v>
      </c>
      <c r="O70" s="12" t="s">
        <v>22</v>
      </c>
      <c r="Q70" s="17"/>
      <c r="X70" s="18"/>
    </row>
    <row r="71" ht="15.75" customHeight="1">
      <c r="A71" s="4">
        <v>20805.0</v>
      </c>
      <c r="B71" s="19" t="s">
        <v>22</v>
      </c>
      <c r="C71" s="19" t="s">
        <v>22</v>
      </c>
      <c r="D71" s="19" t="s">
        <v>22</v>
      </c>
      <c r="E71" s="19" t="s">
        <v>22</v>
      </c>
      <c r="F71" s="19" t="s">
        <v>22</v>
      </c>
      <c r="G71" s="19" t="s">
        <v>22</v>
      </c>
      <c r="H71" s="4">
        <v>20805.0</v>
      </c>
      <c r="I71" s="8">
        <v>8.0</v>
      </c>
      <c r="J71" s="8">
        <v>3.6666667461395264</v>
      </c>
      <c r="K71" s="8">
        <v>12.0</v>
      </c>
      <c r="L71" s="10">
        <f t="shared" si="4"/>
        <v>0.6666666667</v>
      </c>
      <c r="M71" s="11">
        <f t="shared" si="22"/>
        <v>0.4583333433</v>
      </c>
      <c r="N71" s="11">
        <f t="shared" si="23"/>
        <v>0.3055555622</v>
      </c>
      <c r="O71" s="12" t="s">
        <v>22</v>
      </c>
      <c r="Q71" s="17"/>
      <c r="X71" s="18"/>
    </row>
    <row r="72" ht="15.75" customHeight="1">
      <c r="A72" s="4">
        <v>20806.0</v>
      </c>
      <c r="B72" s="8">
        <v>1.0</v>
      </c>
      <c r="C72" s="8">
        <v>0.3333333432674408</v>
      </c>
      <c r="D72" s="8">
        <v>3.0</v>
      </c>
      <c r="E72" s="9">
        <f t="shared" ref="E72:E83" si="33">B72/D72</f>
        <v>0.3333333333</v>
      </c>
      <c r="F72" s="10">
        <f t="shared" ref="F72:F79" si="34">C72/B72</f>
        <v>0.3333333433</v>
      </c>
      <c r="G72" s="10">
        <f t="shared" ref="G72:G79" si="35">E72*F72</f>
        <v>0.1111111144</v>
      </c>
      <c r="H72" s="4">
        <v>20806.0</v>
      </c>
      <c r="I72" s="8">
        <v>7.0</v>
      </c>
      <c r="J72" s="8">
        <v>2.666666716337204</v>
      </c>
      <c r="K72" s="8">
        <v>21.0</v>
      </c>
      <c r="L72" s="10">
        <f t="shared" si="4"/>
        <v>0.3333333333</v>
      </c>
      <c r="M72" s="11">
        <f t="shared" si="22"/>
        <v>0.380952388</v>
      </c>
      <c r="N72" s="11">
        <f t="shared" si="23"/>
        <v>0.1269841293</v>
      </c>
      <c r="O72" s="12">
        <f t="shared" ref="O72:O79" si="36">N72/G72</f>
        <v>1.14285713</v>
      </c>
      <c r="Q72" s="17"/>
      <c r="X72" s="18"/>
    </row>
    <row r="73" ht="15.75" customHeight="1">
      <c r="A73" s="4">
        <v>20807.0</v>
      </c>
      <c r="B73" s="8">
        <v>3.0</v>
      </c>
      <c r="C73" s="8">
        <v>1.4444445073604584</v>
      </c>
      <c r="D73" s="8">
        <v>5.0</v>
      </c>
      <c r="E73" s="9">
        <f t="shared" si="33"/>
        <v>0.6</v>
      </c>
      <c r="F73" s="10">
        <f t="shared" si="34"/>
        <v>0.4814815025</v>
      </c>
      <c r="G73" s="10">
        <f t="shared" si="35"/>
        <v>0.2888889015</v>
      </c>
      <c r="H73" s="4">
        <v>20807.0</v>
      </c>
      <c r="I73" s="8">
        <v>38.0</v>
      </c>
      <c r="J73" s="8">
        <v>16.111111491918564</v>
      </c>
      <c r="K73" s="8">
        <v>66.0</v>
      </c>
      <c r="L73" s="10">
        <f t="shared" si="4"/>
        <v>0.5757575758</v>
      </c>
      <c r="M73" s="11">
        <f t="shared" si="22"/>
        <v>0.4239766182</v>
      </c>
      <c r="N73" s="11">
        <f t="shared" si="23"/>
        <v>0.2441077499</v>
      </c>
      <c r="O73" s="12">
        <f t="shared" si="36"/>
        <v>0.8449883282</v>
      </c>
      <c r="Q73" s="17"/>
      <c r="X73" s="18"/>
    </row>
    <row r="74" ht="15.75" customHeight="1">
      <c r="A74" s="4">
        <v>20901.0</v>
      </c>
      <c r="B74" s="8">
        <v>1.0</v>
      </c>
      <c r="C74" s="8">
        <v>0.3333333432674408</v>
      </c>
      <c r="D74" s="8">
        <v>4.0</v>
      </c>
      <c r="E74" s="9">
        <f t="shared" si="33"/>
        <v>0.25</v>
      </c>
      <c r="F74" s="10">
        <f t="shared" si="34"/>
        <v>0.3333333433</v>
      </c>
      <c r="G74" s="10">
        <f t="shared" si="35"/>
        <v>0.08333333582</v>
      </c>
      <c r="H74" s="4">
        <v>20901.0</v>
      </c>
      <c r="I74" s="8">
        <v>14.0</v>
      </c>
      <c r="J74" s="8">
        <v>6.111111253499985</v>
      </c>
      <c r="K74" s="8">
        <v>76.0</v>
      </c>
      <c r="L74" s="10">
        <f t="shared" si="4"/>
        <v>0.1842105263</v>
      </c>
      <c r="M74" s="11">
        <f t="shared" si="22"/>
        <v>0.4365079467</v>
      </c>
      <c r="N74" s="11">
        <f t="shared" si="23"/>
        <v>0.0804093586</v>
      </c>
      <c r="O74" s="12">
        <f t="shared" si="36"/>
        <v>0.9649122744</v>
      </c>
      <c r="Q74" s="17"/>
      <c r="X74" s="18"/>
    </row>
    <row r="75" ht="15.75" customHeight="1">
      <c r="A75" s="4">
        <v>20902.0</v>
      </c>
      <c r="B75" s="8">
        <v>9.0</v>
      </c>
      <c r="C75" s="8">
        <v>4.222222298383713</v>
      </c>
      <c r="D75" s="8">
        <v>10.0</v>
      </c>
      <c r="E75" s="9">
        <f t="shared" si="33"/>
        <v>0.9</v>
      </c>
      <c r="F75" s="10">
        <f t="shared" si="34"/>
        <v>0.4691358109</v>
      </c>
      <c r="G75" s="10">
        <f t="shared" si="35"/>
        <v>0.4222222298</v>
      </c>
      <c r="H75" s="4">
        <v>20902.0</v>
      </c>
      <c r="I75" s="8">
        <v>39.0</v>
      </c>
      <c r="J75" s="8">
        <v>16.77777823805809</v>
      </c>
      <c r="K75" s="8">
        <v>72.0</v>
      </c>
      <c r="L75" s="10">
        <f t="shared" si="4"/>
        <v>0.5416666667</v>
      </c>
      <c r="M75" s="11">
        <f t="shared" si="22"/>
        <v>0.430199442</v>
      </c>
      <c r="N75" s="11">
        <f t="shared" si="23"/>
        <v>0.2330246978</v>
      </c>
      <c r="O75" s="12">
        <f t="shared" si="36"/>
        <v>0.55190059</v>
      </c>
      <c r="Q75" s="17"/>
      <c r="X75" s="18"/>
    </row>
    <row r="76" ht="15.75" customHeight="1">
      <c r="A76" s="4">
        <v>20903.0</v>
      </c>
      <c r="B76" s="8">
        <v>5.0</v>
      </c>
      <c r="C76" s="8">
        <v>2.555555671453476</v>
      </c>
      <c r="D76" s="8">
        <v>10.0</v>
      </c>
      <c r="E76" s="9">
        <f t="shared" si="33"/>
        <v>0.5</v>
      </c>
      <c r="F76" s="10">
        <f t="shared" si="34"/>
        <v>0.5111111343</v>
      </c>
      <c r="G76" s="10">
        <f t="shared" si="35"/>
        <v>0.2555555671</v>
      </c>
      <c r="H76" s="4">
        <v>20903.0</v>
      </c>
      <c r="I76" s="8">
        <v>41.0</v>
      </c>
      <c r="J76" s="8">
        <v>16.88888928294182</v>
      </c>
      <c r="K76" s="8">
        <v>70.0</v>
      </c>
      <c r="L76" s="10">
        <f t="shared" si="4"/>
        <v>0.5857142857</v>
      </c>
      <c r="M76" s="11">
        <f t="shared" si="22"/>
        <v>0.4119241289</v>
      </c>
      <c r="N76" s="11">
        <f t="shared" si="23"/>
        <v>0.2412698469</v>
      </c>
      <c r="O76" s="12">
        <f t="shared" si="36"/>
        <v>0.9440993581</v>
      </c>
      <c r="Q76" s="17"/>
      <c r="X76" s="18"/>
    </row>
    <row r="77" ht="15.75" customHeight="1">
      <c r="A77" s="4">
        <v>20904.0</v>
      </c>
      <c r="B77" s="8">
        <v>9.0</v>
      </c>
      <c r="C77" s="8">
        <v>3.777777910232544</v>
      </c>
      <c r="D77" s="8">
        <v>18.0</v>
      </c>
      <c r="E77" s="9">
        <f t="shared" si="33"/>
        <v>0.5</v>
      </c>
      <c r="F77" s="10">
        <f t="shared" si="34"/>
        <v>0.4197531011</v>
      </c>
      <c r="G77" s="10">
        <f t="shared" si="35"/>
        <v>0.2098765506</v>
      </c>
      <c r="H77" s="4">
        <v>20904.0</v>
      </c>
      <c r="I77" s="8">
        <v>18.0</v>
      </c>
      <c r="J77" s="8">
        <v>7.444444566965103</v>
      </c>
      <c r="K77" s="8">
        <v>25.0</v>
      </c>
      <c r="L77" s="10">
        <f t="shared" si="4"/>
        <v>0.72</v>
      </c>
      <c r="M77" s="11">
        <f t="shared" si="22"/>
        <v>0.4135802537</v>
      </c>
      <c r="N77" s="11">
        <f t="shared" si="23"/>
        <v>0.2977777827</v>
      </c>
      <c r="O77" s="12">
        <f t="shared" si="36"/>
        <v>1.418823503</v>
      </c>
      <c r="Q77" s="17"/>
      <c r="X77" s="18"/>
    </row>
    <row r="78" ht="15.75" customHeight="1">
      <c r="A78" s="4">
        <v>20905.0</v>
      </c>
      <c r="B78" s="8">
        <v>5.0</v>
      </c>
      <c r="C78" s="8">
        <v>2.333333373069763</v>
      </c>
      <c r="D78" s="8">
        <v>8.0</v>
      </c>
      <c r="E78" s="9">
        <f t="shared" si="33"/>
        <v>0.625</v>
      </c>
      <c r="F78" s="10">
        <f t="shared" si="34"/>
        <v>0.4666666746</v>
      </c>
      <c r="G78" s="10">
        <f t="shared" si="35"/>
        <v>0.2916666716</v>
      </c>
      <c r="H78" s="4">
        <v>20905.0</v>
      </c>
      <c r="I78" s="8">
        <v>11.0</v>
      </c>
      <c r="J78" s="8">
        <v>5.444444507360458</v>
      </c>
      <c r="K78" s="8">
        <v>28.0</v>
      </c>
      <c r="L78" s="10">
        <f t="shared" si="4"/>
        <v>0.3928571429</v>
      </c>
      <c r="M78" s="11">
        <f t="shared" si="22"/>
        <v>0.4949495007</v>
      </c>
      <c r="N78" s="11">
        <f t="shared" si="23"/>
        <v>0.1944444467</v>
      </c>
      <c r="O78" s="12">
        <f t="shared" si="36"/>
        <v>0.666666663</v>
      </c>
      <c r="Q78" s="17"/>
      <c r="X78" s="18"/>
    </row>
    <row r="79" ht="15.75" customHeight="1">
      <c r="A79" s="4">
        <v>21001.0</v>
      </c>
      <c r="B79" s="8">
        <v>17.0</v>
      </c>
      <c r="C79" s="8">
        <v>8.22222238779068</v>
      </c>
      <c r="D79" s="8">
        <v>23.0</v>
      </c>
      <c r="E79" s="9">
        <f t="shared" si="33"/>
        <v>0.7391304348</v>
      </c>
      <c r="F79" s="10">
        <f t="shared" si="34"/>
        <v>0.4836601405</v>
      </c>
      <c r="G79" s="10">
        <f t="shared" si="35"/>
        <v>0.3574879299</v>
      </c>
      <c r="H79" s="4">
        <v>21001.0</v>
      </c>
      <c r="I79" s="8">
        <v>193.0</v>
      </c>
      <c r="J79" s="8">
        <v>90.11111330986023</v>
      </c>
      <c r="K79" s="8">
        <v>264.0</v>
      </c>
      <c r="L79" s="10">
        <f t="shared" si="4"/>
        <v>0.7310606061</v>
      </c>
      <c r="M79" s="11">
        <f t="shared" si="22"/>
        <v>0.4668969602</v>
      </c>
      <c r="N79" s="11">
        <f t="shared" si="23"/>
        <v>0.3413299747</v>
      </c>
      <c r="O79" s="12">
        <f t="shared" si="36"/>
        <v>0.9548013964</v>
      </c>
      <c r="Q79" s="17"/>
      <c r="X79" s="18"/>
    </row>
    <row r="80" ht="15.75" customHeight="1">
      <c r="A80" s="4">
        <v>21002.0</v>
      </c>
      <c r="B80" s="8">
        <v>0.0</v>
      </c>
      <c r="C80" s="8">
        <v>0.0</v>
      </c>
      <c r="D80" s="8">
        <v>17.0</v>
      </c>
      <c r="E80" s="9">
        <f t="shared" si="33"/>
        <v>0</v>
      </c>
      <c r="F80" s="10" t="s">
        <v>22</v>
      </c>
      <c r="G80" s="10" t="s">
        <v>22</v>
      </c>
      <c r="H80" s="4">
        <v>21002.0</v>
      </c>
      <c r="I80" s="8">
        <v>48.0</v>
      </c>
      <c r="J80" s="8">
        <v>19.666667222976685</v>
      </c>
      <c r="K80" s="8">
        <v>153.0</v>
      </c>
      <c r="L80" s="10">
        <f t="shared" si="4"/>
        <v>0.3137254902</v>
      </c>
      <c r="M80" s="11">
        <f t="shared" si="22"/>
        <v>0.4097222338</v>
      </c>
      <c r="N80" s="11">
        <f t="shared" si="23"/>
        <v>0.1285403086</v>
      </c>
      <c r="O80" s="12" t="s">
        <v>22</v>
      </c>
      <c r="Q80" s="17"/>
      <c r="X80" s="18"/>
    </row>
    <row r="81" ht="15.75" customHeight="1">
      <c r="A81" s="4">
        <v>21003.0</v>
      </c>
      <c r="B81" s="8">
        <v>4.0</v>
      </c>
      <c r="C81" s="8">
        <v>1.8888889253139496</v>
      </c>
      <c r="D81" s="8">
        <v>9.0</v>
      </c>
      <c r="E81" s="9">
        <f t="shared" si="33"/>
        <v>0.4444444444</v>
      </c>
      <c r="F81" s="10">
        <f t="shared" ref="F81:F83" si="37">C81/B81</f>
        <v>0.4722222313</v>
      </c>
      <c r="G81" s="10">
        <f t="shared" ref="G81:G83" si="38">E81*F81</f>
        <v>0.2098765473</v>
      </c>
      <c r="H81" s="4">
        <v>21003.0</v>
      </c>
      <c r="I81" s="8">
        <v>27.0</v>
      </c>
      <c r="J81" s="8">
        <v>11.22222250699997</v>
      </c>
      <c r="K81" s="8">
        <v>75.0</v>
      </c>
      <c r="L81" s="10">
        <f t="shared" si="4"/>
        <v>0.36</v>
      </c>
      <c r="M81" s="11">
        <f t="shared" si="22"/>
        <v>0.4156378706</v>
      </c>
      <c r="N81" s="11">
        <f t="shared" si="23"/>
        <v>0.1496296334</v>
      </c>
      <c r="O81" s="12">
        <f t="shared" ref="O81:O83" si="39">N81/G81</f>
        <v>0.7129411808</v>
      </c>
      <c r="Q81" s="17"/>
      <c r="X81" s="18"/>
    </row>
    <row r="82" ht="15.75" customHeight="1">
      <c r="A82" s="4">
        <v>21004.0</v>
      </c>
      <c r="B82" s="8">
        <v>6.0</v>
      </c>
      <c r="C82" s="8">
        <v>2.5555556416511536</v>
      </c>
      <c r="D82" s="8">
        <v>19.0</v>
      </c>
      <c r="E82" s="9">
        <f t="shared" si="33"/>
        <v>0.3157894737</v>
      </c>
      <c r="F82" s="10">
        <f t="shared" si="37"/>
        <v>0.4259259403</v>
      </c>
      <c r="G82" s="10">
        <f t="shared" si="38"/>
        <v>0.1345029285</v>
      </c>
      <c r="H82" s="4">
        <v>21004.0</v>
      </c>
      <c r="I82" s="8">
        <v>111.0</v>
      </c>
      <c r="J82" s="8">
        <v>47.33333456516266</v>
      </c>
      <c r="K82" s="8">
        <v>210.0</v>
      </c>
      <c r="L82" s="10">
        <f t="shared" si="4"/>
        <v>0.5285714286</v>
      </c>
      <c r="M82" s="11">
        <f t="shared" si="22"/>
        <v>0.4264264375</v>
      </c>
      <c r="N82" s="11">
        <f t="shared" si="23"/>
        <v>0.2253968313</v>
      </c>
      <c r="O82" s="12">
        <f t="shared" si="39"/>
        <v>1.675776385</v>
      </c>
      <c r="Q82" s="17"/>
      <c r="X82" s="18"/>
    </row>
    <row r="83" ht="15.75" customHeight="1">
      <c r="A83" s="4">
        <v>21005.0</v>
      </c>
      <c r="B83" s="8">
        <v>4.0</v>
      </c>
      <c r="C83" s="8">
        <v>1.888888955116272</v>
      </c>
      <c r="D83" s="8">
        <v>6.0</v>
      </c>
      <c r="E83" s="9">
        <f t="shared" si="33"/>
        <v>0.6666666667</v>
      </c>
      <c r="F83" s="10">
        <f t="shared" si="37"/>
        <v>0.4722222388</v>
      </c>
      <c r="G83" s="10">
        <f t="shared" si="38"/>
        <v>0.3148148259</v>
      </c>
      <c r="H83" s="4">
        <v>21005.0</v>
      </c>
      <c r="I83" s="8">
        <v>28.0</v>
      </c>
      <c r="J83" s="8">
        <v>11.777778029441833</v>
      </c>
      <c r="K83" s="8">
        <v>43.0</v>
      </c>
      <c r="L83" s="10">
        <f t="shared" si="4"/>
        <v>0.6511627907</v>
      </c>
      <c r="M83" s="11">
        <f t="shared" si="22"/>
        <v>0.4206349296</v>
      </c>
      <c r="N83" s="11">
        <f t="shared" si="23"/>
        <v>0.2739018146</v>
      </c>
      <c r="O83" s="12">
        <f t="shared" si="39"/>
        <v>0.8700410278</v>
      </c>
      <c r="Q83" s="17"/>
      <c r="X83" s="18"/>
    </row>
    <row r="84" ht="15.75" customHeight="1">
      <c r="A84" s="4">
        <v>21006.0</v>
      </c>
      <c r="B84" s="19" t="s">
        <v>22</v>
      </c>
      <c r="C84" s="19" t="s">
        <v>22</v>
      </c>
      <c r="D84" s="19" t="s">
        <v>22</v>
      </c>
      <c r="E84" s="19" t="s">
        <v>22</v>
      </c>
      <c r="F84" s="19" t="s">
        <v>22</v>
      </c>
      <c r="G84" s="19" t="s">
        <v>22</v>
      </c>
      <c r="H84" s="4">
        <v>21006.0</v>
      </c>
      <c r="I84" s="8">
        <v>4.0</v>
      </c>
      <c r="J84" s="8">
        <v>1.3333333730697632</v>
      </c>
      <c r="K84" s="8">
        <v>5.0</v>
      </c>
      <c r="L84" s="10">
        <f t="shared" si="4"/>
        <v>0.8</v>
      </c>
      <c r="M84" s="11">
        <f t="shared" si="22"/>
        <v>0.3333333433</v>
      </c>
      <c r="N84" s="11">
        <f t="shared" si="23"/>
        <v>0.2666666746</v>
      </c>
      <c r="O84" s="12" t="s">
        <v>22</v>
      </c>
      <c r="Q84" s="17"/>
      <c r="X84" s="18"/>
    </row>
    <row r="85" ht="15.75" customHeight="1">
      <c r="A85" s="4">
        <v>21101.0</v>
      </c>
      <c r="B85" s="8">
        <v>3.0</v>
      </c>
      <c r="C85" s="8">
        <v>1.222222238779068</v>
      </c>
      <c r="D85" s="8">
        <v>14.0</v>
      </c>
      <c r="E85" s="9">
        <f t="shared" ref="E85:E105" si="40">B85/D85</f>
        <v>0.2142857143</v>
      </c>
      <c r="F85" s="10">
        <f t="shared" ref="F85:F98" si="41">C85/B85</f>
        <v>0.4074074129</v>
      </c>
      <c r="G85" s="10">
        <f t="shared" ref="G85:G98" si="42">E85*F85</f>
        <v>0.08730158848</v>
      </c>
      <c r="H85" s="4">
        <v>21101.0</v>
      </c>
      <c r="I85" s="8">
        <v>24.0</v>
      </c>
      <c r="J85" s="8">
        <v>10.333333611488342</v>
      </c>
      <c r="K85" s="8">
        <v>147.0</v>
      </c>
      <c r="L85" s="10">
        <f t="shared" si="4"/>
        <v>0.1632653061</v>
      </c>
      <c r="M85" s="11">
        <f t="shared" si="22"/>
        <v>0.4305555671</v>
      </c>
      <c r="N85" s="11">
        <f t="shared" si="23"/>
        <v>0.07029478647</v>
      </c>
      <c r="O85" s="12">
        <f t="shared" ref="O85:O98" si="43">N85/G85</f>
        <v>0.805194816</v>
      </c>
      <c r="Q85" s="17"/>
      <c r="X85" s="18"/>
    </row>
    <row r="86" ht="15.75" customHeight="1">
      <c r="A86" s="4">
        <v>21102.0</v>
      </c>
      <c r="B86" s="8">
        <v>7.0</v>
      </c>
      <c r="C86" s="8">
        <v>2.8888889849185944</v>
      </c>
      <c r="D86" s="8">
        <v>22.0</v>
      </c>
      <c r="E86" s="9">
        <f t="shared" si="40"/>
        <v>0.3181818182</v>
      </c>
      <c r="F86" s="10">
        <f t="shared" si="41"/>
        <v>0.4126984264</v>
      </c>
      <c r="G86" s="10">
        <f t="shared" si="42"/>
        <v>0.1313131357</v>
      </c>
      <c r="H86" s="4">
        <v>21102.0</v>
      </c>
      <c r="I86" s="8">
        <v>40.0</v>
      </c>
      <c r="J86" s="8">
        <v>16.888889253139496</v>
      </c>
      <c r="K86" s="8">
        <v>96.0</v>
      </c>
      <c r="L86" s="10">
        <f t="shared" si="4"/>
        <v>0.4166666667</v>
      </c>
      <c r="M86" s="11">
        <f t="shared" si="22"/>
        <v>0.4222222313</v>
      </c>
      <c r="N86" s="11">
        <f t="shared" si="23"/>
        <v>0.1759259297</v>
      </c>
      <c r="O86" s="12">
        <f t="shared" si="43"/>
        <v>1.339743574</v>
      </c>
      <c r="Q86" s="17"/>
      <c r="X86" s="18"/>
    </row>
    <row r="87" ht="15.75" customHeight="1">
      <c r="A87" s="4">
        <v>21103.0</v>
      </c>
      <c r="B87" s="8">
        <v>4.0</v>
      </c>
      <c r="C87" s="8">
        <v>1.5555555820465088</v>
      </c>
      <c r="D87" s="8">
        <v>9.0</v>
      </c>
      <c r="E87" s="9">
        <f t="shared" si="40"/>
        <v>0.4444444444</v>
      </c>
      <c r="F87" s="10">
        <f t="shared" si="41"/>
        <v>0.3888888955</v>
      </c>
      <c r="G87" s="10">
        <f t="shared" si="42"/>
        <v>0.1728395091</v>
      </c>
      <c r="H87" s="4">
        <v>21103.0</v>
      </c>
      <c r="I87" s="8">
        <v>27.0</v>
      </c>
      <c r="J87" s="8">
        <v>11.888889193534851</v>
      </c>
      <c r="K87" s="8">
        <v>76.0</v>
      </c>
      <c r="L87" s="10">
        <f t="shared" si="4"/>
        <v>0.3552631579</v>
      </c>
      <c r="M87" s="11">
        <f t="shared" si="22"/>
        <v>0.4403292294</v>
      </c>
      <c r="N87" s="11">
        <f t="shared" si="23"/>
        <v>0.1564327525</v>
      </c>
      <c r="O87" s="12">
        <f t="shared" si="43"/>
        <v>0.9050751957</v>
      </c>
      <c r="Q87" s="17"/>
      <c r="X87" s="18"/>
    </row>
    <row r="88" ht="15.75" customHeight="1">
      <c r="A88" s="4">
        <v>21104.0</v>
      </c>
      <c r="B88" s="8">
        <v>11.0</v>
      </c>
      <c r="C88" s="8">
        <v>4.777777850627899</v>
      </c>
      <c r="D88" s="8">
        <v>26.0</v>
      </c>
      <c r="E88" s="9">
        <f t="shared" si="40"/>
        <v>0.4230769231</v>
      </c>
      <c r="F88" s="10">
        <f t="shared" si="41"/>
        <v>0.434343441</v>
      </c>
      <c r="G88" s="10">
        <f t="shared" si="42"/>
        <v>0.1837606866</v>
      </c>
      <c r="H88" s="4">
        <v>21104.0</v>
      </c>
      <c r="I88" s="8">
        <v>37.0</v>
      </c>
      <c r="J88" s="8">
        <v>16.555556058883667</v>
      </c>
      <c r="K88" s="8">
        <v>87.0</v>
      </c>
      <c r="L88" s="10">
        <f t="shared" si="4"/>
        <v>0.4252873563</v>
      </c>
      <c r="M88" s="11">
        <f t="shared" si="22"/>
        <v>0.4474474611</v>
      </c>
      <c r="N88" s="11">
        <f t="shared" si="23"/>
        <v>0.1902937478</v>
      </c>
      <c r="O88" s="12">
        <f t="shared" si="43"/>
        <v>1.035552007</v>
      </c>
      <c r="Q88" s="17"/>
      <c r="X88" s="18"/>
    </row>
    <row r="89" ht="15.75" customHeight="1">
      <c r="A89" s="4">
        <v>21105.0</v>
      </c>
      <c r="B89" s="8">
        <v>28.0</v>
      </c>
      <c r="C89" s="8">
        <v>15.444444924592972</v>
      </c>
      <c r="D89" s="8">
        <v>37.0</v>
      </c>
      <c r="E89" s="9">
        <f t="shared" si="40"/>
        <v>0.7567567568</v>
      </c>
      <c r="F89" s="10">
        <f t="shared" si="41"/>
        <v>0.5515873187</v>
      </c>
      <c r="G89" s="10">
        <f t="shared" si="42"/>
        <v>0.4174174304</v>
      </c>
      <c r="H89" s="4">
        <v>21105.0</v>
      </c>
      <c r="I89" s="8">
        <v>79.0</v>
      </c>
      <c r="J89" s="8">
        <v>37.44444537162781</v>
      </c>
      <c r="K89" s="8">
        <v>116.0</v>
      </c>
      <c r="L89" s="10">
        <f t="shared" si="4"/>
        <v>0.6810344828</v>
      </c>
      <c r="M89" s="11">
        <f t="shared" si="22"/>
        <v>0.4739803212</v>
      </c>
      <c r="N89" s="11">
        <f t="shared" si="23"/>
        <v>0.3227969429</v>
      </c>
      <c r="O89" s="12">
        <f t="shared" si="43"/>
        <v>0.7733192707</v>
      </c>
      <c r="Q89" s="17"/>
      <c r="X89" s="18"/>
    </row>
    <row r="90" ht="15.75" customHeight="1">
      <c r="A90" s="4">
        <v>21201.0</v>
      </c>
      <c r="B90" s="8">
        <v>3.0</v>
      </c>
      <c r="C90" s="8">
        <v>1.0000000298023224</v>
      </c>
      <c r="D90" s="8">
        <v>10.0</v>
      </c>
      <c r="E90" s="9">
        <f t="shared" si="40"/>
        <v>0.3</v>
      </c>
      <c r="F90" s="10">
        <f t="shared" si="41"/>
        <v>0.3333333433</v>
      </c>
      <c r="G90" s="10">
        <f t="shared" si="42"/>
        <v>0.100000003</v>
      </c>
      <c r="H90" s="4">
        <v>21201.0</v>
      </c>
      <c r="I90" s="8">
        <v>65.0</v>
      </c>
      <c r="J90" s="8">
        <v>27.777778416872025</v>
      </c>
      <c r="K90" s="8">
        <v>124.0</v>
      </c>
      <c r="L90" s="10">
        <f t="shared" si="4"/>
        <v>0.5241935484</v>
      </c>
      <c r="M90" s="11">
        <f t="shared" si="22"/>
        <v>0.4273504372</v>
      </c>
      <c r="N90" s="11">
        <f t="shared" si="23"/>
        <v>0.2240143421</v>
      </c>
      <c r="O90" s="12">
        <f t="shared" si="43"/>
        <v>2.240143354</v>
      </c>
      <c r="Q90" s="17"/>
      <c r="X90" s="18"/>
    </row>
    <row r="91" ht="15.75" customHeight="1">
      <c r="A91" s="4">
        <v>21202.0</v>
      </c>
      <c r="B91" s="8">
        <v>4.0</v>
      </c>
      <c r="C91" s="8">
        <v>1.7777778208255768</v>
      </c>
      <c r="D91" s="8">
        <v>6.0</v>
      </c>
      <c r="E91" s="9">
        <f t="shared" si="40"/>
        <v>0.6666666667</v>
      </c>
      <c r="F91" s="10">
        <f t="shared" si="41"/>
        <v>0.4444444552</v>
      </c>
      <c r="G91" s="10">
        <f t="shared" si="42"/>
        <v>0.2962963035</v>
      </c>
      <c r="H91" s="4">
        <v>21202.0</v>
      </c>
      <c r="I91" s="8">
        <v>18.0</v>
      </c>
      <c r="J91" s="8">
        <v>7.2222223579883575</v>
      </c>
      <c r="K91" s="8">
        <v>39.0</v>
      </c>
      <c r="L91" s="10">
        <f t="shared" si="4"/>
        <v>0.4615384615</v>
      </c>
      <c r="M91" s="11">
        <f t="shared" si="22"/>
        <v>0.4012345754</v>
      </c>
      <c r="N91" s="11">
        <f t="shared" si="23"/>
        <v>0.1851851887</v>
      </c>
      <c r="O91" s="12">
        <f t="shared" si="43"/>
        <v>0.6249999966</v>
      </c>
      <c r="Q91" s="17"/>
      <c r="X91" s="18"/>
    </row>
    <row r="92" ht="15.75" customHeight="1">
      <c r="A92" s="4">
        <v>21203.0</v>
      </c>
      <c r="B92" s="8">
        <v>6.0</v>
      </c>
      <c r="C92" s="8">
        <v>2.555555611848831</v>
      </c>
      <c r="D92" s="8">
        <v>15.0</v>
      </c>
      <c r="E92" s="9">
        <f t="shared" si="40"/>
        <v>0.4</v>
      </c>
      <c r="F92" s="10">
        <f t="shared" si="41"/>
        <v>0.4259259353</v>
      </c>
      <c r="G92" s="10">
        <f t="shared" si="42"/>
        <v>0.1703703741</v>
      </c>
      <c r="H92" s="4">
        <v>21203.0</v>
      </c>
      <c r="I92" s="8">
        <v>21.0</v>
      </c>
      <c r="J92" s="8">
        <v>8.555555820465088</v>
      </c>
      <c r="K92" s="8">
        <v>78.0</v>
      </c>
      <c r="L92" s="10">
        <f t="shared" si="4"/>
        <v>0.2692307692</v>
      </c>
      <c r="M92" s="11">
        <f t="shared" si="22"/>
        <v>0.40740742</v>
      </c>
      <c r="N92" s="11">
        <f t="shared" si="23"/>
        <v>0.1096866131</v>
      </c>
      <c r="O92" s="12">
        <f t="shared" si="43"/>
        <v>0.6438127148</v>
      </c>
      <c r="Q92" s="17"/>
      <c r="X92" s="18"/>
    </row>
    <row r="93" ht="15.75" customHeight="1">
      <c r="A93" s="4">
        <v>21204.0</v>
      </c>
      <c r="B93" s="8">
        <v>1.0</v>
      </c>
      <c r="C93" s="8">
        <v>0.4444444477558136</v>
      </c>
      <c r="D93" s="8">
        <v>2.0</v>
      </c>
      <c r="E93" s="9">
        <f t="shared" si="40"/>
        <v>0.5</v>
      </c>
      <c r="F93" s="10">
        <f t="shared" si="41"/>
        <v>0.4444444478</v>
      </c>
      <c r="G93" s="10">
        <f t="shared" si="42"/>
        <v>0.2222222239</v>
      </c>
      <c r="H93" s="4">
        <v>21204.0</v>
      </c>
      <c r="I93" s="8">
        <v>47.0</v>
      </c>
      <c r="J93" s="8">
        <v>19.88888931274414</v>
      </c>
      <c r="K93" s="8">
        <v>107.0</v>
      </c>
      <c r="L93" s="10">
        <f t="shared" si="4"/>
        <v>0.4392523364</v>
      </c>
      <c r="M93" s="11">
        <f t="shared" si="22"/>
        <v>0.4231678577</v>
      </c>
      <c r="N93" s="11">
        <f t="shared" si="23"/>
        <v>0.1858774702</v>
      </c>
      <c r="O93" s="12">
        <f t="shared" si="43"/>
        <v>0.8364486097</v>
      </c>
      <c r="Q93" s="17"/>
      <c r="X93" s="18"/>
    </row>
    <row r="94" ht="15.75" customHeight="1">
      <c r="A94" s="4">
        <v>21301.0</v>
      </c>
      <c r="B94" s="8">
        <v>9.0</v>
      </c>
      <c r="C94" s="8">
        <v>3.777777850627899</v>
      </c>
      <c r="D94" s="8">
        <v>19.0</v>
      </c>
      <c r="E94" s="9">
        <f t="shared" si="40"/>
        <v>0.4736842105</v>
      </c>
      <c r="F94" s="10">
        <f t="shared" si="41"/>
        <v>0.4197530945</v>
      </c>
      <c r="G94" s="10">
        <f t="shared" si="42"/>
        <v>0.1988304132</v>
      </c>
      <c r="H94" s="4">
        <v>21301.0</v>
      </c>
      <c r="I94" s="8">
        <v>98.0</v>
      </c>
      <c r="J94" s="8">
        <v>42.8888897895813</v>
      </c>
      <c r="K94" s="8">
        <v>215.0</v>
      </c>
      <c r="L94" s="10">
        <f t="shared" si="4"/>
        <v>0.4558139535</v>
      </c>
      <c r="M94" s="11">
        <f t="shared" si="22"/>
        <v>0.4376417325</v>
      </c>
      <c r="N94" s="11">
        <f t="shared" si="23"/>
        <v>0.1994832083</v>
      </c>
      <c r="O94" s="12">
        <f t="shared" si="43"/>
        <v>1.003283175</v>
      </c>
      <c r="Q94" s="17"/>
      <c r="X94" s="18"/>
    </row>
    <row r="95" ht="15.75" customHeight="1">
      <c r="A95" s="4">
        <v>21302.0</v>
      </c>
      <c r="B95" s="8">
        <v>9.0</v>
      </c>
      <c r="C95" s="8">
        <v>4.666666746139526</v>
      </c>
      <c r="D95" s="8">
        <v>13.0</v>
      </c>
      <c r="E95" s="9">
        <f t="shared" si="40"/>
        <v>0.6923076923</v>
      </c>
      <c r="F95" s="10">
        <f t="shared" si="41"/>
        <v>0.5185185273</v>
      </c>
      <c r="G95" s="10">
        <f t="shared" si="42"/>
        <v>0.3589743651</v>
      </c>
      <c r="H95" s="4">
        <v>21302.0</v>
      </c>
      <c r="I95" s="8">
        <v>97.0</v>
      </c>
      <c r="J95" s="8">
        <v>39.55555632710457</v>
      </c>
      <c r="K95" s="8">
        <v>200.0</v>
      </c>
      <c r="L95" s="10">
        <f t="shared" si="4"/>
        <v>0.485</v>
      </c>
      <c r="M95" s="11">
        <f t="shared" si="22"/>
        <v>0.4077892405</v>
      </c>
      <c r="N95" s="11">
        <f t="shared" si="23"/>
        <v>0.1977777816</v>
      </c>
      <c r="O95" s="12">
        <f t="shared" si="43"/>
        <v>0.5509523823</v>
      </c>
      <c r="Q95" s="17"/>
      <c r="X95" s="18"/>
    </row>
    <row r="96" ht="15.75" customHeight="1">
      <c r="A96" s="4">
        <v>21303.0</v>
      </c>
      <c r="B96" s="8">
        <v>1.0</v>
      </c>
      <c r="C96" s="8">
        <v>0.5555555820465088</v>
      </c>
      <c r="D96" s="8">
        <v>3.0</v>
      </c>
      <c r="E96" s="9">
        <f t="shared" si="40"/>
        <v>0.3333333333</v>
      </c>
      <c r="F96" s="10">
        <f t="shared" si="41"/>
        <v>0.555555582</v>
      </c>
      <c r="G96" s="10">
        <f t="shared" si="42"/>
        <v>0.185185194</v>
      </c>
      <c r="H96" s="4">
        <v>21303.0</v>
      </c>
      <c r="I96" s="8">
        <v>12.0</v>
      </c>
      <c r="J96" s="8">
        <v>4.777777940034866</v>
      </c>
      <c r="K96" s="8">
        <v>23.0</v>
      </c>
      <c r="L96" s="10">
        <f t="shared" si="4"/>
        <v>0.5217391304</v>
      </c>
      <c r="M96" s="11">
        <f t="shared" si="22"/>
        <v>0.3981481617</v>
      </c>
      <c r="N96" s="11">
        <f t="shared" si="23"/>
        <v>0.2077294757</v>
      </c>
      <c r="O96" s="12">
        <f t="shared" si="43"/>
        <v>1.121739115</v>
      </c>
      <c r="Q96" s="17"/>
      <c r="X96" s="18"/>
    </row>
    <row r="97" ht="15.75" customHeight="1">
      <c r="A97" s="4">
        <v>21304.0</v>
      </c>
      <c r="B97" s="8">
        <v>1.0</v>
      </c>
      <c r="C97" s="8">
        <v>0.3333333432674408</v>
      </c>
      <c r="D97" s="8">
        <v>2.0</v>
      </c>
      <c r="E97" s="9">
        <f t="shared" si="40"/>
        <v>0.5</v>
      </c>
      <c r="F97" s="10">
        <f t="shared" si="41"/>
        <v>0.3333333433</v>
      </c>
      <c r="G97" s="10">
        <f t="shared" si="42"/>
        <v>0.1666666716</v>
      </c>
      <c r="H97" s="4">
        <v>21304.0</v>
      </c>
      <c r="I97" s="8">
        <v>30.0</v>
      </c>
      <c r="J97" s="8">
        <v>12.7777781188488</v>
      </c>
      <c r="K97" s="8">
        <v>54.0</v>
      </c>
      <c r="L97" s="10">
        <f t="shared" si="4"/>
        <v>0.5555555556</v>
      </c>
      <c r="M97" s="11">
        <f t="shared" si="22"/>
        <v>0.4259259373</v>
      </c>
      <c r="N97" s="11">
        <f t="shared" si="23"/>
        <v>0.2366255207</v>
      </c>
      <c r="O97" s="12">
        <f t="shared" si="43"/>
        <v>1.419753082</v>
      </c>
      <c r="Q97" s="17"/>
      <c r="X97" s="18"/>
    </row>
    <row r="98" ht="15.75" customHeight="1">
      <c r="A98" s="4">
        <v>21305.0</v>
      </c>
      <c r="B98" s="8">
        <v>7.0</v>
      </c>
      <c r="C98" s="8">
        <v>2.8888889253139496</v>
      </c>
      <c r="D98" s="8">
        <v>32.0</v>
      </c>
      <c r="E98" s="9">
        <f t="shared" si="40"/>
        <v>0.21875</v>
      </c>
      <c r="F98" s="10">
        <f t="shared" si="41"/>
        <v>0.4126984179</v>
      </c>
      <c r="G98" s="10">
        <f t="shared" si="42"/>
        <v>0.09027777892</v>
      </c>
      <c r="H98" s="4">
        <v>21305.0</v>
      </c>
      <c r="I98" s="8">
        <v>108.0</v>
      </c>
      <c r="J98" s="8">
        <v>46.55555674433708</v>
      </c>
      <c r="K98" s="8">
        <v>236.0</v>
      </c>
      <c r="L98" s="10">
        <f t="shared" si="4"/>
        <v>0.4576271186</v>
      </c>
      <c r="M98" s="11">
        <f t="shared" si="22"/>
        <v>0.4310699699</v>
      </c>
      <c r="N98" s="11">
        <f t="shared" si="23"/>
        <v>0.1972693082</v>
      </c>
      <c r="O98" s="12">
        <f t="shared" si="43"/>
        <v>2.185136925</v>
      </c>
      <c r="Q98" s="17"/>
      <c r="X98" s="18"/>
    </row>
    <row r="99" ht="15.75" customHeight="1">
      <c r="A99" s="4">
        <v>21306.0</v>
      </c>
      <c r="B99" s="8">
        <v>0.0</v>
      </c>
      <c r="C99" s="8">
        <v>0.0</v>
      </c>
      <c r="D99" s="8">
        <v>3.0</v>
      </c>
      <c r="E99" s="9">
        <f t="shared" si="40"/>
        <v>0</v>
      </c>
      <c r="F99" s="10" t="s">
        <v>22</v>
      </c>
      <c r="G99" s="10" t="s">
        <v>22</v>
      </c>
      <c r="H99" s="4">
        <v>21306.0</v>
      </c>
      <c r="I99" s="8">
        <v>19.0</v>
      </c>
      <c r="J99" s="8">
        <v>8.11111119389534</v>
      </c>
      <c r="K99" s="8">
        <v>35.0</v>
      </c>
      <c r="L99" s="10">
        <f t="shared" si="4"/>
        <v>0.5428571429</v>
      </c>
      <c r="M99" s="11">
        <f t="shared" si="22"/>
        <v>0.4269005892</v>
      </c>
      <c r="N99" s="11">
        <f t="shared" si="23"/>
        <v>0.2317460341</v>
      </c>
      <c r="O99" s="12" t="s">
        <v>22</v>
      </c>
      <c r="Q99" s="17"/>
      <c r="X99" s="18"/>
    </row>
    <row r="100" ht="15.75" customHeight="1">
      <c r="A100" s="4">
        <v>21307.0</v>
      </c>
      <c r="B100" s="8">
        <v>3.0</v>
      </c>
      <c r="C100" s="8">
        <v>1.222222238779068</v>
      </c>
      <c r="D100" s="8">
        <v>4.0</v>
      </c>
      <c r="E100" s="9">
        <f t="shared" si="40"/>
        <v>0.75</v>
      </c>
      <c r="F100" s="10">
        <f t="shared" ref="F100:F105" si="44">C100/B100</f>
        <v>0.4074074129</v>
      </c>
      <c r="G100" s="10">
        <f t="shared" ref="G100:G105" si="45">E100*F100</f>
        <v>0.3055555597</v>
      </c>
      <c r="H100" s="4">
        <v>21307.0</v>
      </c>
      <c r="I100" s="8">
        <v>11.0</v>
      </c>
      <c r="J100" s="8">
        <v>4.11111119389534</v>
      </c>
      <c r="K100" s="8">
        <v>23.0</v>
      </c>
      <c r="L100" s="10">
        <f t="shared" si="4"/>
        <v>0.4782608696</v>
      </c>
      <c r="M100" s="11">
        <f t="shared" si="22"/>
        <v>0.3737373813</v>
      </c>
      <c r="N100" s="11">
        <f t="shared" si="23"/>
        <v>0.178743965</v>
      </c>
      <c r="O100" s="12">
        <f t="shared" ref="O100:O105" si="46">N100/G100</f>
        <v>0.584980241</v>
      </c>
      <c r="Q100" s="17"/>
      <c r="X100" s="18"/>
    </row>
    <row r="101" ht="15.75" customHeight="1">
      <c r="A101" s="4">
        <v>21401.0</v>
      </c>
      <c r="B101" s="8">
        <v>3.0</v>
      </c>
      <c r="C101" s="8">
        <v>1.0000000298023224</v>
      </c>
      <c r="D101" s="8">
        <v>18.0</v>
      </c>
      <c r="E101" s="9">
        <f t="shared" si="40"/>
        <v>0.1666666667</v>
      </c>
      <c r="F101" s="10">
        <f t="shared" si="44"/>
        <v>0.3333333433</v>
      </c>
      <c r="G101" s="10">
        <f t="shared" si="45"/>
        <v>0.05555555721</v>
      </c>
      <c r="H101" s="4">
        <v>21401.0</v>
      </c>
      <c r="I101" s="8">
        <v>55.0</v>
      </c>
      <c r="J101" s="8">
        <v>21.222222715616226</v>
      </c>
      <c r="K101" s="8">
        <v>264.0</v>
      </c>
      <c r="L101" s="10">
        <f t="shared" si="4"/>
        <v>0.2083333333</v>
      </c>
      <c r="M101" s="11">
        <f t="shared" si="22"/>
        <v>0.3858585948</v>
      </c>
      <c r="N101" s="11">
        <f t="shared" si="23"/>
        <v>0.08038720726</v>
      </c>
      <c r="O101" s="12">
        <f t="shared" si="46"/>
        <v>1.446969687</v>
      </c>
      <c r="Q101" s="17"/>
      <c r="X101" s="18"/>
    </row>
    <row r="102" ht="15.75" customHeight="1">
      <c r="A102" s="4">
        <v>21402.0</v>
      </c>
      <c r="B102" s="8">
        <v>2.0</v>
      </c>
      <c r="C102" s="8">
        <v>0.7777777910232544</v>
      </c>
      <c r="D102" s="8">
        <v>12.0</v>
      </c>
      <c r="E102" s="9">
        <f t="shared" si="40"/>
        <v>0.1666666667</v>
      </c>
      <c r="F102" s="10">
        <f t="shared" si="44"/>
        <v>0.3888888955</v>
      </c>
      <c r="G102" s="10">
        <f t="shared" si="45"/>
        <v>0.06481481592</v>
      </c>
      <c r="H102" s="4">
        <v>21402.0</v>
      </c>
      <c r="I102" s="8">
        <v>20.0</v>
      </c>
      <c r="J102" s="8">
        <v>7.333333522081375</v>
      </c>
      <c r="K102" s="8">
        <v>136.0</v>
      </c>
      <c r="L102" s="10">
        <f t="shared" si="4"/>
        <v>0.1470588235</v>
      </c>
      <c r="M102" s="11">
        <f t="shared" si="22"/>
        <v>0.3666666761</v>
      </c>
      <c r="N102" s="11">
        <f t="shared" si="23"/>
        <v>0.05392157002</v>
      </c>
      <c r="O102" s="12">
        <f t="shared" si="46"/>
        <v>0.8319327804</v>
      </c>
      <c r="Q102" s="17"/>
      <c r="X102" s="18"/>
    </row>
    <row r="103" ht="15.75" customHeight="1">
      <c r="A103" s="4">
        <v>21501.0</v>
      </c>
      <c r="B103" s="8">
        <v>4.0</v>
      </c>
      <c r="C103" s="8">
        <v>1.666666716337204</v>
      </c>
      <c r="D103" s="8">
        <v>7.0</v>
      </c>
      <c r="E103" s="9">
        <f t="shared" si="40"/>
        <v>0.5714285714</v>
      </c>
      <c r="F103" s="10">
        <f t="shared" si="44"/>
        <v>0.4166666791</v>
      </c>
      <c r="G103" s="10">
        <f t="shared" si="45"/>
        <v>0.2380952452</v>
      </c>
      <c r="H103" s="4">
        <v>21501.0</v>
      </c>
      <c r="I103" s="8">
        <v>58.0</v>
      </c>
      <c r="J103" s="8">
        <v>25.888889521360397</v>
      </c>
      <c r="K103" s="8">
        <v>92.0</v>
      </c>
      <c r="L103" s="10">
        <f t="shared" si="4"/>
        <v>0.6304347826</v>
      </c>
      <c r="M103" s="11">
        <f t="shared" si="22"/>
        <v>0.4463601642</v>
      </c>
      <c r="N103" s="11">
        <f t="shared" si="23"/>
        <v>0.2814009731</v>
      </c>
      <c r="O103" s="12">
        <f t="shared" si="46"/>
        <v>1.181884052</v>
      </c>
      <c r="Q103" s="17"/>
      <c r="X103" s="18"/>
    </row>
    <row r="104" ht="15.75" customHeight="1">
      <c r="A104" s="4">
        <v>21502.0</v>
      </c>
      <c r="B104" s="8">
        <v>5.0</v>
      </c>
      <c r="C104" s="8">
        <v>2.0000000596046448</v>
      </c>
      <c r="D104" s="8">
        <v>23.0</v>
      </c>
      <c r="E104" s="9">
        <f t="shared" si="40"/>
        <v>0.2173913043</v>
      </c>
      <c r="F104" s="10">
        <f t="shared" si="44"/>
        <v>0.4000000119</v>
      </c>
      <c r="G104" s="10">
        <f t="shared" si="45"/>
        <v>0.08695652433</v>
      </c>
      <c r="H104" s="4">
        <v>21502.0</v>
      </c>
      <c r="I104" s="8">
        <v>22.0</v>
      </c>
      <c r="J104" s="8">
        <v>9.222222447395325</v>
      </c>
      <c r="K104" s="8">
        <v>91.0</v>
      </c>
      <c r="L104" s="10">
        <f t="shared" si="4"/>
        <v>0.2417582418</v>
      </c>
      <c r="M104" s="11">
        <f t="shared" si="22"/>
        <v>0.4191919294</v>
      </c>
      <c r="N104" s="11">
        <f t="shared" si="23"/>
        <v>0.1013431038</v>
      </c>
      <c r="O104" s="12">
        <f t="shared" si="46"/>
        <v>1.165445659</v>
      </c>
      <c r="Q104" s="17"/>
      <c r="X104" s="18"/>
    </row>
    <row r="105" ht="15.75" customHeight="1">
      <c r="A105" s="4">
        <v>21601.0</v>
      </c>
      <c r="B105" s="8">
        <v>3.0</v>
      </c>
      <c r="C105" s="8">
        <v>1.0000000298023224</v>
      </c>
      <c r="D105" s="8">
        <v>5.0</v>
      </c>
      <c r="E105" s="9">
        <f t="shared" si="40"/>
        <v>0.6</v>
      </c>
      <c r="F105" s="10">
        <f t="shared" si="44"/>
        <v>0.3333333433</v>
      </c>
      <c r="G105" s="10">
        <f t="shared" si="45"/>
        <v>0.200000006</v>
      </c>
      <c r="H105" s="4">
        <v>21601.0</v>
      </c>
      <c r="I105" s="8">
        <v>17.0</v>
      </c>
      <c r="J105" s="8">
        <v>6.000000149011612</v>
      </c>
      <c r="K105" s="8">
        <v>40.0</v>
      </c>
      <c r="L105" s="10">
        <f t="shared" si="4"/>
        <v>0.425</v>
      </c>
      <c r="M105" s="11">
        <f t="shared" si="22"/>
        <v>0.3529411852</v>
      </c>
      <c r="N105" s="11">
        <f t="shared" si="23"/>
        <v>0.1500000037</v>
      </c>
      <c r="O105" s="12">
        <f t="shared" si="46"/>
        <v>0.7499999963</v>
      </c>
      <c r="Q105" s="17"/>
      <c r="X105" s="18"/>
    </row>
    <row r="106" ht="15.75" customHeight="1">
      <c r="A106" s="4">
        <v>21602.0</v>
      </c>
      <c r="B106" s="19" t="s">
        <v>22</v>
      </c>
      <c r="C106" s="19" t="s">
        <v>22</v>
      </c>
      <c r="D106" s="19" t="s">
        <v>22</v>
      </c>
      <c r="E106" s="19" t="s">
        <v>22</v>
      </c>
      <c r="F106" s="19" t="s">
        <v>22</v>
      </c>
      <c r="G106" s="19" t="s">
        <v>22</v>
      </c>
      <c r="H106" s="4">
        <v>21602.0</v>
      </c>
      <c r="I106" s="8">
        <v>1.0</v>
      </c>
      <c r="J106" s="8">
        <v>0.3333333432674408</v>
      </c>
      <c r="K106" s="8">
        <v>1.0</v>
      </c>
      <c r="L106" s="10">
        <f t="shared" si="4"/>
        <v>1</v>
      </c>
      <c r="M106" s="11">
        <f t="shared" si="22"/>
        <v>0.3333333433</v>
      </c>
      <c r="N106" s="11">
        <f t="shared" si="23"/>
        <v>0.3333333433</v>
      </c>
      <c r="O106" s="12" t="s">
        <v>22</v>
      </c>
      <c r="Q106" s="17"/>
      <c r="X106" s="18"/>
    </row>
    <row r="107" ht="15.75" customHeight="1">
      <c r="A107" s="4">
        <v>21701.0</v>
      </c>
      <c r="B107" s="8">
        <v>11.0</v>
      </c>
      <c r="C107" s="8">
        <v>4.777777850627899</v>
      </c>
      <c r="D107" s="8">
        <v>20.0</v>
      </c>
      <c r="E107" s="9">
        <f t="shared" ref="E107:E110" si="47">B107/D107</f>
        <v>0.55</v>
      </c>
      <c r="F107" s="10">
        <f t="shared" ref="F107:F110" si="48">C107/B107</f>
        <v>0.434343441</v>
      </c>
      <c r="G107" s="10">
        <f t="shared" ref="G107:G110" si="49">E107*F107</f>
        <v>0.2388888925</v>
      </c>
      <c r="H107" s="4">
        <v>21701.0</v>
      </c>
      <c r="I107" s="8">
        <v>137.0</v>
      </c>
      <c r="J107" s="8">
        <v>61.333334892988205</v>
      </c>
      <c r="K107" s="8">
        <v>313.0</v>
      </c>
      <c r="L107" s="10">
        <f t="shared" si="4"/>
        <v>0.4376996805</v>
      </c>
      <c r="M107" s="11">
        <f t="shared" si="22"/>
        <v>0.4476885759</v>
      </c>
      <c r="N107" s="11">
        <f t="shared" si="23"/>
        <v>0.1959531466</v>
      </c>
      <c r="O107" s="12">
        <f t="shared" ref="O107:O110" si="50">N107/G107</f>
        <v>0.8202689734</v>
      </c>
      <c r="Q107" s="17"/>
      <c r="X107" s="18"/>
    </row>
    <row r="108" ht="15.75" customHeight="1">
      <c r="A108" s="4">
        <v>21702.0</v>
      </c>
      <c r="B108" s="8">
        <v>6.0</v>
      </c>
      <c r="C108" s="8">
        <v>2.666666716337204</v>
      </c>
      <c r="D108" s="8">
        <v>15.0</v>
      </c>
      <c r="E108" s="9">
        <f t="shared" si="47"/>
        <v>0.4</v>
      </c>
      <c r="F108" s="10">
        <f t="shared" si="48"/>
        <v>0.4444444527</v>
      </c>
      <c r="G108" s="10">
        <f t="shared" si="49"/>
        <v>0.1777777811</v>
      </c>
      <c r="H108" s="4">
        <v>21702.0</v>
      </c>
      <c r="I108" s="8">
        <v>67.0</v>
      </c>
      <c r="J108" s="8">
        <v>29.77777859568596</v>
      </c>
      <c r="K108" s="8">
        <v>127.0</v>
      </c>
      <c r="L108" s="10">
        <f t="shared" si="4"/>
        <v>0.5275590551</v>
      </c>
      <c r="M108" s="11">
        <f t="shared" si="22"/>
        <v>0.4444444567</v>
      </c>
      <c r="N108" s="11">
        <f t="shared" si="23"/>
        <v>0.2344706976</v>
      </c>
      <c r="O108" s="12">
        <f t="shared" si="50"/>
        <v>1.318897649</v>
      </c>
      <c r="Q108" s="17"/>
      <c r="X108" s="18"/>
    </row>
    <row r="109" ht="15.75" customHeight="1">
      <c r="A109" s="4">
        <v>21801.0</v>
      </c>
      <c r="B109" s="8">
        <v>4.0</v>
      </c>
      <c r="C109" s="8">
        <v>1.6666666865348816</v>
      </c>
      <c r="D109" s="8">
        <v>5.0</v>
      </c>
      <c r="E109" s="9">
        <f t="shared" si="47"/>
        <v>0.8</v>
      </c>
      <c r="F109" s="10">
        <f t="shared" si="48"/>
        <v>0.4166666716</v>
      </c>
      <c r="G109" s="10">
        <f t="shared" si="49"/>
        <v>0.3333333373</v>
      </c>
      <c r="H109" s="4">
        <v>21801.0</v>
      </c>
      <c r="I109" s="8">
        <v>14.0</v>
      </c>
      <c r="J109" s="8">
        <v>5.666666805744171</v>
      </c>
      <c r="K109" s="8">
        <v>28.0</v>
      </c>
      <c r="L109" s="10">
        <f t="shared" si="4"/>
        <v>0.5</v>
      </c>
      <c r="M109" s="11">
        <f t="shared" si="22"/>
        <v>0.4047619147</v>
      </c>
      <c r="N109" s="11">
        <f t="shared" si="23"/>
        <v>0.2023809573</v>
      </c>
      <c r="O109" s="12">
        <f t="shared" si="50"/>
        <v>0.6071428648</v>
      </c>
      <c r="Q109" s="17"/>
      <c r="X109" s="18"/>
    </row>
    <row r="110" ht="15.75" customHeight="1">
      <c r="A110" s="4">
        <v>21802.0</v>
      </c>
      <c r="B110" s="8">
        <v>4.0</v>
      </c>
      <c r="C110" s="8">
        <v>2.0000000596046448</v>
      </c>
      <c r="D110" s="8">
        <v>6.0</v>
      </c>
      <c r="E110" s="9">
        <f t="shared" si="47"/>
        <v>0.6666666667</v>
      </c>
      <c r="F110" s="10">
        <f t="shared" si="48"/>
        <v>0.5000000149</v>
      </c>
      <c r="G110" s="10">
        <f t="shared" si="49"/>
        <v>0.3333333433</v>
      </c>
      <c r="H110" s="4">
        <v>21802.0</v>
      </c>
      <c r="I110" s="8">
        <v>30.0</v>
      </c>
      <c r="J110" s="8">
        <v>13.111111372709274</v>
      </c>
      <c r="K110" s="8">
        <v>69.0</v>
      </c>
      <c r="L110" s="10">
        <f t="shared" si="4"/>
        <v>0.4347826087</v>
      </c>
      <c r="M110" s="11">
        <f t="shared" si="22"/>
        <v>0.4370370458</v>
      </c>
      <c r="N110" s="11">
        <f t="shared" si="23"/>
        <v>0.1900161069</v>
      </c>
      <c r="O110" s="12">
        <f t="shared" si="50"/>
        <v>0.5700483036</v>
      </c>
      <c r="Q110" s="17"/>
      <c r="X110" s="18"/>
    </row>
    <row r="111" ht="15.75" customHeight="1">
      <c r="A111" s="4">
        <v>21803.0</v>
      </c>
      <c r="B111" s="19" t="s">
        <v>22</v>
      </c>
      <c r="C111" s="19" t="s">
        <v>22</v>
      </c>
      <c r="D111" s="19" t="s">
        <v>22</v>
      </c>
      <c r="E111" s="19" t="s">
        <v>22</v>
      </c>
      <c r="F111" s="19" t="s">
        <v>22</v>
      </c>
      <c r="G111" s="19" t="s">
        <v>22</v>
      </c>
      <c r="H111" s="4">
        <v>21803.0</v>
      </c>
      <c r="I111" s="8">
        <v>0.0</v>
      </c>
      <c r="J111" s="8">
        <v>0.0</v>
      </c>
      <c r="K111" s="8">
        <v>2.0</v>
      </c>
      <c r="L111" s="10">
        <f t="shared" si="4"/>
        <v>0</v>
      </c>
      <c r="M111" s="11" t="s">
        <v>22</v>
      </c>
      <c r="N111" s="11" t="s">
        <v>22</v>
      </c>
      <c r="O111" s="12" t="s">
        <v>22</v>
      </c>
      <c r="Q111" s="17"/>
      <c r="X111" s="18"/>
    </row>
    <row r="112" ht="15.75" customHeight="1">
      <c r="A112" s="4">
        <v>21901.0</v>
      </c>
      <c r="B112" s="8">
        <v>1.0</v>
      </c>
      <c r="C112" s="8">
        <v>0.4444444477558136</v>
      </c>
      <c r="D112" s="8">
        <v>8.0</v>
      </c>
      <c r="E112" s="9">
        <f t="shared" ref="E112:E157" si="51">B112/D112</f>
        <v>0.125</v>
      </c>
      <c r="F112" s="10">
        <f>C112/B112</f>
        <v>0.4444444478</v>
      </c>
      <c r="G112" s="10">
        <f>E112*F112</f>
        <v>0.05555555597</v>
      </c>
      <c r="H112" s="4">
        <v>21901.0</v>
      </c>
      <c r="I112" s="8">
        <v>44.0</v>
      </c>
      <c r="J112" s="8">
        <v>17.7777781188488</v>
      </c>
      <c r="K112" s="8">
        <v>72.0</v>
      </c>
      <c r="L112" s="10">
        <f t="shared" si="4"/>
        <v>0.6111111111</v>
      </c>
      <c r="M112" s="11">
        <f>J112/I112</f>
        <v>0.4040404118</v>
      </c>
      <c r="N112" s="11">
        <f>L112*M112</f>
        <v>0.246913585</v>
      </c>
      <c r="O112" s="12">
        <f>N112/G112</f>
        <v>4.444444497</v>
      </c>
      <c r="Q112" s="17"/>
      <c r="X112" s="18"/>
    </row>
    <row r="113" ht="15.75" customHeight="1">
      <c r="A113" s="4">
        <v>21902.0</v>
      </c>
      <c r="B113" s="8">
        <v>0.0</v>
      </c>
      <c r="C113" s="8">
        <v>0.0</v>
      </c>
      <c r="D113" s="8">
        <v>1.0</v>
      </c>
      <c r="E113" s="9">
        <f t="shared" si="51"/>
        <v>0</v>
      </c>
      <c r="F113" s="10" t="s">
        <v>22</v>
      </c>
      <c r="G113" s="10" t="s">
        <v>22</v>
      </c>
      <c r="H113" s="4">
        <v>21902.0</v>
      </c>
      <c r="I113" s="8">
        <v>0.0</v>
      </c>
      <c r="J113" s="8">
        <v>0.0</v>
      </c>
      <c r="K113" s="8">
        <v>8.0</v>
      </c>
      <c r="L113" s="10">
        <f t="shared" si="4"/>
        <v>0</v>
      </c>
      <c r="M113" s="11" t="s">
        <v>22</v>
      </c>
      <c r="N113" s="11" t="s">
        <v>22</v>
      </c>
      <c r="O113" s="12" t="s">
        <v>22</v>
      </c>
      <c r="Q113" s="17"/>
      <c r="X113" s="18"/>
    </row>
    <row r="114" ht="15.75" customHeight="1">
      <c r="A114" s="4">
        <v>22001.0</v>
      </c>
      <c r="B114" s="8">
        <v>18.0</v>
      </c>
      <c r="C114" s="8">
        <v>8.000000149011612</v>
      </c>
      <c r="D114" s="8">
        <v>43.0</v>
      </c>
      <c r="E114" s="9">
        <f t="shared" si="51"/>
        <v>0.4186046512</v>
      </c>
      <c r="F114" s="10">
        <f>C114/B114</f>
        <v>0.4444444527</v>
      </c>
      <c r="G114" s="10">
        <f>E114*F114</f>
        <v>0.1860465151</v>
      </c>
      <c r="H114" s="4">
        <v>22001.0</v>
      </c>
      <c r="I114" s="8">
        <v>156.0</v>
      </c>
      <c r="J114" s="8">
        <v>69.44444578886032</v>
      </c>
      <c r="K114" s="8">
        <v>335.0</v>
      </c>
      <c r="L114" s="10">
        <f t="shared" si="4"/>
        <v>0.4656716418</v>
      </c>
      <c r="M114" s="11">
        <f t="shared" ref="M114:M134" si="52">J114/I114</f>
        <v>0.4451567038</v>
      </c>
      <c r="N114" s="11">
        <f t="shared" ref="N114:N134" si="53">L114*M114</f>
        <v>0.2072968531</v>
      </c>
      <c r="O114" s="12">
        <f>N114/G114</f>
        <v>1.114220565</v>
      </c>
      <c r="Q114" s="17"/>
      <c r="X114" s="18"/>
    </row>
    <row r="115" ht="15.75" customHeight="1">
      <c r="A115" s="4">
        <v>22002.0</v>
      </c>
      <c r="B115" s="8">
        <v>0.0</v>
      </c>
      <c r="C115" s="8">
        <v>0.0</v>
      </c>
      <c r="D115" s="8">
        <v>1.0</v>
      </c>
      <c r="E115" s="9">
        <f t="shared" si="51"/>
        <v>0</v>
      </c>
      <c r="F115" s="10" t="s">
        <v>22</v>
      </c>
      <c r="G115" s="10" t="s">
        <v>22</v>
      </c>
      <c r="H115" s="4">
        <v>22002.0</v>
      </c>
      <c r="I115" s="8">
        <v>4.0</v>
      </c>
      <c r="J115" s="8">
        <v>2.111111134290695</v>
      </c>
      <c r="K115" s="8">
        <v>9.0</v>
      </c>
      <c r="L115" s="10">
        <f t="shared" si="4"/>
        <v>0.4444444444</v>
      </c>
      <c r="M115" s="11">
        <f t="shared" si="52"/>
        <v>0.5277777836</v>
      </c>
      <c r="N115" s="11">
        <f t="shared" si="53"/>
        <v>0.2345679038</v>
      </c>
      <c r="O115" s="12" t="s">
        <v>22</v>
      </c>
      <c r="Q115" s="17"/>
      <c r="X115" s="18"/>
    </row>
    <row r="116" ht="15.75" customHeight="1">
      <c r="A116" s="4">
        <v>30101.0</v>
      </c>
      <c r="B116" s="8">
        <v>140.0</v>
      </c>
      <c r="C116" s="8">
        <v>59.44444590806961</v>
      </c>
      <c r="D116" s="8">
        <v>353.0</v>
      </c>
      <c r="E116" s="9">
        <f t="shared" si="51"/>
        <v>0.3966005666</v>
      </c>
      <c r="F116" s="10">
        <f t="shared" ref="F116:F118" si="54">C116/B116</f>
        <v>0.4246031851</v>
      </c>
      <c r="G116" s="10">
        <f t="shared" ref="G116:G118" si="55">E116*F116</f>
        <v>0.1683978638</v>
      </c>
      <c r="H116" s="4">
        <v>30101.0</v>
      </c>
      <c r="I116" s="8">
        <v>618.0</v>
      </c>
      <c r="J116" s="8">
        <v>259.4444509744644</v>
      </c>
      <c r="K116" s="8">
        <v>3039.0</v>
      </c>
      <c r="L116" s="10">
        <f t="shared" si="4"/>
        <v>0.2033563672</v>
      </c>
      <c r="M116" s="11">
        <f t="shared" si="52"/>
        <v>0.4198130275</v>
      </c>
      <c r="N116" s="11">
        <f t="shared" si="53"/>
        <v>0.08537165218</v>
      </c>
      <c r="O116" s="12">
        <f t="shared" ref="O116:O118" si="56">N116/G116</f>
        <v>0.5069639856</v>
      </c>
      <c r="Q116" s="17"/>
      <c r="X116" s="18"/>
    </row>
    <row r="117" ht="15.75" customHeight="1">
      <c r="A117" s="4">
        <v>30201.0</v>
      </c>
      <c r="B117" s="8">
        <v>2.0</v>
      </c>
      <c r="C117" s="8">
        <v>1.1111111640930176</v>
      </c>
      <c r="D117" s="8">
        <v>9.0</v>
      </c>
      <c r="E117" s="9">
        <f t="shared" si="51"/>
        <v>0.2222222222</v>
      </c>
      <c r="F117" s="10">
        <f t="shared" si="54"/>
        <v>0.555555582</v>
      </c>
      <c r="G117" s="10">
        <f t="shared" si="55"/>
        <v>0.123456796</v>
      </c>
      <c r="H117" s="4">
        <v>30201.0</v>
      </c>
      <c r="I117" s="8">
        <v>88.0</v>
      </c>
      <c r="J117" s="8">
        <v>40.33333432674408</v>
      </c>
      <c r="K117" s="8">
        <v>247.0</v>
      </c>
      <c r="L117" s="10">
        <f t="shared" si="4"/>
        <v>0.3562753036</v>
      </c>
      <c r="M117" s="11">
        <f t="shared" si="52"/>
        <v>0.4583333446</v>
      </c>
      <c r="N117" s="11">
        <f t="shared" si="53"/>
        <v>0.1632928515</v>
      </c>
      <c r="O117" s="12">
        <f t="shared" si="56"/>
        <v>1.322672034</v>
      </c>
      <c r="Q117" s="17"/>
      <c r="X117" s="18"/>
    </row>
    <row r="118" ht="15.75" customHeight="1">
      <c r="A118" s="4">
        <v>30202.0</v>
      </c>
      <c r="B118" s="8">
        <v>9.0</v>
      </c>
      <c r="C118" s="8">
        <v>3.777777850627899</v>
      </c>
      <c r="D118" s="8">
        <v>12.0</v>
      </c>
      <c r="E118" s="9">
        <f t="shared" si="51"/>
        <v>0.75</v>
      </c>
      <c r="F118" s="10">
        <f t="shared" si="54"/>
        <v>0.4197530945</v>
      </c>
      <c r="G118" s="10">
        <f t="shared" si="55"/>
        <v>0.3148148209</v>
      </c>
      <c r="H118" s="4">
        <v>30202.0</v>
      </c>
      <c r="I118" s="8">
        <v>50.0</v>
      </c>
      <c r="J118" s="8">
        <v>23.77777835726738</v>
      </c>
      <c r="K118" s="8">
        <v>102.0</v>
      </c>
      <c r="L118" s="10">
        <f t="shared" si="4"/>
        <v>0.4901960784</v>
      </c>
      <c r="M118" s="11">
        <f t="shared" si="52"/>
        <v>0.4755555671</v>
      </c>
      <c r="N118" s="11">
        <f t="shared" si="53"/>
        <v>0.2331154741</v>
      </c>
      <c r="O118" s="12">
        <f t="shared" si="56"/>
        <v>0.7404844328</v>
      </c>
      <c r="Q118" s="17"/>
      <c r="X118" s="18"/>
    </row>
    <row r="119" ht="15.75" customHeight="1">
      <c r="A119" s="4">
        <v>30203.0</v>
      </c>
      <c r="B119" s="8">
        <v>0.0</v>
      </c>
      <c r="C119" s="8">
        <v>0.0</v>
      </c>
      <c r="D119" s="8">
        <v>3.0</v>
      </c>
      <c r="E119" s="9">
        <f t="shared" si="51"/>
        <v>0</v>
      </c>
      <c r="F119" s="10" t="s">
        <v>22</v>
      </c>
      <c r="G119" s="10" t="s">
        <v>22</v>
      </c>
      <c r="H119" s="4">
        <v>30203.0</v>
      </c>
      <c r="I119" s="8">
        <v>11.0</v>
      </c>
      <c r="J119" s="8">
        <v>4.11111119389534</v>
      </c>
      <c r="K119" s="8">
        <v>37.0</v>
      </c>
      <c r="L119" s="10">
        <f t="shared" si="4"/>
        <v>0.2972972973</v>
      </c>
      <c r="M119" s="11">
        <f t="shared" si="52"/>
        <v>0.3737373813</v>
      </c>
      <c r="N119" s="11">
        <f t="shared" si="53"/>
        <v>0.1111111133</v>
      </c>
      <c r="O119" s="12" t="s">
        <v>22</v>
      </c>
      <c r="Q119" s="17"/>
      <c r="X119" s="18"/>
    </row>
    <row r="120" ht="15.75" customHeight="1">
      <c r="A120" s="4">
        <v>30301.0</v>
      </c>
      <c r="B120" s="8">
        <v>17.0</v>
      </c>
      <c r="C120" s="8">
        <v>8.00000011920929</v>
      </c>
      <c r="D120" s="8">
        <v>25.0</v>
      </c>
      <c r="E120" s="9">
        <f t="shared" si="51"/>
        <v>0.68</v>
      </c>
      <c r="F120" s="10">
        <f t="shared" ref="F120:F126" si="57">C120/B120</f>
        <v>0.4705882423</v>
      </c>
      <c r="G120" s="10">
        <f t="shared" ref="G120:G126" si="58">E120*F120</f>
        <v>0.3200000048</v>
      </c>
      <c r="H120" s="4">
        <v>30301.0</v>
      </c>
      <c r="I120" s="8">
        <v>123.0</v>
      </c>
      <c r="J120" s="8">
        <v>57.11111235618591</v>
      </c>
      <c r="K120" s="8">
        <v>178.0</v>
      </c>
      <c r="L120" s="10">
        <f t="shared" si="4"/>
        <v>0.691011236</v>
      </c>
      <c r="M120" s="11">
        <f t="shared" si="52"/>
        <v>0.4643179866</v>
      </c>
      <c r="N120" s="11">
        <f t="shared" si="53"/>
        <v>0.3208489458</v>
      </c>
      <c r="O120" s="12">
        <f t="shared" ref="O120:O126" si="59">N120/G120</f>
        <v>1.002652941</v>
      </c>
      <c r="Q120" s="17"/>
      <c r="X120" s="18"/>
    </row>
    <row r="121" ht="15.75" customHeight="1">
      <c r="A121" s="4">
        <v>30302.0</v>
      </c>
      <c r="B121" s="8">
        <v>30.0</v>
      </c>
      <c r="C121" s="8">
        <v>14.666667073965073</v>
      </c>
      <c r="D121" s="8">
        <v>31.0</v>
      </c>
      <c r="E121" s="9">
        <f t="shared" si="51"/>
        <v>0.9677419355</v>
      </c>
      <c r="F121" s="10">
        <f t="shared" si="57"/>
        <v>0.4888889025</v>
      </c>
      <c r="G121" s="10">
        <f t="shared" si="58"/>
        <v>0.4731182927</v>
      </c>
      <c r="H121" s="4">
        <v>30302.0</v>
      </c>
      <c r="I121" s="8">
        <v>102.0</v>
      </c>
      <c r="J121" s="8">
        <v>46.77777895331383</v>
      </c>
      <c r="K121" s="8">
        <v>181.0</v>
      </c>
      <c r="L121" s="10">
        <f t="shared" si="4"/>
        <v>0.5635359116</v>
      </c>
      <c r="M121" s="11">
        <f t="shared" si="52"/>
        <v>0.458605676</v>
      </c>
      <c r="N121" s="11">
        <f t="shared" si="53"/>
        <v>0.2584407677</v>
      </c>
      <c r="O121" s="12">
        <f t="shared" si="59"/>
        <v>0.5462497893</v>
      </c>
      <c r="Q121" s="17"/>
      <c r="X121" s="18"/>
    </row>
    <row r="122" ht="15.75" customHeight="1">
      <c r="A122" s="4">
        <v>30303.0</v>
      </c>
      <c r="B122" s="8">
        <v>9.0</v>
      </c>
      <c r="C122" s="8">
        <v>3.8888889849185944</v>
      </c>
      <c r="D122" s="8">
        <v>12.0</v>
      </c>
      <c r="E122" s="9">
        <f t="shared" si="51"/>
        <v>0.75</v>
      </c>
      <c r="F122" s="10">
        <f t="shared" si="57"/>
        <v>0.4320987761</v>
      </c>
      <c r="G122" s="10">
        <f t="shared" si="58"/>
        <v>0.3240740821</v>
      </c>
      <c r="H122" s="4">
        <v>30303.0</v>
      </c>
      <c r="I122" s="8">
        <v>151.0</v>
      </c>
      <c r="J122" s="8">
        <v>70.77777975797653</v>
      </c>
      <c r="K122" s="8">
        <v>212.0</v>
      </c>
      <c r="L122" s="10">
        <f t="shared" si="4"/>
        <v>0.7122641509</v>
      </c>
      <c r="M122" s="11">
        <f t="shared" si="52"/>
        <v>0.4687270183</v>
      </c>
      <c r="N122" s="11">
        <f t="shared" si="53"/>
        <v>0.3338574517</v>
      </c>
      <c r="O122" s="12">
        <f t="shared" si="59"/>
        <v>1.030188683</v>
      </c>
      <c r="Q122" s="17"/>
      <c r="X122" s="18"/>
    </row>
    <row r="123" ht="15.75" customHeight="1">
      <c r="A123" s="4">
        <v>30401.0</v>
      </c>
      <c r="B123" s="8">
        <v>1.0</v>
      </c>
      <c r="C123" s="8">
        <v>0.4444444477558136</v>
      </c>
      <c r="D123" s="8">
        <v>3.0</v>
      </c>
      <c r="E123" s="9">
        <f t="shared" si="51"/>
        <v>0.3333333333</v>
      </c>
      <c r="F123" s="10">
        <f t="shared" si="57"/>
        <v>0.4444444478</v>
      </c>
      <c r="G123" s="10">
        <f t="shared" si="58"/>
        <v>0.1481481493</v>
      </c>
      <c r="H123" s="4">
        <v>30401.0</v>
      </c>
      <c r="I123" s="8">
        <v>18.0</v>
      </c>
      <c r="J123" s="8">
        <v>8.888889163732529</v>
      </c>
      <c r="K123" s="8">
        <v>50.0</v>
      </c>
      <c r="L123" s="10">
        <f t="shared" si="4"/>
        <v>0.36</v>
      </c>
      <c r="M123" s="11">
        <f t="shared" si="52"/>
        <v>0.4938271758</v>
      </c>
      <c r="N123" s="11">
        <f t="shared" si="53"/>
        <v>0.1777777833</v>
      </c>
      <c r="O123" s="12">
        <f t="shared" si="59"/>
        <v>1.200000028</v>
      </c>
      <c r="Q123" s="17"/>
      <c r="X123" s="18"/>
    </row>
    <row r="124" ht="15.75" customHeight="1">
      <c r="A124" s="4">
        <v>30402.0</v>
      </c>
      <c r="B124" s="8">
        <v>7.0</v>
      </c>
      <c r="C124" s="8">
        <v>3.333333373069763</v>
      </c>
      <c r="D124" s="8">
        <v>12.0</v>
      </c>
      <c r="E124" s="9">
        <f t="shared" si="51"/>
        <v>0.5833333333</v>
      </c>
      <c r="F124" s="10">
        <f t="shared" si="57"/>
        <v>0.4761904819</v>
      </c>
      <c r="G124" s="10">
        <f t="shared" si="58"/>
        <v>0.2777777811</v>
      </c>
      <c r="H124" s="4">
        <v>30402.0</v>
      </c>
      <c r="I124" s="8">
        <v>58.0</v>
      </c>
      <c r="J124" s="8">
        <v>25.000000685453415</v>
      </c>
      <c r="K124" s="8">
        <v>88.0</v>
      </c>
      <c r="L124" s="10">
        <f t="shared" si="4"/>
        <v>0.6590909091</v>
      </c>
      <c r="M124" s="11">
        <f t="shared" si="52"/>
        <v>0.4310344946</v>
      </c>
      <c r="N124" s="11">
        <f t="shared" si="53"/>
        <v>0.2840909169</v>
      </c>
      <c r="O124" s="12">
        <f t="shared" si="59"/>
        <v>1.022727289</v>
      </c>
      <c r="Q124" s="17"/>
      <c r="X124" s="18"/>
    </row>
    <row r="125" ht="15.75" customHeight="1">
      <c r="A125" s="4">
        <v>30403.0</v>
      </c>
      <c r="B125" s="8">
        <v>36.0</v>
      </c>
      <c r="C125" s="8">
        <v>17.888889402151108</v>
      </c>
      <c r="D125" s="8">
        <v>48.0</v>
      </c>
      <c r="E125" s="9">
        <f t="shared" si="51"/>
        <v>0.75</v>
      </c>
      <c r="F125" s="10">
        <f t="shared" si="57"/>
        <v>0.4969135945</v>
      </c>
      <c r="G125" s="10">
        <f t="shared" si="58"/>
        <v>0.3726851959</v>
      </c>
      <c r="H125" s="4">
        <v>30403.0</v>
      </c>
      <c r="I125" s="8">
        <v>117.0</v>
      </c>
      <c r="J125" s="8">
        <v>53.2222236096859</v>
      </c>
      <c r="K125" s="8">
        <v>182.0</v>
      </c>
      <c r="L125" s="10">
        <f t="shared" si="4"/>
        <v>0.6428571429</v>
      </c>
      <c r="M125" s="11">
        <f t="shared" si="52"/>
        <v>0.4548908001</v>
      </c>
      <c r="N125" s="11">
        <f t="shared" si="53"/>
        <v>0.2924298001</v>
      </c>
      <c r="O125" s="12">
        <f t="shared" si="59"/>
        <v>0.7846563354</v>
      </c>
      <c r="Q125" s="17"/>
      <c r="X125" s="18"/>
    </row>
    <row r="126" ht="15.75" customHeight="1">
      <c r="A126" s="4">
        <v>30404.0</v>
      </c>
      <c r="B126" s="8">
        <v>3.0</v>
      </c>
      <c r="C126" s="8">
        <v>1.6666666865348816</v>
      </c>
      <c r="D126" s="8">
        <v>3.0</v>
      </c>
      <c r="E126" s="9">
        <f t="shared" si="51"/>
        <v>1</v>
      </c>
      <c r="F126" s="10">
        <f t="shared" si="57"/>
        <v>0.5555555622</v>
      </c>
      <c r="G126" s="10">
        <f t="shared" si="58"/>
        <v>0.5555555622</v>
      </c>
      <c r="H126" s="4">
        <v>30404.0</v>
      </c>
      <c r="I126" s="8">
        <v>23.0</v>
      </c>
      <c r="J126" s="8">
        <v>11.333333641290665</v>
      </c>
      <c r="K126" s="8">
        <v>47.0</v>
      </c>
      <c r="L126" s="10">
        <f t="shared" si="4"/>
        <v>0.4893617021</v>
      </c>
      <c r="M126" s="11">
        <f t="shared" si="52"/>
        <v>0.4927536366</v>
      </c>
      <c r="N126" s="11">
        <f t="shared" si="53"/>
        <v>0.2411347583</v>
      </c>
      <c r="O126" s="12">
        <f t="shared" si="59"/>
        <v>0.4340425598</v>
      </c>
      <c r="Q126" s="17"/>
      <c r="X126" s="18"/>
    </row>
    <row r="127" ht="15.75" customHeight="1">
      <c r="A127" s="4">
        <v>30501.0</v>
      </c>
      <c r="B127" s="8">
        <v>0.0</v>
      </c>
      <c r="C127" s="8">
        <v>0.0</v>
      </c>
      <c r="D127" s="8">
        <v>1.0</v>
      </c>
      <c r="E127" s="9">
        <f t="shared" si="51"/>
        <v>0</v>
      </c>
      <c r="F127" s="10" t="s">
        <v>22</v>
      </c>
      <c r="G127" s="10" t="s">
        <v>22</v>
      </c>
      <c r="H127" s="4">
        <v>30501.0</v>
      </c>
      <c r="I127" s="8">
        <v>33.0</v>
      </c>
      <c r="J127" s="8">
        <v>15.66666704416275</v>
      </c>
      <c r="K127" s="8">
        <v>65.0</v>
      </c>
      <c r="L127" s="10">
        <f t="shared" si="4"/>
        <v>0.5076923077</v>
      </c>
      <c r="M127" s="11">
        <f t="shared" si="52"/>
        <v>0.4747474862</v>
      </c>
      <c r="N127" s="11">
        <f t="shared" si="53"/>
        <v>0.2410256468</v>
      </c>
      <c r="O127" s="12" t="s">
        <v>22</v>
      </c>
      <c r="Q127" s="17"/>
      <c r="X127" s="18"/>
    </row>
    <row r="128" ht="15.75" customHeight="1">
      <c r="A128" s="4">
        <v>30502.0</v>
      </c>
      <c r="B128" s="8">
        <v>8.0</v>
      </c>
      <c r="C128" s="8">
        <v>3.2222222685813904</v>
      </c>
      <c r="D128" s="8">
        <v>11.0</v>
      </c>
      <c r="E128" s="9">
        <f t="shared" si="51"/>
        <v>0.7272727273</v>
      </c>
      <c r="F128" s="10">
        <f t="shared" ref="F128:F134" si="60">C128/B128</f>
        <v>0.4027777836</v>
      </c>
      <c r="G128" s="10">
        <f t="shared" ref="G128:G134" si="61">E128*F128</f>
        <v>0.2929292971</v>
      </c>
      <c r="H128" s="4">
        <v>30502.0</v>
      </c>
      <c r="I128" s="8">
        <v>35.0</v>
      </c>
      <c r="J128" s="8">
        <v>16.888889402151108</v>
      </c>
      <c r="K128" s="8">
        <v>57.0</v>
      </c>
      <c r="L128" s="10">
        <f t="shared" si="4"/>
        <v>0.6140350877</v>
      </c>
      <c r="M128" s="11">
        <f t="shared" si="52"/>
        <v>0.4825396972</v>
      </c>
      <c r="N128" s="11">
        <f t="shared" si="53"/>
        <v>0.2962963053</v>
      </c>
      <c r="O128" s="12">
        <f t="shared" ref="O128:O134" si="62">N128/G128</f>
        <v>1.011494269</v>
      </c>
      <c r="Q128" s="17"/>
      <c r="X128" s="18"/>
    </row>
    <row r="129" ht="15.75" customHeight="1">
      <c r="A129" s="4">
        <v>30601.0</v>
      </c>
      <c r="B129" s="8">
        <v>7.0</v>
      </c>
      <c r="C129" s="8">
        <v>3.11111119389534</v>
      </c>
      <c r="D129" s="8">
        <v>9.0</v>
      </c>
      <c r="E129" s="9">
        <f t="shared" si="51"/>
        <v>0.7777777778</v>
      </c>
      <c r="F129" s="10">
        <f t="shared" si="60"/>
        <v>0.4444444563</v>
      </c>
      <c r="G129" s="10">
        <f t="shared" si="61"/>
        <v>0.3456790215</v>
      </c>
      <c r="H129" s="4">
        <v>30601.0</v>
      </c>
      <c r="I129" s="8">
        <v>37.0</v>
      </c>
      <c r="J129" s="8">
        <v>17.555555939674377</v>
      </c>
      <c r="K129" s="8">
        <v>82.0</v>
      </c>
      <c r="L129" s="10">
        <f t="shared" si="4"/>
        <v>0.4512195122</v>
      </c>
      <c r="M129" s="11">
        <f t="shared" si="52"/>
        <v>0.4744744849</v>
      </c>
      <c r="N129" s="11">
        <f t="shared" si="53"/>
        <v>0.2140921456</v>
      </c>
      <c r="O129" s="12">
        <f t="shared" si="62"/>
        <v>0.6193379762</v>
      </c>
      <c r="Q129" s="17"/>
      <c r="X129" s="18"/>
    </row>
    <row r="130" ht="15.75" customHeight="1">
      <c r="A130" s="4">
        <v>30602.0</v>
      </c>
      <c r="B130" s="8">
        <v>4.0</v>
      </c>
      <c r="C130" s="8">
        <v>1.7777778208255768</v>
      </c>
      <c r="D130" s="8">
        <v>10.0</v>
      </c>
      <c r="E130" s="9">
        <f t="shared" si="51"/>
        <v>0.4</v>
      </c>
      <c r="F130" s="10">
        <f t="shared" si="60"/>
        <v>0.4444444552</v>
      </c>
      <c r="G130" s="10">
        <f t="shared" si="61"/>
        <v>0.1777777821</v>
      </c>
      <c r="H130" s="4">
        <v>30602.0</v>
      </c>
      <c r="I130" s="8">
        <v>64.0</v>
      </c>
      <c r="J130" s="8">
        <v>28.111111760139465</v>
      </c>
      <c r="K130" s="8">
        <v>100.0</v>
      </c>
      <c r="L130" s="10">
        <f t="shared" si="4"/>
        <v>0.64</v>
      </c>
      <c r="M130" s="11">
        <f t="shared" si="52"/>
        <v>0.4392361213</v>
      </c>
      <c r="N130" s="11">
        <f t="shared" si="53"/>
        <v>0.2811111176</v>
      </c>
      <c r="O130" s="12">
        <f t="shared" si="62"/>
        <v>1.581249998</v>
      </c>
      <c r="Q130" s="17"/>
      <c r="X130" s="18"/>
    </row>
    <row r="131" ht="15.75" customHeight="1">
      <c r="A131" s="4">
        <v>30701.0</v>
      </c>
      <c r="B131" s="8">
        <v>4.0</v>
      </c>
      <c r="C131" s="8">
        <v>1.7777778208255768</v>
      </c>
      <c r="D131" s="8">
        <v>14.0</v>
      </c>
      <c r="E131" s="9">
        <f t="shared" si="51"/>
        <v>0.2857142857</v>
      </c>
      <c r="F131" s="10">
        <f t="shared" si="60"/>
        <v>0.4444444552</v>
      </c>
      <c r="G131" s="10">
        <f t="shared" si="61"/>
        <v>0.1269841301</v>
      </c>
      <c r="H131" s="4">
        <v>30701.0</v>
      </c>
      <c r="I131" s="8">
        <v>109.0</v>
      </c>
      <c r="J131" s="8">
        <v>50.8888903260231</v>
      </c>
      <c r="K131" s="8">
        <v>232.0</v>
      </c>
      <c r="L131" s="10">
        <f t="shared" si="4"/>
        <v>0.4698275862</v>
      </c>
      <c r="M131" s="11">
        <f t="shared" si="52"/>
        <v>0.4668705534</v>
      </c>
      <c r="N131" s="11">
        <f t="shared" si="53"/>
        <v>0.2193486652</v>
      </c>
      <c r="O131" s="12">
        <f t="shared" si="62"/>
        <v>1.727370697</v>
      </c>
      <c r="Q131" s="17"/>
      <c r="X131" s="18"/>
    </row>
    <row r="132" ht="15.75" customHeight="1">
      <c r="A132" s="4">
        <v>30702.0</v>
      </c>
      <c r="B132" s="8">
        <v>2.0</v>
      </c>
      <c r="C132" s="8">
        <v>0.8888889253139496</v>
      </c>
      <c r="D132" s="8">
        <v>11.0</v>
      </c>
      <c r="E132" s="9">
        <f t="shared" si="51"/>
        <v>0.1818181818</v>
      </c>
      <c r="F132" s="10">
        <f t="shared" si="60"/>
        <v>0.4444444627</v>
      </c>
      <c r="G132" s="10">
        <f t="shared" si="61"/>
        <v>0.08080808412</v>
      </c>
      <c r="H132" s="4">
        <v>30702.0</v>
      </c>
      <c r="I132" s="8">
        <v>30.0</v>
      </c>
      <c r="J132" s="8">
        <v>12.55555585026741</v>
      </c>
      <c r="K132" s="8">
        <v>61.0</v>
      </c>
      <c r="L132" s="10">
        <f t="shared" si="4"/>
        <v>0.4918032787</v>
      </c>
      <c r="M132" s="11">
        <f t="shared" si="52"/>
        <v>0.4185185283</v>
      </c>
      <c r="N132" s="11">
        <f t="shared" si="53"/>
        <v>0.2058287844</v>
      </c>
      <c r="O132" s="12">
        <f t="shared" si="62"/>
        <v>2.547131103</v>
      </c>
      <c r="Q132" s="17"/>
      <c r="X132" s="18"/>
    </row>
    <row r="133" ht="15.75" customHeight="1">
      <c r="A133" s="4">
        <v>30703.0</v>
      </c>
      <c r="B133" s="8">
        <v>1.0</v>
      </c>
      <c r="C133" s="8">
        <v>0.4444444477558136</v>
      </c>
      <c r="D133" s="8">
        <v>1.0</v>
      </c>
      <c r="E133" s="9">
        <f t="shared" si="51"/>
        <v>1</v>
      </c>
      <c r="F133" s="10">
        <f t="shared" si="60"/>
        <v>0.4444444478</v>
      </c>
      <c r="G133" s="10">
        <f t="shared" si="61"/>
        <v>0.4444444478</v>
      </c>
      <c r="H133" s="4">
        <v>30703.0</v>
      </c>
      <c r="I133" s="8">
        <v>1.0</v>
      </c>
      <c r="J133" s="8">
        <v>0.4444444477558136</v>
      </c>
      <c r="K133" s="8">
        <v>2.0</v>
      </c>
      <c r="L133" s="10">
        <f t="shared" si="4"/>
        <v>0.5</v>
      </c>
      <c r="M133" s="11">
        <f t="shared" si="52"/>
        <v>0.4444444478</v>
      </c>
      <c r="N133" s="11">
        <f t="shared" si="53"/>
        <v>0.2222222239</v>
      </c>
      <c r="O133" s="12">
        <f t="shared" si="62"/>
        <v>0.5</v>
      </c>
      <c r="Q133" s="17"/>
      <c r="X133" s="18"/>
    </row>
    <row r="134" ht="15.75" customHeight="1">
      <c r="A134" s="4">
        <v>30801.0</v>
      </c>
      <c r="B134" s="8">
        <v>5.0</v>
      </c>
      <c r="C134" s="8">
        <v>1.7777778208255768</v>
      </c>
      <c r="D134" s="8">
        <v>11.0</v>
      </c>
      <c r="E134" s="9">
        <f t="shared" si="51"/>
        <v>0.4545454545</v>
      </c>
      <c r="F134" s="10">
        <f t="shared" si="60"/>
        <v>0.3555555642</v>
      </c>
      <c r="G134" s="10">
        <f t="shared" si="61"/>
        <v>0.1616161655</v>
      </c>
      <c r="H134" s="4">
        <v>30801.0</v>
      </c>
      <c r="I134" s="8">
        <v>16.0</v>
      </c>
      <c r="J134" s="8">
        <v>5.666666805744171</v>
      </c>
      <c r="K134" s="8">
        <v>84.0</v>
      </c>
      <c r="L134" s="10">
        <f t="shared" si="4"/>
        <v>0.1904761905</v>
      </c>
      <c r="M134" s="11">
        <f t="shared" si="52"/>
        <v>0.3541666754</v>
      </c>
      <c r="N134" s="11">
        <f t="shared" si="53"/>
        <v>0.06746031912</v>
      </c>
      <c r="O134" s="12">
        <f t="shared" si="62"/>
        <v>0.4174107144</v>
      </c>
      <c r="Q134" s="17"/>
      <c r="X134" s="18"/>
    </row>
    <row r="135" ht="15.75" customHeight="1">
      <c r="A135" s="4">
        <v>30802.0</v>
      </c>
      <c r="B135" s="8">
        <v>0.0</v>
      </c>
      <c r="C135" s="8">
        <v>0.0</v>
      </c>
      <c r="D135" s="8">
        <v>1.0</v>
      </c>
      <c r="E135" s="9">
        <f t="shared" si="51"/>
        <v>0</v>
      </c>
      <c r="F135" s="10" t="s">
        <v>22</v>
      </c>
      <c r="G135" s="10" t="s">
        <v>22</v>
      </c>
      <c r="H135" s="4">
        <v>30802.0</v>
      </c>
      <c r="I135" s="8">
        <v>0.0</v>
      </c>
      <c r="J135" s="8">
        <v>0.0</v>
      </c>
      <c r="K135" s="8">
        <v>10.0</v>
      </c>
      <c r="L135" s="10">
        <f t="shared" si="4"/>
        <v>0</v>
      </c>
      <c r="M135" s="11" t="s">
        <v>22</v>
      </c>
      <c r="N135" s="11" t="s">
        <v>22</v>
      </c>
      <c r="O135" s="12" t="s">
        <v>22</v>
      </c>
      <c r="Q135" s="17"/>
      <c r="X135" s="18"/>
    </row>
    <row r="136" ht="15.75" customHeight="1">
      <c r="A136" s="4">
        <v>30803.0</v>
      </c>
      <c r="B136" s="8">
        <v>0.0</v>
      </c>
      <c r="C136" s="8">
        <v>0.0</v>
      </c>
      <c r="D136" s="8">
        <v>5.0</v>
      </c>
      <c r="E136" s="9">
        <f t="shared" si="51"/>
        <v>0</v>
      </c>
      <c r="F136" s="10" t="s">
        <v>22</v>
      </c>
      <c r="G136" s="10" t="s">
        <v>22</v>
      </c>
      <c r="H136" s="4">
        <v>30803.0</v>
      </c>
      <c r="I136" s="8">
        <v>5.0</v>
      </c>
      <c r="J136" s="8">
        <v>1.7777778208255768</v>
      </c>
      <c r="K136" s="8">
        <v>28.0</v>
      </c>
      <c r="L136" s="10">
        <f t="shared" si="4"/>
        <v>0.1785714286</v>
      </c>
      <c r="M136" s="11">
        <f t="shared" ref="M136:M339" si="63">J136/I136</f>
        <v>0.3555555642</v>
      </c>
      <c r="N136" s="11">
        <f t="shared" ref="N136:N339" si="64">L136*M136</f>
        <v>0.06349206503</v>
      </c>
      <c r="O136" s="12" t="s">
        <v>22</v>
      </c>
      <c r="Q136" s="17"/>
      <c r="X136" s="18"/>
    </row>
    <row r="137" ht="15.75" customHeight="1">
      <c r="A137" s="4">
        <v>30901.0</v>
      </c>
      <c r="B137" s="8">
        <v>14.0</v>
      </c>
      <c r="C137" s="8">
        <v>5.8888890743255615</v>
      </c>
      <c r="D137" s="8">
        <v>67.0</v>
      </c>
      <c r="E137" s="9">
        <f t="shared" si="51"/>
        <v>0.2089552239</v>
      </c>
      <c r="F137" s="10">
        <f t="shared" ref="F137:F157" si="65">C137/B137</f>
        <v>0.4206349339</v>
      </c>
      <c r="G137" s="10">
        <f t="shared" ref="G137:G157" si="66">E137*F137</f>
        <v>0.08789386678</v>
      </c>
      <c r="H137" s="4">
        <v>30901.0</v>
      </c>
      <c r="I137" s="8">
        <v>140.0</v>
      </c>
      <c r="J137" s="8">
        <v>55.44444581866264</v>
      </c>
      <c r="K137" s="8">
        <v>558.0</v>
      </c>
      <c r="L137" s="10">
        <f t="shared" si="4"/>
        <v>0.2508960573</v>
      </c>
      <c r="M137" s="11">
        <f t="shared" si="63"/>
        <v>0.3960317558</v>
      </c>
      <c r="N137" s="11">
        <f t="shared" si="64"/>
        <v>0.09936280613</v>
      </c>
      <c r="O137" s="12">
        <f t="shared" ref="O137:O147" si="67">N137/G137</f>
        <v>1.13048623</v>
      </c>
      <c r="Q137" s="17"/>
      <c r="X137" s="18"/>
    </row>
    <row r="138" ht="15.75" customHeight="1">
      <c r="A138" s="4">
        <v>30902.0</v>
      </c>
      <c r="B138" s="8">
        <v>13.0</v>
      </c>
      <c r="C138" s="8">
        <v>5.888889044523239</v>
      </c>
      <c r="D138" s="8">
        <v>52.0</v>
      </c>
      <c r="E138" s="9">
        <f t="shared" si="51"/>
        <v>0.25</v>
      </c>
      <c r="F138" s="10">
        <f t="shared" si="65"/>
        <v>0.452991465</v>
      </c>
      <c r="G138" s="10">
        <f t="shared" si="66"/>
        <v>0.1132478662</v>
      </c>
      <c r="H138" s="4">
        <v>30902.0</v>
      </c>
      <c r="I138" s="8">
        <v>62.0</v>
      </c>
      <c r="J138" s="8">
        <v>27.222222805023193</v>
      </c>
      <c r="K138" s="8">
        <v>213.0</v>
      </c>
      <c r="L138" s="10">
        <f t="shared" si="4"/>
        <v>0.2910798122</v>
      </c>
      <c r="M138" s="11">
        <f t="shared" si="63"/>
        <v>0.4390681098</v>
      </c>
      <c r="N138" s="11">
        <f t="shared" si="64"/>
        <v>0.1278038629</v>
      </c>
      <c r="O138" s="12">
        <f t="shared" si="67"/>
        <v>1.128532194</v>
      </c>
      <c r="Q138" s="17"/>
      <c r="X138" s="18"/>
    </row>
    <row r="139" ht="15.75" customHeight="1">
      <c r="A139" s="4">
        <v>30903.0</v>
      </c>
      <c r="B139" s="8">
        <v>12.0</v>
      </c>
      <c r="C139" s="8">
        <v>4.666666775941849</v>
      </c>
      <c r="D139" s="8">
        <v>37.0</v>
      </c>
      <c r="E139" s="9">
        <f t="shared" si="51"/>
        <v>0.3243243243</v>
      </c>
      <c r="F139" s="10">
        <f t="shared" si="65"/>
        <v>0.388888898</v>
      </c>
      <c r="G139" s="10">
        <f t="shared" si="66"/>
        <v>0.1261261291</v>
      </c>
      <c r="H139" s="4">
        <v>30903.0</v>
      </c>
      <c r="I139" s="8">
        <v>69.0</v>
      </c>
      <c r="J139" s="8">
        <v>27.666667461395264</v>
      </c>
      <c r="K139" s="8">
        <v>273.0</v>
      </c>
      <c r="L139" s="10">
        <f t="shared" si="4"/>
        <v>0.2527472527</v>
      </c>
      <c r="M139" s="11">
        <f t="shared" si="63"/>
        <v>0.4009661951</v>
      </c>
      <c r="N139" s="11">
        <f t="shared" si="64"/>
        <v>0.1013431043</v>
      </c>
      <c r="O139" s="12">
        <f t="shared" si="67"/>
        <v>0.8035060221</v>
      </c>
      <c r="Q139" s="17"/>
      <c r="X139" s="18"/>
    </row>
    <row r="140" ht="15.75" customHeight="1">
      <c r="A140" s="4">
        <v>30904.0</v>
      </c>
      <c r="B140" s="8">
        <v>31.0</v>
      </c>
      <c r="C140" s="8">
        <v>11.333333611488342</v>
      </c>
      <c r="D140" s="8">
        <v>70.0</v>
      </c>
      <c r="E140" s="9">
        <f t="shared" si="51"/>
        <v>0.4428571429</v>
      </c>
      <c r="F140" s="10">
        <f t="shared" si="65"/>
        <v>0.3655914068</v>
      </c>
      <c r="G140" s="10">
        <f t="shared" si="66"/>
        <v>0.1619047659</v>
      </c>
      <c r="H140" s="4">
        <v>30904.0</v>
      </c>
      <c r="I140" s="8">
        <v>138.0</v>
      </c>
      <c r="J140" s="8">
        <v>57.888890236616135</v>
      </c>
      <c r="K140" s="8">
        <v>335.0</v>
      </c>
      <c r="L140" s="10">
        <f t="shared" si="4"/>
        <v>0.4119402985</v>
      </c>
      <c r="M140" s="11">
        <f t="shared" si="63"/>
        <v>0.4194847119</v>
      </c>
      <c r="N140" s="11">
        <f t="shared" si="64"/>
        <v>0.1728026574</v>
      </c>
      <c r="O140" s="12">
        <f t="shared" si="67"/>
        <v>1.067310505</v>
      </c>
      <c r="Q140" s="17"/>
      <c r="X140" s="18"/>
    </row>
    <row r="141" ht="15.75" customHeight="1">
      <c r="A141" s="4">
        <v>30905.0</v>
      </c>
      <c r="B141" s="8">
        <v>5.0</v>
      </c>
      <c r="C141" s="8">
        <v>1.7777778208255768</v>
      </c>
      <c r="D141" s="8">
        <v>34.0</v>
      </c>
      <c r="E141" s="9">
        <f t="shared" si="51"/>
        <v>0.1470588235</v>
      </c>
      <c r="F141" s="10">
        <f t="shared" si="65"/>
        <v>0.3555555642</v>
      </c>
      <c r="G141" s="10">
        <f t="shared" si="66"/>
        <v>0.05228758297</v>
      </c>
      <c r="H141" s="4">
        <v>30905.0</v>
      </c>
      <c r="I141" s="8">
        <v>32.0</v>
      </c>
      <c r="J141" s="8">
        <v>11.666667014360428</v>
      </c>
      <c r="K141" s="8">
        <v>321.0</v>
      </c>
      <c r="L141" s="10">
        <f t="shared" si="4"/>
        <v>0.09968847352</v>
      </c>
      <c r="M141" s="11">
        <f t="shared" si="63"/>
        <v>0.3645833442</v>
      </c>
      <c r="N141" s="11">
        <f t="shared" si="64"/>
        <v>0.03634475705</v>
      </c>
      <c r="O141" s="12">
        <f t="shared" si="67"/>
        <v>0.6950934618</v>
      </c>
      <c r="Q141" s="17"/>
      <c r="X141" s="18"/>
    </row>
    <row r="142" ht="15.75" customHeight="1">
      <c r="A142" s="4">
        <v>31001.0</v>
      </c>
      <c r="B142" s="8">
        <v>57.0</v>
      </c>
      <c r="C142" s="8">
        <v>24.444445103406906</v>
      </c>
      <c r="D142" s="8">
        <v>193.0</v>
      </c>
      <c r="E142" s="9">
        <f t="shared" si="51"/>
        <v>0.2953367876</v>
      </c>
      <c r="F142" s="10">
        <f t="shared" si="65"/>
        <v>0.4288499141</v>
      </c>
      <c r="G142" s="10">
        <f t="shared" si="66"/>
        <v>0.126655156</v>
      </c>
      <c r="H142" s="4">
        <v>31001.0</v>
      </c>
      <c r="I142" s="8">
        <v>201.0</v>
      </c>
      <c r="J142" s="8">
        <v>83.77777996659279</v>
      </c>
      <c r="K142" s="8">
        <v>919.0</v>
      </c>
      <c r="L142" s="10">
        <f t="shared" si="4"/>
        <v>0.2187159956</v>
      </c>
      <c r="M142" s="11">
        <f t="shared" si="63"/>
        <v>0.4168048755</v>
      </c>
      <c r="N142" s="11">
        <f t="shared" si="64"/>
        <v>0.09116189333</v>
      </c>
      <c r="O142" s="12">
        <f t="shared" si="67"/>
        <v>0.7197645656</v>
      </c>
      <c r="Q142" s="17"/>
      <c r="X142" s="18"/>
    </row>
    <row r="143" ht="15.75" customHeight="1">
      <c r="A143" s="4">
        <v>31002.0</v>
      </c>
      <c r="B143" s="8">
        <v>15.0</v>
      </c>
      <c r="C143" s="8">
        <v>7.666666924953461</v>
      </c>
      <c r="D143" s="8">
        <v>24.0</v>
      </c>
      <c r="E143" s="9">
        <f t="shared" si="51"/>
        <v>0.625</v>
      </c>
      <c r="F143" s="10">
        <f t="shared" si="65"/>
        <v>0.5111111283</v>
      </c>
      <c r="G143" s="10">
        <f t="shared" si="66"/>
        <v>0.3194444552</v>
      </c>
      <c r="H143" s="4">
        <v>31002.0</v>
      </c>
      <c r="I143" s="8">
        <v>56.0</v>
      </c>
      <c r="J143" s="8">
        <v>25.66666728258133</v>
      </c>
      <c r="K143" s="8">
        <v>91.0</v>
      </c>
      <c r="L143" s="10">
        <f t="shared" si="4"/>
        <v>0.6153846154</v>
      </c>
      <c r="M143" s="11">
        <f t="shared" si="63"/>
        <v>0.4583333443</v>
      </c>
      <c r="N143" s="11">
        <f t="shared" si="64"/>
        <v>0.2820512888</v>
      </c>
      <c r="O143" s="12">
        <f t="shared" si="67"/>
        <v>0.8829431353</v>
      </c>
      <c r="Q143" s="17"/>
      <c r="X143" s="18"/>
    </row>
    <row r="144" ht="15.75" customHeight="1">
      <c r="A144" s="4">
        <v>31003.0</v>
      </c>
      <c r="B144" s="8">
        <v>127.0</v>
      </c>
      <c r="C144" s="8">
        <v>58.33333480358124</v>
      </c>
      <c r="D144" s="8">
        <v>191.0</v>
      </c>
      <c r="E144" s="9">
        <f t="shared" si="51"/>
        <v>0.664921466</v>
      </c>
      <c r="F144" s="10">
        <f t="shared" si="65"/>
        <v>0.4593175969</v>
      </c>
      <c r="G144" s="10">
        <f t="shared" si="66"/>
        <v>0.3054101299</v>
      </c>
      <c r="H144" s="4">
        <v>31003.0</v>
      </c>
      <c r="I144" s="8">
        <v>558.0</v>
      </c>
      <c r="J144" s="8">
        <v>248.7777834534645</v>
      </c>
      <c r="K144" s="8">
        <v>908.0</v>
      </c>
      <c r="L144" s="10">
        <f t="shared" si="4"/>
        <v>0.6145374449</v>
      </c>
      <c r="M144" s="11">
        <f t="shared" si="63"/>
        <v>0.4458383216</v>
      </c>
      <c r="N144" s="11">
        <f t="shared" si="64"/>
        <v>0.273984343</v>
      </c>
      <c r="O144" s="12">
        <f t="shared" si="67"/>
        <v>0.8971029976</v>
      </c>
      <c r="Q144" s="17"/>
      <c r="X144" s="18"/>
    </row>
    <row r="145" ht="15.75" customHeight="1">
      <c r="A145" s="4">
        <v>31101.0</v>
      </c>
      <c r="B145" s="8">
        <v>7.0</v>
      </c>
      <c r="C145" s="8">
        <v>3.7777778804302216</v>
      </c>
      <c r="D145" s="8">
        <v>9.0</v>
      </c>
      <c r="E145" s="9">
        <f t="shared" si="51"/>
        <v>0.7777777778</v>
      </c>
      <c r="F145" s="10">
        <f t="shared" si="65"/>
        <v>0.5396825543</v>
      </c>
      <c r="G145" s="10">
        <f t="shared" si="66"/>
        <v>0.4197530978</v>
      </c>
      <c r="H145" s="4">
        <v>31101.0</v>
      </c>
      <c r="I145" s="8">
        <v>92.0</v>
      </c>
      <c r="J145" s="8">
        <v>44.66666775941849</v>
      </c>
      <c r="K145" s="8">
        <v>143.0</v>
      </c>
      <c r="L145" s="10">
        <f t="shared" si="4"/>
        <v>0.6433566434</v>
      </c>
      <c r="M145" s="11">
        <f t="shared" si="63"/>
        <v>0.4855072583</v>
      </c>
      <c r="N145" s="11">
        <f t="shared" si="64"/>
        <v>0.31235432</v>
      </c>
      <c r="O145" s="12">
        <f t="shared" si="67"/>
        <v>0.7441382127</v>
      </c>
      <c r="Q145" s="17"/>
      <c r="X145" s="18"/>
    </row>
    <row r="146" ht="15.75" customHeight="1">
      <c r="A146" s="4">
        <v>31201.0</v>
      </c>
      <c r="B146" s="8">
        <v>7.0</v>
      </c>
      <c r="C146" s="8">
        <v>2.555555611848831</v>
      </c>
      <c r="D146" s="8">
        <v>10.0</v>
      </c>
      <c r="E146" s="9">
        <f t="shared" si="51"/>
        <v>0.7</v>
      </c>
      <c r="F146" s="10">
        <f t="shared" si="65"/>
        <v>0.3650793731</v>
      </c>
      <c r="G146" s="10">
        <f t="shared" si="66"/>
        <v>0.2555555612</v>
      </c>
      <c r="H146" s="4">
        <v>31201.0</v>
      </c>
      <c r="I146" s="8">
        <v>45.0</v>
      </c>
      <c r="J146" s="8">
        <v>19.44444477558136</v>
      </c>
      <c r="K146" s="8">
        <v>104.0</v>
      </c>
      <c r="L146" s="10">
        <f t="shared" si="4"/>
        <v>0.4326923077</v>
      </c>
      <c r="M146" s="11">
        <f t="shared" si="63"/>
        <v>0.4320987728</v>
      </c>
      <c r="N146" s="11">
        <f t="shared" si="64"/>
        <v>0.1869658151</v>
      </c>
      <c r="O146" s="12">
        <f t="shared" si="67"/>
        <v>0.7316053475</v>
      </c>
      <c r="Q146" s="17"/>
      <c r="X146" s="18"/>
    </row>
    <row r="147" ht="15.75" customHeight="1">
      <c r="A147" s="4">
        <v>31202.0</v>
      </c>
      <c r="B147" s="8">
        <v>9.0</v>
      </c>
      <c r="C147" s="8">
        <v>4.333333432674408</v>
      </c>
      <c r="D147" s="8">
        <v>12.0</v>
      </c>
      <c r="E147" s="9">
        <f t="shared" si="51"/>
        <v>0.75</v>
      </c>
      <c r="F147" s="10">
        <f t="shared" si="65"/>
        <v>0.4814814925</v>
      </c>
      <c r="G147" s="10">
        <f t="shared" si="66"/>
        <v>0.3611111194</v>
      </c>
      <c r="H147" s="4">
        <v>31202.0</v>
      </c>
      <c r="I147" s="8">
        <v>22.0</v>
      </c>
      <c r="J147" s="8">
        <v>10.000000178813934</v>
      </c>
      <c r="K147" s="8">
        <v>50.0</v>
      </c>
      <c r="L147" s="10">
        <f t="shared" si="4"/>
        <v>0.44</v>
      </c>
      <c r="M147" s="11">
        <f t="shared" si="63"/>
        <v>0.4545454627</v>
      </c>
      <c r="N147" s="11">
        <f t="shared" si="64"/>
        <v>0.2000000036</v>
      </c>
      <c r="O147" s="12">
        <f t="shared" si="67"/>
        <v>0.5538461511</v>
      </c>
      <c r="Q147" s="17"/>
      <c r="X147" s="18"/>
    </row>
    <row r="148" ht="15.75" customHeight="1">
      <c r="A148" s="4">
        <v>31203.0</v>
      </c>
      <c r="B148" s="8">
        <v>0.0</v>
      </c>
      <c r="C148" s="8">
        <v>0.0</v>
      </c>
      <c r="D148" s="8">
        <v>4.0</v>
      </c>
      <c r="E148" s="9">
        <f t="shared" si="51"/>
        <v>0</v>
      </c>
      <c r="F148" s="10" t="str">
        <f t="shared" si="65"/>
        <v>#DIV/0!</v>
      </c>
      <c r="G148" s="10" t="str">
        <f t="shared" si="66"/>
        <v>#DIV/0!</v>
      </c>
      <c r="H148" s="4">
        <v>31203.0</v>
      </c>
      <c r="I148" s="8">
        <v>28.0</v>
      </c>
      <c r="J148" s="8">
        <v>12.777778059244156</v>
      </c>
      <c r="K148" s="8">
        <v>89.0</v>
      </c>
      <c r="L148" s="10">
        <f t="shared" si="4"/>
        <v>0.3146067416</v>
      </c>
      <c r="M148" s="11">
        <f t="shared" si="63"/>
        <v>0.4563492164</v>
      </c>
      <c r="N148" s="11">
        <f t="shared" si="64"/>
        <v>0.14357054</v>
      </c>
      <c r="O148" s="12" t="s">
        <v>22</v>
      </c>
      <c r="Q148" s="17"/>
      <c r="X148" s="18"/>
    </row>
    <row r="149" ht="15.75" customHeight="1">
      <c r="A149" s="4">
        <v>31204.0</v>
      </c>
      <c r="B149" s="8">
        <v>19.0</v>
      </c>
      <c r="C149" s="8">
        <v>8.666666865348816</v>
      </c>
      <c r="D149" s="8">
        <v>37.0</v>
      </c>
      <c r="E149" s="9">
        <f t="shared" si="51"/>
        <v>0.5135135135</v>
      </c>
      <c r="F149" s="10">
        <f t="shared" si="65"/>
        <v>0.4561403613</v>
      </c>
      <c r="G149" s="10">
        <f t="shared" si="66"/>
        <v>0.2342342396</v>
      </c>
      <c r="H149" s="4">
        <v>31204.0</v>
      </c>
      <c r="I149" s="8">
        <v>64.0</v>
      </c>
      <c r="J149" s="8">
        <v>27.333334058523178</v>
      </c>
      <c r="K149" s="8">
        <v>200.0</v>
      </c>
      <c r="L149" s="10">
        <f t="shared" si="4"/>
        <v>0.32</v>
      </c>
      <c r="M149" s="11">
        <f t="shared" si="63"/>
        <v>0.4270833447</v>
      </c>
      <c r="N149" s="11">
        <f t="shared" si="64"/>
        <v>0.1366666703</v>
      </c>
      <c r="O149" s="12">
        <f t="shared" ref="O149:O157" si="68">N149/G149</f>
        <v>0.5834615406</v>
      </c>
      <c r="Q149" s="17"/>
      <c r="X149" s="18"/>
    </row>
    <row r="150" ht="15.75" customHeight="1">
      <c r="A150" s="4">
        <v>31205.0</v>
      </c>
      <c r="B150" s="8">
        <v>46.0</v>
      </c>
      <c r="C150" s="8">
        <v>21.22222277522087</v>
      </c>
      <c r="D150" s="8">
        <v>85.0</v>
      </c>
      <c r="E150" s="9">
        <f t="shared" si="51"/>
        <v>0.5411764706</v>
      </c>
      <c r="F150" s="10">
        <f t="shared" si="65"/>
        <v>0.461352669</v>
      </c>
      <c r="G150" s="10">
        <f t="shared" si="66"/>
        <v>0.2496732091</v>
      </c>
      <c r="H150" s="4">
        <v>31205.0</v>
      </c>
      <c r="I150" s="8">
        <v>167.0</v>
      </c>
      <c r="J150" s="8">
        <v>73.22222402691841</v>
      </c>
      <c r="K150" s="8">
        <v>335.0</v>
      </c>
      <c r="L150" s="10">
        <f t="shared" si="4"/>
        <v>0.4985074627</v>
      </c>
      <c r="M150" s="11">
        <f t="shared" si="63"/>
        <v>0.4384564313</v>
      </c>
      <c r="N150" s="11">
        <f t="shared" si="64"/>
        <v>0.2185738031</v>
      </c>
      <c r="O150" s="12">
        <f t="shared" si="68"/>
        <v>0.8754395549</v>
      </c>
      <c r="Q150" s="17"/>
      <c r="X150" s="18"/>
    </row>
    <row r="151" ht="15.75" customHeight="1">
      <c r="A151" s="4">
        <v>31206.0</v>
      </c>
      <c r="B151" s="8">
        <v>30.0</v>
      </c>
      <c r="C151" s="8">
        <v>13.555555909872055</v>
      </c>
      <c r="D151" s="8">
        <v>51.0</v>
      </c>
      <c r="E151" s="9">
        <f t="shared" si="51"/>
        <v>0.5882352941</v>
      </c>
      <c r="F151" s="10">
        <f t="shared" si="65"/>
        <v>0.4518518637</v>
      </c>
      <c r="G151" s="10">
        <f t="shared" si="66"/>
        <v>0.2657952139</v>
      </c>
      <c r="H151" s="4">
        <v>31206.0</v>
      </c>
      <c r="I151" s="8">
        <v>96.0</v>
      </c>
      <c r="J151" s="8">
        <v>42.111112117767334</v>
      </c>
      <c r="K151" s="8">
        <v>221.0</v>
      </c>
      <c r="L151" s="10">
        <f t="shared" si="4"/>
        <v>0.4343891403</v>
      </c>
      <c r="M151" s="11">
        <f t="shared" si="63"/>
        <v>0.4386574179</v>
      </c>
      <c r="N151" s="11">
        <f t="shared" si="64"/>
        <v>0.1905480186</v>
      </c>
      <c r="O151" s="12">
        <f t="shared" si="68"/>
        <v>0.7168978546</v>
      </c>
      <c r="Q151" s="17"/>
      <c r="X151" s="18"/>
    </row>
    <row r="152" ht="15.75" customHeight="1">
      <c r="A152" s="4">
        <v>31301.0</v>
      </c>
      <c r="B152" s="8">
        <v>1.0</v>
      </c>
      <c r="C152" s="8">
        <v>0.3333333432674408</v>
      </c>
      <c r="D152" s="8">
        <v>3.0</v>
      </c>
      <c r="E152" s="9">
        <f t="shared" si="51"/>
        <v>0.3333333333</v>
      </c>
      <c r="F152" s="10">
        <f t="shared" si="65"/>
        <v>0.3333333433</v>
      </c>
      <c r="G152" s="10">
        <f t="shared" si="66"/>
        <v>0.1111111144</v>
      </c>
      <c r="H152" s="4">
        <v>31301.0</v>
      </c>
      <c r="I152" s="8">
        <v>55.0</v>
      </c>
      <c r="J152" s="8">
        <v>26.88888943195343</v>
      </c>
      <c r="K152" s="8">
        <v>128.0</v>
      </c>
      <c r="L152" s="10">
        <f t="shared" si="4"/>
        <v>0.4296875</v>
      </c>
      <c r="M152" s="11">
        <f t="shared" si="63"/>
        <v>0.4888888988</v>
      </c>
      <c r="N152" s="11">
        <f t="shared" si="64"/>
        <v>0.2100694487</v>
      </c>
      <c r="O152" s="12">
        <f t="shared" si="68"/>
        <v>1.890624982</v>
      </c>
      <c r="Q152" s="17"/>
      <c r="X152" s="18"/>
    </row>
    <row r="153" ht="15.75" customHeight="1">
      <c r="A153" s="4">
        <v>31302.0</v>
      </c>
      <c r="B153" s="8">
        <v>1.0</v>
      </c>
      <c r="C153" s="8">
        <v>0.5555555820465088</v>
      </c>
      <c r="D153" s="8">
        <v>2.0</v>
      </c>
      <c r="E153" s="9">
        <f t="shared" si="51"/>
        <v>0.5</v>
      </c>
      <c r="F153" s="10">
        <f t="shared" si="65"/>
        <v>0.555555582</v>
      </c>
      <c r="G153" s="10">
        <f t="shared" si="66"/>
        <v>0.277777791</v>
      </c>
      <c r="H153" s="4">
        <v>31302.0</v>
      </c>
      <c r="I153" s="8">
        <v>17.0</v>
      </c>
      <c r="J153" s="8">
        <v>7.666666865348816</v>
      </c>
      <c r="K153" s="8">
        <v>23.0</v>
      </c>
      <c r="L153" s="10">
        <f t="shared" si="4"/>
        <v>0.7391304348</v>
      </c>
      <c r="M153" s="11">
        <f t="shared" si="63"/>
        <v>0.4509804038</v>
      </c>
      <c r="N153" s="11">
        <f t="shared" si="64"/>
        <v>0.333333342</v>
      </c>
      <c r="O153" s="12">
        <f t="shared" si="68"/>
        <v>1.199999974</v>
      </c>
      <c r="Q153" s="17"/>
      <c r="X153" s="18"/>
    </row>
    <row r="154" ht="15.75" customHeight="1">
      <c r="A154" s="4">
        <v>31303.0</v>
      </c>
      <c r="B154" s="8">
        <v>3.0</v>
      </c>
      <c r="C154" s="8">
        <v>1.444444477558136</v>
      </c>
      <c r="D154" s="8">
        <v>3.0</v>
      </c>
      <c r="E154" s="9">
        <f t="shared" si="51"/>
        <v>1</v>
      </c>
      <c r="F154" s="10">
        <f t="shared" si="65"/>
        <v>0.4814814925</v>
      </c>
      <c r="G154" s="10">
        <f t="shared" si="66"/>
        <v>0.4814814925</v>
      </c>
      <c r="H154" s="4">
        <v>31303.0</v>
      </c>
      <c r="I154" s="8">
        <v>32.0</v>
      </c>
      <c r="J154" s="8">
        <v>15.444444924592972</v>
      </c>
      <c r="K154" s="8">
        <v>38.0</v>
      </c>
      <c r="L154" s="10">
        <f t="shared" si="4"/>
        <v>0.8421052632</v>
      </c>
      <c r="M154" s="11">
        <f t="shared" si="63"/>
        <v>0.4826389039</v>
      </c>
      <c r="N154" s="11">
        <f t="shared" si="64"/>
        <v>0.4064327612</v>
      </c>
      <c r="O154" s="12">
        <f t="shared" si="68"/>
        <v>0.8441295615</v>
      </c>
      <c r="Q154" s="17"/>
      <c r="X154" s="18"/>
    </row>
    <row r="155" ht="15.75" customHeight="1">
      <c r="A155" s="4">
        <v>31401.0</v>
      </c>
      <c r="B155" s="8">
        <v>2.0</v>
      </c>
      <c r="C155" s="8">
        <v>0.7777777910232544</v>
      </c>
      <c r="D155" s="8">
        <v>10.0</v>
      </c>
      <c r="E155" s="9">
        <f t="shared" si="51"/>
        <v>0.2</v>
      </c>
      <c r="F155" s="10">
        <f t="shared" si="65"/>
        <v>0.3888888955</v>
      </c>
      <c r="G155" s="10">
        <f t="shared" si="66"/>
        <v>0.0777777791</v>
      </c>
      <c r="H155" s="4">
        <v>31401.0</v>
      </c>
      <c r="I155" s="8">
        <v>12.0</v>
      </c>
      <c r="J155" s="8">
        <v>4.777777910232544</v>
      </c>
      <c r="K155" s="8">
        <v>59.0</v>
      </c>
      <c r="L155" s="10">
        <f t="shared" si="4"/>
        <v>0.2033898305</v>
      </c>
      <c r="M155" s="11">
        <f t="shared" si="63"/>
        <v>0.3981481592</v>
      </c>
      <c r="N155" s="11">
        <f t="shared" si="64"/>
        <v>0.08097928661</v>
      </c>
      <c r="O155" s="12">
        <f t="shared" si="68"/>
        <v>1.041162239</v>
      </c>
      <c r="Q155" s="17"/>
      <c r="X155" s="18"/>
    </row>
    <row r="156" ht="15.75" customHeight="1">
      <c r="A156" s="4">
        <v>31402.0</v>
      </c>
      <c r="B156" s="8">
        <v>6.0</v>
      </c>
      <c r="C156" s="8">
        <v>2.333333373069763</v>
      </c>
      <c r="D156" s="8">
        <v>13.0</v>
      </c>
      <c r="E156" s="9">
        <f t="shared" si="51"/>
        <v>0.4615384615</v>
      </c>
      <c r="F156" s="10">
        <f t="shared" si="65"/>
        <v>0.3888888955</v>
      </c>
      <c r="G156" s="10">
        <f t="shared" si="66"/>
        <v>0.1794871825</v>
      </c>
      <c r="H156" s="4">
        <v>31402.0</v>
      </c>
      <c r="I156" s="8">
        <v>31.0</v>
      </c>
      <c r="J156" s="8">
        <v>11.888889104127884</v>
      </c>
      <c r="K156" s="8">
        <v>96.0</v>
      </c>
      <c r="L156" s="10">
        <f t="shared" si="4"/>
        <v>0.3229166667</v>
      </c>
      <c r="M156" s="11">
        <f t="shared" si="63"/>
        <v>0.3835125517</v>
      </c>
      <c r="N156" s="11">
        <f t="shared" si="64"/>
        <v>0.1238425948</v>
      </c>
      <c r="O156" s="12">
        <f t="shared" si="68"/>
        <v>0.6899801595</v>
      </c>
      <c r="Q156" s="17"/>
      <c r="X156" s="18"/>
    </row>
    <row r="157" ht="15.75" customHeight="1">
      <c r="A157" s="4">
        <v>31403.0</v>
      </c>
      <c r="B157" s="8">
        <v>1.0</v>
      </c>
      <c r="C157" s="8">
        <v>0.4444444477558136</v>
      </c>
      <c r="D157" s="8">
        <v>1.0</v>
      </c>
      <c r="E157" s="9">
        <f t="shared" si="51"/>
        <v>1</v>
      </c>
      <c r="F157" s="10">
        <f t="shared" si="65"/>
        <v>0.4444444478</v>
      </c>
      <c r="G157" s="10">
        <f t="shared" si="66"/>
        <v>0.4444444478</v>
      </c>
      <c r="H157" s="4">
        <v>31403.0</v>
      </c>
      <c r="I157" s="8">
        <v>18.0</v>
      </c>
      <c r="J157" s="8">
        <v>7.555555760860443</v>
      </c>
      <c r="K157" s="8">
        <v>49.0</v>
      </c>
      <c r="L157" s="10">
        <f t="shared" si="4"/>
        <v>0.3673469388</v>
      </c>
      <c r="M157" s="11">
        <f t="shared" si="63"/>
        <v>0.4197530978</v>
      </c>
      <c r="N157" s="11">
        <f t="shared" si="64"/>
        <v>0.1541950155</v>
      </c>
      <c r="O157" s="12">
        <f t="shared" si="68"/>
        <v>0.3469387824</v>
      </c>
      <c r="Q157" s="17"/>
      <c r="X157" s="18"/>
    </row>
    <row r="158" ht="15.75" customHeight="1">
      <c r="A158" s="4">
        <v>31404.0</v>
      </c>
      <c r="B158" s="19" t="s">
        <v>22</v>
      </c>
      <c r="C158" s="19" t="s">
        <v>22</v>
      </c>
      <c r="D158" s="19" t="s">
        <v>22</v>
      </c>
      <c r="E158" s="19" t="s">
        <v>22</v>
      </c>
      <c r="F158" s="19" t="s">
        <v>22</v>
      </c>
      <c r="G158" s="19" t="s">
        <v>22</v>
      </c>
      <c r="H158" s="4">
        <v>31404.0</v>
      </c>
      <c r="I158" s="8">
        <v>10.0</v>
      </c>
      <c r="J158" s="8">
        <v>4.888889044523239</v>
      </c>
      <c r="K158" s="8">
        <v>16.0</v>
      </c>
      <c r="L158" s="10">
        <f t="shared" si="4"/>
        <v>0.625</v>
      </c>
      <c r="M158" s="11">
        <f t="shared" si="63"/>
        <v>0.4888889045</v>
      </c>
      <c r="N158" s="11">
        <f t="shared" si="64"/>
        <v>0.3055555653</v>
      </c>
      <c r="O158" s="12" t="s">
        <v>22</v>
      </c>
      <c r="Q158" s="17"/>
      <c r="X158" s="18"/>
    </row>
    <row r="159" ht="15.75" customHeight="1">
      <c r="A159" s="4">
        <v>31405.0</v>
      </c>
      <c r="B159" s="8">
        <v>1.0</v>
      </c>
      <c r="C159" s="8">
        <v>0.6666666865348816</v>
      </c>
      <c r="D159" s="8">
        <v>1.0</v>
      </c>
      <c r="E159" s="9">
        <f t="shared" ref="E159:E175" si="69">B159/D159</f>
        <v>1</v>
      </c>
      <c r="F159" s="10">
        <f t="shared" ref="F159:F175" si="70">C159/B159</f>
        <v>0.6666666865</v>
      </c>
      <c r="G159" s="10">
        <f t="shared" ref="G159:G175" si="71">E159*F159</f>
        <v>0.6666666865</v>
      </c>
      <c r="H159" s="4">
        <v>31405.0</v>
      </c>
      <c r="I159" s="8">
        <v>15.0</v>
      </c>
      <c r="J159" s="8">
        <v>6.777777969837189</v>
      </c>
      <c r="K159" s="8">
        <v>31.0</v>
      </c>
      <c r="L159" s="10">
        <f t="shared" si="4"/>
        <v>0.4838709677</v>
      </c>
      <c r="M159" s="11">
        <f t="shared" si="63"/>
        <v>0.4518518647</v>
      </c>
      <c r="N159" s="11">
        <f t="shared" si="64"/>
        <v>0.218637999</v>
      </c>
      <c r="O159" s="12">
        <f t="shared" ref="O159:O169" si="72">N159/G159</f>
        <v>0.3279569888</v>
      </c>
      <c r="Q159" s="17"/>
      <c r="X159" s="18"/>
    </row>
    <row r="160" ht="15.75" customHeight="1">
      <c r="A160" s="4">
        <v>31501.0</v>
      </c>
      <c r="B160" s="8">
        <v>5.0</v>
      </c>
      <c r="C160" s="8">
        <v>2.2222222983837128</v>
      </c>
      <c r="D160" s="8">
        <v>10.0</v>
      </c>
      <c r="E160" s="9">
        <f t="shared" si="69"/>
        <v>0.5</v>
      </c>
      <c r="F160" s="10">
        <f t="shared" si="70"/>
        <v>0.4444444597</v>
      </c>
      <c r="G160" s="10">
        <f t="shared" si="71"/>
        <v>0.2222222298</v>
      </c>
      <c r="H160" s="4">
        <v>31501.0</v>
      </c>
      <c r="I160" s="8">
        <v>56.0</v>
      </c>
      <c r="J160" s="8">
        <v>23.55555611848831</v>
      </c>
      <c r="K160" s="8">
        <v>98.0</v>
      </c>
      <c r="L160" s="10">
        <f t="shared" si="4"/>
        <v>0.5714285714</v>
      </c>
      <c r="M160" s="11">
        <f t="shared" si="63"/>
        <v>0.4206349307</v>
      </c>
      <c r="N160" s="11">
        <f t="shared" si="64"/>
        <v>0.2403628175</v>
      </c>
      <c r="O160" s="12">
        <f t="shared" si="72"/>
        <v>1.081632642</v>
      </c>
      <c r="Q160" s="17"/>
      <c r="X160" s="18"/>
    </row>
    <row r="161" ht="15.75" customHeight="1">
      <c r="A161" s="4">
        <v>31601.0</v>
      </c>
      <c r="B161" s="8">
        <v>3.0</v>
      </c>
      <c r="C161" s="8">
        <v>1.222222238779068</v>
      </c>
      <c r="D161" s="8">
        <v>9.0</v>
      </c>
      <c r="E161" s="9">
        <f t="shared" si="69"/>
        <v>0.3333333333</v>
      </c>
      <c r="F161" s="10">
        <f t="shared" si="70"/>
        <v>0.4074074129</v>
      </c>
      <c r="G161" s="10">
        <f t="shared" si="71"/>
        <v>0.135802471</v>
      </c>
      <c r="H161" s="4">
        <v>31601.0</v>
      </c>
      <c r="I161" s="8">
        <v>26.0</v>
      </c>
      <c r="J161" s="8">
        <v>10.777778059244156</v>
      </c>
      <c r="K161" s="8">
        <v>69.0</v>
      </c>
      <c r="L161" s="10">
        <f t="shared" si="4"/>
        <v>0.3768115942</v>
      </c>
      <c r="M161" s="11">
        <f t="shared" si="63"/>
        <v>0.4145299254</v>
      </c>
      <c r="N161" s="11">
        <f t="shared" si="64"/>
        <v>0.156199682</v>
      </c>
      <c r="O161" s="12">
        <f t="shared" si="72"/>
        <v>1.150197643</v>
      </c>
      <c r="Q161" s="17"/>
      <c r="X161" s="18"/>
    </row>
    <row r="162" ht="15.75" customHeight="1">
      <c r="A162" s="4">
        <v>31602.0</v>
      </c>
      <c r="B162" s="8">
        <v>44.0</v>
      </c>
      <c r="C162" s="8">
        <v>18.555555880069733</v>
      </c>
      <c r="D162" s="8">
        <v>79.0</v>
      </c>
      <c r="E162" s="9">
        <f t="shared" si="69"/>
        <v>0.5569620253</v>
      </c>
      <c r="F162" s="10">
        <f t="shared" si="70"/>
        <v>0.4217171791</v>
      </c>
      <c r="G162" s="10">
        <f t="shared" si="71"/>
        <v>0.2348804542</v>
      </c>
      <c r="H162" s="4">
        <v>31602.0</v>
      </c>
      <c r="I162" s="8">
        <v>129.0</v>
      </c>
      <c r="J162" s="8">
        <v>56.22222355008125</v>
      </c>
      <c r="K162" s="8">
        <v>253.0</v>
      </c>
      <c r="L162" s="10">
        <f t="shared" si="4"/>
        <v>0.5098814229</v>
      </c>
      <c r="M162" s="11">
        <f t="shared" si="63"/>
        <v>0.4358311903</v>
      </c>
      <c r="N162" s="11">
        <f t="shared" si="64"/>
        <v>0.2222222275</v>
      </c>
      <c r="O162" s="12">
        <f t="shared" si="72"/>
        <v>0.9461077902</v>
      </c>
      <c r="Q162" s="17"/>
      <c r="X162" s="18"/>
    </row>
    <row r="163" ht="15.75" customHeight="1">
      <c r="A163" s="4">
        <v>40101.0</v>
      </c>
      <c r="B163" s="8">
        <v>54.0</v>
      </c>
      <c r="C163" s="8">
        <v>22.77777835726738</v>
      </c>
      <c r="D163" s="8">
        <v>172.0</v>
      </c>
      <c r="E163" s="9">
        <f t="shared" si="69"/>
        <v>0.3139534884</v>
      </c>
      <c r="F163" s="10">
        <f t="shared" si="70"/>
        <v>0.4218107103</v>
      </c>
      <c r="G163" s="10">
        <f t="shared" si="71"/>
        <v>0.1324289439</v>
      </c>
      <c r="H163" s="4">
        <v>40101.0</v>
      </c>
      <c r="I163" s="8">
        <v>322.0</v>
      </c>
      <c r="J163" s="8">
        <v>135.88889238238335</v>
      </c>
      <c r="K163" s="8">
        <v>1622.0</v>
      </c>
      <c r="L163" s="10">
        <f t="shared" si="4"/>
        <v>0.1985203453</v>
      </c>
      <c r="M163" s="11">
        <f t="shared" si="63"/>
        <v>0.4220151937</v>
      </c>
      <c r="N163" s="11">
        <f t="shared" si="64"/>
        <v>0.08377860196</v>
      </c>
      <c r="O163" s="12">
        <f t="shared" si="72"/>
        <v>0.6326305977</v>
      </c>
      <c r="Q163" s="17"/>
      <c r="X163" s="18"/>
    </row>
    <row r="164" ht="15.75" customHeight="1">
      <c r="A164" s="4">
        <v>40102.0</v>
      </c>
      <c r="B164" s="8">
        <v>47.0</v>
      </c>
      <c r="C164" s="8">
        <v>22.111111789941788</v>
      </c>
      <c r="D164" s="8">
        <v>52.0</v>
      </c>
      <c r="E164" s="9">
        <f t="shared" si="69"/>
        <v>0.9038461538</v>
      </c>
      <c r="F164" s="10">
        <f t="shared" si="70"/>
        <v>0.470449187</v>
      </c>
      <c r="G164" s="10">
        <f t="shared" si="71"/>
        <v>0.4252136883</v>
      </c>
      <c r="H164" s="4">
        <v>40102.0</v>
      </c>
      <c r="I164" s="8">
        <v>330.0</v>
      </c>
      <c r="J164" s="8">
        <v>145.33333683013916</v>
      </c>
      <c r="K164" s="8">
        <v>525.0</v>
      </c>
      <c r="L164" s="10">
        <f t="shared" si="4"/>
        <v>0.6285714286</v>
      </c>
      <c r="M164" s="11">
        <f t="shared" si="63"/>
        <v>0.440404051</v>
      </c>
      <c r="N164" s="11">
        <f t="shared" si="64"/>
        <v>0.2768254035</v>
      </c>
      <c r="O164" s="12">
        <f t="shared" si="72"/>
        <v>0.6510265571</v>
      </c>
      <c r="Q164" s="17"/>
      <c r="X164" s="18"/>
    </row>
    <row r="165" ht="15.75" customHeight="1">
      <c r="A165" s="4">
        <v>40103.0</v>
      </c>
      <c r="B165" s="8">
        <v>8.0</v>
      </c>
      <c r="C165" s="8">
        <v>3.666666716337204</v>
      </c>
      <c r="D165" s="8">
        <v>10.0</v>
      </c>
      <c r="E165" s="9">
        <f t="shared" si="69"/>
        <v>0.8</v>
      </c>
      <c r="F165" s="10">
        <f t="shared" si="70"/>
        <v>0.4583333395</v>
      </c>
      <c r="G165" s="10">
        <f t="shared" si="71"/>
        <v>0.3666666716</v>
      </c>
      <c r="H165" s="4">
        <v>40103.0</v>
      </c>
      <c r="I165" s="8">
        <v>80.0</v>
      </c>
      <c r="J165" s="8">
        <v>38.88888958096504</v>
      </c>
      <c r="K165" s="8">
        <v>82.0</v>
      </c>
      <c r="L165" s="10">
        <f t="shared" si="4"/>
        <v>0.9756097561</v>
      </c>
      <c r="M165" s="11">
        <f t="shared" si="63"/>
        <v>0.4861111198</v>
      </c>
      <c r="N165" s="11">
        <f t="shared" si="64"/>
        <v>0.474254751</v>
      </c>
      <c r="O165" s="12">
        <f t="shared" si="72"/>
        <v>1.293422031</v>
      </c>
      <c r="Q165" s="17"/>
      <c r="X165" s="18"/>
    </row>
    <row r="166" ht="15.75" customHeight="1">
      <c r="A166" s="4">
        <v>40104.0</v>
      </c>
      <c r="B166" s="8">
        <v>1.0</v>
      </c>
      <c r="C166" s="8">
        <v>0.3333333432674408</v>
      </c>
      <c r="D166" s="8">
        <v>11.0</v>
      </c>
      <c r="E166" s="9">
        <f t="shared" si="69"/>
        <v>0.09090909091</v>
      </c>
      <c r="F166" s="10">
        <f t="shared" si="70"/>
        <v>0.3333333433</v>
      </c>
      <c r="G166" s="10">
        <f t="shared" si="71"/>
        <v>0.03030303121</v>
      </c>
      <c r="H166" s="4">
        <v>40104.0</v>
      </c>
      <c r="I166" s="8">
        <v>82.0</v>
      </c>
      <c r="J166" s="8">
        <v>36.55555647611618</v>
      </c>
      <c r="K166" s="8">
        <v>169.0</v>
      </c>
      <c r="L166" s="10">
        <f t="shared" si="4"/>
        <v>0.4852071006</v>
      </c>
      <c r="M166" s="11">
        <f t="shared" si="63"/>
        <v>0.4457994692</v>
      </c>
      <c r="N166" s="11">
        <f t="shared" si="64"/>
        <v>0.2163050679</v>
      </c>
      <c r="O166" s="12">
        <f t="shared" si="72"/>
        <v>7.138067028</v>
      </c>
      <c r="Q166" s="17"/>
      <c r="X166" s="18"/>
    </row>
    <row r="167" ht="15.75" customHeight="1">
      <c r="A167" s="4">
        <v>40201.0</v>
      </c>
      <c r="B167" s="8">
        <v>28.0</v>
      </c>
      <c r="C167" s="8">
        <v>13.111111372709274</v>
      </c>
      <c r="D167" s="8">
        <v>42.0</v>
      </c>
      <c r="E167" s="9">
        <f t="shared" si="69"/>
        <v>0.6666666667</v>
      </c>
      <c r="F167" s="10">
        <f t="shared" si="70"/>
        <v>0.4682539776</v>
      </c>
      <c r="G167" s="10">
        <f t="shared" si="71"/>
        <v>0.3121693184</v>
      </c>
      <c r="H167" s="4">
        <v>40201.0</v>
      </c>
      <c r="I167" s="8">
        <v>312.0</v>
      </c>
      <c r="J167" s="8">
        <v>131.22222554683685</v>
      </c>
      <c r="K167" s="8">
        <v>565.0</v>
      </c>
      <c r="L167" s="10">
        <f t="shared" si="4"/>
        <v>0.5522123894</v>
      </c>
      <c r="M167" s="11">
        <f t="shared" si="63"/>
        <v>0.4205840562</v>
      </c>
      <c r="N167" s="11">
        <f t="shared" si="64"/>
        <v>0.2322517266</v>
      </c>
      <c r="O167" s="12">
        <f t="shared" si="72"/>
        <v>0.7439928044</v>
      </c>
      <c r="Q167" s="17"/>
      <c r="X167" s="18"/>
    </row>
    <row r="168" ht="15.75" customHeight="1">
      <c r="A168" s="4">
        <v>40202.0</v>
      </c>
      <c r="B168" s="8">
        <v>4.0</v>
      </c>
      <c r="C168" s="8">
        <v>1.8888889253139496</v>
      </c>
      <c r="D168" s="8">
        <v>8.0</v>
      </c>
      <c r="E168" s="9">
        <f t="shared" si="69"/>
        <v>0.5</v>
      </c>
      <c r="F168" s="10">
        <f t="shared" si="70"/>
        <v>0.4722222313</v>
      </c>
      <c r="G168" s="10">
        <f t="shared" si="71"/>
        <v>0.2361111157</v>
      </c>
      <c r="H168" s="4">
        <v>40202.0</v>
      </c>
      <c r="I168" s="8">
        <v>57.0</v>
      </c>
      <c r="J168" s="8">
        <v>23.555556178092957</v>
      </c>
      <c r="K168" s="8">
        <v>147.0</v>
      </c>
      <c r="L168" s="10">
        <f t="shared" si="4"/>
        <v>0.387755102</v>
      </c>
      <c r="M168" s="11">
        <f t="shared" si="63"/>
        <v>0.4132553715</v>
      </c>
      <c r="N168" s="11">
        <f t="shared" si="64"/>
        <v>0.1602418788</v>
      </c>
      <c r="O168" s="12">
        <f t="shared" si="72"/>
        <v>0.6786714734</v>
      </c>
      <c r="Q168" s="17"/>
      <c r="X168" s="18"/>
    </row>
    <row r="169" ht="15.75" customHeight="1">
      <c r="A169" s="4">
        <v>40301.0</v>
      </c>
      <c r="B169" s="8">
        <v>1.0</v>
      </c>
      <c r="C169" s="8">
        <v>0.4444444477558136</v>
      </c>
      <c r="D169" s="8">
        <v>4.0</v>
      </c>
      <c r="E169" s="9">
        <f t="shared" si="69"/>
        <v>0.25</v>
      </c>
      <c r="F169" s="10">
        <f t="shared" si="70"/>
        <v>0.4444444478</v>
      </c>
      <c r="G169" s="10">
        <f t="shared" si="71"/>
        <v>0.1111111119</v>
      </c>
      <c r="H169" s="4">
        <v>40301.0</v>
      </c>
      <c r="I169" s="8">
        <v>116.0</v>
      </c>
      <c r="J169" s="8">
        <v>52.77777913212776</v>
      </c>
      <c r="K169" s="8">
        <v>188.0</v>
      </c>
      <c r="L169" s="10">
        <f t="shared" si="4"/>
        <v>0.6170212766</v>
      </c>
      <c r="M169" s="11">
        <f t="shared" si="63"/>
        <v>0.4549808546</v>
      </c>
      <c r="N169" s="11">
        <f t="shared" si="64"/>
        <v>0.2807328677</v>
      </c>
      <c r="O169" s="12">
        <f t="shared" si="72"/>
        <v>2.526595791</v>
      </c>
      <c r="Q169" s="17"/>
      <c r="X169" s="18"/>
    </row>
    <row r="170" ht="15.75" customHeight="1">
      <c r="A170" s="4">
        <v>40302.0</v>
      </c>
      <c r="B170" s="8">
        <v>0.0</v>
      </c>
      <c r="C170" s="8">
        <v>0.0</v>
      </c>
      <c r="D170" s="8">
        <v>1.0</v>
      </c>
      <c r="E170" s="9">
        <f t="shared" si="69"/>
        <v>0</v>
      </c>
      <c r="F170" s="10" t="str">
        <f t="shared" si="70"/>
        <v>#DIV/0!</v>
      </c>
      <c r="G170" s="10" t="str">
        <f t="shared" si="71"/>
        <v>#DIV/0!</v>
      </c>
      <c r="H170" s="4">
        <v>40302.0</v>
      </c>
      <c r="I170" s="8">
        <v>2.0</v>
      </c>
      <c r="J170" s="8">
        <v>0.7777777910232544</v>
      </c>
      <c r="K170" s="8">
        <v>14.0</v>
      </c>
      <c r="L170" s="10">
        <f t="shared" si="4"/>
        <v>0.1428571429</v>
      </c>
      <c r="M170" s="11">
        <f t="shared" si="63"/>
        <v>0.3888888955</v>
      </c>
      <c r="N170" s="11">
        <f t="shared" si="64"/>
        <v>0.0555555565</v>
      </c>
      <c r="O170" s="12" t="s">
        <v>22</v>
      </c>
      <c r="Q170" s="17"/>
      <c r="X170" s="18"/>
    </row>
    <row r="171" ht="15.75" customHeight="1">
      <c r="A171" s="4">
        <v>40401.0</v>
      </c>
      <c r="B171" s="8">
        <v>1.0</v>
      </c>
      <c r="C171" s="8">
        <v>0.4444444477558136</v>
      </c>
      <c r="D171" s="8">
        <v>2.0</v>
      </c>
      <c r="E171" s="9">
        <f t="shared" si="69"/>
        <v>0.5</v>
      </c>
      <c r="F171" s="10">
        <f t="shared" si="70"/>
        <v>0.4444444478</v>
      </c>
      <c r="G171" s="10">
        <f t="shared" si="71"/>
        <v>0.2222222239</v>
      </c>
      <c r="H171" s="4">
        <v>40401.0</v>
      </c>
      <c r="I171" s="8">
        <v>16.0</v>
      </c>
      <c r="J171" s="8">
        <v>6.555555701255798</v>
      </c>
      <c r="K171" s="8">
        <v>45.0</v>
      </c>
      <c r="L171" s="10">
        <f t="shared" si="4"/>
        <v>0.3555555556</v>
      </c>
      <c r="M171" s="11">
        <f t="shared" si="63"/>
        <v>0.4097222313</v>
      </c>
      <c r="N171" s="11">
        <f t="shared" si="64"/>
        <v>0.1456790156</v>
      </c>
      <c r="O171" s="12">
        <f t="shared" ref="O171:O172" si="73">N171/G171</f>
        <v>0.6555555652</v>
      </c>
      <c r="Q171" s="17"/>
      <c r="X171" s="18"/>
    </row>
    <row r="172" ht="15.75" customHeight="1">
      <c r="A172" s="4">
        <v>40402.0</v>
      </c>
      <c r="B172" s="8">
        <v>10.0</v>
      </c>
      <c r="C172" s="8">
        <v>4.888888984918594</v>
      </c>
      <c r="D172" s="8">
        <v>21.0</v>
      </c>
      <c r="E172" s="9">
        <f t="shared" si="69"/>
        <v>0.4761904762</v>
      </c>
      <c r="F172" s="10">
        <f t="shared" si="70"/>
        <v>0.4888888985</v>
      </c>
      <c r="G172" s="10">
        <f t="shared" si="71"/>
        <v>0.2328042374</v>
      </c>
      <c r="H172" s="4">
        <v>40402.0</v>
      </c>
      <c r="I172" s="8">
        <v>43.0</v>
      </c>
      <c r="J172" s="8">
        <v>18.333333730697632</v>
      </c>
      <c r="K172" s="8">
        <v>141.0</v>
      </c>
      <c r="L172" s="10">
        <f t="shared" si="4"/>
        <v>0.304964539</v>
      </c>
      <c r="M172" s="11">
        <f t="shared" si="63"/>
        <v>0.4263565984</v>
      </c>
      <c r="N172" s="11">
        <f t="shared" si="64"/>
        <v>0.1300236435</v>
      </c>
      <c r="O172" s="12">
        <f t="shared" si="73"/>
        <v>0.5585106394</v>
      </c>
      <c r="Q172" s="17"/>
      <c r="X172" s="18"/>
    </row>
    <row r="173" ht="15.75" customHeight="1">
      <c r="A173" s="4">
        <v>40501.0</v>
      </c>
      <c r="B173" s="8">
        <v>0.0</v>
      </c>
      <c r="C173" s="8">
        <v>0.0</v>
      </c>
      <c r="D173" s="8">
        <v>1.0</v>
      </c>
      <c r="E173" s="9">
        <f t="shared" si="69"/>
        <v>0</v>
      </c>
      <c r="F173" s="10" t="str">
        <f t="shared" si="70"/>
        <v>#DIV/0!</v>
      </c>
      <c r="G173" s="10" t="str">
        <f t="shared" si="71"/>
        <v>#DIV/0!</v>
      </c>
      <c r="H173" s="4">
        <v>40501.0</v>
      </c>
      <c r="I173" s="8">
        <v>1.0</v>
      </c>
      <c r="J173" s="8">
        <v>0.3333333432674408</v>
      </c>
      <c r="K173" s="8">
        <v>18.0</v>
      </c>
      <c r="L173" s="10">
        <f t="shared" si="4"/>
        <v>0.05555555556</v>
      </c>
      <c r="M173" s="11">
        <f t="shared" si="63"/>
        <v>0.3333333433</v>
      </c>
      <c r="N173" s="11">
        <f t="shared" si="64"/>
        <v>0.01851851907</v>
      </c>
      <c r="O173" s="12" t="s">
        <v>22</v>
      </c>
      <c r="Q173" s="17"/>
      <c r="X173" s="18"/>
    </row>
    <row r="174" ht="15.75" customHeight="1">
      <c r="A174" s="4">
        <v>40502.0</v>
      </c>
      <c r="B174" s="8">
        <v>1.0</v>
      </c>
      <c r="C174" s="8">
        <v>0.3333333432674408</v>
      </c>
      <c r="D174" s="8">
        <v>3.0</v>
      </c>
      <c r="E174" s="9">
        <f t="shared" si="69"/>
        <v>0.3333333333</v>
      </c>
      <c r="F174" s="10">
        <f t="shared" si="70"/>
        <v>0.3333333433</v>
      </c>
      <c r="G174" s="10">
        <f t="shared" si="71"/>
        <v>0.1111111144</v>
      </c>
      <c r="H174" s="4">
        <v>40502.0</v>
      </c>
      <c r="I174" s="8">
        <v>78.0</v>
      </c>
      <c r="J174" s="8">
        <v>36.88888990879059</v>
      </c>
      <c r="K174" s="8">
        <v>121.0</v>
      </c>
      <c r="L174" s="10">
        <f t="shared" si="4"/>
        <v>0.6446280992</v>
      </c>
      <c r="M174" s="11">
        <f t="shared" si="63"/>
        <v>0.472934486</v>
      </c>
      <c r="N174" s="11">
        <f t="shared" si="64"/>
        <v>0.3048668588</v>
      </c>
      <c r="O174" s="12">
        <f t="shared" ref="O174:O175" si="74">N174/G174</f>
        <v>2.743801647</v>
      </c>
      <c r="Q174" s="17"/>
      <c r="X174" s="18"/>
    </row>
    <row r="175" ht="15.75" customHeight="1">
      <c r="A175" s="4">
        <v>40503.0</v>
      </c>
      <c r="B175" s="8">
        <v>12.0</v>
      </c>
      <c r="C175" s="8">
        <v>5.333333402872086</v>
      </c>
      <c r="D175" s="8">
        <v>12.0</v>
      </c>
      <c r="E175" s="9">
        <f t="shared" si="69"/>
        <v>1</v>
      </c>
      <c r="F175" s="10">
        <f t="shared" si="70"/>
        <v>0.4444444502</v>
      </c>
      <c r="G175" s="10">
        <f t="shared" si="71"/>
        <v>0.4444444502</v>
      </c>
      <c r="H175" s="4">
        <v>40503.0</v>
      </c>
      <c r="I175" s="8">
        <v>8.0</v>
      </c>
      <c r="J175" s="8">
        <v>3.4444445073604584</v>
      </c>
      <c r="K175" s="8">
        <v>8.0</v>
      </c>
      <c r="L175" s="10">
        <f t="shared" si="4"/>
        <v>1</v>
      </c>
      <c r="M175" s="11">
        <f t="shared" si="63"/>
        <v>0.4305555634</v>
      </c>
      <c r="N175" s="11">
        <f t="shared" si="64"/>
        <v>0.4305555634</v>
      </c>
      <c r="O175" s="12">
        <f t="shared" si="74"/>
        <v>0.9687500051</v>
      </c>
      <c r="Q175" s="17"/>
      <c r="X175" s="18"/>
    </row>
    <row r="176" ht="15.75" customHeight="1">
      <c r="A176" s="4">
        <v>40504.0</v>
      </c>
      <c r="H176" s="4">
        <v>40504.0</v>
      </c>
      <c r="I176" s="8">
        <v>10.0</v>
      </c>
      <c r="J176" s="8">
        <v>4.333333373069763</v>
      </c>
      <c r="K176" s="8">
        <v>11.0</v>
      </c>
      <c r="L176" s="10">
        <f t="shared" si="4"/>
        <v>0.9090909091</v>
      </c>
      <c r="M176" s="11">
        <f t="shared" si="63"/>
        <v>0.4333333373</v>
      </c>
      <c r="N176" s="11">
        <f t="shared" si="64"/>
        <v>0.3939393976</v>
      </c>
      <c r="O176" s="12" t="s">
        <v>22</v>
      </c>
      <c r="Q176" s="17"/>
      <c r="X176" s="18"/>
    </row>
    <row r="177" ht="15.75" customHeight="1">
      <c r="A177" s="4">
        <v>40505.0</v>
      </c>
      <c r="B177" s="8">
        <v>0.0</v>
      </c>
      <c r="C177" s="8">
        <v>0.0</v>
      </c>
      <c r="D177" s="8">
        <v>2.0</v>
      </c>
      <c r="E177" s="9">
        <f t="shared" ref="E177:E222" si="75">B177/D177</f>
        <v>0</v>
      </c>
      <c r="F177" s="10" t="str">
        <f t="shared" ref="F177:F222" si="76">C177/B177</f>
        <v>#DIV/0!</v>
      </c>
      <c r="G177" s="10" t="str">
        <f t="shared" ref="G177:G222" si="77">E177*F177</f>
        <v>#DIV/0!</v>
      </c>
      <c r="H177" s="4">
        <v>40505.0</v>
      </c>
      <c r="I177" s="8">
        <v>19.0</v>
      </c>
      <c r="J177" s="8">
        <v>7.111111253499985</v>
      </c>
      <c r="K177" s="8">
        <v>55.0</v>
      </c>
      <c r="L177" s="10">
        <f t="shared" si="4"/>
        <v>0.3454545455</v>
      </c>
      <c r="M177" s="11">
        <f t="shared" si="63"/>
        <v>0.3742690133</v>
      </c>
      <c r="N177" s="11">
        <f t="shared" si="64"/>
        <v>0.1292929319</v>
      </c>
      <c r="O177" s="12" t="s">
        <v>22</v>
      </c>
      <c r="Q177" s="17"/>
      <c r="X177" s="18"/>
    </row>
    <row r="178" ht="15.75" customHeight="1">
      <c r="A178" s="4">
        <v>40601.0</v>
      </c>
      <c r="B178" s="8">
        <v>5.0</v>
      </c>
      <c r="C178" s="8">
        <v>1.7777778208255768</v>
      </c>
      <c r="D178" s="8">
        <v>8.0</v>
      </c>
      <c r="E178" s="9">
        <f t="shared" si="75"/>
        <v>0.625</v>
      </c>
      <c r="F178" s="10">
        <f t="shared" si="76"/>
        <v>0.3555555642</v>
      </c>
      <c r="G178" s="10">
        <f t="shared" si="77"/>
        <v>0.2222222276</v>
      </c>
      <c r="H178" s="4">
        <v>40601.0</v>
      </c>
      <c r="I178" s="8">
        <v>141.0</v>
      </c>
      <c r="J178" s="8">
        <v>58.88889014720917</v>
      </c>
      <c r="K178" s="8">
        <v>227.0</v>
      </c>
      <c r="L178" s="10">
        <f t="shared" si="4"/>
        <v>0.6211453744</v>
      </c>
      <c r="M178" s="11">
        <f t="shared" si="63"/>
        <v>0.4176517032</v>
      </c>
      <c r="N178" s="11">
        <f t="shared" si="64"/>
        <v>0.2594224236</v>
      </c>
      <c r="O178" s="12">
        <f t="shared" ref="O178:O181" si="78">N178/G178</f>
        <v>1.167400878</v>
      </c>
      <c r="Q178" s="17"/>
      <c r="X178" s="18"/>
    </row>
    <row r="179" ht="15.75" customHeight="1">
      <c r="A179" s="4">
        <v>40602.0</v>
      </c>
      <c r="B179" s="8">
        <v>8.0</v>
      </c>
      <c r="C179" s="8">
        <v>3.4444445371627808</v>
      </c>
      <c r="D179" s="8">
        <v>16.0</v>
      </c>
      <c r="E179" s="9">
        <f t="shared" si="75"/>
        <v>0.5</v>
      </c>
      <c r="F179" s="10">
        <f t="shared" si="76"/>
        <v>0.4305555671</v>
      </c>
      <c r="G179" s="10">
        <f t="shared" si="77"/>
        <v>0.2152777836</v>
      </c>
      <c r="H179" s="4">
        <v>40602.0</v>
      </c>
      <c r="I179" s="8">
        <v>60.0</v>
      </c>
      <c r="J179" s="8">
        <v>25.000000596046448</v>
      </c>
      <c r="K179" s="8">
        <v>141.0</v>
      </c>
      <c r="L179" s="10">
        <f t="shared" si="4"/>
        <v>0.4255319149</v>
      </c>
      <c r="M179" s="11">
        <f t="shared" si="63"/>
        <v>0.4166666766</v>
      </c>
      <c r="N179" s="11">
        <f t="shared" si="64"/>
        <v>0.1773049688</v>
      </c>
      <c r="O179" s="12">
        <f t="shared" si="78"/>
        <v>0.8236101553</v>
      </c>
      <c r="Q179" s="17"/>
      <c r="X179" s="18"/>
    </row>
    <row r="180" ht="15.75" customHeight="1">
      <c r="A180" s="4">
        <v>40603.0</v>
      </c>
      <c r="B180" s="8">
        <v>6.0</v>
      </c>
      <c r="C180" s="8">
        <v>2.333333373069763</v>
      </c>
      <c r="D180" s="8">
        <v>10.0</v>
      </c>
      <c r="E180" s="9">
        <f t="shared" si="75"/>
        <v>0.6</v>
      </c>
      <c r="F180" s="10">
        <f t="shared" si="76"/>
        <v>0.3888888955</v>
      </c>
      <c r="G180" s="10">
        <f t="shared" si="77"/>
        <v>0.2333333373</v>
      </c>
      <c r="H180" s="4">
        <v>40603.0</v>
      </c>
      <c r="I180" s="8">
        <v>37.0</v>
      </c>
      <c r="J180" s="8">
        <v>14.888889163732529</v>
      </c>
      <c r="K180" s="8">
        <v>88.0</v>
      </c>
      <c r="L180" s="10">
        <f t="shared" si="4"/>
        <v>0.4204545455</v>
      </c>
      <c r="M180" s="11">
        <f t="shared" si="63"/>
        <v>0.4024024098</v>
      </c>
      <c r="N180" s="11">
        <f t="shared" si="64"/>
        <v>0.1691919223</v>
      </c>
      <c r="O180" s="12">
        <f t="shared" si="78"/>
        <v>0.7251082261</v>
      </c>
      <c r="Q180" s="17"/>
      <c r="X180" s="18"/>
    </row>
    <row r="181" ht="15.75" customHeight="1">
      <c r="A181" s="4">
        <v>40701.0</v>
      </c>
      <c r="B181" s="8">
        <v>2.0</v>
      </c>
      <c r="C181" s="8">
        <v>0.7777777910232544</v>
      </c>
      <c r="D181" s="8">
        <v>14.0</v>
      </c>
      <c r="E181" s="9">
        <f t="shared" si="75"/>
        <v>0.1428571429</v>
      </c>
      <c r="F181" s="10">
        <f t="shared" si="76"/>
        <v>0.3888888955</v>
      </c>
      <c r="G181" s="10">
        <f t="shared" si="77"/>
        <v>0.0555555565</v>
      </c>
      <c r="H181" s="4">
        <v>40701.0</v>
      </c>
      <c r="I181" s="8">
        <v>38.0</v>
      </c>
      <c r="J181" s="8">
        <v>15.444444745779037</v>
      </c>
      <c r="K181" s="8">
        <v>224.0</v>
      </c>
      <c r="L181" s="10">
        <f t="shared" si="4"/>
        <v>0.1696428571</v>
      </c>
      <c r="M181" s="11">
        <f t="shared" si="63"/>
        <v>0.4064327565</v>
      </c>
      <c r="N181" s="11">
        <f t="shared" si="64"/>
        <v>0.06894841404</v>
      </c>
      <c r="O181" s="12">
        <f t="shared" si="78"/>
        <v>1.241071432</v>
      </c>
      <c r="Q181" s="17"/>
      <c r="X181" s="18"/>
    </row>
    <row r="182" ht="15.75" customHeight="1">
      <c r="A182" s="4">
        <v>40702.0</v>
      </c>
      <c r="B182" s="8">
        <v>0.0</v>
      </c>
      <c r="C182" s="8">
        <v>0.0</v>
      </c>
      <c r="D182" s="8">
        <v>6.0</v>
      </c>
      <c r="E182" s="9">
        <f t="shared" si="75"/>
        <v>0</v>
      </c>
      <c r="F182" s="10" t="str">
        <f t="shared" si="76"/>
        <v>#DIV/0!</v>
      </c>
      <c r="G182" s="10" t="str">
        <f t="shared" si="77"/>
        <v>#DIV/0!</v>
      </c>
      <c r="H182" s="4">
        <v>40702.0</v>
      </c>
      <c r="I182" s="8">
        <v>10.0</v>
      </c>
      <c r="J182" s="8">
        <v>3.6666667759418488</v>
      </c>
      <c r="K182" s="8">
        <v>50.0</v>
      </c>
      <c r="L182" s="10">
        <f t="shared" si="4"/>
        <v>0.2</v>
      </c>
      <c r="M182" s="11">
        <f t="shared" si="63"/>
        <v>0.3666666776</v>
      </c>
      <c r="N182" s="11">
        <f t="shared" si="64"/>
        <v>0.07333333552</v>
      </c>
      <c r="O182" s="12" t="s">
        <v>22</v>
      </c>
      <c r="Q182" s="17"/>
      <c r="X182" s="18"/>
    </row>
    <row r="183" ht="15.75" customHeight="1">
      <c r="A183" s="4">
        <v>40801.0</v>
      </c>
      <c r="B183" s="8">
        <v>20.0</v>
      </c>
      <c r="C183" s="8">
        <v>8.55555585026741</v>
      </c>
      <c r="D183" s="8">
        <v>26.0</v>
      </c>
      <c r="E183" s="9">
        <f t="shared" si="75"/>
        <v>0.7692307692</v>
      </c>
      <c r="F183" s="10">
        <f t="shared" si="76"/>
        <v>0.4277777925</v>
      </c>
      <c r="G183" s="10">
        <f t="shared" si="77"/>
        <v>0.3290598404</v>
      </c>
      <c r="H183" s="4">
        <v>40801.0</v>
      </c>
      <c r="I183" s="8">
        <v>193.0</v>
      </c>
      <c r="J183" s="8">
        <v>76.55555739998817</v>
      </c>
      <c r="K183" s="8">
        <v>373.0</v>
      </c>
      <c r="L183" s="10">
        <f t="shared" si="4"/>
        <v>0.5174262735</v>
      </c>
      <c r="M183" s="11">
        <f t="shared" si="63"/>
        <v>0.3966609192</v>
      </c>
      <c r="N183" s="11">
        <f t="shared" si="64"/>
        <v>0.2052427812</v>
      </c>
      <c r="O183" s="12">
        <f t="shared" ref="O183:O185" si="79">N183/G183</f>
        <v>0.6237247942</v>
      </c>
      <c r="Q183" s="17"/>
      <c r="X183" s="18"/>
    </row>
    <row r="184" ht="15.75" customHeight="1">
      <c r="A184" s="4">
        <v>40802.0</v>
      </c>
      <c r="B184" s="8">
        <v>1.0</v>
      </c>
      <c r="C184" s="8">
        <v>0.4444444477558136</v>
      </c>
      <c r="D184" s="8">
        <v>1.0</v>
      </c>
      <c r="E184" s="9">
        <f t="shared" si="75"/>
        <v>1</v>
      </c>
      <c r="F184" s="10">
        <f t="shared" si="76"/>
        <v>0.4444444478</v>
      </c>
      <c r="G184" s="10">
        <f t="shared" si="77"/>
        <v>0.4444444478</v>
      </c>
      <c r="H184" s="4">
        <v>40802.0</v>
      </c>
      <c r="I184" s="8">
        <v>10.0</v>
      </c>
      <c r="J184" s="8">
        <v>4.666666805744171</v>
      </c>
      <c r="K184" s="8">
        <v>29.0</v>
      </c>
      <c r="L184" s="10">
        <f t="shared" si="4"/>
        <v>0.3448275862</v>
      </c>
      <c r="M184" s="11">
        <f t="shared" si="63"/>
        <v>0.4666666806</v>
      </c>
      <c r="N184" s="11">
        <f t="shared" si="64"/>
        <v>0.160919545</v>
      </c>
      <c r="O184" s="12">
        <f t="shared" si="79"/>
        <v>0.3620689736</v>
      </c>
      <c r="Q184" s="17"/>
      <c r="X184" s="18"/>
    </row>
    <row r="185" ht="15.75" customHeight="1">
      <c r="A185" s="4">
        <v>40901.0</v>
      </c>
      <c r="B185" s="8">
        <v>2.0</v>
      </c>
      <c r="C185" s="8">
        <v>0.7777777910232544</v>
      </c>
      <c r="D185" s="8">
        <v>17.0</v>
      </c>
      <c r="E185" s="9">
        <f t="shared" si="75"/>
        <v>0.1176470588</v>
      </c>
      <c r="F185" s="10">
        <f t="shared" si="76"/>
        <v>0.3888888955</v>
      </c>
      <c r="G185" s="10">
        <f t="shared" si="77"/>
        <v>0.04575163477</v>
      </c>
      <c r="H185" s="4">
        <v>40901.0</v>
      </c>
      <c r="I185" s="8">
        <v>142.0</v>
      </c>
      <c r="J185" s="8">
        <v>55.55555695295334</v>
      </c>
      <c r="K185" s="8">
        <v>343.0</v>
      </c>
      <c r="L185" s="10">
        <f t="shared" si="4"/>
        <v>0.4139941691</v>
      </c>
      <c r="M185" s="11">
        <f t="shared" si="63"/>
        <v>0.3912363166</v>
      </c>
      <c r="N185" s="11">
        <f t="shared" si="64"/>
        <v>0.1619695538</v>
      </c>
      <c r="O185" s="12">
        <f t="shared" si="79"/>
        <v>3.540191616</v>
      </c>
      <c r="Q185" s="17"/>
      <c r="X185" s="18"/>
    </row>
    <row r="186" ht="15.75" customHeight="1">
      <c r="A186" s="4">
        <v>40902.0</v>
      </c>
      <c r="B186" s="8">
        <v>0.0</v>
      </c>
      <c r="C186" s="8">
        <v>0.0</v>
      </c>
      <c r="D186" s="8">
        <v>2.0</v>
      </c>
      <c r="E186" s="9">
        <f t="shared" si="75"/>
        <v>0</v>
      </c>
      <c r="F186" s="10" t="str">
        <f t="shared" si="76"/>
        <v>#DIV/0!</v>
      </c>
      <c r="G186" s="10" t="str">
        <f t="shared" si="77"/>
        <v>#DIV/0!</v>
      </c>
      <c r="H186" s="4">
        <v>40902.0</v>
      </c>
      <c r="I186" s="8">
        <v>7.0</v>
      </c>
      <c r="J186" s="8">
        <v>2.777777850627899</v>
      </c>
      <c r="K186" s="8">
        <v>35.0</v>
      </c>
      <c r="L186" s="10">
        <f t="shared" si="4"/>
        <v>0.2</v>
      </c>
      <c r="M186" s="11">
        <f t="shared" si="63"/>
        <v>0.3968254072</v>
      </c>
      <c r="N186" s="11">
        <f t="shared" si="64"/>
        <v>0.07936508145</v>
      </c>
      <c r="O186" s="12" t="s">
        <v>22</v>
      </c>
      <c r="Q186" s="17"/>
      <c r="X186" s="18"/>
    </row>
    <row r="187" ht="15.75" customHeight="1">
      <c r="A187" s="4">
        <v>40903.0</v>
      </c>
      <c r="B187" s="8">
        <v>1.0</v>
      </c>
      <c r="C187" s="8">
        <v>0.5555555820465088</v>
      </c>
      <c r="D187" s="8">
        <v>2.0</v>
      </c>
      <c r="E187" s="9">
        <f t="shared" si="75"/>
        <v>0.5</v>
      </c>
      <c r="F187" s="10">
        <f t="shared" si="76"/>
        <v>0.555555582</v>
      </c>
      <c r="G187" s="10">
        <f t="shared" si="77"/>
        <v>0.277777791</v>
      </c>
      <c r="H187" s="4">
        <v>40903.0</v>
      </c>
      <c r="I187" s="8">
        <v>4.0</v>
      </c>
      <c r="J187" s="8">
        <v>1.5555555820465088</v>
      </c>
      <c r="K187" s="8">
        <v>12.0</v>
      </c>
      <c r="L187" s="10">
        <f t="shared" si="4"/>
        <v>0.3333333333</v>
      </c>
      <c r="M187" s="11">
        <f t="shared" si="63"/>
        <v>0.3888888955</v>
      </c>
      <c r="N187" s="11">
        <f t="shared" si="64"/>
        <v>0.1296296318</v>
      </c>
      <c r="O187" s="12">
        <f t="shared" ref="O187:O193" si="80">N187/G187</f>
        <v>0.4666666524</v>
      </c>
      <c r="Q187" s="17"/>
      <c r="X187" s="18"/>
    </row>
    <row r="188" ht="15.75" customHeight="1">
      <c r="A188" s="4">
        <v>41001.0</v>
      </c>
      <c r="B188" s="8">
        <v>7.0</v>
      </c>
      <c r="C188" s="8">
        <v>3.2222222983837128</v>
      </c>
      <c r="D188" s="8">
        <v>15.0</v>
      </c>
      <c r="E188" s="9">
        <f t="shared" si="75"/>
        <v>0.4666666667</v>
      </c>
      <c r="F188" s="10">
        <f t="shared" si="76"/>
        <v>0.4603174712</v>
      </c>
      <c r="G188" s="10">
        <f t="shared" si="77"/>
        <v>0.2148148199</v>
      </c>
      <c r="H188" s="4">
        <v>41001.0</v>
      </c>
      <c r="I188" s="8">
        <v>160.0</v>
      </c>
      <c r="J188" s="8">
        <v>72.22222357988358</v>
      </c>
      <c r="K188" s="8">
        <v>213.0</v>
      </c>
      <c r="L188" s="10">
        <f t="shared" si="4"/>
        <v>0.7511737089</v>
      </c>
      <c r="M188" s="11">
        <f t="shared" si="63"/>
        <v>0.4513888974</v>
      </c>
      <c r="N188" s="11">
        <f t="shared" si="64"/>
        <v>0.3390714722</v>
      </c>
      <c r="O188" s="12">
        <f t="shared" si="80"/>
        <v>1.578436126</v>
      </c>
      <c r="Q188" s="17"/>
      <c r="X188" s="18"/>
    </row>
    <row r="189" ht="15.75" customHeight="1">
      <c r="A189" s="4">
        <v>41101.0</v>
      </c>
      <c r="B189" s="8">
        <v>3.0</v>
      </c>
      <c r="C189" s="8">
        <v>1.222222238779068</v>
      </c>
      <c r="D189" s="8">
        <v>7.0</v>
      </c>
      <c r="E189" s="9">
        <f t="shared" si="75"/>
        <v>0.4285714286</v>
      </c>
      <c r="F189" s="10">
        <f t="shared" si="76"/>
        <v>0.4074074129</v>
      </c>
      <c r="G189" s="10">
        <f t="shared" si="77"/>
        <v>0.174603177</v>
      </c>
      <c r="H189" s="4">
        <v>41101.0</v>
      </c>
      <c r="I189" s="8">
        <v>52.0</v>
      </c>
      <c r="J189" s="8">
        <v>21.000000447034836</v>
      </c>
      <c r="K189" s="8">
        <v>166.0</v>
      </c>
      <c r="L189" s="10">
        <f t="shared" si="4"/>
        <v>0.313253012</v>
      </c>
      <c r="M189" s="11">
        <f t="shared" si="63"/>
        <v>0.4038461624</v>
      </c>
      <c r="N189" s="11">
        <f t="shared" si="64"/>
        <v>0.1265060268</v>
      </c>
      <c r="O189" s="12">
        <f t="shared" si="80"/>
        <v>0.7245345073</v>
      </c>
      <c r="Q189" s="17"/>
      <c r="X189" s="18"/>
    </row>
    <row r="190" ht="15.75" customHeight="1">
      <c r="A190" s="4">
        <v>41201.0</v>
      </c>
      <c r="B190" s="8">
        <v>2.0</v>
      </c>
      <c r="C190" s="8">
        <v>0.8888888955116272</v>
      </c>
      <c r="D190" s="8">
        <v>3.0</v>
      </c>
      <c r="E190" s="9">
        <f t="shared" si="75"/>
        <v>0.6666666667</v>
      </c>
      <c r="F190" s="10">
        <f t="shared" si="76"/>
        <v>0.4444444478</v>
      </c>
      <c r="G190" s="10">
        <f t="shared" si="77"/>
        <v>0.2962962985</v>
      </c>
      <c r="H190" s="4">
        <v>41201.0</v>
      </c>
      <c r="I190" s="8">
        <v>95.0</v>
      </c>
      <c r="J190" s="8">
        <v>40.44444528222084</v>
      </c>
      <c r="K190" s="8">
        <v>127.0</v>
      </c>
      <c r="L190" s="10">
        <f t="shared" si="4"/>
        <v>0.7480314961</v>
      </c>
      <c r="M190" s="11">
        <f t="shared" si="63"/>
        <v>0.425731003</v>
      </c>
      <c r="N190" s="11">
        <f t="shared" si="64"/>
        <v>0.3184601991</v>
      </c>
      <c r="O190" s="12">
        <f t="shared" si="80"/>
        <v>1.074803164</v>
      </c>
      <c r="Q190" s="17"/>
      <c r="X190" s="18"/>
    </row>
    <row r="191" ht="15.75" customHeight="1">
      <c r="A191" s="4">
        <v>41202.0</v>
      </c>
      <c r="B191" s="8">
        <v>2.0</v>
      </c>
      <c r="C191" s="8">
        <v>0.8888889253139496</v>
      </c>
      <c r="D191" s="8">
        <v>2.0</v>
      </c>
      <c r="E191" s="9">
        <f t="shared" si="75"/>
        <v>1</v>
      </c>
      <c r="F191" s="10">
        <f t="shared" si="76"/>
        <v>0.4444444627</v>
      </c>
      <c r="G191" s="10">
        <f t="shared" si="77"/>
        <v>0.4444444627</v>
      </c>
      <c r="H191" s="4">
        <v>41202.0</v>
      </c>
      <c r="I191" s="8">
        <v>33.0</v>
      </c>
      <c r="J191" s="8">
        <v>12.55555585026741</v>
      </c>
      <c r="K191" s="8">
        <v>85.0</v>
      </c>
      <c r="L191" s="10">
        <f t="shared" si="4"/>
        <v>0.3882352941</v>
      </c>
      <c r="M191" s="11">
        <f t="shared" si="63"/>
        <v>0.3804713894</v>
      </c>
      <c r="N191" s="11">
        <f t="shared" si="64"/>
        <v>0.1477124218</v>
      </c>
      <c r="O191" s="12">
        <f t="shared" si="80"/>
        <v>0.3323529354</v>
      </c>
      <c r="Q191" s="17"/>
      <c r="X191" s="18"/>
    </row>
    <row r="192" ht="15.75" customHeight="1">
      <c r="A192" s="4">
        <v>41301.0</v>
      </c>
      <c r="B192" s="8">
        <v>1.0</v>
      </c>
      <c r="C192" s="8">
        <v>0.4444444477558136</v>
      </c>
      <c r="D192" s="8">
        <v>1.0</v>
      </c>
      <c r="E192" s="9">
        <f t="shared" si="75"/>
        <v>1</v>
      </c>
      <c r="F192" s="10">
        <f t="shared" si="76"/>
        <v>0.4444444478</v>
      </c>
      <c r="G192" s="10">
        <f t="shared" si="77"/>
        <v>0.4444444478</v>
      </c>
      <c r="H192" s="4">
        <v>41301.0</v>
      </c>
      <c r="I192" s="8">
        <v>29.0</v>
      </c>
      <c r="J192" s="8">
        <v>12.222222477197647</v>
      </c>
      <c r="K192" s="8">
        <v>60.0</v>
      </c>
      <c r="L192" s="10">
        <f t="shared" si="4"/>
        <v>0.4833333333</v>
      </c>
      <c r="M192" s="11">
        <f t="shared" si="63"/>
        <v>0.4214559475</v>
      </c>
      <c r="N192" s="11">
        <f t="shared" si="64"/>
        <v>0.203703708</v>
      </c>
      <c r="O192" s="12">
        <f t="shared" si="80"/>
        <v>0.4583333395</v>
      </c>
      <c r="Q192" s="17"/>
      <c r="X192" s="18"/>
    </row>
    <row r="193" ht="15.75" customHeight="1">
      <c r="A193" s="4">
        <v>41401.0</v>
      </c>
      <c r="B193" s="8">
        <v>4.0</v>
      </c>
      <c r="C193" s="8">
        <v>1.5555555820465088</v>
      </c>
      <c r="D193" s="8">
        <v>19.0</v>
      </c>
      <c r="E193" s="9">
        <f t="shared" si="75"/>
        <v>0.2105263158</v>
      </c>
      <c r="F193" s="10">
        <f t="shared" si="76"/>
        <v>0.3888888955</v>
      </c>
      <c r="G193" s="10">
        <f t="shared" si="77"/>
        <v>0.08187134642</v>
      </c>
      <c r="H193" s="4">
        <v>41401.0</v>
      </c>
      <c r="I193" s="8">
        <v>176.0</v>
      </c>
      <c r="J193" s="8">
        <v>73.55555710196495</v>
      </c>
      <c r="K193" s="8">
        <v>383.0</v>
      </c>
      <c r="L193" s="10">
        <f t="shared" si="4"/>
        <v>0.4595300261</v>
      </c>
      <c r="M193" s="11">
        <f t="shared" si="63"/>
        <v>0.4179293017</v>
      </c>
      <c r="N193" s="11">
        <f t="shared" si="64"/>
        <v>0.1920510629</v>
      </c>
      <c r="O193" s="12">
        <f t="shared" si="80"/>
        <v>2.345766514</v>
      </c>
      <c r="Q193" s="17"/>
      <c r="X193" s="18"/>
    </row>
    <row r="194" ht="15.75" customHeight="1">
      <c r="A194" s="4">
        <v>41501.0</v>
      </c>
      <c r="B194" s="8">
        <v>0.0</v>
      </c>
      <c r="C194" s="8">
        <v>0.0</v>
      </c>
      <c r="D194" s="8">
        <v>1.0</v>
      </c>
      <c r="E194" s="9">
        <f t="shared" si="75"/>
        <v>0</v>
      </c>
      <c r="F194" s="10" t="str">
        <f t="shared" si="76"/>
        <v>#DIV/0!</v>
      </c>
      <c r="G194" s="10" t="str">
        <f t="shared" si="77"/>
        <v>#DIV/0!</v>
      </c>
      <c r="H194" s="4">
        <v>41501.0</v>
      </c>
      <c r="I194" s="8">
        <v>9.0</v>
      </c>
      <c r="J194" s="8">
        <v>4.11111119389534</v>
      </c>
      <c r="K194" s="8">
        <v>16.0</v>
      </c>
      <c r="L194" s="10">
        <f t="shared" si="4"/>
        <v>0.5625</v>
      </c>
      <c r="M194" s="11">
        <f t="shared" si="63"/>
        <v>0.4567901327</v>
      </c>
      <c r="N194" s="11">
        <f t="shared" si="64"/>
        <v>0.2569444496</v>
      </c>
      <c r="O194" s="12" t="s">
        <v>22</v>
      </c>
      <c r="Q194" s="17"/>
      <c r="X194" s="18"/>
    </row>
    <row r="195" ht="15.75" customHeight="1">
      <c r="A195" s="4">
        <v>41502.0</v>
      </c>
      <c r="B195" s="8">
        <v>0.0</v>
      </c>
      <c r="C195" s="8">
        <v>0.0</v>
      </c>
      <c r="D195" s="8">
        <v>1.0</v>
      </c>
      <c r="E195" s="9">
        <f t="shared" si="75"/>
        <v>0</v>
      </c>
      <c r="F195" s="10" t="str">
        <f t="shared" si="76"/>
        <v>#DIV/0!</v>
      </c>
      <c r="G195" s="10" t="str">
        <f t="shared" si="77"/>
        <v>#DIV/0!</v>
      </c>
      <c r="H195" s="4">
        <v>41502.0</v>
      </c>
      <c r="I195" s="8">
        <v>3.0</v>
      </c>
      <c r="J195" s="8">
        <v>1.222222238779068</v>
      </c>
      <c r="K195" s="8">
        <v>9.0</v>
      </c>
      <c r="L195" s="10">
        <f t="shared" si="4"/>
        <v>0.3333333333</v>
      </c>
      <c r="M195" s="11">
        <f t="shared" si="63"/>
        <v>0.4074074129</v>
      </c>
      <c r="N195" s="11">
        <f t="shared" si="64"/>
        <v>0.135802471</v>
      </c>
      <c r="O195" s="12" t="s">
        <v>22</v>
      </c>
      <c r="Q195" s="17"/>
      <c r="X195" s="18"/>
    </row>
    <row r="196" ht="15.75" customHeight="1">
      <c r="A196" s="4">
        <v>41601.0</v>
      </c>
      <c r="B196" s="8">
        <v>1.0</v>
      </c>
      <c r="C196" s="8">
        <v>0.3333333432674408</v>
      </c>
      <c r="D196" s="8">
        <v>2.0</v>
      </c>
      <c r="E196" s="9">
        <f t="shared" si="75"/>
        <v>0.5</v>
      </c>
      <c r="F196" s="10">
        <f t="shared" si="76"/>
        <v>0.3333333433</v>
      </c>
      <c r="G196" s="10">
        <f t="shared" si="77"/>
        <v>0.1666666716</v>
      </c>
      <c r="H196" s="4">
        <v>41601.0</v>
      </c>
      <c r="I196" s="8">
        <v>76.0</v>
      </c>
      <c r="J196" s="8">
        <v>33.444445222616196</v>
      </c>
      <c r="K196" s="8">
        <v>105.0</v>
      </c>
      <c r="L196" s="10">
        <f t="shared" si="4"/>
        <v>0.7238095238</v>
      </c>
      <c r="M196" s="11">
        <f t="shared" si="63"/>
        <v>0.4400584898</v>
      </c>
      <c r="N196" s="11">
        <f t="shared" si="64"/>
        <v>0.3185185259</v>
      </c>
      <c r="O196" s="12">
        <f t="shared" ref="O196:O222" si="81">N196/G196</f>
        <v>1.911111099</v>
      </c>
      <c r="Q196" s="17"/>
      <c r="X196" s="18"/>
    </row>
    <row r="197" ht="15.75" customHeight="1">
      <c r="A197" s="4">
        <v>50101.0</v>
      </c>
      <c r="B197" s="8">
        <v>38.0</v>
      </c>
      <c r="C197" s="8">
        <v>16.888889372348785</v>
      </c>
      <c r="D197" s="8">
        <v>124.0</v>
      </c>
      <c r="E197" s="9">
        <f t="shared" si="75"/>
        <v>0.3064516129</v>
      </c>
      <c r="F197" s="10">
        <f t="shared" si="76"/>
        <v>0.4444444572</v>
      </c>
      <c r="G197" s="10">
        <f t="shared" si="77"/>
        <v>0.1362007207</v>
      </c>
      <c r="H197" s="4">
        <v>50101.0</v>
      </c>
      <c r="I197" s="8">
        <v>355.0</v>
      </c>
      <c r="J197" s="8">
        <v>149.7777813076973</v>
      </c>
      <c r="K197" s="8">
        <v>1394.0</v>
      </c>
      <c r="L197" s="10">
        <f t="shared" si="4"/>
        <v>0.2546628407</v>
      </c>
      <c r="M197" s="11">
        <f t="shared" si="63"/>
        <v>0.4219092431</v>
      </c>
      <c r="N197" s="11">
        <f t="shared" si="64"/>
        <v>0.1074446064</v>
      </c>
      <c r="O197" s="12">
        <f t="shared" si="81"/>
        <v>0.7888695875</v>
      </c>
      <c r="Q197" s="17"/>
      <c r="X197" s="18"/>
    </row>
    <row r="198" ht="15.75" customHeight="1">
      <c r="A198" s="4">
        <v>50102.0</v>
      </c>
      <c r="B198" s="8">
        <v>13.0</v>
      </c>
      <c r="C198" s="8">
        <v>6.44444465637207</v>
      </c>
      <c r="D198" s="8">
        <v>23.0</v>
      </c>
      <c r="E198" s="9">
        <f t="shared" si="75"/>
        <v>0.5652173913</v>
      </c>
      <c r="F198" s="10">
        <f t="shared" si="76"/>
        <v>0.495726512</v>
      </c>
      <c r="G198" s="10">
        <f t="shared" si="77"/>
        <v>0.2801932459</v>
      </c>
      <c r="H198" s="4">
        <v>50102.0</v>
      </c>
      <c r="I198" s="8">
        <v>144.0</v>
      </c>
      <c r="J198" s="8">
        <v>70.00000166893005</v>
      </c>
      <c r="K198" s="8">
        <v>244.0</v>
      </c>
      <c r="L198" s="10">
        <f t="shared" si="4"/>
        <v>0.5901639344</v>
      </c>
      <c r="M198" s="11">
        <f t="shared" si="63"/>
        <v>0.4861111227</v>
      </c>
      <c r="N198" s="11">
        <f t="shared" si="64"/>
        <v>0.2868852527</v>
      </c>
      <c r="O198" s="12">
        <f t="shared" si="81"/>
        <v>1.023883541</v>
      </c>
      <c r="Q198" s="17"/>
      <c r="X198" s="18"/>
    </row>
    <row r="199" ht="15.75" customHeight="1">
      <c r="A199" s="4">
        <v>50103.0</v>
      </c>
      <c r="B199" s="8">
        <v>2.0</v>
      </c>
      <c r="C199" s="8">
        <v>0.8888888955116272</v>
      </c>
      <c r="D199" s="8">
        <v>6.0</v>
      </c>
      <c r="E199" s="9">
        <f t="shared" si="75"/>
        <v>0.3333333333</v>
      </c>
      <c r="F199" s="10">
        <f t="shared" si="76"/>
        <v>0.4444444478</v>
      </c>
      <c r="G199" s="10">
        <f t="shared" si="77"/>
        <v>0.1481481493</v>
      </c>
      <c r="H199" s="4">
        <v>50103.0</v>
      </c>
      <c r="I199" s="8">
        <v>33.0</v>
      </c>
      <c r="J199" s="8">
        <v>12.888889133930206</v>
      </c>
      <c r="K199" s="8">
        <v>183.0</v>
      </c>
      <c r="L199" s="10">
        <f t="shared" si="4"/>
        <v>0.1803278689</v>
      </c>
      <c r="M199" s="11">
        <f t="shared" si="63"/>
        <v>0.390572398</v>
      </c>
      <c r="N199" s="11">
        <f t="shared" si="64"/>
        <v>0.07043108816</v>
      </c>
      <c r="O199" s="12">
        <f t="shared" si="81"/>
        <v>0.4754098416</v>
      </c>
      <c r="Q199" s="17"/>
      <c r="X199" s="18"/>
    </row>
    <row r="200" ht="15.75" customHeight="1">
      <c r="A200" s="4">
        <v>50104.0</v>
      </c>
      <c r="B200" s="8">
        <v>2.0</v>
      </c>
      <c r="C200" s="8">
        <v>0.6666666865348816</v>
      </c>
      <c r="D200" s="8">
        <v>3.0</v>
      </c>
      <c r="E200" s="9">
        <f t="shared" si="75"/>
        <v>0.6666666667</v>
      </c>
      <c r="F200" s="10">
        <f t="shared" si="76"/>
        <v>0.3333333433</v>
      </c>
      <c r="G200" s="10">
        <f t="shared" si="77"/>
        <v>0.2222222288</v>
      </c>
      <c r="H200" s="4">
        <v>50104.0</v>
      </c>
      <c r="I200" s="8">
        <v>8.0</v>
      </c>
      <c r="J200" s="8">
        <v>3.1111111640930176</v>
      </c>
      <c r="K200" s="8">
        <v>23.0</v>
      </c>
      <c r="L200" s="10">
        <f t="shared" si="4"/>
        <v>0.347826087</v>
      </c>
      <c r="M200" s="11">
        <f t="shared" si="63"/>
        <v>0.3888888955</v>
      </c>
      <c r="N200" s="11">
        <f t="shared" si="64"/>
        <v>0.1352657028</v>
      </c>
      <c r="O200" s="12">
        <f t="shared" si="81"/>
        <v>0.6086956444</v>
      </c>
      <c r="Q200" s="17"/>
      <c r="X200" s="18"/>
    </row>
    <row r="201" ht="15.75" customHeight="1">
      <c r="A201" s="4">
        <v>50201.0</v>
      </c>
      <c r="B201" s="8">
        <v>5.0</v>
      </c>
      <c r="C201" s="8">
        <v>2.0000000596046448</v>
      </c>
      <c r="D201" s="8">
        <v>12.0</v>
      </c>
      <c r="E201" s="9">
        <f t="shared" si="75"/>
        <v>0.4166666667</v>
      </c>
      <c r="F201" s="10">
        <f t="shared" si="76"/>
        <v>0.4000000119</v>
      </c>
      <c r="G201" s="10">
        <f t="shared" si="77"/>
        <v>0.1666666716</v>
      </c>
      <c r="H201" s="4">
        <v>50201.0</v>
      </c>
      <c r="I201" s="8">
        <v>65.0</v>
      </c>
      <c r="J201" s="8">
        <v>28.666667252779007</v>
      </c>
      <c r="K201" s="8">
        <v>131.0</v>
      </c>
      <c r="L201" s="10">
        <f t="shared" si="4"/>
        <v>0.4961832061</v>
      </c>
      <c r="M201" s="11">
        <f t="shared" si="63"/>
        <v>0.44102565</v>
      </c>
      <c r="N201" s="11">
        <f t="shared" si="64"/>
        <v>0.218829521</v>
      </c>
      <c r="O201" s="12">
        <f t="shared" si="81"/>
        <v>1.312977087</v>
      </c>
      <c r="Q201" s="17"/>
      <c r="X201" s="18"/>
    </row>
    <row r="202" ht="15.75" customHeight="1">
      <c r="A202" s="4">
        <v>50202.0</v>
      </c>
      <c r="B202" s="8">
        <v>12.0</v>
      </c>
      <c r="C202" s="8">
        <v>5.0000001192092896</v>
      </c>
      <c r="D202" s="8">
        <v>25.0</v>
      </c>
      <c r="E202" s="9">
        <f t="shared" si="75"/>
        <v>0.48</v>
      </c>
      <c r="F202" s="10">
        <f t="shared" si="76"/>
        <v>0.4166666766</v>
      </c>
      <c r="G202" s="10">
        <f t="shared" si="77"/>
        <v>0.2000000048</v>
      </c>
      <c r="H202" s="4">
        <v>50202.0</v>
      </c>
      <c r="I202" s="8">
        <v>56.0</v>
      </c>
      <c r="J202" s="8">
        <v>23.555556148290634</v>
      </c>
      <c r="K202" s="8">
        <v>127.0</v>
      </c>
      <c r="L202" s="10">
        <f t="shared" si="4"/>
        <v>0.4409448819</v>
      </c>
      <c r="M202" s="11">
        <f t="shared" si="63"/>
        <v>0.4206349312</v>
      </c>
      <c r="N202" s="11">
        <f t="shared" si="64"/>
        <v>0.1854768201</v>
      </c>
      <c r="O202" s="12">
        <f t="shared" si="81"/>
        <v>0.9273840782</v>
      </c>
      <c r="Q202" s="17"/>
      <c r="X202" s="18"/>
    </row>
    <row r="203" ht="15.75" customHeight="1">
      <c r="A203" s="4">
        <v>50203.0</v>
      </c>
      <c r="B203" s="8">
        <v>15.0</v>
      </c>
      <c r="C203" s="8">
        <v>6.444444626569748</v>
      </c>
      <c r="D203" s="8">
        <v>44.0</v>
      </c>
      <c r="E203" s="9">
        <f t="shared" si="75"/>
        <v>0.3409090909</v>
      </c>
      <c r="F203" s="10">
        <f t="shared" si="76"/>
        <v>0.4296296418</v>
      </c>
      <c r="G203" s="10">
        <f t="shared" si="77"/>
        <v>0.1464646506</v>
      </c>
      <c r="H203" s="4">
        <v>50203.0</v>
      </c>
      <c r="I203" s="8">
        <v>94.0</v>
      </c>
      <c r="J203" s="8">
        <v>39.22222322225571</v>
      </c>
      <c r="K203" s="8">
        <v>348.0</v>
      </c>
      <c r="L203" s="10">
        <f t="shared" si="4"/>
        <v>0.2701149425</v>
      </c>
      <c r="M203" s="11">
        <f t="shared" si="63"/>
        <v>0.4172576939</v>
      </c>
      <c r="N203" s="11">
        <f t="shared" si="64"/>
        <v>0.112707538</v>
      </c>
      <c r="O203" s="12">
        <f t="shared" si="81"/>
        <v>0.7695204101</v>
      </c>
      <c r="Q203" s="17"/>
      <c r="X203" s="18"/>
    </row>
    <row r="204" ht="15.75" customHeight="1">
      <c r="A204" s="4">
        <v>50204.0</v>
      </c>
      <c r="B204" s="8">
        <v>6.0</v>
      </c>
      <c r="C204" s="8">
        <v>2.4444445073604584</v>
      </c>
      <c r="D204" s="8">
        <v>13.0</v>
      </c>
      <c r="E204" s="9">
        <f t="shared" si="75"/>
        <v>0.4615384615</v>
      </c>
      <c r="F204" s="10">
        <f t="shared" si="76"/>
        <v>0.4074074179</v>
      </c>
      <c r="G204" s="10">
        <f t="shared" si="77"/>
        <v>0.1880341929</v>
      </c>
      <c r="H204" s="4">
        <v>50204.0</v>
      </c>
      <c r="I204" s="8">
        <v>14.0</v>
      </c>
      <c r="J204" s="8">
        <v>5.444444566965103</v>
      </c>
      <c r="K204" s="8">
        <v>35.0</v>
      </c>
      <c r="L204" s="10">
        <f t="shared" si="4"/>
        <v>0.4</v>
      </c>
      <c r="M204" s="11">
        <f t="shared" si="63"/>
        <v>0.3888888976</v>
      </c>
      <c r="N204" s="11">
        <f t="shared" si="64"/>
        <v>0.1555555591</v>
      </c>
      <c r="O204" s="12">
        <f t="shared" si="81"/>
        <v>0.8272727246</v>
      </c>
      <c r="Q204" s="17"/>
      <c r="X204" s="18"/>
    </row>
    <row r="205" ht="15.75" customHeight="1">
      <c r="A205" s="4">
        <v>50301.0</v>
      </c>
      <c r="B205" s="8">
        <v>10.0</v>
      </c>
      <c r="C205" s="8">
        <v>4.11111119389534</v>
      </c>
      <c r="D205" s="8">
        <v>20.0</v>
      </c>
      <c r="E205" s="9">
        <f t="shared" si="75"/>
        <v>0.5</v>
      </c>
      <c r="F205" s="10">
        <f t="shared" si="76"/>
        <v>0.4111111194</v>
      </c>
      <c r="G205" s="10">
        <f t="shared" si="77"/>
        <v>0.2055555597</v>
      </c>
      <c r="H205" s="4">
        <v>50301.0</v>
      </c>
      <c r="I205" s="8">
        <v>192.0</v>
      </c>
      <c r="J205" s="8">
        <v>87.77778005599976</v>
      </c>
      <c r="K205" s="8">
        <v>377.0</v>
      </c>
      <c r="L205" s="10">
        <f t="shared" si="4"/>
        <v>0.5092838196</v>
      </c>
      <c r="M205" s="11">
        <f t="shared" si="63"/>
        <v>0.4571759378</v>
      </c>
      <c r="N205" s="11">
        <f t="shared" si="64"/>
        <v>0.2328323078</v>
      </c>
      <c r="O205" s="12">
        <f t="shared" si="81"/>
        <v>1.132697691</v>
      </c>
      <c r="Q205" s="17"/>
      <c r="X205" s="18"/>
    </row>
    <row r="206" ht="15.75" customHeight="1">
      <c r="A206" s="4">
        <v>50302.0</v>
      </c>
      <c r="B206" s="8">
        <v>6.0</v>
      </c>
      <c r="C206" s="8">
        <v>3.11111119389534</v>
      </c>
      <c r="D206" s="8">
        <v>11.0</v>
      </c>
      <c r="E206" s="9">
        <f t="shared" si="75"/>
        <v>0.5454545455</v>
      </c>
      <c r="F206" s="10">
        <f t="shared" si="76"/>
        <v>0.5185185323</v>
      </c>
      <c r="G206" s="10">
        <f t="shared" si="77"/>
        <v>0.2828282904</v>
      </c>
      <c r="H206" s="4">
        <v>50302.0</v>
      </c>
      <c r="I206" s="8">
        <v>152.0</v>
      </c>
      <c r="J206" s="8">
        <v>68.77777934074402</v>
      </c>
      <c r="K206" s="8">
        <v>257.0</v>
      </c>
      <c r="L206" s="10">
        <f t="shared" si="4"/>
        <v>0.5914396887</v>
      </c>
      <c r="M206" s="11">
        <f t="shared" si="63"/>
        <v>0.4524853904</v>
      </c>
      <c r="N206" s="11">
        <f t="shared" si="64"/>
        <v>0.2676178184</v>
      </c>
      <c r="O206" s="12">
        <f t="shared" si="81"/>
        <v>0.9462201186</v>
      </c>
      <c r="Q206" s="17"/>
      <c r="X206" s="18"/>
    </row>
    <row r="207" ht="15.75" customHeight="1">
      <c r="A207" s="4">
        <v>50303.0</v>
      </c>
      <c r="B207" s="8">
        <v>10.0</v>
      </c>
      <c r="C207" s="8">
        <v>5.000000178813934</v>
      </c>
      <c r="D207" s="8">
        <v>13.0</v>
      </c>
      <c r="E207" s="9">
        <f t="shared" si="75"/>
        <v>0.7692307692</v>
      </c>
      <c r="F207" s="10">
        <f t="shared" si="76"/>
        <v>0.5000000179</v>
      </c>
      <c r="G207" s="10">
        <f t="shared" si="77"/>
        <v>0.3846153984</v>
      </c>
      <c r="H207" s="4">
        <v>50303.0</v>
      </c>
      <c r="I207" s="8">
        <v>80.0</v>
      </c>
      <c r="J207" s="8">
        <v>40.111112266778946</v>
      </c>
      <c r="K207" s="8">
        <v>98.0</v>
      </c>
      <c r="L207" s="10">
        <f t="shared" si="4"/>
        <v>0.8163265306</v>
      </c>
      <c r="M207" s="11">
        <f t="shared" si="63"/>
        <v>0.5013889033</v>
      </c>
      <c r="N207" s="11">
        <f t="shared" si="64"/>
        <v>0.4092970639</v>
      </c>
      <c r="O207" s="12">
        <f t="shared" si="81"/>
        <v>1.064172328</v>
      </c>
      <c r="Q207" s="17"/>
      <c r="X207" s="18"/>
    </row>
    <row r="208" ht="15.75" customHeight="1">
      <c r="A208" s="4">
        <v>50401.0</v>
      </c>
      <c r="B208" s="8">
        <v>28.0</v>
      </c>
      <c r="C208" s="8">
        <v>12.888889253139496</v>
      </c>
      <c r="D208" s="8">
        <v>37.0</v>
      </c>
      <c r="E208" s="9">
        <f t="shared" si="75"/>
        <v>0.7567567568</v>
      </c>
      <c r="F208" s="10">
        <f t="shared" si="76"/>
        <v>0.4603174733</v>
      </c>
      <c r="G208" s="10">
        <f t="shared" si="77"/>
        <v>0.3483483582</v>
      </c>
      <c r="H208" s="4">
        <v>50401.0</v>
      </c>
      <c r="I208" s="8">
        <v>239.0</v>
      </c>
      <c r="J208" s="8">
        <v>112.55555856227875</v>
      </c>
      <c r="K208" s="8">
        <v>348.0</v>
      </c>
      <c r="L208" s="10">
        <f t="shared" si="4"/>
        <v>0.6867816092</v>
      </c>
      <c r="M208" s="11">
        <f t="shared" si="63"/>
        <v>0.4709437597</v>
      </c>
      <c r="N208" s="11">
        <f t="shared" si="64"/>
        <v>0.3234355131</v>
      </c>
      <c r="O208" s="12">
        <f t="shared" si="81"/>
        <v>0.9284829554</v>
      </c>
      <c r="Q208" s="17"/>
      <c r="X208" s="18"/>
    </row>
    <row r="209" ht="15.75" customHeight="1">
      <c r="A209" s="4">
        <v>50402.0</v>
      </c>
      <c r="B209" s="8">
        <v>18.0</v>
      </c>
      <c r="C209" s="8">
        <v>8.555555790662766</v>
      </c>
      <c r="D209" s="8">
        <v>23.0</v>
      </c>
      <c r="E209" s="9">
        <f t="shared" si="75"/>
        <v>0.7826086957</v>
      </c>
      <c r="F209" s="10">
        <f t="shared" si="76"/>
        <v>0.475308655</v>
      </c>
      <c r="G209" s="10">
        <f t="shared" si="77"/>
        <v>0.3719806866</v>
      </c>
      <c r="H209" s="4">
        <v>50402.0</v>
      </c>
      <c r="I209" s="8">
        <v>259.0</v>
      </c>
      <c r="J209" s="8">
        <v>121.00000301003456</v>
      </c>
      <c r="K209" s="8">
        <v>390.0</v>
      </c>
      <c r="L209" s="10">
        <f t="shared" si="4"/>
        <v>0.6641025641</v>
      </c>
      <c r="M209" s="11">
        <f t="shared" si="63"/>
        <v>0.4671814788</v>
      </c>
      <c r="N209" s="11">
        <f t="shared" si="64"/>
        <v>0.310256418</v>
      </c>
      <c r="O209" s="12">
        <f t="shared" si="81"/>
        <v>0.8340659319</v>
      </c>
      <c r="Q209" s="17"/>
      <c r="X209" s="18"/>
    </row>
    <row r="210" ht="15.75" customHeight="1">
      <c r="A210" s="4">
        <v>50403.0</v>
      </c>
      <c r="B210" s="8">
        <v>18.0</v>
      </c>
      <c r="C210" s="8">
        <v>8.555555790662766</v>
      </c>
      <c r="D210" s="8">
        <v>22.0</v>
      </c>
      <c r="E210" s="9">
        <f t="shared" si="75"/>
        <v>0.8181818182</v>
      </c>
      <c r="F210" s="10">
        <f t="shared" si="76"/>
        <v>0.475308655</v>
      </c>
      <c r="G210" s="10">
        <f t="shared" si="77"/>
        <v>0.3888888996</v>
      </c>
      <c r="H210" s="4">
        <v>50403.0</v>
      </c>
      <c r="I210" s="8">
        <v>175.0</v>
      </c>
      <c r="J210" s="8">
        <v>76.22222390770912</v>
      </c>
      <c r="K210" s="8">
        <v>231.0</v>
      </c>
      <c r="L210" s="10">
        <f t="shared" si="4"/>
        <v>0.7575757576</v>
      </c>
      <c r="M210" s="11">
        <f t="shared" si="63"/>
        <v>0.4355555652</v>
      </c>
      <c r="N210" s="11">
        <f t="shared" si="64"/>
        <v>0.3299663373</v>
      </c>
      <c r="O210" s="12">
        <f t="shared" si="81"/>
        <v>0.8484848439</v>
      </c>
      <c r="Q210" s="17"/>
      <c r="X210" s="18"/>
    </row>
    <row r="211" ht="15.75" customHeight="1">
      <c r="A211" s="4">
        <v>50404.0</v>
      </c>
      <c r="B211" s="8">
        <v>23.0</v>
      </c>
      <c r="C211" s="8">
        <v>10.888889104127884</v>
      </c>
      <c r="D211" s="8">
        <v>26.0</v>
      </c>
      <c r="E211" s="9">
        <f t="shared" si="75"/>
        <v>0.8846153846</v>
      </c>
      <c r="F211" s="10">
        <f t="shared" si="76"/>
        <v>0.473429961</v>
      </c>
      <c r="G211" s="10">
        <f t="shared" si="77"/>
        <v>0.4188034271</v>
      </c>
      <c r="H211" s="4">
        <v>50404.0</v>
      </c>
      <c r="I211" s="8">
        <v>187.0</v>
      </c>
      <c r="J211" s="8">
        <v>89.77777981758118</v>
      </c>
      <c r="K211" s="8">
        <v>258.0</v>
      </c>
      <c r="L211" s="10">
        <f t="shared" si="4"/>
        <v>0.7248062016</v>
      </c>
      <c r="M211" s="11">
        <f t="shared" si="63"/>
        <v>0.4800950792</v>
      </c>
      <c r="N211" s="11">
        <f t="shared" si="64"/>
        <v>0.3479758908</v>
      </c>
      <c r="O211" s="12">
        <f t="shared" si="81"/>
        <v>0.8308811921</v>
      </c>
      <c r="Q211" s="17"/>
      <c r="X211" s="18"/>
    </row>
    <row r="212" ht="15.75" customHeight="1">
      <c r="A212" s="4">
        <v>50501.0</v>
      </c>
      <c r="B212" s="8">
        <v>22.0</v>
      </c>
      <c r="C212" s="8">
        <v>9.666666895151138</v>
      </c>
      <c r="D212" s="8">
        <v>34.0</v>
      </c>
      <c r="E212" s="9">
        <f t="shared" si="75"/>
        <v>0.6470588235</v>
      </c>
      <c r="F212" s="10">
        <f t="shared" si="76"/>
        <v>0.4393939498</v>
      </c>
      <c r="G212" s="10">
        <f t="shared" si="77"/>
        <v>0.2843137322</v>
      </c>
      <c r="H212" s="4">
        <v>50501.0</v>
      </c>
      <c r="I212" s="8">
        <v>181.0</v>
      </c>
      <c r="J212" s="8">
        <v>90.55555793642998</v>
      </c>
      <c r="K212" s="8">
        <v>245.0</v>
      </c>
      <c r="L212" s="10">
        <f t="shared" si="4"/>
        <v>0.7387755102</v>
      </c>
      <c r="M212" s="11">
        <f t="shared" si="63"/>
        <v>0.5003069499</v>
      </c>
      <c r="N212" s="11">
        <f t="shared" si="64"/>
        <v>0.3696145222</v>
      </c>
      <c r="O212" s="12">
        <f t="shared" si="81"/>
        <v>1.300023461</v>
      </c>
      <c r="Q212" s="17"/>
      <c r="X212" s="18"/>
    </row>
    <row r="213" ht="15.75" customHeight="1">
      <c r="A213" s="4">
        <v>50502.0</v>
      </c>
      <c r="B213" s="8">
        <v>23.0</v>
      </c>
      <c r="C213" s="8">
        <v>11.444444805383682</v>
      </c>
      <c r="D213" s="8">
        <v>28.0</v>
      </c>
      <c r="E213" s="9">
        <f t="shared" si="75"/>
        <v>0.8214285714</v>
      </c>
      <c r="F213" s="10">
        <f t="shared" si="76"/>
        <v>0.4975845568</v>
      </c>
      <c r="G213" s="10">
        <f t="shared" si="77"/>
        <v>0.4087301716</v>
      </c>
      <c r="H213" s="4">
        <v>50502.0</v>
      </c>
      <c r="I213" s="8">
        <v>104.0</v>
      </c>
      <c r="J213" s="8">
        <v>49.00000134110451</v>
      </c>
      <c r="K213" s="8">
        <v>228.0</v>
      </c>
      <c r="L213" s="10">
        <f t="shared" si="4"/>
        <v>0.4561403509</v>
      </c>
      <c r="M213" s="11">
        <f t="shared" si="63"/>
        <v>0.471153859</v>
      </c>
      <c r="N213" s="11">
        <f t="shared" si="64"/>
        <v>0.2149122866</v>
      </c>
      <c r="O213" s="12">
        <f t="shared" si="81"/>
        <v>0.5258048011</v>
      </c>
      <c r="Q213" s="17"/>
      <c r="X213" s="18"/>
    </row>
    <row r="214" ht="15.75" customHeight="1">
      <c r="A214" s="4">
        <v>50601.0</v>
      </c>
      <c r="B214" s="8">
        <v>10.0</v>
      </c>
      <c r="C214" s="8">
        <v>4.333333432674408</v>
      </c>
      <c r="D214" s="8">
        <v>17.0</v>
      </c>
      <c r="E214" s="9">
        <f t="shared" si="75"/>
        <v>0.5882352941</v>
      </c>
      <c r="F214" s="10">
        <f t="shared" si="76"/>
        <v>0.4333333433</v>
      </c>
      <c r="G214" s="10">
        <f t="shared" si="77"/>
        <v>0.2549019666</v>
      </c>
      <c r="H214" s="4">
        <v>50601.0</v>
      </c>
      <c r="I214" s="8">
        <v>163.0</v>
      </c>
      <c r="J214" s="8">
        <v>67.66666832566261</v>
      </c>
      <c r="K214" s="8">
        <v>319.0</v>
      </c>
      <c r="L214" s="10">
        <f t="shared" si="4"/>
        <v>0.5109717868</v>
      </c>
      <c r="M214" s="11">
        <f t="shared" si="63"/>
        <v>0.4151329345</v>
      </c>
      <c r="N214" s="11">
        <f t="shared" si="64"/>
        <v>0.2121212173</v>
      </c>
      <c r="O214" s="12">
        <f t="shared" si="81"/>
        <v>0.8321678335</v>
      </c>
      <c r="Q214" s="17"/>
      <c r="X214" s="18"/>
    </row>
    <row r="215" ht="15.75" customHeight="1">
      <c r="A215" s="4">
        <v>50602.0</v>
      </c>
      <c r="B215" s="8">
        <v>9.0</v>
      </c>
      <c r="C215" s="8">
        <v>3.777777850627899</v>
      </c>
      <c r="D215" s="8">
        <v>11.0</v>
      </c>
      <c r="E215" s="9">
        <f t="shared" si="75"/>
        <v>0.8181818182</v>
      </c>
      <c r="F215" s="10">
        <f t="shared" si="76"/>
        <v>0.4197530945</v>
      </c>
      <c r="G215" s="10">
        <f t="shared" si="77"/>
        <v>0.3434343501</v>
      </c>
      <c r="H215" s="4">
        <v>50602.0</v>
      </c>
      <c r="I215" s="8">
        <v>19.0</v>
      </c>
      <c r="J215" s="8">
        <v>7.777777999639511</v>
      </c>
      <c r="K215" s="8">
        <v>95.0</v>
      </c>
      <c r="L215" s="10">
        <f t="shared" si="4"/>
        <v>0.2</v>
      </c>
      <c r="M215" s="11">
        <f t="shared" si="63"/>
        <v>0.4093567368</v>
      </c>
      <c r="N215" s="11">
        <f t="shared" si="64"/>
        <v>0.08187134736</v>
      </c>
      <c r="O215" s="12">
        <f t="shared" si="81"/>
        <v>0.2383900951</v>
      </c>
      <c r="Q215" s="17"/>
      <c r="X215" s="18"/>
    </row>
    <row r="216" ht="15.75" customHeight="1">
      <c r="A216" s="4">
        <v>50701.0</v>
      </c>
      <c r="B216" s="8">
        <v>9.0</v>
      </c>
      <c r="C216" s="8">
        <v>3.6666667759418488</v>
      </c>
      <c r="D216" s="8">
        <v>19.0</v>
      </c>
      <c r="E216" s="9">
        <f t="shared" si="75"/>
        <v>0.4736842105</v>
      </c>
      <c r="F216" s="10">
        <f t="shared" si="76"/>
        <v>0.4074074195</v>
      </c>
      <c r="G216" s="10">
        <f t="shared" si="77"/>
        <v>0.1929824619</v>
      </c>
      <c r="H216" s="4">
        <v>50701.0</v>
      </c>
      <c r="I216" s="8">
        <v>151.0</v>
      </c>
      <c r="J216" s="8">
        <v>65.22222384810448</v>
      </c>
      <c r="K216" s="8">
        <v>338.0</v>
      </c>
      <c r="L216" s="10">
        <f t="shared" si="4"/>
        <v>0.4467455621</v>
      </c>
      <c r="M216" s="11">
        <f t="shared" si="63"/>
        <v>0.4319352573</v>
      </c>
      <c r="N216" s="11">
        <f t="shared" si="64"/>
        <v>0.1929651593</v>
      </c>
      <c r="O216" s="12">
        <f t="shared" si="81"/>
        <v>0.9999103412</v>
      </c>
      <c r="Q216" s="17"/>
      <c r="X216" s="18"/>
    </row>
    <row r="217" ht="15.75" customHeight="1">
      <c r="A217" s="4">
        <v>50702.0</v>
      </c>
      <c r="B217" s="8">
        <v>12.0</v>
      </c>
      <c r="C217" s="8">
        <v>5.444444537162781</v>
      </c>
      <c r="D217" s="8">
        <v>18.0</v>
      </c>
      <c r="E217" s="9">
        <f t="shared" si="75"/>
        <v>0.6666666667</v>
      </c>
      <c r="F217" s="10">
        <f t="shared" si="76"/>
        <v>0.4537037114</v>
      </c>
      <c r="G217" s="10">
        <f t="shared" si="77"/>
        <v>0.302469141</v>
      </c>
      <c r="H217" s="4">
        <v>50702.0</v>
      </c>
      <c r="I217" s="8">
        <v>136.0</v>
      </c>
      <c r="J217" s="8">
        <v>56.11111259460449</v>
      </c>
      <c r="K217" s="8">
        <v>199.0</v>
      </c>
      <c r="L217" s="10">
        <f t="shared" si="4"/>
        <v>0.6834170854</v>
      </c>
      <c r="M217" s="11">
        <f t="shared" si="63"/>
        <v>0.4125817103</v>
      </c>
      <c r="N217" s="11">
        <f t="shared" si="64"/>
        <v>0.2819653899</v>
      </c>
      <c r="O217" s="12">
        <f t="shared" si="81"/>
        <v>0.9322120896</v>
      </c>
      <c r="Q217" s="17"/>
      <c r="X217" s="18"/>
    </row>
    <row r="218" ht="15.75" customHeight="1">
      <c r="A218" s="4">
        <v>50801.0</v>
      </c>
      <c r="B218" s="8">
        <v>20.0</v>
      </c>
      <c r="C218" s="8">
        <v>9.000000178813934</v>
      </c>
      <c r="D218" s="8">
        <v>61.0</v>
      </c>
      <c r="E218" s="9">
        <f t="shared" si="75"/>
        <v>0.3278688525</v>
      </c>
      <c r="F218" s="10">
        <f t="shared" si="76"/>
        <v>0.4500000089</v>
      </c>
      <c r="G218" s="10">
        <f t="shared" si="77"/>
        <v>0.1475409865</v>
      </c>
      <c r="H218" s="4">
        <v>50801.0</v>
      </c>
      <c r="I218" s="8">
        <v>226.0</v>
      </c>
      <c r="J218" s="8">
        <v>102.55555820465088</v>
      </c>
      <c r="K218" s="8">
        <v>720.0</v>
      </c>
      <c r="L218" s="10">
        <f t="shared" si="4"/>
        <v>0.3138888889</v>
      </c>
      <c r="M218" s="11">
        <f t="shared" si="63"/>
        <v>0.4537856558</v>
      </c>
      <c r="N218" s="11">
        <f t="shared" si="64"/>
        <v>0.1424382753</v>
      </c>
      <c r="O218" s="12">
        <f t="shared" si="81"/>
        <v>0.9654149577</v>
      </c>
      <c r="Q218" s="17"/>
      <c r="X218" s="18"/>
    </row>
    <row r="219" ht="15.75" customHeight="1">
      <c r="A219" s="4">
        <v>50802.0</v>
      </c>
      <c r="B219" s="8">
        <v>8.0</v>
      </c>
      <c r="C219" s="8">
        <v>2.888888955116272</v>
      </c>
      <c r="D219" s="8">
        <v>31.0</v>
      </c>
      <c r="E219" s="9">
        <f t="shared" si="75"/>
        <v>0.2580645161</v>
      </c>
      <c r="F219" s="10">
        <f t="shared" si="76"/>
        <v>0.3611111194</v>
      </c>
      <c r="G219" s="10">
        <f t="shared" si="77"/>
        <v>0.09318996629</v>
      </c>
      <c r="H219" s="4">
        <v>50802.0</v>
      </c>
      <c r="I219" s="8">
        <v>52.0</v>
      </c>
      <c r="J219" s="8">
        <v>20.000000566244125</v>
      </c>
      <c r="K219" s="8">
        <v>216.0</v>
      </c>
      <c r="L219" s="10">
        <f t="shared" si="4"/>
        <v>0.2407407407</v>
      </c>
      <c r="M219" s="11">
        <f t="shared" si="63"/>
        <v>0.3846153955</v>
      </c>
      <c r="N219" s="11">
        <f t="shared" si="64"/>
        <v>0.09259259521</v>
      </c>
      <c r="O219" s="12">
        <f t="shared" si="81"/>
        <v>0.9935897489</v>
      </c>
      <c r="Q219" s="17"/>
      <c r="X219" s="18"/>
    </row>
    <row r="220" ht="15.75" customHeight="1">
      <c r="A220" s="4">
        <v>50901.0</v>
      </c>
      <c r="B220" s="8">
        <v>33.0</v>
      </c>
      <c r="C220" s="8">
        <v>13.222222477197647</v>
      </c>
      <c r="D220" s="8">
        <v>60.0</v>
      </c>
      <c r="E220" s="9">
        <f t="shared" si="75"/>
        <v>0.55</v>
      </c>
      <c r="F220" s="10">
        <f t="shared" si="76"/>
        <v>0.4006734084</v>
      </c>
      <c r="G220" s="10">
        <f t="shared" si="77"/>
        <v>0.2203703746</v>
      </c>
      <c r="H220" s="4">
        <v>50901.0</v>
      </c>
      <c r="I220" s="8">
        <v>122.0</v>
      </c>
      <c r="J220" s="8">
        <v>52.11111235618591</v>
      </c>
      <c r="K220" s="8">
        <v>262.0</v>
      </c>
      <c r="L220" s="10">
        <f t="shared" si="4"/>
        <v>0.465648855</v>
      </c>
      <c r="M220" s="11">
        <f t="shared" si="63"/>
        <v>0.4271402652</v>
      </c>
      <c r="N220" s="11">
        <f t="shared" si="64"/>
        <v>0.1988973754</v>
      </c>
      <c r="O220" s="12">
        <f t="shared" si="81"/>
        <v>0.9025595012</v>
      </c>
      <c r="Q220" s="17"/>
      <c r="X220" s="18"/>
    </row>
    <row r="221" ht="15.75" customHeight="1">
      <c r="A221" s="4">
        <v>50902.0</v>
      </c>
      <c r="B221" s="8">
        <v>2.0</v>
      </c>
      <c r="C221" s="8">
        <v>1.1111111640930176</v>
      </c>
      <c r="D221" s="8">
        <v>4.0</v>
      </c>
      <c r="E221" s="9">
        <f t="shared" si="75"/>
        <v>0.5</v>
      </c>
      <c r="F221" s="10">
        <f t="shared" si="76"/>
        <v>0.555555582</v>
      </c>
      <c r="G221" s="10">
        <f t="shared" si="77"/>
        <v>0.277777791</v>
      </c>
      <c r="H221" s="4">
        <v>50902.0</v>
      </c>
      <c r="I221" s="8">
        <v>4.0</v>
      </c>
      <c r="J221" s="8">
        <v>2.1111111640930176</v>
      </c>
      <c r="K221" s="8">
        <v>6.0</v>
      </c>
      <c r="L221" s="10">
        <f t="shared" si="4"/>
        <v>0.6666666667</v>
      </c>
      <c r="M221" s="11">
        <f t="shared" si="63"/>
        <v>0.527777791</v>
      </c>
      <c r="N221" s="11">
        <f t="shared" si="64"/>
        <v>0.3518518607</v>
      </c>
      <c r="O221" s="12">
        <f t="shared" si="81"/>
        <v>1.266666638</v>
      </c>
      <c r="Q221" s="17"/>
      <c r="X221" s="18"/>
    </row>
    <row r="222" ht="15.75" customHeight="1">
      <c r="A222" s="4">
        <v>51001.0</v>
      </c>
      <c r="B222" s="8">
        <v>5.0</v>
      </c>
      <c r="C222" s="8">
        <v>2.222222238779068</v>
      </c>
      <c r="D222" s="8">
        <v>5.0</v>
      </c>
      <c r="E222" s="9">
        <f t="shared" si="75"/>
        <v>1</v>
      </c>
      <c r="F222" s="10">
        <f t="shared" si="76"/>
        <v>0.4444444478</v>
      </c>
      <c r="G222" s="10">
        <f t="shared" si="77"/>
        <v>0.4444444478</v>
      </c>
      <c r="H222" s="4">
        <v>51001.0</v>
      </c>
      <c r="I222" s="8">
        <v>20.0</v>
      </c>
      <c r="J222" s="8">
        <v>9.222222536802292</v>
      </c>
      <c r="K222" s="8">
        <v>29.0</v>
      </c>
      <c r="L222" s="10">
        <f t="shared" si="4"/>
        <v>0.6896551724</v>
      </c>
      <c r="M222" s="11">
        <f t="shared" si="63"/>
        <v>0.4611111268</v>
      </c>
      <c r="N222" s="11">
        <f t="shared" si="64"/>
        <v>0.3180076737</v>
      </c>
      <c r="O222" s="12">
        <f t="shared" si="81"/>
        <v>0.7155172605</v>
      </c>
      <c r="Q222" s="17"/>
      <c r="X222" s="18"/>
    </row>
    <row r="223" ht="15.75" customHeight="1">
      <c r="A223" s="4">
        <v>51002.0</v>
      </c>
      <c r="B223" s="19" t="s">
        <v>22</v>
      </c>
      <c r="C223" s="19" t="s">
        <v>22</v>
      </c>
      <c r="D223" s="19" t="s">
        <v>22</v>
      </c>
      <c r="E223" s="19" t="s">
        <v>22</v>
      </c>
      <c r="F223" s="19" t="s">
        <v>22</v>
      </c>
      <c r="G223" s="19" t="s">
        <v>22</v>
      </c>
      <c r="H223" s="4">
        <v>51002.0</v>
      </c>
      <c r="I223" s="8">
        <v>0.0</v>
      </c>
      <c r="J223" s="8">
        <v>0.0</v>
      </c>
      <c r="K223" s="8">
        <v>1.0</v>
      </c>
      <c r="L223" s="10">
        <f t="shared" si="4"/>
        <v>0</v>
      </c>
      <c r="M223" s="11" t="str">
        <f t="shared" si="63"/>
        <v>#DIV/0!</v>
      </c>
      <c r="N223" s="11" t="str">
        <f t="shared" si="64"/>
        <v>#DIV/0!</v>
      </c>
      <c r="O223" s="12" t="s">
        <v>22</v>
      </c>
      <c r="Q223" s="17"/>
      <c r="X223" s="18"/>
    </row>
    <row r="224" ht="15.75" customHeight="1">
      <c r="A224" s="4">
        <v>51003.0</v>
      </c>
      <c r="B224" s="8">
        <v>3.0</v>
      </c>
      <c r="C224" s="8">
        <v>1.3333333730697632</v>
      </c>
      <c r="D224" s="8">
        <v>3.0</v>
      </c>
      <c r="E224" s="9">
        <f t="shared" ref="E224:E339" si="82">B224/D224</f>
        <v>1</v>
      </c>
      <c r="F224" s="10">
        <f t="shared" ref="F224:F339" si="83">C224/B224</f>
        <v>0.4444444577</v>
      </c>
      <c r="G224" s="10">
        <f t="shared" ref="G224:G339" si="84">E224*F224</f>
        <v>0.4444444577</v>
      </c>
      <c r="H224" s="4">
        <v>51003.0</v>
      </c>
      <c r="I224" s="8">
        <v>6.0</v>
      </c>
      <c r="J224" s="8">
        <v>3.222222328186035</v>
      </c>
      <c r="K224" s="8">
        <v>8.0</v>
      </c>
      <c r="L224" s="10">
        <f t="shared" si="4"/>
        <v>0.75</v>
      </c>
      <c r="M224" s="11">
        <f t="shared" si="63"/>
        <v>0.5370370547</v>
      </c>
      <c r="N224" s="11">
        <f t="shared" si="64"/>
        <v>0.402777791</v>
      </c>
      <c r="O224" s="12">
        <f t="shared" ref="O224:O242" si="85">N224/G224</f>
        <v>0.9062500028</v>
      </c>
      <c r="Q224" s="17"/>
      <c r="X224" s="18"/>
    </row>
    <row r="225" ht="15.75" customHeight="1">
      <c r="A225" s="4">
        <v>51101.0</v>
      </c>
      <c r="B225" s="8">
        <v>17.0</v>
      </c>
      <c r="C225" s="8">
        <v>7.444444626569748</v>
      </c>
      <c r="D225" s="8">
        <v>32.0</v>
      </c>
      <c r="E225" s="9">
        <f t="shared" si="82"/>
        <v>0.53125</v>
      </c>
      <c r="F225" s="10">
        <f t="shared" si="83"/>
        <v>0.4379085074</v>
      </c>
      <c r="G225" s="10">
        <f t="shared" si="84"/>
        <v>0.2326388946</v>
      </c>
      <c r="H225" s="4">
        <v>51101.0</v>
      </c>
      <c r="I225" s="8">
        <v>155.0</v>
      </c>
      <c r="J225" s="8">
        <v>66.88889062404633</v>
      </c>
      <c r="K225" s="8">
        <v>301.0</v>
      </c>
      <c r="L225" s="10">
        <f t="shared" si="4"/>
        <v>0.5149501661</v>
      </c>
      <c r="M225" s="11">
        <f t="shared" si="63"/>
        <v>0.4315412298</v>
      </c>
      <c r="N225" s="11">
        <f t="shared" si="64"/>
        <v>0.222222228</v>
      </c>
      <c r="O225" s="12">
        <f t="shared" si="85"/>
        <v>0.955223882</v>
      </c>
      <c r="Q225" s="17"/>
      <c r="X225" s="18"/>
    </row>
    <row r="226" ht="15.75" customHeight="1">
      <c r="A226" s="4">
        <v>51102.0</v>
      </c>
      <c r="B226" s="8">
        <v>10.0</v>
      </c>
      <c r="C226" s="8">
        <v>4.111111223697662</v>
      </c>
      <c r="D226" s="8">
        <v>27.0</v>
      </c>
      <c r="E226" s="9">
        <f t="shared" si="82"/>
        <v>0.3703703704</v>
      </c>
      <c r="F226" s="10">
        <f t="shared" si="83"/>
        <v>0.4111111224</v>
      </c>
      <c r="G226" s="10">
        <f t="shared" si="84"/>
        <v>0.1522633787</v>
      </c>
      <c r="H226" s="4">
        <v>51102.0</v>
      </c>
      <c r="I226" s="8">
        <v>133.0</v>
      </c>
      <c r="J226" s="8">
        <v>56.77777925133705</v>
      </c>
      <c r="K226" s="8">
        <v>268.0</v>
      </c>
      <c r="L226" s="10">
        <f t="shared" si="4"/>
        <v>0.4962686567</v>
      </c>
      <c r="M226" s="11">
        <f t="shared" si="63"/>
        <v>0.4269005959</v>
      </c>
      <c r="N226" s="11">
        <f t="shared" si="64"/>
        <v>0.2118573853</v>
      </c>
      <c r="O226" s="12">
        <f t="shared" si="85"/>
        <v>1.391387654</v>
      </c>
      <c r="Q226" s="17"/>
      <c r="X226" s="18"/>
    </row>
    <row r="227" ht="15.75" customHeight="1">
      <c r="A227" s="4">
        <v>51103.0</v>
      </c>
      <c r="B227" s="8">
        <v>6.0</v>
      </c>
      <c r="C227" s="8">
        <v>3.333333432674408</v>
      </c>
      <c r="D227" s="8">
        <v>11.0</v>
      </c>
      <c r="E227" s="9">
        <f t="shared" si="82"/>
        <v>0.5454545455</v>
      </c>
      <c r="F227" s="10">
        <f t="shared" si="83"/>
        <v>0.5555555721</v>
      </c>
      <c r="G227" s="10">
        <f t="shared" si="84"/>
        <v>0.3030303121</v>
      </c>
      <c r="H227" s="4">
        <v>51103.0</v>
      </c>
      <c r="I227" s="8">
        <v>115.0</v>
      </c>
      <c r="J227" s="8">
        <v>54.66666793823242</v>
      </c>
      <c r="K227" s="8">
        <v>155.0</v>
      </c>
      <c r="L227" s="10">
        <f t="shared" si="4"/>
        <v>0.7419354839</v>
      </c>
      <c r="M227" s="11">
        <f t="shared" si="63"/>
        <v>0.4753623299</v>
      </c>
      <c r="N227" s="11">
        <f t="shared" si="64"/>
        <v>0.3526881802</v>
      </c>
      <c r="O227" s="12">
        <f t="shared" si="85"/>
        <v>1.16387096</v>
      </c>
      <c r="Q227" s="17"/>
      <c r="X227" s="18"/>
    </row>
    <row r="228" ht="15.75" customHeight="1">
      <c r="A228" s="4">
        <v>51201.0</v>
      </c>
      <c r="B228" s="8">
        <v>30.0</v>
      </c>
      <c r="C228" s="8">
        <v>11.777778059244156</v>
      </c>
      <c r="D228" s="8">
        <v>78.0</v>
      </c>
      <c r="E228" s="9">
        <f t="shared" si="82"/>
        <v>0.3846153846</v>
      </c>
      <c r="F228" s="10">
        <f t="shared" si="83"/>
        <v>0.392592602</v>
      </c>
      <c r="G228" s="10">
        <f t="shared" si="84"/>
        <v>0.1509971546</v>
      </c>
      <c r="H228" s="4">
        <v>51201.0</v>
      </c>
      <c r="I228" s="8">
        <v>464.0</v>
      </c>
      <c r="J228" s="8">
        <v>203.00000473856926</v>
      </c>
      <c r="K228" s="8">
        <v>972.0</v>
      </c>
      <c r="L228" s="10">
        <f t="shared" si="4"/>
        <v>0.4773662551</v>
      </c>
      <c r="M228" s="11">
        <f t="shared" si="63"/>
        <v>0.4375000102</v>
      </c>
      <c r="N228" s="11">
        <f t="shared" si="64"/>
        <v>0.2088477415</v>
      </c>
      <c r="O228" s="12">
        <f t="shared" si="85"/>
        <v>1.383123689</v>
      </c>
      <c r="Q228" s="17"/>
      <c r="X228" s="18"/>
    </row>
    <row r="229" ht="15.75" customHeight="1">
      <c r="A229" s="4">
        <v>51202.0</v>
      </c>
      <c r="B229" s="8">
        <v>64.0</v>
      </c>
      <c r="C229" s="8">
        <v>27.333334028720856</v>
      </c>
      <c r="D229" s="8">
        <v>81.0</v>
      </c>
      <c r="E229" s="9">
        <f t="shared" si="82"/>
        <v>0.7901234568</v>
      </c>
      <c r="F229" s="10">
        <f t="shared" si="83"/>
        <v>0.4270833442</v>
      </c>
      <c r="G229" s="10">
        <f t="shared" si="84"/>
        <v>0.3374485683</v>
      </c>
      <c r="H229" s="4">
        <v>51202.0</v>
      </c>
      <c r="I229" s="8">
        <v>388.0</v>
      </c>
      <c r="J229" s="8">
        <v>171.88889291882515</v>
      </c>
      <c r="K229" s="8">
        <v>561.0</v>
      </c>
      <c r="L229" s="10">
        <f t="shared" si="4"/>
        <v>0.6916221034</v>
      </c>
      <c r="M229" s="11">
        <f t="shared" si="63"/>
        <v>0.4430126106</v>
      </c>
      <c r="N229" s="11">
        <f t="shared" si="64"/>
        <v>0.3063973136</v>
      </c>
      <c r="O229" s="12">
        <f t="shared" si="85"/>
        <v>0.9079822598</v>
      </c>
      <c r="Q229" s="17"/>
      <c r="X229" s="18"/>
    </row>
    <row r="230" ht="15.75" customHeight="1">
      <c r="A230" s="4">
        <v>51203.0</v>
      </c>
      <c r="B230" s="8">
        <v>46.0</v>
      </c>
      <c r="C230" s="8">
        <v>21.66666704416275</v>
      </c>
      <c r="D230" s="8">
        <v>58.0</v>
      </c>
      <c r="E230" s="9">
        <f t="shared" si="82"/>
        <v>0.7931034483</v>
      </c>
      <c r="F230" s="10">
        <f t="shared" si="83"/>
        <v>0.471014501</v>
      </c>
      <c r="G230" s="10">
        <f t="shared" si="84"/>
        <v>0.3735632249</v>
      </c>
      <c r="H230" s="4">
        <v>51203.0</v>
      </c>
      <c r="I230" s="8">
        <v>118.0</v>
      </c>
      <c r="J230" s="8">
        <v>58.22222375869751</v>
      </c>
      <c r="K230" s="8">
        <v>218.0</v>
      </c>
      <c r="L230" s="10">
        <f t="shared" si="4"/>
        <v>0.5412844037</v>
      </c>
      <c r="M230" s="11">
        <f t="shared" si="63"/>
        <v>0.4934086759</v>
      </c>
      <c r="N230" s="11">
        <f t="shared" si="64"/>
        <v>0.2670744209</v>
      </c>
      <c r="O230" s="12">
        <f t="shared" si="85"/>
        <v>0.7149376681</v>
      </c>
      <c r="Q230" s="17"/>
      <c r="X230" s="18"/>
    </row>
    <row r="231" ht="15.75" customHeight="1">
      <c r="A231" s="4">
        <v>51301.0</v>
      </c>
      <c r="B231" s="8">
        <v>6.0</v>
      </c>
      <c r="C231" s="8">
        <v>2.333333373069763</v>
      </c>
      <c r="D231" s="8">
        <v>7.0</v>
      </c>
      <c r="E231" s="9">
        <f t="shared" si="82"/>
        <v>0.8571428571</v>
      </c>
      <c r="F231" s="10">
        <f t="shared" si="83"/>
        <v>0.3888888955</v>
      </c>
      <c r="G231" s="10">
        <f t="shared" si="84"/>
        <v>0.333333339</v>
      </c>
      <c r="H231" s="4">
        <v>51301.0</v>
      </c>
      <c r="I231" s="8">
        <v>38.0</v>
      </c>
      <c r="J231" s="8">
        <v>19.22222265601158</v>
      </c>
      <c r="K231" s="8">
        <v>69.0</v>
      </c>
      <c r="L231" s="10">
        <f t="shared" si="4"/>
        <v>0.5507246377</v>
      </c>
      <c r="M231" s="11">
        <f t="shared" si="63"/>
        <v>0.5058479646</v>
      </c>
      <c r="N231" s="11">
        <f t="shared" si="64"/>
        <v>0.278582937</v>
      </c>
      <c r="O231" s="12">
        <f t="shared" si="85"/>
        <v>0.8357487969</v>
      </c>
      <c r="Q231" s="17"/>
      <c r="X231" s="18"/>
    </row>
    <row r="232" ht="15.75" customHeight="1">
      <c r="A232" s="4">
        <v>51302.0</v>
      </c>
      <c r="B232" s="8">
        <v>16.0</v>
      </c>
      <c r="C232" s="8">
        <v>7.555555701255798</v>
      </c>
      <c r="D232" s="8">
        <v>29.0</v>
      </c>
      <c r="E232" s="9">
        <f t="shared" si="82"/>
        <v>0.5517241379</v>
      </c>
      <c r="F232" s="10">
        <f t="shared" si="83"/>
        <v>0.4722222313</v>
      </c>
      <c r="G232" s="10">
        <f t="shared" si="84"/>
        <v>0.2605364035</v>
      </c>
      <c r="H232" s="4">
        <v>51302.0</v>
      </c>
      <c r="I232" s="8">
        <v>87.0</v>
      </c>
      <c r="J232" s="8">
        <v>37.6666673719883</v>
      </c>
      <c r="K232" s="8">
        <v>164.0</v>
      </c>
      <c r="L232" s="10">
        <f t="shared" si="4"/>
        <v>0.5304878049</v>
      </c>
      <c r="M232" s="11">
        <f t="shared" si="63"/>
        <v>0.4329501997</v>
      </c>
      <c r="N232" s="11">
        <f t="shared" si="64"/>
        <v>0.229674801</v>
      </c>
      <c r="O232" s="12">
        <f t="shared" si="85"/>
        <v>0.8815459106</v>
      </c>
      <c r="Q232" s="17"/>
      <c r="X232" s="18"/>
    </row>
    <row r="233" ht="15.75" customHeight="1">
      <c r="A233" s="4">
        <v>51401.0</v>
      </c>
      <c r="B233" s="8">
        <v>5.0</v>
      </c>
      <c r="C233" s="8">
        <v>2.0000000298023224</v>
      </c>
      <c r="D233" s="8">
        <v>10.0</v>
      </c>
      <c r="E233" s="9">
        <f t="shared" si="82"/>
        <v>0.5</v>
      </c>
      <c r="F233" s="10">
        <f t="shared" si="83"/>
        <v>0.400000006</v>
      </c>
      <c r="G233" s="10">
        <f t="shared" si="84"/>
        <v>0.200000003</v>
      </c>
      <c r="H233" s="4">
        <v>51401.0</v>
      </c>
      <c r="I233" s="8">
        <v>124.0</v>
      </c>
      <c r="J233" s="8">
        <v>52.55555674433708</v>
      </c>
      <c r="K233" s="8">
        <v>202.0</v>
      </c>
      <c r="L233" s="10">
        <f t="shared" si="4"/>
        <v>0.6138613861</v>
      </c>
      <c r="M233" s="11">
        <f t="shared" si="63"/>
        <v>0.423835135</v>
      </c>
      <c r="N233" s="11">
        <f t="shared" si="64"/>
        <v>0.2601760235</v>
      </c>
      <c r="O233" s="12">
        <f t="shared" si="85"/>
        <v>1.300880098</v>
      </c>
      <c r="Q233" s="17"/>
      <c r="X233" s="18"/>
    </row>
    <row r="234" ht="15.75" customHeight="1">
      <c r="A234" s="4">
        <v>51402.0</v>
      </c>
      <c r="B234" s="8">
        <v>1.0</v>
      </c>
      <c r="C234" s="8">
        <v>0.3333333432674408</v>
      </c>
      <c r="D234" s="8">
        <v>2.0</v>
      </c>
      <c r="E234" s="9">
        <f t="shared" si="82"/>
        <v>0.5</v>
      </c>
      <c r="F234" s="10">
        <f t="shared" si="83"/>
        <v>0.3333333433</v>
      </c>
      <c r="G234" s="10">
        <f t="shared" si="84"/>
        <v>0.1666666716</v>
      </c>
      <c r="H234" s="4">
        <v>51402.0</v>
      </c>
      <c r="I234" s="8">
        <v>12.0</v>
      </c>
      <c r="J234" s="8">
        <v>4.666666746139526</v>
      </c>
      <c r="K234" s="8">
        <v>19.0</v>
      </c>
      <c r="L234" s="10">
        <f t="shared" si="4"/>
        <v>0.6315789474</v>
      </c>
      <c r="M234" s="11">
        <f t="shared" si="63"/>
        <v>0.3888888955</v>
      </c>
      <c r="N234" s="11">
        <f t="shared" si="64"/>
        <v>0.2456140393</v>
      </c>
      <c r="O234" s="12">
        <f t="shared" si="85"/>
        <v>1.473684192</v>
      </c>
      <c r="Q234" s="17"/>
      <c r="X234" s="18"/>
    </row>
    <row r="235" ht="15.75" customHeight="1">
      <c r="A235" s="4">
        <v>51501.0</v>
      </c>
      <c r="B235" s="8">
        <v>10.0</v>
      </c>
      <c r="C235" s="8">
        <v>4.333333402872086</v>
      </c>
      <c r="D235" s="8">
        <v>34.0</v>
      </c>
      <c r="E235" s="9">
        <f t="shared" si="82"/>
        <v>0.2941176471</v>
      </c>
      <c r="F235" s="10">
        <f t="shared" si="83"/>
        <v>0.4333333403</v>
      </c>
      <c r="G235" s="10">
        <f t="shared" si="84"/>
        <v>0.1274509824</v>
      </c>
      <c r="H235" s="4">
        <v>51501.0</v>
      </c>
      <c r="I235" s="8">
        <v>74.0</v>
      </c>
      <c r="J235" s="8">
        <v>31.666667580604553</v>
      </c>
      <c r="K235" s="8">
        <v>324.0</v>
      </c>
      <c r="L235" s="10">
        <f t="shared" si="4"/>
        <v>0.2283950617</v>
      </c>
      <c r="M235" s="11">
        <f t="shared" si="63"/>
        <v>0.4279279403</v>
      </c>
      <c r="N235" s="11">
        <f t="shared" si="64"/>
        <v>0.09773662834</v>
      </c>
      <c r="O235" s="12">
        <f t="shared" si="85"/>
        <v>0.76685661</v>
      </c>
      <c r="Q235" s="17"/>
      <c r="X235" s="18"/>
    </row>
    <row r="236" ht="15.75" customHeight="1">
      <c r="A236" s="4">
        <v>51601.0</v>
      </c>
      <c r="B236" s="8">
        <v>2.0</v>
      </c>
      <c r="C236" s="8">
        <v>1.3333333730697632</v>
      </c>
      <c r="D236" s="8">
        <v>3.0</v>
      </c>
      <c r="E236" s="9">
        <f t="shared" si="82"/>
        <v>0.6666666667</v>
      </c>
      <c r="F236" s="10">
        <f t="shared" si="83"/>
        <v>0.6666666865</v>
      </c>
      <c r="G236" s="10">
        <f t="shared" si="84"/>
        <v>0.4444444577</v>
      </c>
      <c r="H236" s="4">
        <v>51601.0</v>
      </c>
      <c r="I236" s="8">
        <v>17.0</v>
      </c>
      <c r="J236" s="8">
        <v>7.111111253499985</v>
      </c>
      <c r="K236" s="8">
        <v>31.0</v>
      </c>
      <c r="L236" s="10">
        <f t="shared" si="4"/>
        <v>0.5483870968</v>
      </c>
      <c r="M236" s="11">
        <f t="shared" si="63"/>
        <v>0.418300662</v>
      </c>
      <c r="N236" s="11">
        <f t="shared" si="64"/>
        <v>0.2293906856</v>
      </c>
      <c r="O236" s="12">
        <f t="shared" si="85"/>
        <v>0.5161290272</v>
      </c>
      <c r="Q236" s="17"/>
      <c r="X236" s="18"/>
    </row>
    <row r="237" ht="15.75" customHeight="1">
      <c r="A237" s="4">
        <v>60101.0</v>
      </c>
      <c r="B237" s="8">
        <v>36.0</v>
      </c>
      <c r="C237" s="8">
        <v>14.66666704416275</v>
      </c>
      <c r="D237" s="8">
        <v>138.0</v>
      </c>
      <c r="E237" s="9">
        <f t="shared" si="82"/>
        <v>0.2608695652</v>
      </c>
      <c r="F237" s="10">
        <f t="shared" si="83"/>
        <v>0.4074074179</v>
      </c>
      <c r="G237" s="10">
        <f t="shared" si="84"/>
        <v>0.106280196</v>
      </c>
      <c r="H237" s="4">
        <v>60101.0</v>
      </c>
      <c r="I237" s="8">
        <v>159.0</v>
      </c>
      <c r="J237" s="8">
        <v>67.22222399711609</v>
      </c>
      <c r="K237" s="8">
        <v>1313.0</v>
      </c>
      <c r="L237" s="10">
        <f t="shared" si="4"/>
        <v>0.1210967251</v>
      </c>
      <c r="M237" s="11">
        <f t="shared" si="63"/>
        <v>0.422781283</v>
      </c>
      <c r="N237" s="11">
        <f t="shared" si="64"/>
        <v>0.05119742879</v>
      </c>
      <c r="O237" s="12">
        <f t="shared" si="85"/>
        <v>0.4817212494</v>
      </c>
      <c r="Q237" s="17"/>
      <c r="X237" s="18"/>
    </row>
    <row r="238" ht="15.75" customHeight="1">
      <c r="A238" s="4">
        <v>60201.0</v>
      </c>
      <c r="B238" s="8">
        <v>12.0</v>
      </c>
      <c r="C238" s="8">
        <v>5.2222223579883575</v>
      </c>
      <c r="D238" s="8">
        <v>23.0</v>
      </c>
      <c r="E238" s="9">
        <f t="shared" si="82"/>
        <v>0.5217391304</v>
      </c>
      <c r="F238" s="10">
        <f t="shared" si="83"/>
        <v>0.4351851965</v>
      </c>
      <c r="G238" s="10">
        <f t="shared" si="84"/>
        <v>0.227053146</v>
      </c>
      <c r="H238" s="4">
        <v>60201.0</v>
      </c>
      <c r="I238" s="8">
        <v>103.0</v>
      </c>
      <c r="J238" s="8">
        <v>45.00000086426735</v>
      </c>
      <c r="K238" s="8">
        <v>290.0</v>
      </c>
      <c r="L238" s="10">
        <f t="shared" si="4"/>
        <v>0.3551724138</v>
      </c>
      <c r="M238" s="11">
        <f t="shared" si="63"/>
        <v>0.4368932123</v>
      </c>
      <c r="N238" s="11">
        <f t="shared" si="64"/>
        <v>0.1551724168</v>
      </c>
      <c r="O238" s="12">
        <f t="shared" si="85"/>
        <v>0.6834189242</v>
      </c>
      <c r="Q238" s="17"/>
      <c r="X238" s="18"/>
    </row>
    <row r="239" ht="15.75" customHeight="1">
      <c r="A239" s="4">
        <v>60202.0</v>
      </c>
      <c r="B239" s="8">
        <v>12.0</v>
      </c>
      <c r="C239" s="8">
        <v>5.111111253499985</v>
      </c>
      <c r="D239" s="8">
        <v>44.0</v>
      </c>
      <c r="E239" s="9">
        <f t="shared" si="82"/>
        <v>0.2727272727</v>
      </c>
      <c r="F239" s="10">
        <f t="shared" si="83"/>
        <v>0.4259259378</v>
      </c>
      <c r="G239" s="10">
        <f t="shared" si="84"/>
        <v>0.1161616194</v>
      </c>
      <c r="H239" s="4">
        <v>60202.0</v>
      </c>
      <c r="I239" s="8">
        <v>89.0</v>
      </c>
      <c r="J239" s="8">
        <v>35.777778804302216</v>
      </c>
      <c r="K239" s="8">
        <v>402.0</v>
      </c>
      <c r="L239" s="10">
        <f t="shared" si="4"/>
        <v>0.2213930348</v>
      </c>
      <c r="M239" s="11">
        <f t="shared" si="63"/>
        <v>0.4019975147</v>
      </c>
      <c r="N239" s="11">
        <f t="shared" si="64"/>
        <v>0.08899944976</v>
      </c>
      <c r="O239" s="12">
        <f t="shared" si="85"/>
        <v>0.7661691549</v>
      </c>
      <c r="Q239" s="17"/>
      <c r="X239" s="18"/>
    </row>
    <row r="240" ht="15.75" customHeight="1">
      <c r="A240" s="4">
        <v>60301.0</v>
      </c>
      <c r="B240" s="8">
        <v>17.0</v>
      </c>
      <c r="C240" s="8">
        <v>7.44444465637207</v>
      </c>
      <c r="D240" s="8">
        <v>80.0</v>
      </c>
      <c r="E240" s="9">
        <f t="shared" si="82"/>
        <v>0.2125</v>
      </c>
      <c r="F240" s="10">
        <f t="shared" si="83"/>
        <v>0.4379085092</v>
      </c>
      <c r="G240" s="10">
        <f t="shared" si="84"/>
        <v>0.0930555582</v>
      </c>
      <c r="H240" s="4">
        <v>60301.0</v>
      </c>
      <c r="I240" s="8">
        <v>113.0</v>
      </c>
      <c r="J240" s="8">
        <v>46.11111232638359</v>
      </c>
      <c r="K240" s="8">
        <v>638.0</v>
      </c>
      <c r="L240" s="10">
        <f t="shared" si="4"/>
        <v>0.1771159875</v>
      </c>
      <c r="M240" s="11">
        <f t="shared" si="63"/>
        <v>0.4080629409</v>
      </c>
      <c r="N240" s="11">
        <f t="shared" si="64"/>
        <v>0.07227447073</v>
      </c>
      <c r="O240" s="12">
        <f t="shared" si="85"/>
        <v>0.7766808574</v>
      </c>
      <c r="Q240" s="17"/>
      <c r="X240" s="18"/>
    </row>
    <row r="241" ht="15.75" customHeight="1">
      <c r="A241" s="4">
        <v>60302.0</v>
      </c>
      <c r="B241" s="8">
        <v>6.0</v>
      </c>
      <c r="C241" s="8">
        <v>2.2222222685813904</v>
      </c>
      <c r="D241" s="8">
        <v>33.0</v>
      </c>
      <c r="E241" s="9">
        <f t="shared" si="82"/>
        <v>0.1818181818</v>
      </c>
      <c r="F241" s="10">
        <f t="shared" si="83"/>
        <v>0.3703703781</v>
      </c>
      <c r="G241" s="10">
        <f t="shared" si="84"/>
        <v>0.06734006874</v>
      </c>
      <c r="H241" s="4">
        <v>60302.0</v>
      </c>
      <c r="I241" s="8">
        <v>27.0</v>
      </c>
      <c r="J241" s="8">
        <v>10.777778029441833</v>
      </c>
      <c r="K241" s="8">
        <v>186.0</v>
      </c>
      <c r="L241" s="10">
        <f t="shared" si="4"/>
        <v>0.1451612903</v>
      </c>
      <c r="M241" s="11">
        <f t="shared" si="63"/>
        <v>0.3991769641</v>
      </c>
      <c r="N241" s="11">
        <f t="shared" si="64"/>
        <v>0.05794504317</v>
      </c>
      <c r="O241" s="12">
        <f t="shared" si="85"/>
        <v>0.8604838731</v>
      </c>
      <c r="Q241" s="17"/>
      <c r="X241" s="18"/>
    </row>
    <row r="242" ht="15.75" customHeight="1">
      <c r="A242" s="4">
        <v>60303.0</v>
      </c>
      <c r="B242" s="8">
        <v>11.0</v>
      </c>
      <c r="C242" s="8">
        <v>4.555555671453476</v>
      </c>
      <c r="D242" s="8">
        <v>46.0</v>
      </c>
      <c r="E242" s="9">
        <f t="shared" si="82"/>
        <v>0.2391304348</v>
      </c>
      <c r="F242" s="10">
        <f t="shared" si="83"/>
        <v>0.4141414247</v>
      </c>
      <c r="G242" s="10">
        <f t="shared" si="84"/>
        <v>0.09903381894</v>
      </c>
      <c r="H242" s="4">
        <v>60303.0</v>
      </c>
      <c r="I242" s="8">
        <v>52.0</v>
      </c>
      <c r="J242" s="8">
        <v>20.111111640930176</v>
      </c>
      <c r="K242" s="8">
        <v>338.0</v>
      </c>
      <c r="L242" s="10">
        <f t="shared" si="4"/>
        <v>0.1538461538</v>
      </c>
      <c r="M242" s="11">
        <f t="shared" si="63"/>
        <v>0.3867521469</v>
      </c>
      <c r="N242" s="11">
        <f t="shared" si="64"/>
        <v>0.0595003303</v>
      </c>
      <c r="O242" s="12">
        <f t="shared" si="85"/>
        <v>0.600808198</v>
      </c>
      <c r="Q242" s="17"/>
      <c r="X242" s="18"/>
    </row>
    <row r="243" ht="15.75" customHeight="1">
      <c r="A243" s="4">
        <v>60401.0</v>
      </c>
      <c r="B243" s="8">
        <v>0.0</v>
      </c>
      <c r="C243" s="8">
        <v>0.0</v>
      </c>
      <c r="D243" s="8">
        <v>4.0</v>
      </c>
      <c r="E243" s="9">
        <f t="shared" si="82"/>
        <v>0</v>
      </c>
      <c r="F243" s="10" t="str">
        <f t="shared" si="83"/>
        <v>#DIV/0!</v>
      </c>
      <c r="G243" s="10" t="str">
        <f t="shared" si="84"/>
        <v>#DIV/0!</v>
      </c>
      <c r="H243" s="4">
        <v>60401.0</v>
      </c>
      <c r="I243" s="8">
        <v>40.0</v>
      </c>
      <c r="J243" s="8">
        <v>18.11111170053482</v>
      </c>
      <c r="K243" s="8">
        <v>98.0</v>
      </c>
      <c r="L243" s="10">
        <f t="shared" si="4"/>
        <v>0.4081632653</v>
      </c>
      <c r="M243" s="11">
        <f t="shared" si="63"/>
        <v>0.4527777925</v>
      </c>
      <c r="N243" s="11">
        <f t="shared" si="64"/>
        <v>0.1848072623</v>
      </c>
      <c r="O243" s="12" t="s">
        <v>22</v>
      </c>
      <c r="Q243" s="17"/>
      <c r="X243" s="18"/>
    </row>
    <row r="244" ht="15.75" customHeight="1">
      <c r="A244" s="4">
        <v>60402.0</v>
      </c>
      <c r="B244" s="8">
        <v>11.0</v>
      </c>
      <c r="C244" s="8">
        <v>4.888889014720917</v>
      </c>
      <c r="D244" s="8">
        <v>20.0</v>
      </c>
      <c r="E244" s="9">
        <f t="shared" si="82"/>
        <v>0.55</v>
      </c>
      <c r="F244" s="10">
        <f t="shared" si="83"/>
        <v>0.4444444559</v>
      </c>
      <c r="G244" s="10">
        <f t="shared" si="84"/>
        <v>0.2444444507</v>
      </c>
      <c r="H244" s="4">
        <v>60402.0</v>
      </c>
      <c r="I244" s="8">
        <v>72.0</v>
      </c>
      <c r="J244" s="8">
        <v>35.11111217737198</v>
      </c>
      <c r="K244" s="8">
        <v>102.0</v>
      </c>
      <c r="L244" s="10">
        <f t="shared" si="4"/>
        <v>0.7058823529</v>
      </c>
      <c r="M244" s="11">
        <f t="shared" si="63"/>
        <v>0.4876543358</v>
      </c>
      <c r="N244" s="11">
        <f t="shared" si="64"/>
        <v>0.34422659</v>
      </c>
      <c r="O244" s="12">
        <f t="shared" ref="O244:O256" si="86">N244/G244</f>
        <v>1.40819965</v>
      </c>
      <c r="Q244" s="17"/>
      <c r="X244" s="18"/>
    </row>
    <row r="245" ht="15.75" customHeight="1">
      <c r="A245" s="4">
        <v>60501.0</v>
      </c>
      <c r="B245" s="8">
        <v>8.0</v>
      </c>
      <c r="C245" s="8">
        <v>3.7777778804302216</v>
      </c>
      <c r="D245" s="8">
        <v>37.0</v>
      </c>
      <c r="E245" s="9">
        <f t="shared" si="82"/>
        <v>0.2162162162</v>
      </c>
      <c r="F245" s="10">
        <f t="shared" si="83"/>
        <v>0.4722222351</v>
      </c>
      <c r="G245" s="10">
        <f t="shared" si="84"/>
        <v>0.1021021049</v>
      </c>
      <c r="H245" s="4">
        <v>60501.0</v>
      </c>
      <c r="I245" s="8">
        <v>40.0</v>
      </c>
      <c r="J245" s="8">
        <v>16.000000417232513</v>
      </c>
      <c r="K245" s="8">
        <v>157.0</v>
      </c>
      <c r="L245" s="10">
        <f t="shared" si="4"/>
        <v>0.2547770701</v>
      </c>
      <c r="M245" s="11">
        <f t="shared" si="63"/>
        <v>0.4000000104</v>
      </c>
      <c r="N245" s="11">
        <f t="shared" si="64"/>
        <v>0.1019108307</v>
      </c>
      <c r="O245" s="12">
        <f t="shared" si="86"/>
        <v>0.9981266381</v>
      </c>
      <c r="Q245" s="17"/>
      <c r="X245" s="18"/>
    </row>
    <row r="246" ht="15.75" customHeight="1">
      <c r="A246" s="4">
        <v>60502.0</v>
      </c>
      <c r="B246" s="8">
        <v>5.0</v>
      </c>
      <c r="C246" s="8">
        <v>2.11111119389534</v>
      </c>
      <c r="D246" s="8">
        <v>25.0</v>
      </c>
      <c r="E246" s="9">
        <f t="shared" si="82"/>
        <v>0.2</v>
      </c>
      <c r="F246" s="10">
        <f t="shared" si="83"/>
        <v>0.4222222388</v>
      </c>
      <c r="G246" s="10">
        <f t="shared" si="84"/>
        <v>0.08444444776</v>
      </c>
      <c r="H246" s="4">
        <v>60502.0</v>
      </c>
      <c r="I246" s="8">
        <v>17.0</v>
      </c>
      <c r="J246" s="8">
        <v>6.8888890743255615</v>
      </c>
      <c r="K246" s="8">
        <v>93.0</v>
      </c>
      <c r="L246" s="10">
        <f t="shared" si="4"/>
        <v>0.1827956989</v>
      </c>
      <c r="M246" s="11">
        <f t="shared" si="63"/>
        <v>0.4052287691</v>
      </c>
      <c r="N246" s="11">
        <f t="shared" si="64"/>
        <v>0.07407407607</v>
      </c>
      <c r="O246" s="12">
        <f t="shared" si="86"/>
        <v>0.8771929717</v>
      </c>
      <c r="Q246" s="17"/>
      <c r="X246" s="18"/>
    </row>
    <row r="247" ht="15.75" customHeight="1">
      <c r="A247" s="4">
        <v>60601.0</v>
      </c>
      <c r="B247" s="8">
        <v>6.0</v>
      </c>
      <c r="C247" s="8">
        <v>2.4444445073604584</v>
      </c>
      <c r="D247" s="8">
        <v>40.0</v>
      </c>
      <c r="E247" s="9">
        <f t="shared" si="82"/>
        <v>0.15</v>
      </c>
      <c r="F247" s="10">
        <f t="shared" si="83"/>
        <v>0.4074074179</v>
      </c>
      <c r="G247" s="10">
        <f t="shared" si="84"/>
        <v>0.06111111268</v>
      </c>
      <c r="H247" s="4">
        <v>60601.0</v>
      </c>
      <c r="I247" s="8">
        <v>54.0</v>
      </c>
      <c r="J247" s="8">
        <v>23.44444513320923</v>
      </c>
      <c r="K247" s="8">
        <v>246.0</v>
      </c>
      <c r="L247" s="10">
        <f t="shared" si="4"/>
        <v>0.2195121951</v>
      </c>
      <c r="M247" s="11">
        <f t="shared" si="63"/>
        <v>0.4341563914</v>
      </c>
      <c r="N247" s="11">
        <f t="shared" si="64"/>
        <v>0.09530262249</v>
      </c>
      <c r="O247" s="12">
        <f t="shared" si="86"/>
        <v>1.559497419</v>
      </c>
      <c r="Q247" s="17"/>
      <c r="X247" s="18"/>
    </row>
    <row r="248" ht="15.75" customHeight="1">
      <c r="A248" s="4">
        <v>70101.0</v>
      </c>
      <c r="B248" s="8">
        <v>121.0</v>
      </c>
      <c r="C248" s="8">
        <v>45.222223341464996</v>
      </c>
      <c r="D248" s="8">
        <v>584.0</v>
      </c>
      <c r="E248" s="9">
        <f t="shared" si="82"/>
        <v>0.2071917808</v>
      </c>
      <c r="F248" s="10">
        <f t="shared" si="83"/>
        <v>0.373737383</v>
      </c>
      <c r="G248" s="10">
        <f t="shared" si="84"/>
        <v>0.07743531394</v>
      </c>
      <c r="H248" s="4">
        <v>70101.0</v>
      </c>
      <c r="I248" s="8">
        <v>731.0</v>
      </c>
      <c r="J248" s="8">
        <v>269.5555621087551</v>
      </c>
      <c r="K248" s="8">
        <v>5251.0</v>
      </c>
      <c r="L248" s="10">
        <f t="shared" si="4"/>
        <v>0.1392115787</v>
      </c>
      <c r="M248" s="11">
        <f t="shared" si="63"/>
        <v>0.368749059</v>
      </c>
      <c r="N248" s="11">
        <f t="shared" si="64"/>
        <v>0.05133413866</v>
      </c>
      <c r="O248" s="12">
        <f t="shared" si="86"/>
        <v>0.6629293025</v>
      </c>
      <c r="Q248" s="17"/>
      <c r="X248" s="18"/>
    </row>
    <row r="249" ht="15.75" customHeight="1">
      <c r="A249" s="4">
        <v>70102.0</v>
      </c>
      <c r="B249" s="8">
        <v>3.0</v>
      </c>
      <c r="C249" s="8">
        <v>1.0000000298023224</v>
      </c>
      <c r="D249" s="8">
        <v>19.0</v>
      </c>
      <c r="E249" s="9">
        <f t="shared" si="82"/>
        <v>0.1578947368</v>
      </c>
      <c r="F249" s="10">
        <f t="shared" si="83"/>
        <v>0.3333333433</v>
      </c>
      <c r="G249" s="10">
        <f t="shared" si="84"/>
        <v>0.05263158052</v>
      </c>
      <c r="H249" s="4">
        <v>70102.0</v>
      </c>
      <c r="I249" s="8">
        <v>41.0</v>
      </c>
      <c r="J249" s="8">
        <v>15.555555880069733</v>
      </c>
      <c r="K249" s="8">
        <v>158.0</v>
      </c>
      <c r="L249" s="10">
        <f t="shared" si="4"/>
        <v>0.2594936709</v>
      </c>
      <c r="M249" s="11">
        <f t="shared" si="63"/>
        <v>0.379403802</v>
      </c>
      <c r="N249" s="11">
        <f t="shared" si="64"/>
        <v>0.09845288532</v>
      </c>
      <c r="O249" s="12">
        <f t="shared" si="86"/>
        <v>1.870604765</v>
      </c>
      <c r="Q249" s="17"/>
      <c r="X249" s="18"/>
    </row>
    <row r="250" ht="15.75" customHeight="1">
      <c r="A250" s="4">
        <v>70103.0</v>
      </c>
      <c r="B250" s="8">
        <v>6.0</v>
      </c>
      <c r="C250" s="8">
        <v>2.6666667461395264</v>
      </c>
      <c r="D250" s="8">
        <v>15.0</v>
      </c>
      <c r="E250" s="9">
        <f t="shared" si="82"/>
        <v>0.4</v>
      </c>
      <c r="F250" s="10">
        <f t="shared" si="83"/>
        <v>0.4444444577</v>
      </c>
      <c r="G250" s="10">
        <f t="shared" si="84"/>
        <v>0.1777777831</v>
      </c>
      <c r="H250" s="4">
        <v>70103.0</v>
      </c>
      <c r="I250" s="8">
        <v>43.0</v>
      </c>
      <c r="J250" s="8">
        <v>18.444444805383682</v>
      </c>
      <c r="K250" s="8">
        <v>84.0</v>
      </c>
      <c r="L250" s="10">
        <f t="shared" si="4"/>
        <v>0.5119047619</v>
      </c>
      <c r="M250" s="11">
        <f t="shared" si="63"/>
        <v>0.4289405769</v>
      </c>
      <c r="N250" s="11">
        <f t="shared" si="64"/>
        <v>0.2195767239</v>
      </c>
      <c r="O250" s="12">
        <f t="shared" si="86"/>
        <v>1.235119035</v>
      </c>
      <c r="Q250" s="17"/>
      <c r="X250" s="18"/>
    </row>
    <row r="251" ht="15.75" customHeight="1">
      <c r="A251" s="4">
        <v>70104.0</v>
      </c>
      <c r="B251" s="8">
        <v>19.0</v>
      </c>
      <c r="C251" s="8">
        <v>7.111111283302307</v>
      </c>
      <c r="D251" s="8">
        <v>63.0</v>
      </c>
      <c r="E251" s="9">
        <f t="shared" si="82"/>
        <v>0.3015873016</v>
      </c>
      <c r="F251" s="10">
        <f t="shared" si="83"/>
        <v>0.3742690149</v>
      </c>
      <c r="G251" s="10">
        <f t="shared" si="84"/>
        <v>0.1128747823</v>
      </c>
      <c r="H251" s="4">
        <v>70104.0</v>
      </c>
      <c r="I251" s="8">
        <v>111.0</v>
      </c>
      <c r="J251" s="8">
        <v>45.55555671453476</v>
      </c>
      <c r="K251" s="8">
        <v>389.0</v>
      </c>
      <c r="L251" s="10">
        <f t="shared" si="4"/>
        <v>0.2853470437</v>
      </c>
      <c r="M251" s="11">
        <f t="shared" si="63"/>
        <v>0.4104104209</v>
      </c>
      <c r="N251" s="11">
        <f t="shared" si="64"/>
        <v>0.1171094003</v>
      </c>
      <c r="O251" s="12">
        <f t="shared" si="86"/>
        <v>1.037516068</v>
      </c>
      <c r="Q251" s="17"/>
      <c r="X251" s="18"/>
    </row>
    <row r="252" ht="15.75" customHeight="1">
      <c r="A252" s="4">
        <v>70105.0</v>
      </c>
      <c r="B252" s="8">
        <v>15.0</v>
      </c>
      <c r="C252" s="8">
        <v>6.777777940034866</v>
      </c>
      <c r="D252" s="8">
        <v>36.0</v>
      </c>
      <c r="E252" s="9">
        <f t="shared" si="82"/>
        <v>0.4166666667</v>
      </c>
      <c r="F252" s="10">
        <f t="shared" si="83"/>
        <v>0.4518518627</v>
      </c>
      <c r="G252" s="10">
        <f t="shared" si="84"/>
        <v>0.1882716094</v>
      </c>
      <c r="H252" s="4">
        <v>70105.0</v>
      </c>
      <c r="I252" s="8">
        <v>58.0</v>
      </c>
      <c r="J252" s="8">
        <v>23.22222274541855</v>
      </c>
      <c r="K252" s="8">
        <v>177.0</v>
      </c>
      <c r="L252" s="10">
        <f t="shared" si="4"/>
        <v>0.3276836158</v>
      </c>
      <c r="M252" s="11">
        <f t="shared" si="63"/>
        <v>0.4003831508</v>
      </c>
      <c r="N252" s="11">
        <f t="shared" si="64"/>
        <v>0.1311989986</v>
      </c>
      <c r="O252" s="12">
        <f t="shared" si="86"/>
        <v>0.696860238</v>
      </c>
      <c r="Q252" s="17"/>
      <c r="X252" s="18"/>
    </row>
    <row r="253" ht="15.75" customHeight="1">
      <c r="A253" s="4">
        <v>70201.0</v>
      </c>
      <c r="B253" s="8">
        <v>36.0</v>
      </c>
      <c r="C253" s="8">
        <v>15.666667014360428</v>
      </c>
      <c r="D253" s="8">
        <v>74.0</v>
      </c>
      <c r="E253" s="9">
        <f t="shared" si="82"/>
        <v>0.4864864865</v>
      </c>
      <c r="F253" s="10">
        <f t="shared" si="83"/>
        <v>0.4351851948</v>
      </c>
      <c r="G253" s="10">
        <f t="shared" si="84"/>
        <v>0.2117117164</v>
      </c>
      <c r="H253" s="4">
        <v>70201.0</v>
      </c>
      <c r="I253" s="8">
        <v>142.0</v>
      </c>
      <c r="J253" s="8">
        <v>58.000001311302185</v>
      </c>
      <c r="K253" s="8">
        <v>555.0</v>
      </c>
      <c r="L253" s="10">
        <f t="shared" si="4"/>
        <v>0.2558558559</v>
      </c>
      <c r="M253" s="11">
        <f t="shared" si="63"/>
        <v>0.4084507135</v>
      </c>
      <c r="N253" s="11">
        <f t="shared" si="64"/>
        <v>0.1045045069</v>
      </c>
      <c r="O253" s="12">
        <f t="shared" si="86"/>
        <v>0.4936170215</v>
      </c>
      <c r="Q253" s="17"/>
      <c r="X253" s="18"/>
    </row>
    <row r="254" ht="15.75" customHeight="1">
      <c r="A254" s="4">
        <v>70202.0</v>
      </c>
      <c r="B254" s="8">
        <v>4.0</v>
      </c>
      <c r="C254" s="8">
        <v>1.666666716337204</v>
      </c>
      <c r="D254" s="8">
        <v>8.0</v>
      </c>
      <c r="E254" s="9">
        <f t="shared" si="82"/>
        <v>0.5</v>
      </c>
      <c r="F254" s="10">
        <f t="shared" si="83"/>
        <v>0.4166666791</v>
      </c>
      <c r="G254" s="10">
        <f t="shared" si="84"/>
        <v>0.2083333395</v>
      </c>
      <c r="H254" s="4">
        <v>70202.0</v>
      </c>
      <c r="I254" s="8">
        <v>12.0</v>
      </c>
      <c r="J254" s="8">
        <v>4.33333346247673</v>
      </c>
      <c r="K254" s="8">
        <v>56.0</v>
      </c>
      <c r="L254" s="10">
        <f t="shared" si="4"/>
        <v>0.2142857143</v>
      </c>
      <c r="M254" s="11">
        <f t="shared" si="63"/>
        <v>0.3611111219</v>
      </c>
      <c r="N254" s="11">
        <f t="shared" si="64"/>
        <v>0.07738095469</v>
      </c>
      <c r="O254" s="12">
        <f t="shared" si="86"/>
        <v>0.3714285714</v>
      </c>
      <c r="Q254" s="17"/>
      <c r="X254" s="18"/>
    </row>
    <row r="255" ht="15.75" customHeight="1">
      <c r="A255" s="4">
        <v>70301.0</v>
      </c>
      <c r="B255" s="8">
        <v>49.0</v>
      </c>
      <c r="C255" s="8">
        <v>20.666667103767395</v>
      </c>
      <c r="D255" s="8">
        <v>104.0</v>
      </c>
      <c r="E255" s="9">
        <f t="shared" si="82"/>
        <v>0.4711538462</v>
      </c>
      <c r="F255" s="10">
        <f t="shared" si="83"/>
        <v>0.4217687164</v>
      </c>
      <c r="G255" s="10">
        <f t="shared" si="84"/>
        <v>0.1987179529</v>
      </c>
      <c r="H255" s="4">
        <v>70301.0</v>
      </c>
      <c r="I255" s="8">
        <v>148.0</v>
      </c>
      <c r="J255" s="8">
        <v>61.0000014603138</v>
      </c>
      <c r="K255" s="8">
        <v>397.0</v>
      </c>
      <c r="L255" s="10">
        <f t="shared" si="4"/>
        <v>0.3727959698</v>
      </c>
      <c r="M255" s="11">
        <f t="shared" si="63"/>
        <v>0.412162172</v>
      </c>
      <c r="N255" s="11">
        <f t="shared" si="64"/>
        <v>0.1536523966</v>
      </c>
      <c r="O255" s="12">
        <f t="shared" si="86"/>
        <v>0.7732184957</v>
      </c>
      <c r="Q255" s="17"/>
      <c r="X255" s="18"/>
    </row>
    <row r="256" ht="15.75" customHeight="1">
      <c r="A256" s="4">
        <v>70302.0</v>
      </c>
      <c r="B256" s="8">
        <v>22.0</v>
      </c>
      <c r="C256" s="8">
        <v>9.666666865348816</v>
      </c>
      <c r="D256" s="8">
        <v>32.0</v>
      </c>
      <c r="E256" s="9">
        <f t="shared" si="82"/>
        <v>0.6875</v>
      </c>
      <c r="F256" s="10">
        <f t="shared" si="83"/>
        <v>0.4393939484</v>
      </c>
      <c r="G256" s="10">
        <f t="shared" si="84"/>
        <v>0.3020833395</v>
      </c>
      <c r="H256" s="4">
        <v>70302.0</v>
      </c>
      <c r="I256" s="8">
        <v>20.0</v>
      </c>
      <c r="J256" s="8">
        <v>7.777777969837189</v>
      </c>
      <c r="K256" s="8">
        <v>57.0</v>
      </c>
      <c r="L256" s="10">
        <f t="shared" si="4"/>
        <v>0.350877193</v>
      </c>
      <c r="M256" s="11">
        <f t="shared" si="63"/>
        <v>0.3888888985</v>
      </c>
      <c r="N256" s="11">
        <f t="shared" si="64"/>
        <v>0.1364522451</v>
      </c>
      <c r="O256" s="12">
        <f t="shared" si="86"/>
        <v>0.4517039744</v>
      </c>
      <c r="Q256" s="17"/>
      <c r="X256" s="18"/>
    </row>
    <row r="257" ht="15.75" customHeight="1">
      <c r="A257" s="4">
        <v>70303.0</v>
      </c>
      <c r="B257" s="8">
        <v>0.0</v>
      </c>
      <c r="C257" s="8">
        <v>0.0</v>
      </c>
      <c r="D257" s="8">
        <v>1.0</v>
      </c>
      <c r="E257" s="9">
        <f t="shared" si="82"/>
        <v>0</v>
      </c>
      <c r="F257" s="10" t="str">
        <f t="shared" si="83"/>
        <v>#DIV/0!</v>
      </c>
      <c r="G257" s="10" t="str">
        <f t="shared" si="84"/>
        <v>#DIV/0!</v>
      </c>
      <c r="H257" s="4">
        <v>70303.0</v>
      </c>
      <c r="I257" s="8">
        <v>2.0</v>
      </c>
      <c r="J257" s="8">
        <v>0.6666666865348816</v>
      </c>
      <c r="K257" s="8">
        <v>10.0</v>
      </c>
      <c r="L257" s="10">
        <f t="shared" si="4"/>
        <v>0.2</v>
      </c>
      <c r="M257" s="11">
        <f t="shared" si="63"/>
        <v>0.3333333433</v>
      </c>
      <c r="N257" s="11">
        <f t="shared" si="64"/>
        <v>0.06666666865</v>
      </c>
      <c r="O257" s="12" t="s">
        <v>22</v>
      </c>
      <c r="Q257" s="17"/>
      <c r="X257" s="18"/>
    </row>
    <row r="258" ht="15.75" customHeight="1">
      <c r="A258" s="4">
        <v>70401.0</v>
      </c>
      <c r="B258" s="8">
        <v>1.0</v>
      </c>
      <c r="C258" s="8">
        <v>0.4444444477558136</v>
      </c>
      <c r="D258" s="8">
        <v>4.0</v>
      </c>
      <c r="E258" s="9">
        <f t="shared" si="82"/>
        <v>0.25</v>
      </c>
      <c r="F258" s="10">
        <f t="shared" si="83"/>
        <v>0.4444444478</v>
      </c>
      <c r="G258" s="10">
        <f t="shared" si="84"/>
        <v>0.1111111119</v>
      </c>
      <c r="H258" s="4">
        <v>70401.0</v>
      </c>
      <c r="I258" s="8">
        <v>41.0</v>
      </c>
      <c r="J258" s="8">
        <v>15.33333370089531</v>
      </c>
      <c r="K258" s="8">
        <v>123.0</v>
      </c>
      <c r="L258" s="10">
        <f t="shared" si="4"/>
        <v>0.3333333333</v>
      </c>
      <c r="M258" s="11">
        <f t="shared" si="63"/>
        <v>0.3739837488</v>
      </c>
      <c r="N258" s="11">
        <f t="shared" si="64"/>
        <v>0.1246612496</v>
      </c>
      <c r="O258" s="12">
        <f t="shared" ref="O258:O266" si="87">N258/G258</f>
        <v>1.121951238</v>
      </c>
      <c r="Q258" s="17"/>
      <c r="X258" s="18"/>
    </row>
    <row r="259" ht="15.75" customHeight="1">
      <c r="A259" s="4">
        <v>70402.0</v>
      </c>
      <c r="B259" s="8">
        <v>5.0</v>
      </c>
      <c r="C259" s="8">
        <v>2.4444445073604584</v>
      </c>
      <c r="D259" s="8">
        <v>17.0</v>
      </c>
      <c r="E259" s="9">
        <f t="shared" si="82"/>
        <v>0.2941176471</v>
      </c>
      <c r="F259" s="10">
        <f t="shared" si="83"/>
        <v>0.4888889015</v>
      </c>
      <c r="G259" s="10">
        <f t="shared" si="84"/>
        <v>0.1437908534</v>
      </c>
      <c r="H259" s="4">
        <v>70402.0</v>
      </c>
      <c r="I259" s="8">
        <v>44.0</v>
      </c>
      <c r="J259" s="8">
        <v>19.3333338201046</v>
      </c>
      <c r="K259" s="8">
        <v>94.0</v>
      </c>
      <c r="L259" s="10">
        <f t="shared" si="4"/>
        <v>0.4680851064</v>
      </c>
      <c r="M259" s="11">
        <f t="shared" si="63"/>
        <v>0.4393939505</v>
      </c>
      <c r="N259" s="11">
        <f t="shared" si="64"/>
        <v>0.205673764</v>
      </c>
      <c r="O259" s="12">
        <f t="shared" si="87"/>
        <v>1.430367504</v>
      </c>
      <c r="Q259" s="17"/>
      <c r="X259" s="18"/>
    </row>
    <row r="260" ht="15.75" customHeight="1">
      <c r="A260" s="4">
        <v>70403.0</v>
      </c>
      <c r="B260" s="8">
        <v>49.0</v>
      </c>
      <c r="C260" s="8">
        <v>22.444444984197617</v>
      </c>
      <c r="D260" s="8">
        <v>73.0</v>
      </c>
      <c r="E260" s="9">
        <f t="shared" si="82"/>
        <v>0.6712328767</v>
      </c>
      <c r="F260" s="10">
        <f t="shared" si="83"/>
        <v>0.4580498976</v>
      </c>
      <c r="G260" s="10">
        <f t="shared" si="84"/>
        <v>0.3074581505</v>
      </c>
      <c r="H260" s="4">
        <v>70403.0</v>
      </c>
      <c r="I260" s="8">
        <v>146.0</v>
      </c>
      <c r="J260" s="8">
        <v>61.11111244559288</v>
      </c>
      <c r="K260" s="8">
        <v>306.0</v>
      </c>
      <c r="L260" s="10">
        <f t="shared" si="4"/>
        <v>0.477124183</v>
      </c>
      <c r="M260" s="11">
        <f t="shared" si="63"/>
        <v>0.4185692633</v>
      </c>
      <c r="N260" s="11">
        <f t="shared" si="64"/>
        <v>0.1997095178</v>
      </c>
      <c r="O260" s="12">
        <f t="shared" si="87"/>
        <v>0.6495502477</v>
      </c>
      <c r="Q260" s="17"/>
      <c r="X260" s="18"/>
    </row>
    <row r="261" ht="15.75" customHeight="1">
      <c r="A261" s="4">
        <v>70404.0</v>
      </c>
      <c r="B261" s="8">
        <v>20.0</v>
      </c>
      <c r="C261" s="8">
        <v>9.333333522081375</v>
      </c>
      <c r="D261" s="8">
        <v>28.0</v>
      </c>
      <c r="E261" s="9">
        <f t="shared" si="82"/>
        <v>0.7142857143</v>
      </c>
      <c r="F261" s="10">
        <f t="shared" si="83"/>
        <v>0.4666666761</v>
      </c>
      <c r="G261" s="10">
        <f t="shared" si="84"/>
        <v>0.3333333401</v>
      </c>
      <c r="H261" s="4">
        <v>70404.0</v>
      </c>
      <c r="I261" s="8">
        <v>14.0</v>
      </c>
      <c r="J261" s="8">
        <v>6.22222238779068</v>
      </c>
      <c r="K261" s="8">
        <v>37.0</v>
      </c>
      <c r="L261" s="10">
        <f t="shared" si="4"/>
        <v>0.3783783784</v>
      </c>
      <c r="M261" s="11">
        <f t="shared" si="63"/>
        <v>0.4444444563</v>
      </c>
      <c r="N261" s="11">
        <f t="shared" si="64"/>
        <v>0.1681681726</v>
      </c>
      <c r="O261" s="12">
        <f t="shared" si="87"/>
        <v>0.5045045077</v>
      </c>
      <c r="Q261" s="17"/>
      <c r="X261" s="18"/>
    </row>
    <row r="262" ht="15.75" customHeight="1">
      <c r="A262" s="4">
        <v>70501.0</v>
      </c>
      <c r="B262" s="8">
        <v>11.0</v>
      </c>
      <c r="C262" s="8">
        <v>5.333333522081375</v>
      </c>
      <c r="D262" s="8">
        <v>33.0</v>
      </c>
      <c r="E262" s="9">
        <f t="shared" si="82"/>
        <v>0.3333333333</v>
      </c>
      <c r="F262" s="10">
        <f t="shared" si="83"/>
        <v>0.484848502</v>
      </c>
      <c r="G262" s="10">
        <f t="shared" si="84"/>
        <v>0.1616161673</v>
      </c>
      <c r="H262" s="4">
        <v>70501.0</v>
      </c>
      <c r="I262" s="8">
        <v>56.0</v>
      </c>
      <c r="J262" s="8">
        <v>21.222222715616226</v>
      </c>
      <c r="K262" s="8">
        <v>175.0</v>
      </c>
      <c r="L262" s="10">
        <f t="shared" si="4"/>
        <v>0.32</v>
      </c>
      <c r="M262" s="11">
        <f t="shared" si="63"/>
        <v>0.3789682628</v>
      </c>
      <c r="N262" s="11">
        <f t="shared" si="64"/>
        <v>0.1212698441</v>
      </c>
      <c r="O262" s="12">
        <f t="shared" si="87"/>
        <v>0.7503571337</v>
      </c>
      <c r="Q262" s="17"/>
      <c r="X262" s="18"/>
    </row>
    <row r="263" ht="15.75" customHeight="1">
      <c r="A263" s="4">
        <v>70502.0</v>
      </c>
      <c r="B263" s="8">
        <v>10.0</v>
      </c>
      <c r="C263" s="8">
        <v>4.555555641651154</v>
      </c>
      <c r="D263" s="8">
        <v>31.0</v>
      </c>
      <c r="E263" s="9">
        <f t="shared" si="82"/>
        <v>0.3225806452</v>
      </c>
      <c r="F263" s="10">
        <f t="shared" si="83"/>
        <v>0.4555555642</v>
      </c>
      <c r="G263" s="10">
        <f t="shared" si="84"/>
        <v>0.1469534078</v>
      </c>
      <c r="H263" s="4">
        <v>70502.0</v>
      </c>
      <c r="I263" s="8">
        <v>71.0</v>
      </c>
      <c r="J263" s="8">
        <v>29.444445252418518</v>
      </c>
      <c r="K263" s="8">
        <v>201.0</v>
      </c>
      <c r="L263" s="10">
        <f t="shared" si="4"/>
        <v>0.3532338308</v>
      </c>
      <c r="M263" s="11">
        <f t="shared" si="63"/>
        <v>0.4147104965</v>
      </c>
      <c r="N263" s="11">
        <f t="shared" si="64"/>
        <v>0.1464897774</v>
      </c>
      <c r="O263" s="12">
        <f t="shared" si="87"/>
        <v>0.9968450516</v>
      </c>
      <c r="Q263" s="17"/>
      <c r="X263" s="18"/>
    </row>
    <row r="264" ht="15.75" customHeight="1">
      <c r="A264" s="4">
        <v>70503.0</v>
      </c>
      <c r="B264" s="8">
        <v>6.0</v>
      </c>
      <c r="C264" s="8">
        <v>3.1111111640930176</v>
      </c>
      <c r="D264" s="8">
        <v>11.0</v>
      </c>
      <c r="E264" s="9">
        <f t="shared" si="82"/>
        <v>0.5454545455</v>
      </c>
      <c r="F264" s="10">
        <f t="shared" si="83"/>
        <v>0.5185185273</v>
      </c>
      <c r="G264" s="10">
        <f t="shared" si="84"/>
        <v>0.2828282876</v>
      </c>
      <c r="H264" s="4">
        <v>70503.0</v>
      </c>
      <c r="I264" s="8">
        <v>17.0</v>
      </c>
      <c r="J264" s="8">
        <v>6.777777910232544</v>
      </c>
      <c r="K264" s="8">
        <v>116.0</v>
      </c>
      <c r="L264" s="10">
        <f t="shared" si="4"/>
        <v>0.1465517241</v>
      </c>
      <c r="M264" s="11">
        <f t="shared" si="63"/>
        <v>0.3986928182</v>
      </c>
      <c r="N264" s="11">
        <f t="shared" si="64"/>
        <v>0.05842911992</v>
      </c>
      <c r="O264" s="12">
        <f t="shared" si="87"/>
        <v>0.2065886705</v>
      </c>
      <c r="Q264" s="17"/>
      <c r="X264" s="18"/>
    </row>
    <row r="265" ht="15.75" customHeight="1">
      <c r="A265" s="4">
        <v>70601.0</v>
      </c>
      <c r="B265" s="8">
        <v>4.0</v>
      </c>
      <c r="C265" s="8">
        <v>1.8888889253139496</v>
      </c>
      <c r="D265" s="8">
        <v>10.0</v>
      </c>
      <c r="E265" s="9">
        <f t="shared" si="82"/>
        <v>0.4</v>
      </c>
      <c r="F265" s="10">
        <f t="shared" si="83"/>
        <v>0.4722222313</v>
      </c>
      <c r="G265" s="10">
        <f t="shared" si="84"/>
        <v>0.1888888925</v>
      </c>
      <c r="H265" s="4">
        <v>70601.0</v>
      </c>
      <c r="I265" s="8">
        <v>36.0</v>
      </c>
      <c r="J265" s="8">
        <v>15.55555608868599</v>
      </c>
      <c r="K265" s="8">
        <v>98.0</v>
      </c>
      <c r="L265" s="10">
        <f t="shared" si="4"/>
        <v>0.3673469388</v>
      </c>
      <c r="M265" s="11">
        <f t="shared" si="63"/>
        <v>0.4320987802</v>
      </c>
      <c r="N265" s="11">
        <f t="shared" si="64"/>
        <v>0.1587301642</v>
      </c>
      <c r="O265" s="12">
        <f t="shared" si="87"/>
        <v>0.840336147</v>
      </c>
      <c r="Q265" s="17"/>
      <c r="X265" s="18"/>
    </row>
    <row r="266" ht="15.75" customHeight="1">
      <c r="A266" s="4">
        <v>70602.0</v>
      </c>
      <c r="B266" s="8">
        <v>36.0</v>
      </c>
      <c r="C266" s="8">
        <v>18.00000050663948</v>
      </c>
      <c r="D266" s="8">
        <v>57.0</v>
      </c>
      <c r="E266" s="9">
        <f t="shared" si="82"/>
        <v>0.6315789474</v>
      </c>
      <c r="F266" s="10">
        <f t="shared" si="83"/>
        <v>0.5000000141</v>
      </c>
      <c r="G266" s="10">
        <f t="shared" si="84"/>
        <v>0.3157894826</v>
      </c>
      <c r="H266" s="4">
        <v>70602.0</v>
      </c>
      <c r="I266" s="8">
        <v>80.0</v>
      </c>
      <c r="J266" s="8">
        <v>32.22222310304642</v>
      </c>
      <c r="K266" s="8">
        <v>182.0</v>
      </c>
      <c r="L266" s="10">
        <f t="shared" si="4"/>
        <v>0.4395604396</v>
      </c>
      <c r="M266" s="11">
        <f t="shared" si="63"/>
        <v>0.4027777888</v>
      </c>
      <c r="N266" s="11">
        <f t="shared" si="64"/>
        <v>0.1770451819</v>
      </c>
      <c r="O266" s="12">
        <f t="shared" si="87"/>
        <v>0.5606430602</v>
      </c>
      <c r="Q266" s="17"/>
      <c r="X266" s="18"/>
    </row>
    <row r="267" ht="15.75" customHeight="1">
      <c r="A267" s="4">
        <v>70603.0</v>
      </c>
      <c r="B267" s="8">
        <v>0.0</v>
      </c>
      <c r="C267" s="8">
        <v>0.0</v>
      </c>
      <c r="D267" s="8">
        <v>1.0</v>
      </c>
      <c r="E267" s="9">
        <f t="shared" si="82"/>
        <v>0</v>
      </c>
      <c r="F267" s="10" t="str">
        <f t="shared" si="83"/>
        <v>#DIV/0!</v>
      </c>
      <c r="G267" s="10" t="str">
        <f t="shared" si="84"/>
        <v>#DIV/0!</v>
      </c>
      <c r="H267" s="4">
        <v>70603.0</v>
      </c>
      <c r="I267" s="8">
        <v>19.0</v>
      </c>
      <c r="J267" s="8">
        <v>9.000000178813934</v>
      </c>
      <c r="K267" s="8">
        <v>43.0</v>
      </c>
      <c r="L267" s="10">
        <f t="shared" si="4"/>
        <v>0.4418604651</v>
      </c>
      <c r="M267" s="11">
        <f t="shared" si="63"/>
        <v>0.4736842199</v>
      </c>
      <c r="N267" s="11">
        <f t="shared" si="64"/>
        <v>0.2093023297</v>
      </c>
      <c r="O267" s="12" t="s">
        <v>22</v>
      </c>
      <c r="Q267" s="17"/>
      <c r="X267" s="18"/>
    </row>
    <row r="268" ht="15.75" customHeight="1">
      <c r="A268" s="4">
        <v>70701.0</v>
      </c>
      <c r="B268" s="8">
        <v>3.0</v>
      </c>
      <c r="C268" s="8">
        <v>1.6666667461395264</v>
      </c>
      <c r="D268" s="8">
        <v>3.0</v>
      </c>
      <c r="E268" s="9">
        <f t="shared" si="82"/>
        <v>1</v>
      </c>
      <c r="F268" s="10">
        <f t="shared" si="83"/>
        <v>0.555555582</v>
      </c>
      <c r="G268" s="10">
        <f t="shared" si="84"/>
        <v>0.555555582</v>
      </c>
      <c r="H268" s="4">
        <v>70701.0</v>
      </c>
      <c r="I268" s="8">
        <v>7.0</v>
      </c>
      <c r="J268" s="8">
        <v>3.000000089406967</v>
      </c>
      <c r="K268" s="8">
        <v>32.0</v>
      </c>
      <c r="L268" s="10">
        <f t="shared" si="4"/>
        <v>0.21875</v>
      </c>
      <c r="M268" s="11">
        <f t="shared" si="63"/>
        <v>0.4285714413</v>
      </c>
      <c r="N268" s="11">
        <f t="shared" si="64"/>
        <v>0.09375000279</v>
      </c>
      <c r="O268" s="12">
        <f t="shared" ref="O268:O270" si="88">N268/G268</f>
        <v>0.168749997</v>
      </c>
      <c r="Q268" s="17"/>
      <c r="X268" s="18"/>
    </row>
    <row r="269" ht="15.75" customHeight="1">
      <c r="A269" s="4">
        <v>70702.0</v>
      </c>
      <c r="B269" s="8">
        <v>19.0</v>
      </c>
      <c r="C269" s="8">
        <v>7.6666668355464935</v>
      </c>
      <c r="D269" s="8">
        <v>39.0</v>
      </c>
      <c r="E269" s="9">
        <f t="shared" si="82"/>
        <v>0.4871794872</v>
      </c>
      <c r="F269" s="10">
        <f t="shared" si="83"/>
        <v>0.4035087808</v>
      </c>
      <c r="G269" s="10">
        <f t="shared" si="84"/>
        <v>0.1965812009</v>
      </c>
      <c r="H269" s="4">
        <v>70702.0</v>
      </c>
      <c r="I269" s="8">
        <v>75.0</v>
      </c>
      <c r="J269" s="8">
        <v>31.000000715255737</v>
      </c>
      <c r="K269" s="8">
        <v>148.0</v>
      </c>
      <c r="L269" s="10">
        <f t="shared" si="4"/>
        <v>0.5067567568</v>
      </c>
      <c r="M269" s="11">
        <f t="shared" si="63"/>
        <v>0.4133333429</v>
      </c>
      <c r="N269" s="11">
        <f t="shared" si="64"/>
        <v>0.2094594643</v>
      </c>
      <c r="O269" s="12">
        <f t="shared" si="88"/>
        <v>1.065511164</v>
      </c>
      <c r="Q269" s="17"/>
      <c r="X269" s="18"/>
    </row>
    <row r="270" ht="15.75" customHeight="1">
      <c r="A270" s="4">
        <v>70703.0</v>
      </c>
      <c r="B270" s="8">
        <v>6.0</v>
      </c>
      <c r="C270" s="8">
        <v>2.333333373069763</v>
      </c>
      <c r="D270" s="8">
        <v>20.0</v>
      </c>
      <c r="E270" s="9">
        <f t="shared" si="82"/>
        <v>0.3</v>
      </c>
      <c r="F270" s="10">
        <f t="shared" si="83"/>
        <v>0.3888888955</v>
      </c>
      <c r="G270" s="10">
        <f t="shared" si="84"/>
        <v>0.1166666687</v>
      </c>
      <c r="H270" s="4">
        <v>70703.0</v>
      </c>
      <c r="I270" s="8">
        <v>64.0</v>
      </c>
      <c r="J270" s="8">
        <v>30.666667580604553</v>
      </c>
      <c r="K270" s="8">
        <v>122.0</v>
      </c>
      <c r="L270" s="10">
        <f t="shared" si="4"/>
        <v>0.5245901639</v>
      </c>
      <c r="M270" s="11">
        <f t="shared" si="63"/>
        <v>0.4791666809</v>
      </c>
      <c r="N270" s="11">
        <f t="shared" si="64"/>
        <v>0.2513661277</v>
      </c>
      <c r="O270" s="12">
        <f t="shared" si="88"/>
        <v>2.154566772</v>
      </c>
      <c r="Q270" s="17"/>
      <c r="X270" s="18"/>
    </row>
    <row r="271" ht="15.75" customHeight="1">
      <c r="A271" s="4">
        <v>70704.0</v>
      </c>
      <c r="B271" s="8">
        <v>0.0</v>
      </c>
      <c r="C271" s="8">
        <v>0.0</v>
      </c>
      <c r="D271" s="8">
        <v>1.0</v>
      </c>
      <c r="E271" s="9">
        <f t="shared" si="82"/>
        <v>0</v>
      </c>
      <c r="F271" s="10" t="str">
        <f t="shared" si="83"/>
        <v>#DIV/0!</v>
      </c>
      <c r="G271" s="10" t="str">
        <f t="shared" si="84"/>
        <v>#DIV/0!</v>
      </c>
      <c r="H271" s="4">
        <v>70704.0</v>
      </c>
      <c r="I271" s="8">
        <v>7.0</v>
      </c>
      <c r="J271" s="8">
        <v>2.777777820825577</v>
      </c>
      <c r="K271" s="8">
        <v>22.0</v>
      </c>
      <c r="L271" s="10">
        <f t="shared" si="4"/>
        <v>0.3181818182</v>
      </c>
      <c r="M271" s="11">
        <f t="shared" si="63"/>
        <v>0.396825403</v>
      </c>
      <c r="N271" s="11">
        <f t="shared" si="64"/>
        <v>0.1262626282</v>
      </c>
      <c r="O271" s="12" t="s">
        <v>22</v>
      </c>
      <c r="Q271" s="17"/>
      <c r="X271" s="18"/>
    </row>
    <row r="272" ht="15.75" customHeight="1">
      <c r="A272" s="4">
        <v>70705.0</v>
      </c>
      <c r="B272" s="8">
        <v>1.0</v>
      </c>
      <c r="C272" s="8">
        <v>0.5555555820465088</v>
      </c>
      <c r="D272" s="8">
        <v>4.0</v>
      </c>
      <c r="E272" s="9">
        <f t="shared" si="82"/>
        <v>0.25</v>
      </c>
      <c r="F272" s="10">
        <f t="shared" si="83"/>
        <v>0.555555582</v>
      </c>
      <c r="G272" s="10">
        <f t="shared" si="84"/>
        <v>0.1388888955</v>
      </c>
      <c r="H272" s="4">
        <v>70705.0</v>
      </c>
      <c r="I272" s="8">
        <v>13.0</v>
      </c>
      <c r="J272" s="8">
        <v>5.111111253499985</v>
      </c>
      <c r="K272" s="8">
        <v>27.0</v>
      </c>
      <c r="L272" s="10">
        <f t="shared" si="4"/>
        <v>0.4814814815</v>
      </c>
      <c r="M272" s="11">
        <f t="shared" si="63"/>
        <v>0.3931624041</v>
      </c>
      <c r="N272" s="11">
        <f t="shared" si="64"/>
        <v>0.1893004168</v>
      </c>
      <c r="O272" s="12">
        <f t="shared" ref="O272:O273" si="89">N272/G272</f>
        <v>1.362962936</v>
      </c>
      <c r="Q272" s="17"/>
      <c r="X272" s="18"/>
    </row>
    <row r="273" ht="15.75" customHeight="1">
      <c r="A273" s="4">
        <v>70706.0</v>
      </c>
      <c r="B273" s="8">
        <v>3.0</v>
      </c>
      <c r="C273" s="8">
        <v>1.3333333730697632</v>
      </c>
      <c r="D273" s="8">
        <v>32.0</v>
      </c>
      <c r="E273" s="9">
        <f t="shared" si="82"/>
        <v>0.09375</v>
      </c>
      <c r="F273" s="10">
        <f t="shared" si="83"/>
        <v>0.4444444577</v>
      </c>
      <c r="G273" s="10">
        <f t="shared" si="84"/>
        <v>0.04166666791</v>
      </c>
      <c r="H273" s="4">
        <v>70706.0</v>
      </c>
      <c r="I273" s="8">
        <v>21.0</v>
      </c>
      <c r="J273" s="8">
        <v>8.777777969837189</v>
      </c>
      <c r="K273" s="8">
        <v>283.0</v>
      </c>
      <c r="L273" s="10">
        <f t="shared" si="4"/>
        <v>0.074204947</v>
      </c>
      <c r="M273" s="11">
        <f t="shared" si="63"/>
        <v>0.4179894271</v>
      </c>
      <c r="N273" s="11">
        <f t="shared" si="64"/>
        <v>0.03101688329</v>
      </c>
      <c r="O273" s="12">
        <f t="shared" si="89"/>
        <v>0.7444051767</v>
      </c>
      <c r="Q273" s="17"/>
      <c r="X273" s="18"/>
    </row>
    <row r="274" ht="15.75" customHeight="1">
      <c r="A274" s="4">
        <v>70707.0</v>
      </c>
      <c r="B274" s="8">
        <v>0.0</v>
      </c>
      <c r="C274" s="8">
        <v>0.0</v>
      </c>
      <c r="D274" s="8">
        <v>3.0</v>
      </c>
      <c r="E274" s="9">
        <f t="shared" si="82"/>
        <v>0</v>
      </c>
      <c r="F274" s="10" t="str">
        <f t="shared" si="83"/>
        <v>#DIV/0!</v>
      </c>
      <c r="G274" s="10" t="str">
        <f t="shared" si="84"/>
        <v>#DIV/0!</v>
      </c>
      <c r="H274" s="4">
        <v>70707.0</v>
      </c>
      <c r="I274" s="8">
        <v>4.0</v>
      </c>
      <c r="J274" s="8">
        <v>1.666666716337204</v>
      </c>
      <c r="K274" s="8">
        <v>19.0</v>
      </c>
      <c r="L274" s="10">
        <f t="shared" si="4"/>
        <v>0.2105263158</v>
      </c>
      <c r="M274" s="11">
        <f t="shared" si="63"/>
        <v>0.4166666791</v>
      </c>
      <c r="N274" s="11">
        <f t="shared" si="64"/>
        <v>0.08771930086</v>
      </c>
      <c r="O274" s="12" t="s">
        <v>22</v>
      </c>
      <c r="Q274" s="17"/>
      <c r="X274" s="18"/>
    </row>
    <row r="275" ht="15.75" customHeight="1">
      <c r="A275" s="4">
        <v>70801.0</v>
      </c>
      <c r="B275" s="8">
        <v>6.0</v>
      </c>
      <c r="C275" s="8">
        <v>2.1111111640930176</v>
      </c>
      <c r="D275" s="8">
        <v>15.0</v>
      </c>
      <c r="E275" s="9">
        <f t="shared" si="82"/>
        <v>0.4</v>
      </c>
      <c r="F275" s="10">
        <f t="shared" si="83"/>
        <v>0.3518518607</v>
      </c>
      <c r="G275" s="10">
        <f t="shared" si="84"/>
        <v>0.1407407443</v>
      </c>
      <c r="H275" s="4">
        <v>70801.0</v>
      </c>
      <c r="I275" s="8">
        <v>120.0</v>
      </c>
      <c r="J275" s="8">
        <v>50.55555686354637</v>
      </c>
      <c r="K275" s="8">
        <v>259.0</v>
      </c>
      <c r="L275" s="10">
        <f t="shared" si="4"/>
        <v>0.4633204633</v>
      </c>
      <c r="M275" s="11">
        <f t="shared" si="63"/>
        <v>0.4212963072</v>
      </c>
      <c r="N275" s="11">
        <f t="shared" si="64"/>
        <v>0.1951952002</v>
      </c>
      <c r="O275" s="12">
        <f t="shared" ref="O275:O277" si="90">N275/G275</f>
        <v>1.38691323</v>
      </c>
      <c r="Q275" s="17"/>
      <c r="X275" s="18"/>
    </row>
    <row r="276" ht="15.75" customHeight="1">
      <c r="A276" s="4">
        <v>70802.0</v>
      </c>
      <c r="B276" s="8">
        <v>2.0</v>
      </c>
      <c r="C276" s="8">
        <v>0.8888888955116272</v>
      </c>
      <c r="D276" s="8">
        <v>7.0</v>
      </c>
      <c r="E276" s="9">
        <f t="shared" si="82"/>
        <v>0.2857142857</v>
      </c>
      <c r="F276" s="10">
        <f t="shared" si="83"/>
        <v>0.4444444478</v>
      </c>
      <c r="G276" s="10">
        <f t="shared" si="84"/>
        <v>0.1269841279</v>
      </c>
      <c r="H276" s="4">
        <v>70802.0</v>
      </c>
      <c r="I276" s="8">
        <v>4.0</v>
      </c>
      <c r="J276" s="8">
        <v>1.8888889253139496</v>
      </c>
      <c r="K276" s="8">
        <v>38.0</v>
      </c>
      <c r="L276" s="10">
        <f t="shared" si="4"/>
        <v>0.1052631579</v>
      </c>
      <c r="M276" s="11">
        <f t="shared" si="63"/>
        <v>0.4722222313</v>
      </c>
      <c r="N276" s="11">
        <f t="shared" si="64"/>
        <v>0.0497076033</v>
      </c>
      <c r="O276" s="12">
        <f t="shared" si="90"/>
        <v>0.3914473731</v>
      </c>
      <c r="Q276" s="17"/>
      <c r="X276" s="18"/>
    </row>
    <row r="277" ht="15.75" customHeight="1">
      <c r="A277" s="4">
        <v>70803.0</v>
      </c>
      <c r="B277" s="8">
        <v>3.0</v>
      </c>
      <c r="C277" s="8">
        <v>1.3333333730697632</v>
      </c>
      <c r="D277" s="8">
        <v>4.0</v>
      </c>
      <c r="E277" s="9">
        <f t="shared" si="82"/>
        <v>0.75</v>
      </c>
      <c r="F277" s="10">
        <f t="shared" si="83"/>
        <v>0.4444444577</v>
      </c>
      <c r="G277" s="10">
        <f t="shared" si="84"/>
        <v>0.3333333433</v>
      </c>
      <c r="H277" s="4">
        <v>70803.0</v>
      </c>
      <c r="I277" s="8">
        <v>7.0</v>
      </c>
      <c r="J277" s="8">
        <v>2.8888889849185944</v>
      </c>
      <c r="K277" s="8">
        <v>19.0</v>
      </c>
      <c r="L277" s="10">
        <f t="shared" si="4"/>
        <v>0.3684210526</v>
      </c>
      <c r="M277" s="11">
        <f t="shared" si="63"/>
        <v>0.4126984264</v>
      </c>
      <c r="N277" s="11">
        <f t="shared" si="64"/>
        <v>0.1520467887</v>
      </c>
      <c r="O277" s="12">
        <f t="shared" si="90"/>
        <v>0.4561403524</v>
      </c>
      <c r="Q277" s="17"/>
      <c r="X277" s="18"/>
    </row>
    <row r="278" ht="15.75" customHeight="1">
      <c r="A278" s="4">
        <v>70804.0</v>
      </c>
      <c r="B278" s="8">
        <v>0.0</v>
      </c>
      <c r="C278" s="8">
        <v>0.0</v>
      </c>
      <c r="D278" s="8">
        <v>1.0</v>
      </c>
      <c r="E278" s="9">
        <f t="shared" si="82"/>
        <v>0</v>
      </c>
      <c r="F278" s="10" t="str">
        <f t="shared" si="83"/>
        <v>#DIV/0!</v>
      </c>
      <c r="G278" s="10" t="str">
        <f t="shared" si="84"/>
        <v>#DIV/0!</v>
      </c>
      <c r="H278" s="4">
        <v>70804.0</v>
      </c>
      <c r="I278" s="8">
        <v>15.0</v>
      </c>
      <c r="J278" s="8">
        <v>7.8888892233371735</v>
      </c>
      <c r="K278" s="8">
        <v>50.0</v>
      </c>
      <c r="L278" s="10">
        <f t="shared" si="4"/>
        <v>0.3</v>
      </c>
      <c r="M278" s="11">
        <f t="shared" si="63"/>
        <v>0.5259259482</v>
      </c>
      <c r="N278" s="11">
        <f t="shared" si="64"/>
        <v>0.1577777845</v>
      </c>
      <c r="O278" s="12" t="s">
        <v>22</v>
      </c>
      <c r="Q278" s="17"/>
      <c r="X278" s="18"/>
    </row>
    <row r="279" ht="15.75" customHeight="1">
      <c r="A279" s="4">
        <v>70805.0</v>
      </c>
      <c r="B279" s="8">
        <v>1.0</v>
      </c>
      <c r="C279" s="8">
        <v>0.3333333432674408</v>
      </c>
      <c r="D279" s="8">
        <v>1.0</v>
      </c>
      <c r="E279" s="9">
        <f t="shared" si="82"/>
        <v>1</v>
      </c>
      <c r="F279" s="10">
        <f t="shared" si="83"/>
        <v>0.3333333433</v>
      </c>
      <c r="G279" s="10">
        <f t="shared" si="84"/>
        <v>0.3333333433</v>
      </c>
      <c r="H279" s="4">
        <v>70805.0</v>
      </c>
      <c r="I279" s="8">
        <v>8.0</v>
      </c>
      <c r="J279" s="8">
        <v>3.222222328186035</v>
      </c>
      <c r="K279" s="8">
        <v>12.0</v>
      </c>
      <c r="L279" s="10">
        <f t="shared" si="4"/>
        <v>0.6666666667</v>
      </c>
      <c r="M279" s="11">
        <f t="shared" si="63"/>
        <v>0.402777791</v>
      </c>
      <c r="N279" s="11">
        <f t="shared" si="64"/>
        <v>0.2685185273</v>
      </c>
      <c r="O279" s="12">
        <f t="shared" ref="O279:O282" si="91">N279/G279</f>
        <v>0.805555558</v>
      </c>
      <c r="Q279" s="17"/>
      <c r="X279" s="18"/>
    </row>
    <row r="280" ht="15.75" customHeight="1">
      <c r="A280" s="4">
        <v>70901.0</v>
      </c>
      <c r="B280" s="8">
        <v>1.0</v>
      </c>
      <c r="C280" s="8">
        <v>0.5555555820465088</v>
      </c>
      <c r="D280" s="8">
        <v>3.0</v>
      </c>
      <c r="E280" s="9">
        <f t="shared" si="82"/>
        <v>0.3333333333</v>
      </c>
      <c r="F280" s="10">
        <f t="shared" si="83"/>
        <v>0.555555582</v>
      </c>
      <c r="G280" s="10">
        <f t="shared" si="84"/>
        <v>0.185185194</v>
      </c>
      <c r="H280" s="4">
        <v>70901.0</v>
      </c>
      <c r="I280" s="8">
        <v>46.0</v>
      </c>
      <c r="J280" s="8">
        <v>20.77777823805809</v>
      </c>
      <c r="K280" s="8">
        <v>130.0</v>
      </c>
      <c r="L280" s="10">
        <f t="shared" si="4"/>
        <v>0.3538461538</v>
      </c>
      <c r="M280" s="11">
        <f t="shared" si="63"/>
        <v>0.4516908313</v>
      </c>
      <c r="N280" s="11">
        <f t="shared" si="64"/>
        <v>0.1598290634</v>
      </c>
      <c r="O280" s="12">
        <f t="shared" si="91"/>
        <v>0.863076901</v>
      </c>
      <c r="Q280" s="17"/>
      <c r="X280" s="18"/>
    </row>
    <row r="281" ht="15.75" customHeight="1">
      <c r="A281" s="4">
        <v>70902.0</v>
      </c>
      <c r="B281" s="8">
        <v>10.0</v>
      </c>
      <c r="C281" s="8">
        <v>5.000000149011612</v>
      </c>
      <c r="D281" s="8">
        <v>15.0</v>
      </c>
      <c r="E281" s="9">
        <f t="shared" si="82"/>
        <v>0.6666666667</v>
      </c>
      <c r="F281" s="10">
        <f t="shared" si="83"/>
        <v>0.5000000149</v>
      </c>
      <c r="G281" s="10">
        <f t="shared" si="84"/>
        <v>0.3333333433</v>
      </c>
      <c r="H281" s="4">
        <v>70902.0</v>
      </c>
      <c r="I281" s="8">
        <v>17.0</v>
      </c>
      <c r="J281" s="8">
        <v>7.222222417593002</v>
      </c>
      <c r="K281" s="8">
        <v>51.0</v>
      </c>
      <c r="L281" s="10">
        <f t="shared" si="4"/>
        <v>0.3333333333</v>
      </c>
      <c r="M281" s="11">
        <f t="shared" si="63"/>
        <v>0.4248366128</v>
      </c>
      <c r="N281" s="11">
        <f t="shared" si="64"/>
        <v>0.1416122043</v>
      </c>
      <c r="O281" s="12">
        <f t="shared" si="91"/>
        <v>0.4248366001</v>
      </c>
      <c r="Q281" s="17"/>
      <c r="X281" s="18"/>
    </row>
    <row r="282" ht="15.75" customHeight="1">
      <c r="A282" s="4">
        <v>70903.0</v>
      </c>
      <c r="B282" s="8">
        <v>4.0</v>
      </c>
      <c r="C282" s="8">
        <v>2.000000089406967</v>
      </c>
      <c r="D282" s="8">
        <v>11.0</v>
      </c>
      <c r="E282" s="9">
        <f t="shared" si="82"/>
        <v>0.3636363636</v>
      </c>
      <c r="F282" s="10">
        <f t="shared" si="83"/>
        <v>0.5000000224</v>
      </c>
      <c r="G282" s="10">
        <f t="shared" si="84"/>
        <v>0.1818181899</v>
      </c>
      <c r="H282" s="4">
        <v>70903.0</v>
      </c>
      <c r="I282" s="8">
        <v>35.0</v>
      </c>
      <c r="J282" s="8">
        <v>13.555555880069733</v>
      </c>
      <c r="K282" s="8">
        <v>90.0</v>
      </c>
      <c r="L282" s="10">
        <f t="shared" si="4"/>
        <v>0.3888888889</v>
      </c>
      <c r="M282" s="11">
        <f t="shared" si="63"/>
        <v>0.3873015966</v>
      </c>
      <c r="N282" s="11">
        <f t="shared" si="64"/>
        <v>0.1506172876</v>
      </c>
      <c r="O282" s="12">
        <f t="shared" si="91"/>
        <v>0.8283950445</v>
      </c>
      <c r="Q282" s="17"/>
      <c r="X282" s="18"/>
    </row>
    <row r="283" ht="15.75" customHeight="1">
      <c r="A283" s="4">
        <v>70904.0</v>
      </c>
      <c r="B283" s="8">
        <v>0.0</v>
      </c>
      <c r="C283" s="8">
        <v>0.0</v>
      </c>
      <c r="D283" s="8">
        <v>3.0</v>
      </c>
      <c r="E283" s="9">
        <f t="shared" si="82"/>
        <v>0</v>
      </c>
      <c r="F283" s="10" t="str">
        <f t="shared" si="83"/>
        <v>#DIV/0!</v>
      </c>
      <c r="G283" s="10" t="str">
        <f t="shared" si="84"/>
        <v>#DIV/0!</v>
      </c>
      <c r="H283" s="4">
        <v>70904.0</v>
      </c>
      <c r="I283" s="8">
        <v>11.0</v>
      </c>
      <c r="J283" s="8">
        <v>5.11111119389534</v>
      </c>
      <c r="K283" s="8">
        <v>38.0</v>
      </c>
      <c r="L283" s="10">
        <f t="shared" si="4"/>
        <v>0.2894736842</v>
      </c>
      <c r="M283" s="11">
        <f t="shared" si="63"/>
        <v>0.4646464722</v>
      </c>
      <c r="N283" s="11">
        <f t="shared" si="64"/>
        <v>0.1345029262</v>
      </c>
      <c r="O283" s="12" t="s">
        <v>22</v>
      </c>
      <c r="Q283" s="17"/>
      <c r="X283" s="18"/>
    </row>
    <row r="284" ht="15.75" customHeight="1">
      <c r="A284" s="4">
        <v>71001.0</v>
      </c>
      <c r="B284" s="8">
        <v>20.0</v>
      </c>
      <c r="C284" s="8">
        <v>8.777777969837189</v>
      </c>
      <c r="D284" s="8">
        <v>55.0</v>
      </c>
      <c r="E284" s="9">
        <f t="shared" si="82"/>
        <v>0.3636363636</v>
      </c>
      <c r="F284" s="10">
        <f t="shared" si="83"/>
        <v>0.4388888985</v>
      </c>
      <c r="G284" s="10">
        <f t="shared" si="84"/>
        <v>0.1595959631</v>
      </c>
      <c r="H284" s="4">
        <v>71001.0</v>
      </c>
      <c r="I284" s="8">
        <v>102.0</v>
      </c>
      <c r="J284" s="8">
        <v>40.88888990879059</v>
      </c>
      <c r="K284" s="8">
        <v>427.0</v>
      </c>
      <c r="L284" s="10">
        <f t="shared" si="4"/>
        <v>0.2388758782</v>
      </c>
      <c r="M284" s="11">
        <f t="shared" si="63"/>
        <v>0.4008714697</v>
      </c>
      <c r="N284" s="11">
        <f t="shared" si="64"/>
        <v>0.09575852438</v>
      </c>
      <c r="O284" s="12">
        <f t="shared" ref="O284:O323" si="92">N284/G284</f>
        <v>0.6000059308</v>
      </c>
      <c r="Q284" s="17"/>
      <c r="X284" s="18"/>
    </row>
    <row r="285" ht="15.75" customHeight="1">
      <c r="A285" s="4">
        <v>71002.0</v>
      </c>
      <c r="B285" s="8">
        <v>9.0</v>
      </c>
      <c r="C285" s="8">
        <v>4.000000149011612</v>
      </c>
      <c r="D285" s="8">
        <v>19.0</v>
      </c>
      <c r="E285" s="9">
        <f t="shared" si="82"/>
        <v>0.4736842105</v>
      </c>
      <c r="F285" s="10">
        <f t="shared" si="83"/>
        <v>0.444444461</v>
      </c>
      <c r="G285" s="10">
        <f t="shared" si="84"/>
        <v>0.2105263236</v>
      </c>
      <c r="H285" s="4">
        <v>71002.0</v>
      </c>
      <c r="I285" s="8">
        <v>14.0</v>
      </c>
      <c r="J285" s="8">
        <v>5.666666805744171</v>
      </c>
      <c r="K285" s="8">
        <v>64.0</v>
      </c>
      <c r="L285" s="10">
        <f t="shared" si="4"/>
        <v>0.21875</v>
      </c>
      <c r="M285" s="11">
        <f t="shared" si="63"/>
        <v>0.4047619147</v>
      </c>
      <c r="N285" s="11">
        <f t="shared" si="64"/>
        <v>0.08854166884</v>
      </c>
      <c r="O285" s="12">
        <f t="shared" si="92"/>
        <v>0.4205729113</v>
      </c>
      <c r="Q285" s="17"/>
      <c r="X285" s="18"/>
    </row>
    <row r="286" ht="15.75" customHeight="1">
      <c r="A286" s="4">
        <v>71003.0</v>
      </c>
      <c r="B286" s="8">
        <v>12.0</v>
      </c>
      <c r="C286" s="8">
        <v>4.666666775941849</v>
      </c>
      <c r="D286" s="8">
        <v>15.0</v>
      </c>
      <c r="E286" s="9">
        <f t="shared" si="82"/>
        <v>0.8</v>
      </c>
      <c r="F286" s="10">
        <f t="shared" si="83"/>
        <v>0.388888898</v>
      </c>
      <c r="G286" s="10">
        <f t="shared" si="84"/>
        <v>0.3111111184</v>
      </c>
      <c r="H286" s="4">
        <v>71003.0</v>
      </c>
      <c r="I286" s="8">
        <v>23.0</v>
      </c>
      <c r="J286" s="8">
        <v>8.222222417593002</v>
      </c>
      <c r="K286" s="8">
        <v>36.0</v>
      </c>
      <c r="L286" s="10">
        <f t="shared" si="4"/>
        <v>0.6388888889</v>
      </c>
      <c r="M286" s="11">
        <f t="shared" si="63"/>
        <v>0.3574879312</v>
      </c>
      <c r="N286" s="11">
        <f t="shared" si="64"/>
        <v>0.2283950672</v>
      </c>
      <c r="O286" s="12">
        <f t="shared" si="92"/>
        <v>0.7341269844</v>
      </c>
      <c r="Q286" s="17"/>
      <c r="X286" s="18"/>
    </row>
    <row r="287" ht="15.75" customHeight="1">
      <c r="A287" s="4">
        <v>71004.0</v>
      </c>
      <c r="B287" s="8">
        <v>13.0</v>
      </c>
      <c r="C287" s="8">
        <v>5.8888890743255615</v>
      </c>
      <c r="D287" s="8">
        <v>17.0</v>
      </c>
      <c r="E287" s="9">
        <f t="shared" si="82"/>
        <v>0.7647058824</v>
      </c>
      <c r="F287" s="10">
        <f t="shared" si="83"/>
        <v>0.4529914673</v>
      </c>
      <c r="G287" s="10">
        <f t="shared" si="84"/>
        <v>0.3464052397</v>
      </c>
      <c r="H287" s="4">
        <v>71004.0</v>
      </c>
      <c r="I287" s="8">
        <v>25.0</v>
      </c>
      <c r="J287" s="8">
        <v>9.333333522081375</v>
      </c>
      <c r="K287" s="8">
        <v>58.0</v>
      </c>
      <c r="L287" s="10">
        <f t="shared" si="4"/>
        <v>0.4310344828</v>
      </c>
      <c r="M287" s="11">
        <f t="shared" si="63"/>
        <v>0.3733333409</v>
      </c>
      <c r="N287" s="11">
        <f t="shared" si="64"/>
        <v>0.1609195435</v>
      </c>
      <c r="O287" s="12">
        <f t="shared" si="92"/>
        <v>0.464541309</v>
      </c>
      <c r="Q287" s="17"/>
      <c r="X287" s="18"/>
    </row>
    <row r="288" ht="15.75" customHeight="1">
      <c r="A288" s="4">
        <v>71005.0</v>
      </c>
      <c r="B288" s="8">
        <v>6.0</v>
      </c>
      <c r="C288" s="8">
        <v>2.4444445073604584</v>
      </c>
      <c r="D288" s="8">
        <v>29.0</v>
      </c>
      <c r="E288" s="9">
        <f t="shared" si="82"/>
        <v>0.2068965517</v>
      </c>
      <c r="F288" s="10">
        <f t="shared" si="83"/>
        <v>0.4074074179</v>
      </c>
      <c r="G288" s="10">
        <f t="shared" si="84"/>
        <v>0.08429118991</v>
      </c>
      <c r="H288" s="4">
        <v>71005.0</v>
      </c>
      <c r="I288" s="8">
        <v>67.0</v>
      </c>
      <c r="J288" s="8">
        <v>26.55555608868599</v>
      </c>
      <c r="K288" s="8">
        <v>181.0</v>
      </c>
      <c r="L288" s="10">
        <f t="shared" si="4"/>
        <v>0.3701657459</v>
      </c>
      <c r="M288" s="11">
        <f t="shared" si="63"/>
        <v>0.3963515834</v>
      </c>
      <c r="N288" s="11">
        <f t="shared" si="64"/>
        <v>0.1467157795</v>
      </c>
      <c r="O288" s="12">
        <f t="shared" si="92"/>
        <v>1.740582612</v>
      </c>
      <c r="Q288" s="17"/>
      <c r="X288" s="18"/>
    </row>
    <row r="289" ht="15.75" customHeight="1">
      <c r="A289" s="4">
        <v>71101.0</v>
      </c>
      <c r="B289" s="8">
        <v>11.0</v>
      </c>
      <c r="C289" s="8">
        <v>4.666666746139526</v>
      </c>
      <c r="D289" s="8">
        <v>15.0</v>
      </c>
      <c r="E289" s="9">
        <f t="shared" si="82"/>
        <v>0.7333333333</v>
      </c>
      <c r="F289" s="10">
        <f t="shared" si="83"/>
        <v>0.4242424315</v>
      </c>
      <c r="G289" s="10">
        <f t="shared" si="84"/>
        <v>0.3111111164</v>
      </c>
      <c r="H289" s="4">
        <v>71101.0</v>
      </c>
      <c r="I289" s="8">
        <v>86.0</v>
      </c>
      <c r="J289" s="8">
        <v>37.000000953674316</v>
      </c>
      <c r="K289" s="8">
        <v>153.0</v>
      </c>
      <c r="L289" s="10">
        <f t="shared" si="4"/>
        <v>0.5620915033</v>
      </c>
      <c r="M289" s="11">
        <f t="shared" si="63"/>
        <v>0.4302325692</v>
      </c>
      <c r="N289" s="11">
        <f t="shared" si="64"/>
        <v>0.2418300716</v>
      </c>
      <c r="O289" s="12">
        <f t="shared" si="92"/>
        <v>0.7773109312</v>
      </c>
      <c r="Q289" s="17"/>
      <c r="X289" s="18"/>
    </row>
    <row r="290" ht="15.75" customHeight="1">
      <c r="A290" s="4">
        <v>71102.0</v>
      </c>
      <c r="B290" s="8">
        <v>12.0</v>
      </c>
      <c r="C290" s="8">
        <v>5.444444537162781</v>
      </c>
      <c r="D290" s="8">
        <v>21.0</v>
      </c>
      <c r="E290" s="9">
        <f t="shared" si="82"/>
        <v>0.5714285714</v>
      </c>
      <c r="F290" s="10">
        <f t="shared" si="83"/>
        <v>0.4537037114</v>
      </c>
      <c r="G290" s="10">
        <f t="shared" si="84"/>
        <v>0.2592592637</v>
      </c>
      <c r="H290" s="4">
        <v>71102.0</v>
      </c>
      <c r="I290" s="8">
        <v>66.0</v>
      </c>
      <c r="J290" s="8">
        <v>28.66666731238365</v>
      </c>
      <c r="K290" s="8">
        <v>108.0</v>
      </c>
      <c r="L290" s="10">
        <f t="shared" si="4"/>
        <v>0.6111111111</v>
      </c>
      <c r="M290" s="11">
        <f t="shared" si="63"/>
        <v>0.4343434441</v>
      </c>
      <c r="N290" s="11">
        <f t="shared" si="64"/>
        <v>0.2654321047</v>
      </c>
      <c r="O290" s="12">
        <f t="shared" si="92"/>
        <v>1.023809529</v>
      </c>
      <c r="Q290" s="17"/>
      <c r="X290" s="18"/>
    </row>
    <row r="291" ht="15.75" customHeight="1">
      <c r="A291" s="4">
        <v>71103.0</v>
      </c>
      <c r="B291" s="8">
        <v>5.0</v>
      </c>
      <c r="C291" s="8">
        <v>2.0000000596046448</v>
      </c>
      <c r="D291" s="8">
        <v>13.0</v>
      </c>
      <c r="E291" s="9">
        <f t="shared" si="82"/>
        <v>0.3846153846</v>
      </c>
      <c r="F291" s="10">
        <f t="shared" si="83"/>
        <v>0.4000000119</v>
      </c>
      <c r="G291" s="10">
        <f t="shared" si="84"/>
        <v>0.1538461584</v>
      </c>
      <c r="H291" s="4">
        <v>71103.0</v>
      </c>
      <c r="I291" s="8">
        <v>22.0</v>
      </c>
      <c r="J291" s="8">
        <v>8.000000208616257</v>
      </c>
      <c r="K291" s="8">
        <v>60.0</v>
      </c>
      <c r="L291" s="10">
        <f t="shared" si="4"/>
        <v>0.3666666667</v>
      </c>
      <c r="M291" s="11">
        <f t="shared" si="63"/>
        <v>0.3636363731</v>
      </c>
      <c r="N291" s="11">
        <f t="shared" si="64"/>
        <v>0.1333333368</v>
      </c>
      <c r="O291" s="12">
        <f t="shared" si="92"/>
        <v>0.8666666634</v>
      </c>
      <c r="Q291" s="17"/>
      <c r="X291" s="18"/>
    </row>
    <row r="292" ht="15.75" customHeight="1">
      <c r="A292" s="4">
        <v>71104.0</v>
      </c>
      <c r="B292" s="8">
        <v>32.0</v>
      </c>
      <c r="C292" s="8">
        <v>12.33333358168602</v>
      </c>
      <c r="D292" s="8">
        <v>80.0</v>
      </c>
      <c r="E292" s="9">
        <f t="shared" si="82"/>
        <v>0.4</v>
      </c>
      <c r="F292" s="10">
        <f t="shared" si="83"/>
        <v>0.3854166744</v>
      </c>
      <c r="G292" s="10">
        <f t="shared" si="84"/>
        <v>0.1541666698</v>
      </c>
      <c r="H292" s="4">
        <v>71104.0</v>
      </c>
      <c r="I292" s="8">
        <v>100.0</v>
      </c>
      <c r="J292" s="8">
        <v>41.000000953674316</v>
      </c>
      <c r="K292" s="8">
        <v>258.0</v>
      </c>
      <c r="L292" s="10">
        <f t="shared" si="4"/>
        <v>0.3875968992</v>
      </c>
      <c r="M292" s="11">
        <f t="shared" si="63"/>
        <v>0.4100000095</v>
      </c>
      <c r="N292" s="11">
        <f t="shared" si="64"/>
        <v>0.1589147324</v>
      </c>
      <c r="O292" s="12">
        <f t="shared" si="92"/>
        <v>1.030798243</v>
      </c>
      <c r="Q292" s="17"/>
      <c r="X292" s="18"/>
    </row>
    <row r="293" ht="15.75" customHeight="1">
      <c r="A293" s="4">
        <v>71105.0</v>
      </c>
      <c r="B293" s="8">
        <v>1.0</v>
      </c>
      <c r="C293" s="8">
        <v>0.3333333432674408</v>
      </c>
      <c r="D293" s="8">
        <v>2.0</v>
      </c>
      <c r="E293" s="9">
        <f t="shared" si="82"/>
        <v>0.5</v>
      </c>
      <c r="F293" s="10">
        <f t="shared" si="83"/>
        <v>0.3333333433</v>
      </c>
      <c r="G293" s="10">
        <f t="shared" si="84"/>
        <v>0.1666666716</v>
      </c>
      <c r="H293" s="4">
        <v>71105.0</v>
      </c>
      <c r="I293" s="8">
        <v>10.0</v>
      </c>
      <c r="J293" s="8">
        <v>4.11111119389534</v>
      </c>
      <c r="K293" s="8">
        <v>26.0</v>
      </c>
      <c r="L293" s="10">
        <f t="shared" si="4"/>
        <v>0.3846153846</v>
      </c>
      <c r="M293" s="11">
        <f t="shared" si="63"/>
        <v>0.4111111194</v>
      </c>
      <c r="N293" s="11">
        <f t="shared" si="64"/>
        <v>0.1581196613</v>
      </c>
      <c r="O293" s="12">
        <f t="shared" si="92"/>
        <v>0.9487179395</v>
      </c>
      <c r="Q293" s="17"/>
      <c r="X293" s="18"/>
    </row>
    <row r="294" ht="15.75" customHeight="1">
      <c r="A294" s="4">
        <v>71106.0</v>
      </c>
      <c r="B294" s="8">
        <v>7.0</v>
      </c>
      <c r="C294" s="8">
        <v>3.4444445073604584</v>
      </c>
      <c r="D294" s="8">
        <v>22.0</v>
      </c>
      <c r="E294" s="9">
        <f t="shared" si="82"/>
        <v>0.3181818182</v>
      </c>
      <c r="F294" s="10">
        <f t="shared" si="83"/>
        <v>0.4920635011</v>
      </c>
      <c r="G294" s="10">
        <f t="shared" si="84"/>
        <v>0.1565656594</v>
      </c>
      <c r="H294" s="4">
        <v>71106.0</v>
      </c>
      <c r="I294" s="8">
        <v>22.0</v>
      </c>
      <c r="J294" s="8">
        <v>8.000000208616257</v>
      </c>
      <c r="K294" s="8">
        <v>93.0</v>
      </c>
      <c r="L294" s="10">
        <f t="shared" si="4"/>
        <v>0.2365591398</v>
      </c>
      <c r="M294" s="11">
        <f t="shared" si="63"/>
        <v>0.3636363731</v>
      </c>
      <c r="N294" s="11">
        <f t="shared" si="64"/>
        <v>0.08602150762</v>
      </c>
      <c r="O294" s="12">
        <f t="shared" si="92"/>
        <v>0.5494276838</v>
      </c>
      <c r="Q294" s="17"/>
      <c r="X294" s="18"/>
    </row>
    <row r="295" ht="15.75" customHeight="1">
      <c r="A295" s="4">
        <v>71201.0</v>
      </c>
      <c r="B295" s="8">
        <v>13.0</v>
      </c>
      <c r="C295" s="8">
        <v>4.888888984918594</v>
      </c>
      <c r="D295" s="8">
        <v>30.0</v>
      </c>
      <c r="E295" s="9">
        <f t="shared" si="82"/>
        <v>0.4333333333</v>
      </c>
      <c r="F295" s="10">
        <f t="shared" si="83"/>
        <v>0.3760683835</v>
      </c>
      <c r="G295" s="10">
        <f t="shared" si="84"/>
        <v>0.1629629662</v>
      </c>
      <c r="H295" s="4">
        <v>71201.0</v>
      </c>
      <c r="I295" s="8">
        <v>72.0</v>
      </c>
      <c r="J295" s="8">
        <v>31.66666743159294</v>
      </c>
      <c r="K295" s="8">
        <v>158.0</v>
      </c>
      <c r="L295" s="10">
        <f t="shared" si="4"/>
        <v>0.4556962025</v>
      </c>
      <c r="M295" s="11">
        <f t="shared" si="63"/>
        <v>0.4398148254</v>
      </c>
      <c r="N295" s="11">
        <f t="shared" si="64"/>
        <v>0.2004219458</v>
      </c>
      <c r="O295" s="12">
        <f t="shared" si="92"/>
        <v>1.229861916</v>
      </c>
      <c r="Q295" s="17"/>
      <c r="X295" s="18"/>
    </row>
    <row r="296" ht="15.75" customHeight="1">
      <c r="A296" s="4">
        <v>71301.0</v>
      </c>
      <c r="B296" s="8">
        <v>2.0</v>
      </c>
      <c r="C296" s="8">
        <v>1.1111111640930176</v>
      </c>
      <c r="D296" s="8">
        <v>7.0</v>
      </c>
      <c r="E296" s="9">
        <f t="shared" si="82"/>
        <v>0.2857142857</v>
      </c>
      <c r="F296" s="10">
        <f t="shared" si="83"/>
        <v>0.555555582</v>
      </c>
      <c r="G296" s="10">
        <f t="shared" si="84"/>
        <v>0.1587301663</v>
      </c>
      <c r="H296" s="4">
        <v>71301.0</v>
      </c>
      <c r="I296" s="8">
        <v>52.0</v>
      </c>
      <c r="J296" s="8">
        <v>23.33333396911621</v>
      </c>
      <c r="K296" s="8">
        <v>132.0</v>
      </c>
      <c r="L296" s="10">
        <f t="shared" si="4"/>
        <v>0.3939393939</v>
      </c>
      <c r="M296" s="11">
        <f t="shared" si="63"/>
        <v>0.4487179609</v>
      </c>
      <c r="N296" s="11">
        <f t="shared" si="64"/>
        <v>0.1767676816</v>
      </c>
      <c r="O296" s="12">
        <f t="shared" si="92"/>
        <v>1.113636341</v>
      </c>
      <c r="Q296" s="17"/>
      <c r="X296" s="18"/>
    </row>
    <row r="297" ht="15.75" customHeight="1">
      <c r="A297" s="4">
        <v>71302.0</v>
      </c>
      <c r="B297" s="8">
        <v>6.0</v>
      </c>
      <c r="C297" s="8">
        <v>2.2222222685813904</v>
      </c>
      <c r="D297" s="8">
        <v>17.0</v>
      </c>
      <c r="E297" s="9">
        <f t="shared" si="82"/>
        <v>0.3529411765</v>
      </c>
      <c r="F297" s="10">
        <f t="shared" si="83"/>
        <v>0.3703703781</v>
      </c>
      <c r="G297" s="10">
        <f t="shared" si="84"/>
        <v>0.130718957</v>
      </c>
      <c r="H297" s="4">
        <v>71302.0</v>
      </c>
      <c r="I297" s="8">
        <v>34.0</v>
      </c>
      <c r="J297" s="8">
        <v>13.444444835186005</v>
      </c>
      <c r="K297" s="8">
        <v>104.0</v>
      </c>
      <c r="L297" s="10">
        <f t="shared" si="4"/>
        <v>0.3269230769</v>
      </c>
      <c r="M297" s="11">
        <f t="shared" si="63"/>
        <v>0.3954248481</v>
      </c>
      <c r="N297" s="11">
        <f t="shared" si="64"/>
        <v>0.129273508</v>
      </c>
      <c r="O297" s="12">
        <f t="shared" si="92"/>
        <v>0.9889423158</v>
      </c>
      <c r="Q297" s="17"/>
      <c r="X297" s="18"/>
    </row>
    <row r="298" ht="15.75" customHeight="1">
      <c r="A298" s="4">
        <v>71401.0</v>
      </c>
      <c r="B298" s="8">
        <v>12.0</v>
      </c>
      <c r="C298" s="8">
        <v>5.222222298383713</v>
      </c>
      <c r="D298" s="8">
        <v>15.0</v>
      </c>
      <c r="E298" s="9">
        <f t="shared" si="82"/>
        <v>0.8</v>
      </c>
      <c r="F298" s="10">
        <f t="shared" si="83"/>
        <v>0.4351851915</v>
      </c>
      <c r="G298" s="10">
        <f t="shared" si="84"/>
        <v>0.3481481532</v>
      </c>
      <c r="H298" s="4">
        <v>71401.0</v>
      </c>
      <c r="I298" s="8">
        <v>39.0</v>
      </c>
      <c r="J298" s="8">
        <v>14.444444835186005</v>
      </c>
      <c r="K298" s="8">
        <v>128.0</v>
      </c>
      <c r="L298" s="10">
        <f t="shared" si="4"/>
        <v>0.3046875</v>
      </c>
      <c r="M298" s="11">
        <f t="shared" si="63"/>
        <v>0.3703703804</v>
      </c>
      <c r="N298" s="11">
        <f t="shared" si="64"/>
        <v>0.1128472253</v>
      </c>
      <c r="O298" s="12">
        <f t="shared" si="92"/>
        <v>0.3241356423</v>
      </c>
      <c r="Q298" s="17"/>
      <c r="X298" s="18"/>
    </row>
    <row r="299" ht="15.75" customHeight="1">
      <c r="A299" s="4">
        <v>71402.0</v>
      </c>
      <c r="B299" s="8">
        <v>7.0</v>
      </c>
      <c r="C299" s="8">
        <v>2.666666716337204</v>
      </c>
      <c r="D299" s="8">
        <v>27.0</v>
      </c>
      <c r="E299" s="9">
        <f t="shared" si="82"/>
        <v>0.2592592593</v>
      </c>
      <c r="F299" s="10">
        <f t="shared" si="83"/>
        <v>0.380952388</v>
      </c>
      <c r="G299" s="10">
        <f t="shared" si="84"/>
        <v>0.09876543394</v>
      </c>
      <c r="H299" s="4">
        <v>71402.0</v>
      </c>
      <c r="I299" s="8">
        <v>37.0</v>
      </c>
      <c r="J299" s="8">
        <v>13.555555880069733</v>
      </c>
      <c r="K299" s="8">
        <v>190.0</v>
      </c>
      <c r="L299" s="10">
        <f t="shared" si="4"/>
        <v>0.1947368421</v>
      </c>
      <c r="M299" s="11">
        <f t="shared" si="63"/>
        <v>0.3663663751</v>
      </c>
      <c r="N299" s="11">
        <f t="shared" si="64"/>
        <v>0.07134503095</v>
      </c>
      <c r="O299" s="12">
        <f t="shared" si="92"/>
        <v>0.7223684249</v>
      </c>
      <c r="Q299" s="17"/>
      <c r="X299" s="18"/>
    </row>
    <row r="300" ht="15.75" customHeight="1">
      <c r="A300" s="4">
        <v>71403.0</v>
      </c>
      <c r="B300" s="8">
        <v>12.0</v>
      </c>
      <c r="C300" s="8">
        <v>5.000000178813934</v>
      </c>
      <c r="D300" s="8">
        <v>19.0</v>
      </c>
      <c r="E300" s="9">
        <f t="shared" si="82"/>
        <v>0.6315789474</v>
      </c>
      <c r="F300" s="10">
        <f t="shared" si="83"/>
        <v>0.4166666816</v>
      </c>
      <c r="G300" s="10">
        <f t="shared" si="84"/>
        <v>0.2631579041</v>
      </c>
      <c r="H300" s="4">
        <v>71403.0</v>
      </c>
      <c r="I300" s="8">
        <v>20.0</v>
      </c>
      <c r="J300" s="8">
        <v>8.666666865348816</v>
      </c>
      <c r="K300" s="8">
        <v>50.0</v>
      </c>
      <c r="L300" s="10">
        <f t="shared" si="4"/>
        <v>0.4</v>
      </c>
      <c r="M300" s="11">
        <f t="shared" si="63"/>
        <v>0.4333333433</v>
      </c>
      <c r="N300" s="11">
        <f t="shared" si="64"/>
        <v>0.1733333373</v>
      </c>
      <c r="O300" s="12">
        <f t="shared" si="92"/>
        <v>0.6586666582</v>
      </c>
      <c r="Q300" s="17"/>
      <c r="X300" s="18"/>
    </row>
    <row r="301" ht="15.75" customHeight="1">
      <c r="A301" s="4">
        <v>71501.0</v>
      </c>
      <c r="B301" s="8">
        <v>31.0</v>
      </c>
      <c r="C301" s="8">
        <v>13.111111432313919</v>
      </c>
      <c r="D301" s="8">
        <v>63.0</v>
      </c>
      <c r="E301" s="9">
        <f t="shared" si="82"/>
        <v>0.4920634921</v>
      </c>
      <c r="F301" s="10">
        <f t="shared" si="83"/>
        <v>0.4229390785</v>
      </c>
      <c r="G301" s="10">
        <f t="shared" si="84"/>
        <v>0.2081128799</v>
      </c>
      <c r="H301" s="4">
        <v>71501.0</v>
      </c>
      <c r="I301" s="8">
        <v>197.0</v>
      </c>
      <c r="J301" s="8">
        <v>83.44444653391838</v>
      </c>
      <c r="K301" s="8">
        <v>349.0</v>
      </c>
      <c r="L301" s="10">
        <f t="shared" si="4"/>
        <v>0.564469914</v>
      </c>
      <c r="M301" s="11">
        <f t="shared" si="63"/>
        <v>0.4235758707</v>
      </c>
      <c r="N301" s="11">
        <f t="shared" si="64"/>
        <v>0.2390958353</v>
      </c>
      <c r="O301" s="12">
        <f t="shared" si="92"/>
        <v>1.148875723</v>
      </c>
      <c r="Q301" s="17"/>
      <c r="X301" s="18"/>
    </row>
    <row r="302" ht="15.75" customHeight="1">
      <c r="A302" s="4">
        <v>71502.0</v>
      </c>
      <c r="B302" s="8">
        <v>2.0</v>
      </c>
      <c r="C302" s="8">
        <v>1.0000000298023224</v>
      </c>
      <c r="D302" s="8">
        <v>6.0</v>
      </c>
      <c r="E302" s="9">
        <f t="shared" si="82"/>
        <v>0.3333333333</v>
      </c>
      <c r="F302" s="10">
        <f t="shared" si="83"/>
        <v>0.5000000149</v>
      </c>
      <c r="G302" s="10">
        <f t="shared" si="84"/>
        <v>0.1666666716</v>
      </c>
      <c r="H302" s="4">
        <v>71502.0</v>
      </c>
      <c r="I302" s="8">
        <v>9.0</v>
      </c>
      <c r="J302" s="8">
        <v>3.6666667461395264</v>
      </c>
      <c r="K302" s="8">
        <v>24.0</v>
      </c>
      <c r="L302" s="10">
        <f t="shared" si="4"/>
        <v>0.375</v>
      </c>
      <c r="M302" s="11">
        <f t="shared" si="63"/>
        <v>0.4074074162</v>
      </c>
      <c r="N302" s="11">
        <f t="shared" si="64"/>
        <v>0.1527777811</v>
      </c>
      <c r="O302" s="12">
        <f t="shared" si="92"/>
        <v>0.9166666592</v>
      </c>
      <c r="Q302" s="17"/>
      <c r="X302" s="18"/>
    </row>
    <row r="303" ht="15.75" customHeight="1">
      <c r="A303" s="4">
        <v>71503.0</v>
      </c>
      <c r="B303" s="8">
        <v>30.0</v>
      </c>
      <c r="C303" s="8">
        <v>12.333333641290665</v>
      </c>
      <c r="D303" s="8">
        <v>37.0</v>
      </c>
      <c r="E303" s="9">
        <f t="shared" si="82"/>
        <v>0.8108108108</v>
      </c>
      <c r="F303" s="10">
        <f t="shared" si="83"/>
        <v>0.4111111214</v>
      </c>
      <c r="G303" s="10">
        <f t="shared" si="84"/>
        <v>0.3333333417</v>
      </c>
      <c r="H303" s="4">
        <v>71503.0</v>
      </c>
      <c r="I303" s="8">
        <v>84.0</v>
      </c>
      <c r="J303" s="8">
        <v>36.333334386348724</v>
      </c>
      <c r="K303" s="8">
        <v>116.0</v>
      </c>
      <c r="L303" s="10">
        <f t="shared" si="4"/>
        <v>0.724137931</v>
      </c>
      <c r="M303" s="11">
        <f t="shared" si="63"/>
        <v>0.4325396951</v>
      </c>
      <c r="N303" s="11">
        <f t="shared" si="64"/>
        <v>0.3132183999</v>
      </c>
      <c r="O303" s="12">
        <f t="shared" si="92"/>
        <v>0.9396551762</v>
      </c>
      <c r="Q303" s="17"/>
      <c r="X303" s="18"/>
    </row>
    <row r="304" ht="15.75" customHeight="1">
      <c r="A304" s="4">
        <v>80101.0</v>
      </c>
      <c r="B304" s="8">
        <v>54.0</v>
      </c>
      <c r="C304" s="8">
        <v>20.888889372348785</v>
      </c>
      <c r="D304" s="8">
        <v>116.0</v>
      </c>
      <c r="E304" s="9">
        <f t="shared" si="82"/>
        <v>0.4655172414</v>
      </c>
      <c r="F304" s="10">
        <f t="shared" si="83"/>
        <v>0.3868312847</v>
      </c>
      <c r="G304" s="10">
        <f t="shared" si="84"/>
        <v>0.1800766325</v>
      </c>
      <c r="H304" s="4">
        <v>80101.0</v>
      </c>
      <c r="I304" s="8">
        <v>290.0</v>
      </c>
      <c r="J304" s="8">
        <v>113.77778089046478</v>
      </c>
      <c r="K304" s="8">
        <v>970.0</v>
      </c>
      <c r="L304" s="10">
        <f t="shared" si="4"/>
        <v>0.2989690722</v>
      </c>
      <c r="M304" s="11">
        <f t="shared" si="63"/>
        <v>0.3923371755</v>
      </c>
      <c r="N304" s="11">
        <f t="shared" si="64"/>
        <v>0.1172966813</v>
      </c>
      <c r="O304" s="12">
        <f t="shared" si="92"/>
        <v>0.6513709174</v>
      </c>
      <c r="Q304" s="17"/>
      <c r="X304" s="18"/>
    </row>
    <row r="305" ht="15.75" customHeight="1">
      <c r="A305" s="4">
        <v>80102.0</v>
      </c>
      <c r="B305" s="8">
        <v>41.0</v>
      </c>
      <c r="C305" s="8">
        <v>18.555556058883667</v>
      </c>
      <c r="D305" s="8">
        <v>82.0</v>
      </c>
      <c r="E305" s="9">
        <f t="shared" si="82"/>
        <v>0.5</v>
      </c>
      <c r="F305" s="10">
        <f t="shared" si="83"/>
        <v>0.452574538</v>
      </c>
      <c r="G305" s="10">
        <f t="shared" si="84"/>
        <v>0.226287269</v>
      </c>
      <c r="H305" s="4">
        <v>80102.0</v>
      </c>
      <c r="I305" s="8">
        <v>41.0</v>
      </c>
      <c r="J305" s="8">
        <v>19.444444984197617</v>
      </c>
      <c r="K305" s="8">
        <v>52.0</v>
      </c>
      <c r="L305" s="10">
        <f t="shared" si="4"/>
        <v>0.7884615385</v>
      </c>
      <c r="M305" s="11">
        <f t="shared" si="63"/>
        <v>0.4742547557</v>
      </c>
      <c r="N305" s="11">
        <f t="shared" si="64"/>
        <v>0.3739316343</v>
      </c>
      <c r="O305" s="12">
        <f t="shared" si="92"/>
        <v>1.652464303</v>
      </c>
      <c r="Q305" s="17"/>
      <c r="X305" s="18"/>
    </row>
    <row r="306" ht="15.75" customHeight="1">
      <c r="A306" s="4">
        <v>80201.0</v>
      </c>
      <c r="B306" s="8">
        <v>57.0</v>
      </c>
      <c r="C306" s="8">
        <v>24.33333396911621</v>
      </c>
      <c r="D306" s="8">
        <v>86.0</v>
      </c>
      <c r="E306" s="9">
        <f t="shared" si="82"/>
        <v>0.6627906977</v>
      </c>
      <c r="F306" s="10">
        <f t="shared" si="83"/>
        <v>0.4269005959</v>
      </c>
      <c r="G306" s="10">
        <f t="shared" si="84"/>
        <v>0.2829457438</v>
      </c>
      <c r="H306" s="4">
        <v>80201.0</v>
      </c>
      <c r="I306" s="8">
        <v>423.0</v>
      </c>
      <c r="J306" s="8">
        <v>200.88889461755753</v>
      </c>
      <c r="K306" s="8">
        <v>636.0</v>
      </c>
      <c r="L306" s="10">
        <f t="shared" si="4"/>
        <v>0.6650943396</v>
      </c>
      <c r="M306" s="11">
        <f t="shared" si="63"/>
        <v>0.4749146445</v>
      </c>
      <c r="N306" s="11">
        <f t="shared" si="64"/>
        <v>0.3158630419</v>
      </c>
      <c r="O306" s="12">
        <f t="shared" si="92"/>
        <v>1.116337845</v>
      </c>
      <c r="Q306" s="17"/>
      <c r="X306" s="18"/>
    </row>
    <row r="307" ht="15.75" customHeight="1">
      <c r="A307" s="4">
        <v>80202.0</v>
      </c>
      <c r="B307" s="8">
        <v>35.0</v>
      </c>
      <c r="C307" s="8">
        <v>16.11111146211624</v>
      </c>
      <c r="D307" s="8">
        <v>44.0</v>
      </c>
      <c r="E307" s="9">
        <f t="shared" si="82"/>
        <v>0.7954545455</v>
      </c>
      <c r="F307" s="10">
        <f t="shared" si="83"/>
        <v>0.4603174703</v>
      </c>
      <c r="G307" s="10">
        <f t="shared" si="84"/>
        <v>0.3661616241</v>
      </c>
      <c r="H307" s="4">
        <v>80202.0</v>
      </c>
      <c r="I307" s="8">
        <v>117.0</v>
      </c>
      <c r="J307" s="8">
        <v>50.44444563984871</v>
      </c>
      <c r="K307" s="8">
        <v>258.0</v>
      </c>
      <c r="L307" s="10">
        <f t="shared" si="4"/>
        <v>0.4534883721</v>
      </c>
      <c r="M307" s="11">
        <f t="shared" si="63"/>
        <v>0.431149108</v>
      </c>
      <c r="N307" s="11">
        <f t="shared" si="64"/>
        <v>0.1955211071</v>
      </c>
      <c r="O307" s="12">
        <f t="shared" si="92"/>
        <v>0.533974874</v>
      </c>
      <c r="Q307" s="17"/>
      <c r="X307" s="18"/>
    </row>
    <row r="308" ht="15.75" customHeight="1">
      <c r="A308" s="4">
        <v>80301.0</v>
      </c>
      <c r="B308" s="8">
        <v>12.0</v>
      </c>
      <c r="C308" s="8">
        <v>4.555555641651154</v>
      </c>
      <c r="D308" s="8">
        <v>14.0</v>
      </c>
      <c r="E308" s="9">
        <f t="shared" si="82"/>
        <v>0.8571428571</v>
      </c>
      <c r="F308" s="10">
        <f t="shared" si="83"/>
        <v>0.3796296368</v>
      </c>
      <c r="G308" s="10">
        <f t="shared" si="84"/>
        <v>0.3253968315</v>
      </c>
      <c r="H308" s="4">
        <v>80301.0</v>
      </c>
      <c r="I308" s="8">
        <v>64.0</v>
      </c>
      <c r="J308" s="8">
        <v>27.88888967037201</v>
      </c>
      <c r="K308" s="8">
        <v>98.0</v>
      </c>
      <c r="L308" s="10">
        <f t="shared" si="4"/>
        <v>0.6530612245</v>
      </c>
      <c r="M308" s="11">
        <f t="shared" si="63"/>
        <v>0.4357639011</v>
      </c>
      <c r="N308" s="11">
        <f t="shared" si="64"/>
        <v>0.2845805068</v>
      </c>
      <c r="O308" s="12">
        <f t="shared" si="92"/>
        <v>0.8745644679</v>
      </c>
      <c r="Q308" s="17"/>
      <c r="X308" s="18"/>
    </row>
    <row r="309" ht="15.75" customHeight="1">
      <c r="A309" s="4">
        <v>80302.0</v>
      </c>
      <c r="B309" s="8">
        <v>166.0</v>
      </c>
      <c r="C309" s="8">
        <v>97.11111345887184</v>
      </c>
      <c r="D309" s="8">
        <v>195.0</v>
      </c>
      <c r="E309" s="9">
        <f t="shared" si="82"/>
        <v>0.8512820513</v>
      </c>
      <c r="F309" s="10">
        <f t="shared" si="83"/>
        <v>0.5850067076</v>
      </c>
      <c r="G309" s="10">
        <f t="shared" si="84"/>
        <v>0.49800571</v>
      </c>
      <c r="H309" s="4">
        <v>80302.0</v>
      </c>
      <c r="I309" s="8">
        <v>198.0</v>
      </c>
      <c r="J309" s="8">
        <v>94.55555772781372</v>
      </c>
      <c r="K309" s="8">
        <v>345.0</v>
      </c>
      <c r="L309" s="10">
        <f t="shared" si="4"/>
        <v>0.5739130435</v>
      </c>
      <c r="M309" s="11">
        <f t="shared" si="63"/>
        <v>0.4775533219</v>
      </c>
      <c r="N309" s="11">
        <f t="shared" si="64"/>
        <v>0.2740740804</v>
      </c>
      <c r="O309" s="12">
        <f t="shared" si="92"/>
        <v>0.5503432488</v>
      </c>
      <c r="Q309" s="17"/>
      <c r="X309" s="18"/>
    </row>
    <row r="310" ht="15.75" customHeight="1">
      <c r="A310" s="4">
        <v>80303.0</v>
      </c>
      <c r="B310" s="8">
        <v>18.0</v>
      </c>
      <c r="C310" s="8">
        <v>7.777777940034866</v>
      </c>
      <c r="D310" s="8">
        <v>32.0</v>
      </c>
      <c r="E310" s="9">
        <f t="shared" si="82"/>
        <v>0.5625</v>
      </c>
      <c r="F310" s="10">
        <f t="shared" si="83"/>
        <v>0.4320987744</v>
      </c>
      <c r="G310" s="10">
        <f t="shared" si="84"/>
        <v>0.2430555606</v>
      </c>
      <c r="H310" s="4">
        <v>80303.0</v>
      </c>
      <c r="I310" s="8">
        <v>54.0</v>
      </c>
      <c r="J310" s="8">
        <v>23.000000596046448</v>
      </c>
      <c r="K310" s="8">
        <v>77.0</v>
      </c>
      <c r="L310" s="10">
        <f t="shared" si="4"/>
        <v>0.7012987013</v>
      </c>
      <c r="M310" s="11">
        <f t="shared" si="63"/>
        <v>0.425925937</v>
      </c>
      <c r="N310" s="11">
        <f t="shared" si="64"/>
        <v>0.2987013064</v>
      </c>
      <c r="O310" s="12">
        <f t="shared" si="92"/>
        <v>1.228942492</v>
      </c>
      <c r="Q310" s="17"/>
      <c r="X310" s="18"/>
    </row>
    <row r="311" ht="15.75" customHeight="1">
      <c r="A311" s="4">
        <v>80304.0</v>
      </c>
      <c r="B311" s="8">
        <v>15.0</v>
      </c>
      <c r="C311" s="8">
        <v>6.888889014720917</v>
      </c>
      <c r="D311" s="8">
        <v>36.0</v>
      </c>
      <c r="E311" s="9">
        <f t="shared" si="82"/>
        <v>0.4166666667</v>
      </c>
      <c r="F311" s="10">
        <f t="shared" si="83"/>
        <v>0.4592592676</v>
      </c>
      <c r="G311" s="10">
        <f t="shared" si="84"/>
        <v>0.1913580282</v>
      </c>
      <c r="H311" s="4">
        <v>80304.0</v>
      </c>
      <c r="I311" s="8">
        <v>29.0</v>
      </c>
      <c r="J311" s="8">
        <v>12.000000327825546</v>
      </c>
      <c r="K311" s="8">
        <v>145.0</v>
      </c>
      <c r="L311" s="10">
        <f t="shared" si="4"/>
        <v>0.2</v>
      </c>
      <c r="M311" s="11">
        <f t="shared" si="63"/>
        <v>0.4137931148</v>
      </c>
      <c r="N311" s="11">
        <f t="shared" si="64"/>
        <v>0.08275862295</v>
      </c>
      <c r="O311" s="12">
        <f t="shared" si="92"/>
        <v>0.4324805378</v>
      </c>
      <c r="Q311" s="17"/>
      <c r="X311" s="18"/>
    </row>
    <row r="312" ht="15.75" customHeight="1">
      <c r="A312" s="4">
        <v>80401.0</v>
      </c>
      <c r="B312" s="8">
        <v>17.0</v>
      </c>
      <c r="C312" s="8">
        <v>7.666666924953461</v>
      </c>
      <c r="D312" s="8">
        <v>32.0</v>
      </c>
      <c r="E312" s="9">
        <f t="shared" si="82"/>
        <v>0.53125</v>
      </c>
      <c r="F312" s="10">
        <f t="shared" si="83"/>
        <v>0.4509804074</v>
      </c>
      <c r="G312" s="10">
        <f t="shared" si="84"/>
        <v>0.2395833414</v>
      </c>
      <c r="H312" s="4">
        <v>80401.0</v>
      </c>
      <c r="I312" s="8">
        <v>142.0</v>
      </c>
      <c r="J312" s="8">
        <v>59.555557161569595</v>
      </c>
      <c r="K312" s="8">
        <v>251.0</v>
      </c>
      <c r="L312" s="10">
        <f t="shared" si="4"/>
        <v>0.5657370518</v>
      </c>
      <c r="M312" s="11">
        <f t="shared" si="63"/>
        <v>0.4194053321</v>
      </c>
      <c r="N312" s="11">
        <f t="shared" si="64"/>
        <v>0.2372731361</v>
      </c>
      <c r="O312" s="12">
        <f t="shared" si="92"/>
        <v>0.9903574043</v>
      </c>
      <c r="Q312" s="17"/>
      <c r="X312" s="18"/>
    </row>
    <row r="313" ht="15.75" customHeight="1">
      <c r="A313" s="4">
        <v>80402.0</v>
      </c>
      <c r="B313" s="8">
        <v>10.0</v>
      </c>
      <c r="C313" s="8">
        <v>3.7777778804302216</v>
      </c>
      <c r="D313" s="8">
        <v>14.0</v>
      </c>
      <c r="E313" s="9">
        <f t="shared" si="82"/>
        <v>0.7142857143</v>
      </c>
      <c r="F313" s="10">
        <f t="shared" si="83"/>
        <v>0.377777788</v>
      </c>
      <c r="G313" s="10">
        <f t="shared" si="84"/>
        <v>0.2698412772</v>
      </c>
      <c r="H313" s="4">
        <v>80402.0</v>
      </c>
      <c r="I313" s="8">
        <v>67.0</v>
      </c>
      <c r="J313" s="8">
        <v>31.333334147930145</v>
      </c>
      <c r="K313" s="8">
        <v>98.0</v>
      </c>
      <c r="L313" s="10">
        <f t="shared" si="4"/>
        <v>0.6836734694</v>
      </c>
      <c r="M313" s="11">
        <f t="shared" si="63"/>
        <v>0.4676617037</v>
      </c>
      <c r="N313" s="11">
        <f t="shared" si="64"/>
        <v>0.3197278995</v>
      </c>
      <c r="O313" s="12">
        <f t="shared" si="92"/>
        <v>1.184873948</v>
      </c>
      <c r="Q313" s="17"/>
      <c r="X313" s="18"/>
    </row>
    <row r="314" ht="15.75" customHeight="1">
      <c r="A314" s="4">
        <v>80501.0</v>
      </c>
      <c r="B314" s="8">
        <v>94.0</v>
      </c>
      <c r="C314" s="8">
        <v>45.000001043081284</v>
      </c>
      <c r="D314" s="8">
        <v>138.0</v>
      </c>
      <c r="E314" s="9">
        <f t="shared" si="82"/>
        <v>0.6811594203</v>
      </c>
      <c r="F314" s="10">
        <f t="shared" si="83"/>
        <v>0.4787234154</v>
      </c>
      <c r="G314" s="10">
        <f t="shared" si="84"/>
        <v>0.3260869641</v>
      </c>
      <c r="H314" s="4">
        <v>80501.0</v>
      </c>
      <c r="I314" s="8">
        <v>156.0</v>
      </c>
      <c r="J314" s="8">
        <v>68.33333498239517</v>
      </c>
      <c r="K314" s="8">
        <v>273.0</v>
      </c>
      <c r="L314" s="10">
        <f t="shared" si="4"/>
        <v>0.5714285714</v>
      </c>
      <c r="M314" s="11">
        <f t="shared" si="63"/>
        <v>0.4380341986</v>
      </c>
      <c r="N314" s="11">
        <f t="shared" si="64"/>
        <v>0.2503052563</v>
      </c>
      <c r="O314" s="12">
        <f t="shared" si="92"/>
        <v>0.7676027683</v>
      </c>
      <c r="Q314" s="17"/>
      <c r="X314" s="18"/>
    </row>
    <row r="315" ht="15.75" customHeight="1">
      <c r="A315" s="4">
        <v>80601.0</v>
      </c>
      <c r="B315" s="8">
        <v>4.0</v>
      </c>
      <c r="C315" s="8">
        <v>1.7777778208255768</v>
      </c>
      <c r="D315" s="8">
        <v>10.0</v>
      </c>
      <c r="E315" s="9">
        <f t="shared" si="82"/>
        <v>0.4</v>
      </c>
      <c r="F315" s="10">
        <f t="shared" si="83"/>
        <v>0.4444444552</v>
      </c>
      <c r="G315" s="10">
        <f t="shared" si="84"/>
        <v>0.1777777821</v>
      </c>
      <c r="H315" s="4">
        <v>80601.0</v>
      </c>
      <c r="I315" s="8">
        <v>6.0</v>
      </c>
      <c r="J315" s="8">
        <v>2.1111111640930176</v>
      </c>
      <c r="K315" s="8">
        <v>14.0</v>
      </c>
      <c r="L315" s="10">
        <f t="shared" si="4"/>
        <v>0.4285714286</v>
      </c>
      <c r="M315" s="11">
        <f t="shared" si="63"/>
        <v>0.3518518607</v>
      </c>
      <c r="N315" s="11">
        <f t="shared" si="64"/>
        <v>0.1507936546</v>
      </c>
      <c r="O315" s="12">
        <f t="shared" si="92"/>
        <v>0.8482142865</v>
      </c>
      <c r="Q315" s="17"/>
      <c r="X315" s="18"/>
    </row>
    <row r="316" ht="15.75" customHeight="1">
      <c r="A316" s="4">
        <v>80602.0</v>
      </c>
      <c r="B316" s="8">
        <v>29.0</v>
      </c>
      <c r="C316" s="8">
        <v>11.333333641290665</v>
      </c>
      <c r="D316" s="8">
        <v>74.0</v>
      </c>
      <c r="E316" s="9">
        <f t="shared" si="82"/>
        <v>0.3918918919</v>
      </c>
      <c r="F316" s="10">
        <f t="shared" si="83"/>
        <v>0.3908046083</v>
      </c>
      <c r="G316" s="10">
        <f t="shared" si="84"/>
        <v>0.1531531573</v>
      </c>
      <c r="H316" s="4">
        <v>80602.0</v>
      </c>
      <c r="I316" s="8">
        <v>56.0</v>
      </c>
      <c r="J316" s="8">
        <v>21.55555611848831</v>
      </c>
      <c r="K316" s="8">
        <v>123.0</v>
      </c>
      <c r="L316" s="10">
        <f t="shared" si="4"/>
        <v>0.4552845528</v>
      </c>
      <c r="M316" s="11">
        <f t="shared" si="63"/>
        <v>0.384920645</v>
      </c>
      <c r="N316" s="11">
        <f t="shared" si="64"/>
        <v>0.1752484237</v>
      </c>
      <c r="O316" s="12">
        <f t="shared" si="92"/>
        <v>1.144269089</v>
      </c>
      <c r="Q316" s="17"/>
      <c r="X316" s="18"/>
    </row>
    <row r="317" ht="15.75" customHeight="1">
      <c r="A317" s="4">
        <v>80701.0</v>
      </c>
      <c r="B317" s="8">
        <v>6.0</v>
      </c>
      <c r="C317" s="8">
        <v>2.3333334028720856</v>
      </c>
      <c r="D317" s="8">
        <v>22.0</v>
      </c>
      <c r="E317" s="9">
        <f t="shared" si="82"/>
        <v>0.2727272727</v>
      </c>
      <c r="F317" s="10">
        <f t="shared" si="83"/>
        <v>0.3888889005</v>
      </c>
      <c r="G317" s="10">
        <f t="shared" si="84"/>
        <v>0.1060606092</v>
      </c>
      <c r="H317" s="4">
        <v>80701.0</v>
      </c>
      <c r="I317" s="8">
        <v>19.0</v>
      </c>
      <c r="J317" s="8">
        <v>9.222222417593002</v>
      </c>
      <c r="K317" s="8">
        <v>33.0</v>
      </c>
      <c r="L317" s="10">
        <f t="shared" si="4"/>
        <v>0.5757575758</v>
      </c>
      <c r="M317" s="11">
        <f t="shared" si="63"/>
        <v>0.4853801272</v>
      </c>
      <c r="N317" s="11">
        <f t="shared" si="64"/>
        <v>0.2794612854</v>
      </c>
      <c r="O317" s="12">
        <f t="shared" si="92"/>
        <v>2.634920612</v>
      </c>
      <c r="Q317" s="17"/>
      <c r="X317" s="18"/>
    </row>
    <row r="318" ht="15.75" customHeight="1">
      <c r="A318" s="4">
        <v>80702.0</v>
      </c>
      <c r="B318" s="8">
        <v>19.0</v>
      </c>
      <c r="C318" s="8">
        <v>6.444444626569748</v>
      </c>
      <c r="D318" s="8">
        <v>28.0</v>
      </c>
      <c r="E318" s="9">
        <f t="shared" si="82"/>
        <v>0.6785714286</v>
      </c>
      <c r="F318" s="10">
        <f t="shared" si="83"/>
        <v>0.3391812961</v>
      </c>
      <c r="G318" s="10">
        <f t="shared" si="84"/>
        <v>0.2301587367</v>
      </c>
      <c r="H318" s="4">
        <v>80702.0</v>
      </c>
      <c r="I318" s="8">
        <v>34.0</v>
      </c>
      <c r="J318" s="8">
        <v>15.222222685813904</v>
      </c>
      <c r="K318" s="8">
        <v>55.0</v>
      </c>
      <c r="L318" s="10">
        <f t="shared" si="4"/>
        <v>0.6181818182</v>
      </c>
      <c r="M318" s="11">
        <f t="shared" si="63"/>
        <v>0.4477124319</v>
      </c>
      <c r="N318" s="11">
        <f t="shared" si="64"/>
        <v>0.2767676852</v>
      </c>
      <c r="O318" s="12">
        <f t="shared" si="92"/>
        <v>1.20250784</v>
      </c>
      <c r="Q318" s="17"/>
      <c r="X318" s="18"/>
    </row>
    <row r="319" ht="15.75" customHeight="1">
      <c r="A319" s="4">
        <v>80703.0</v>
      </c>
      <c r="B319" s="8">
        <v>4.0</v>
      </c>
      <c r="C319" s="8">
        <v>2.11111119389534</v>
      </c>
      <c r="D319" s="8">
        <v>8.0</v>
      </c>
      <c r="E319" s="9">
        <f t="shared" si="82"/>
        <v>0.5</v>
      </c>
      <c r="F319" s="10">
        <f t="shared" si="83"/>
        <v>0.5277777985</v>
      </c>
      <c r="G319" s="10">
        <f t="shared" si="84"/>
        <v>0.2638888992</v>
      </c>
      <c r="H319" s="4">
        <v>80703.0</v>
      </c>
      <c r="I319" s="8">
        <v>10.0</v>
      </c>
      <c r="J319" s="8">
        <v>4.666666805744171</v>
      </c>
      <c r="K319" s="8">
        <v>11.0</v>
      </c>
      <c r="L319" s="10">
        <f t="shared" si="4"/>
        <v>0.9090909091</v>
      </c>
      <c r="M319" s="11">
        <f t="shared" si="63"/>
        <v>0.4666666806</v>
      </c>
      <c r="N319" s="11">
        <f t="shared" si="64"/>
        <v>0.4242424369</v>
      </c>
      <c r="O319" s="12">
        <f t="shared" si="92"/>
        <v>1.607655487</v>
      </c>
      <c r="Q319" s="17"/>
      <c r="X319" s="18"/>
    </row>
    <row r="320" ht="15.75" customHeight="1">
      <c r="A320" s="4">
        <v>80801.0</v>
      </c>
      <c r="B320" s="8">
        <v>14.0</v>
      </c>
      <c r="C320" s="8">
        <v>6.444444626569748</v>
      </c>
      <c r="D320" s="8">
        <v>31.0</v>
      </c>
      <c r="E320" s="9">
        <f t="shared" si="82"/>
        <v>0.4516129032</v>
      </c>
      <c r="F320" s="10">
        <f t="shared" si="83"/>
        <v>0.4603174733</v>
      </c>
      <c r="G320" s="10">
        <f t="shared" si="84"/>
        <v>0.2078853105</v>
      </c>
      <c r="H320" s="4">
        <v>80801.0</v>
      </c>
      <c r="I320" s="8">
        <v>67.0</v>
      </c>
      <c r="J320" s="8">
        <v>28.55555635690689</v>
      </c>
      <c r="K320" s="8">
        <v>120.0</v>
      </c>
      <c r="L320" s="10">
        <f t="shared" si="4"/>
        <v>0.5583333333</v>
      </c>
      <c r="M320" s="11">
        <f t="shared" si="63"/>
        <v>0.4262023337</v>
      </c>
      <c r="N320" s="11">
        <f t="shared" si="64"/>
        <v>0.2379629696</v>
      </c>
      <c r="O320" s="12">
        <f t="shared" si="92"/>
        <v>1.144683908</v>
      </c>
      <c r="Q320" s="17"/>
      <c r="X320" s="18"/>
    </row>
    <row r="321" ht="15.75" customHeight="1">
      <c r="A321" s="4">
        <v>80802.0</v>
      </c>
      <c r="B321" s="8">
        <v>3.0</v>
      </c>
      <c r="C321" s="8">
        <v>1.222222238779068</v>
      </c>
      <c r="D321" s="8">
        <v>12.0</v>
      </c>
      <c r="E321" s="9">
        <f t="shared" si="82"/>
        <v>0.25</v>
      </c>
      <c r="F321" s="10">
        <f t="shared" si="83"/>
        <v>0.4074074129</v>
      </c>
      <c r="G321" s="10">
        <f t="shared" si="84"/>
        <v>0.1018518532</v>
      </c>
      <c r="H321" s="4">
        <v>80802.0</v>
      </c>
      <c r="I321" s="8">
        <v>39.0</v>
      </c>
      <c r="J321" s="8">
        <v>16.111111611127853</v>
      </c>
      <c r="K321" s="8">
        <v>63.0</v>
      </c>
      <c r="L321" s="10">
        <f t="shared" si="4"/>
        <v>0.619047619</v>
      </c>
      <c r="M321" s="11">
        <f t="shared" si="63"/>
        <v>0.4131054259</v>
      </c>
      <c r="N321" s="11">
        <f t="shared" si="64"/>
        <v>0.2557319303</v>
      </c>
      <c r="O321" s="12">
        <f t="shared" si="92"/>
        <v>2.510822555</v>
      </c>
      <c r="Q321" s="17"/>
      <c r="X321" s="18"/>
    </row>
    <row r="322" ht="15.75" customHeight="1">
      <c r="A322" s="4">
        <v>80803.0</v>
      </c>
      <c r="B322" s="8">
        <v>1.0</v>
      </c>
      <c r="C322" s="8">
        <v>0.4444444477558136</v>
      </c>
      <c r="D322" s="8">
        <v>2.0</v>
      </c>
      <c r="E322" s="9">
        <f t="shared" si="82"/>
        <v>0.5</v>
      </c>
      <c r="F322" s="10">
        <f t="shared" si="83"/>
        <v>0.4444444478</v>
      </c>
      <c r="G322" s="10">
        <f t="shared" si="84"/>
        <v>0.2222222239</v>
      </c>
      <c r="H322" s="4">
        <v>80803.0</v>
      </c>
      <c r="I322" s="8">
        <v>3.0</v>
      </c>
      <c r="J322" s="8">
        <v>1.0000000298023224</v>
      </c>
      <c r="K322" s="8">
        <v>12.0</v>
      </c>
      <c r="L322" s="10">
        <f t="shared" si="4"/>
        <v>0.25</v>
      </c>
      <c r="M322" s="11">
        <f t="shared" si="63"/>
        <v>0.3333333433</v>
      </c>
      <c r="N322" s="11">
        <f t="shared" si="64"/>
        <v>0.08333333582</v>
      </c>
      <c r="O322" s="12">
        <f t="shared" si="92"/>
        <v>0.3750000084</v>
      </c>
      <c r="Q322" s="17"/>
      <c r="X322" s="18"/>
    </row>
    <row r="323" ht="15.75" customHeight="1">
      <c r="A323" s="4">
        <v>90101.0</v>
      </c>
      <c r="B323" s="8">
        <v>10.0</v>
      </c>
      <c r="C323" s="8">
        <v>4.6666668355464935</v>
      </c>
      <c r="D323" s="8">
        <v>22.0</v>
      </c>
      <c r="E323" s="9">
        <f t="shared" si="82"/>
        <v>0.4545454545</v>
      </c>
      <c r="F323" s="10">
        <f t="shared" si="83"/>
        <v>0.4666666836</v>
      </c>
      <c r="G323" s="10">
        <f t="shared" si="84"/>
        <v>0.2121212198</v>
      </c>
      <c r="H323" s="4">
        <v>90101.0</v>
      </c>
      <c r="I323" s="8">
        <v>72.0</v>
      </c>
      <c r="J323" s="8">
        <v>30.1111119389534</v>
      </c>
      <c r="K323" s="8">
        <v>283.0</v>
      </c>
      <c r="L323" s="10">
        <f t="shared" si="4"/>
        <v>0.2544169611</v>
      </c>
      <c r="M323" s="11">
        <f t="shared" si="63"/>
        <v>0.418209888</v>
      </c>
      <c r="N323" s="11">
        <f t="shared" si="64"/>
        <v>0.1063996888</v>
      </c>
      <c r="O323" s="12">
        <f t="shared" si="92"/>
        <v>0.5015985149</v>
      </c>
      <c r="Q323" s="17"/>
      <c r="X323" s="18"/>
    </row>
    <row r="324" ht="15.75" customHeight="1">
      <c r="A324" s="4">
        <v>90102.0</v>
      </c>
      <c r="B324" s="8">
        <v>0.0</v>
      </c>
      <c r="C324" s="8">
        <v>0.0</v>
      </c>
      <c r="D324" s="8">
        <v>1.0</v>
      </c>
      <c r="E324" s="9">
        <f t="shared" si="82"/>
        <v>0</v>
      </c>
      <c r="F324" s="10" t="str">
        <f t="shared" si="83"/>
        <v>#DIV/0!</v>
      </c>
      <c r="G324" s="10" t="str">
        <f t="shared" si="84"/>
        <v>#DIV/0!</v>
      </c>
      <c r="H324" s="4">
        <v>90102.0</v>
      </c>
      <c r="I324" s="8">
        <v>4.0</v>
      </c>
      <c r="J324" s="8">
        <v>1.444444477558136</v>
      </c>
      <c r="K324" s="8">
        <v>15.0</v>
      </c>
      <c r="L324" s="10">
        <f t="shared" si="4"/>
        <v>0.2666666667</v>
      </c>
      <c r="M324" s="11">
        <f t="shared" si="63"/>
        <v>0.3611111194</v>
      </c>
      <c r="N324" s="11">
        <f t="shared" si="64"/>
        <v>0.0962962985</v>
      </c>
      <c r="O324" s="12" t="s">
        <v>22</v>
      </c>
      <c r="Q324" s="17"/>
      <c r="X324" s="18"/>
    </row>
    <row r="325" ht="15.75" customHeight="1">
      <c r="A325" s="4">
        <v>90103.0</v>
      </c>
      <c r="B325" s="8">
        <v>1.0</v>
      </c>
      <c r="C325" s="8">
        <v>0.5555555820465088</v>
      </c>
      <c r="D325" s="8">
        <v>1.0</v>
      </c>
      <c r="E325" s="9">
        <f t="shared" si="82"/>
        <v>1</v>
      </c>
      <c r="F325" s="10">
        <f t="shared" si="83"/>
        <v>0.555555582</v>
      </c>
      <c r="G325" s="10">
        <f t="shared" si="84"/>
        <v>0.555555582</v>
      </c>
      <c r="H325" s="4">
        <v>90103.0</v>
      </c>
      <c r="I325" s="8">
        <v>14.0</v>
      </c>
      <c r="J325" s="8">
        <v>6.000000178813934</v>
      </c>
      <c r="K325" s="8">
        <v>21.0</v>
      </c>
      <c r="L325" s="10">
        <f t="shared" si="4"/>
        <v>0.6666666667</v>
      </c>
      <c r="M325" s="11">
        <f t="shared" si="63"/>
        <v>0.4285714413</v>
      </c>
      <c r="N325" s="11">
        <f t="shared" si="64"/>
        <v>0.2857142942</v>
      </c>
      <c r="O325" s="12">
        <f t="shared" ref="O325:O339" si="93">N325/G325</f>
        <v>0.5142857051</v>
      </c>
      <c r="Q325" s="17"/>
      <c r="X325" s="18"/>
    </row>
    <row r="326" ht="15.75" customHeight="1">
      <c r="A326" s="4">
        <v>90104.0</v>
      </c>
      <c r="B326" s="8">
        <v>3.0</v>
      </c>
      <c r="C326" s="8">
        <v>1.2222222685813904</v>
      </c>
      <c r="D326" s="8">
        <v>6.0</v>
      </c>
      <c r="E326" s="9">
        <f t="shared" si="82"/>
        <v>0.5</v>
      </c>
      <c r="F326" s="10">
        <f t="shared" si="83"/>
        <v>0.4074074229</v>
      </c>
      <c r="G326" s="10">
        <f t="shared" si="84"/>
        <v>0.2037037114</v>
      </c>
      <c r="H326" s="4">
        <v>90104.0</v>
      </c>
      <c r="I326" s="8">
        <v>25.0</v>
      </c>
      <c r="J326" s="8">
        <v>10.222222536802292</v>
      </c>
      <c r="K326" s="8">
        <v>44.0</v>
      </c>
      <c r="L326" s="10">
        <f t="shared" si="4"/>
        <v>0.5681818182</v>
      </c>
      <c r="M326" s="11">
        <f t="shared" si="63"/>
        <v>0.4088889015</v>
      </c>
      <c r="N326" s="11">
        <f t="shared" si="64"/>
        <v>0.2323232395</v>
      </c>
      <c r="O326" s="12">
        <f t="shared" si="93"/>
        <v>1.14049586</v>
      </c>
      <c r="Q326" s="17"/>
      <c r="X326" s="18"/>
    </row>
    <row r="327" ht="15.75" customHeight="1">
      <c r="A327" s="4">
        <v>90201.0</v>
      </c>
      <c r="B327" s="8">
        <v>8.0</v>
      </c>
      <c r="C327" s="8">
        <v>3.0000000596046448</v>
      </c>
      <c r="D327" s="8">
        <v>12.0</v>
      </c>
      <c r="E327" s="9">
        <f t="shared" si="82"/>
        <v>0.6666666667</v>
      </c>
      <c r="F327" s="10">
        <f t="shared" si="83"/>
        <v>0.3750000075</v>
      </c>
      <c r="G327" s="10">
        <f t="shared" si="84"/>
        <v>0.250000005</v>
      </c>
      <c r="H327" s="4">
        <v>90201.0</v>
      </c>
      <c r="I327" s="8">
        <v>51.0</v>
      </c>
      <c r="J327" s="8">
        <v>22.888889491558075</v>
      </c>
      <c r="K327" s="8">
        <v>86.0</v>
      </c>
      <c r="L327" s="10">
        <f t="shared" si="4"/>
        <v>0.5930232558</v>
      </c>
      <c r="M327" s="11">
        <f t="shared" si="63"/>
        <v>0.4488017547</v>
      </c>
      <c r="N327" s="11">
        <f t="shared" si="64"/>
        <v>0.2661498778</v>
      </c>
      <c r="O327" s="12">
        <f t="shared" si="93"/>
        <v>1.06459949</v>
      </c>
      <c r="Q327" s="17"/>
      <c r="X327" s="18"/>
    </row>
    <row r="328" ht="15.75" customHeight="1">
      <c r="A328" s="4">
        <v>90202.0</v>
      </c>
      <c r="B328" s="8">
        <v>3.0</v>
      </c>
      <c r="C328" s="8">
        <v>1.5555556118488312</v>
      </c>
      <c r="D328" s="8">
        <v>3.0</v>
      </c>
      <c r="E328" s="9">
        <f t="shared" si="82"/>
        <v>1</v>
      </c>
      <c r="F328" s="10">
        <f t="shared" si="83"/>
        <v>0.5185185373</v>
      </c>
      <c r="G328" s="10">
        <f t="shared" si="84"/>
        <v>0.5185185373</v>
      </c>
      <c r="H328" s="4">
        <v>90202.0</v>
      </c>
      <c r="I328" s="8">
        <v>12.0</v>
      </c>
      <c r="J328" s="8">
        <v>6.22222238779068</v>
      </c>
      <c r="K328" s="8">
        <v>14.0</v>
      </c>
      <c r="L328" s="10">
        <f t="shared" si="4"/>
        <v>0.8571428571</v>
      </c>
      <c r="M328" s="11">
        <f t="shared" si="63"/>
        <v>0.5185185323</v>
      </c>
      <c r="N328" s="11">
        <f t="shared" si="64"/>
        <v>0.4444444563</v>
      </c>
      <c r="O328" s="12">
        <f t="shared" si="93"/>
        <v>0.8571428489</v>
      </c>
      <c r="Q328" s="17"/>
      <c r="X328" s="18"/>
    </row>
    <row r="329" ht="15.75" customHeight="1">
      <c r="A329" s="4">
        <v>90203.0</v>
      </c>
      <c r="B329" s="8">
        <v>11.0</v>
      </c>
      <c r="C329" s="8">
        <v>4.4444445967674255</v>
      </c>
      <c r="D329" s="8">
        <v>18.0</v>
      </c>
      <c r="E329" s="9">
        <f t="shared" si="82"/>
        <v>0.6111111111</v>
      </c>
      <c r="F329" s="10">
        <f t="shared" si="83"/>
        <v>0.4040404179</v>
      </c>
      <c r="G329" s="10">
        <f t="shared" si="84"/>
        <v>0.2469135887</v>
      </c>
      <c r="H329" s="4">
        <v>90203.0</v>
      </c>
      <c r="I329" s="8">
        <v>39.0</v>
      </c>
      <c r="J329" s="8">
        <v>16.33333384990692</v>
      </c>
      <c r="K329" s="8">
        <v>73.0</v>
      </c>
      <c r="L329" s="10">
        <f t="shared" si="4"/>
        <v>0.5342465753</v>
      </c>
      <c r="M329" s="11">
        <f t="shared" si="63"/>
        <v>0.418803432</v>
      </c>
      <c r="N329" s="11">
        <f t="shared" si="64"/>
        <v>0.2237442993</v>
      </c>
      <c r="O329" s="12">
        <f t="shared" si="93"/>
        <v>0.9061643812</v>
      </c>
      <c r="Q329" s="17"/>
      <c r="X329" s="18"/>
    </row>
    <row r="330" ht="15.75" customHeight="1">
      <c r="A330" s="4">
        <v>90301.0</v>
      </c>
      <c r="B330" s="8">
        <v>1.0</v>
      </c>
      <c r="C330" s="8">
        <v>0.4444444477558136</v>
      </c>
      <c r="D330" s="8">
        <v>1.0</v>
      </c>
      <c r="E330" s="9">
        <f t="shared" si="82"/>
        <v>1</v>
      </c>
      <c r="F330" s="10">
        <f t="shared" si="83"/>
        <v>0.4444444478</v>
      </c>
      <c r="G330" s="10">
        <f t="shared" si="84"/>
        <v>0.4444444478</v>
      </c>
      <c r="H330" s="4">
        <v>90301.0</v>
      </c>
      <c r="I330" s="8">
        <v>19.0</v>
      </c>
      <c r="J330" s="8">
        <v>10.111111402511597</v>
      </c>
      <c r="K330" s="8">
        <v>27.0</v>
      </c>
      <c r="L330" s="10">
        <f t="shared" si="4"/>
        <v>0.7037037037</v>
      </c>
      <c r="M330" s="11">
        <f t="shared" si="63"/>
        <v>0.532163758</v>
      </c>
      <c r="N330" s="11">
        <f t="shared" si="64"/>
        <v>0.3744856075</v>
      </c>
      <c r="O330" s="12">
        <f t="shared" si="93"/>
        <v>0.8425926106</v>
      </c>
      <c r="Q330" s="17"/>
      <c r="X330" s="18"/>
    </row>
    <row r="331" ht="15.75" customHeight="1">
      <c r="A331" s="4">
        <v>90302.0</v>
      </c>
      <c r="B331" s="8">
        <v>7.0</v>
      </c>
      <c r="C331" s="8">
        <v>2.888888955116272</v>
      </c>
      <c r="D331" s="8">
        <v>9.0</v>
      </c>
      <c r="E331" s="9">
        <f t="shared" si="82"/>
        <v>0.7777777778</v>
      </c>
      <c r="F331" s="10">
        <f t="shared" si="83"/>
        <v>0.4126984222</v>
      </c>
      <c r="G331" s="10">
        <f t="shared" si="84"/>
        <v>0.3209876617</v>
      </c>
      <c r="H331" s="4">
        <v>90302.0</v>
      </c>
      <c r="I331" s="8">
        <v>49.0</v>
      </c>
      <c r="J331" s="8">
        <v>21.666667073965073</v>
      </c>
      <c r="K331" s="8">
        <v>63.0</v>
      </c>
      <c r="L331" s="10">
        <f t="shared" si="4"/>
        <v>0.7777777778</v>
      </c>
      <c r="M331" s="11">
        <f t="shared" si="63"/>
        <v>0.4421768791</v>
      </c>
      <c r="N331" s="11">
        <f t="shared" si="64"/>
        <v>0.3439153504</v>
      </c>
      <c r="O331" s="12">
        <f t="shared" si="93"/>
        <v>1.071428567</v>
      </c>
      <c r="Q331" s="17"/>
      <c r="X331" s="18"/>
    </row>
    <row r="332" ht="15.75" customHeight="1">
      <c r="A332" s="4">
        <v>90303.0</v>
      </c>
      <c r="B332" s="8">
        <v>24.0</v>
      </c>
      <c r="C332" s="8">
        <v>11.222222596406937</v>
      </c>
      <c r="D332" s="8">
        <v>25.0</v>
      </c>
      <c r="E332" s="9">
        <f t="shared" si="82"/>
        <v>0.96</v>
      </c>
      <c r="F332" s="10">
        <f t="shared" si="83"/>
        <v>0.4675926082</v>
      </c>
      <c r="G332" s="10">
        <f t="shared" si="84"/>
        <v>0.4488889039</v>
      </c>
      <c r="H332" s="4">
        <v>90303.0</v>
      </c>
      <c r="I332" s="8">
        <v>68.0</v>
      </c>
      <c r="J332" s="8">
        <v>33.33333423733711</v>
      </c>
      <c r="K332" s="8">
        <v>73.0</v>
      </c>
      <c r="L332" s="10">
        <f t="shared" si="4"/>
        <v>0.9315068493</v>
      </c>
      <c r="M332" s="11">
        <f t="shared" si="63"/>
        <v>0.4901960917</v>
      </c>
      <c r="N332" s="11">
        <f t="shared" si="64"/>
        <v>0.4566210169</v>
      </c>
      <c r="O332" s="12">
        <f t="shared" si="93"/>
        <v>1.017225004</v>
      </c>
      <c r="Q332" s="17"/>
      <c r="X332" s="18"/>
    </row>
    <row r="333" ht="15.75" customHeight="1">
      <c r="A333" s="4">
        <v>90401.0</v>
      </c>
      <c r="B333" s="8">
        <v>2.0</v>
      </c>
      <c r="C333" s="8">
        <v>0.8888889253139496</v>
      </c>
      <c r="D333" s="8">
        <v>3.0</v>
      </c>
      <c r="E333" s="9">
        <f t="shared" si="82"/>
        <v>0.6666666667</v>
      </c>
      <c r="F333" s="10">
        <f t="shared" si="83"/>
        <v>0.4444444627</v>
      </c>
      <c r="G333" s="10">
        <f t="shared" si="84"/>
        <v>0.2962963084</v>
      </c>
      <c r="H333" s="4">
        <v>90401.0</v>
      </c>
      <c r="I333" s="8">
        <v>3.0</v>
      </c>
      <c r="J333" s="8">
        <v>1.222222238779068</v>
      </c>
      <c r="K333" s="8">
        <v>13.0</v>
      </c>
      <c r="L333" s="10">
        <f t="shared" si="4"/>
        <v>0.2307692308</v>
      </c>
      <c r="M333" s="11">
        <f t="shared" si="63"/>
        <v>0.4074074129</v>
      </c>
      <c r="N333" s="11">
        <f t="shared" si="64"/>
        <v>0.09401709529</v>
      </c>
      <c r="O333" s="12">
        <f t="shared" si="93"/>
        <v>0.3173076836</v>
      </c>
      <c r="Q333" s="17"/>
      <c r="X333" s="18"/>
    </row>
    <row r="334" ht="15.75" customHeight="1">
      <c r="A334" s="4">
        <v>90402.0</v>
      </c>
      <c r="B334" s="8">
        <v>7.0</v>
      </c>
      <c r="C334" s="8">
        <v>2.777777820825577</v>
      </c>
      <c r="D334" s="8">
        <v>7.0</v>
      </c>
      <c r="E334" s="9">
        <f t="shared" si="82"/>
        <v>1</v>
      </c>
      <c r="F334" s="10">
        <f t="shared" si="83"/>
        <v>0.396825403</v>
      </c>
      <c r="G334" s="10">
        <f t="shared" si="84"/>
        <v>0.396825403</v>
      </c>
      <c r="H334" s="4">
        <v>90402.0</v>
      </c>
      <c r="I334" s="8">
        <v>7.0</v>
      </c>
      <c r="J334" s="8">
        <v>3.11111119389534</v>
      </c>
      <c r="K334" s="8">
        <v>11.0</v>
      </c>
      <c r="L334" s="10">
        <f t="shared" si="4"/>
        <v>0.6363636364</v>
      </c>
      <c r="M334" s="11">
        <f t="shared" si="63"/>
        <v>0.4444444563</v>
      </c>
      <c r="N334" s="11">
        <f t="shared" si="64"/>
        <v>0.2828282904</v>
      </c>
      <c r="O334" s="12">
        <f t="shared" si="93"/>
        <v>0.7127272806</v>
      </c>
      <c r="Q334" s="17"/>
      <c r="X334" s="18"/>
    </row>
    <row r="335" ht="15.75" customHeight="1">
      <c r="A335" s="4">
        <v>90501.0</v>
      </c>
      <c r="B335" s="8">
        <v>5.0</v>
      </c>
      <c r="C335" s="8">
        <v>2.555555671453476</v>
      </c>
      <c r="D335" s="8">
        <v>5.0</v>
      </c>
      <c r="E335" s="9">
        <f t="shared" si="82"/>
        <v>1</v>
      </c>
      <c r="F335" s="10">
        <f t="shared" si="83"/>
        <v>0.5111111343</v>
      </c>
      <c r="G335" s="10">
        <f t="shared" si="84"/>
        <v>0.5111111343</v>
      </c>
      <c r="H335" s="4">
        <v>90501.0</v>
      </c>
      <c r="I335" s="8">
        <v>37.0</v>
      </c>
      <c r="J335" s="8">
        <v>17.77777835726738</v>
      </c>
      <c r="K335" s="8">
        <v>43.0</v>
      </c>
      <c r="L335" s="10">
        <f t="shared" si="4"/>
        <v>0.8604651163</v>
      </c>
      <c r="M335" s="11">
        <f t="shared" si="63"/>
        <v>0.4804804961</v>
      </c>
      <c r="N335" s="11">
        <f t="shared" si="64"/>
        <v>0.413436706</v>
      </c>
      <c r="O335" s="12">
        <f t="shared" si="93"/>
        <v>0.8088978663</v>
      </c>
      <c r="Q335" s="17"/>
      <c r="X335" s="18"/>
    </row>
    <row r="336" ht="15.75" customHeight="1">
      <c r="A336" s="4">
        <v>90502.0</v>
      </c>
      <c r="B336" s="8">
        <v>9.0</v>
      </c>
      <c r="C336" s="8">
        <v>5.111111223697662</v>
      </c>
      <c r="D336" s="8">
        <v>9.0</v>
      </c>
      <c r="E336" s="9">
        <f t="shared" si="82"/>
        <v>1</v>
      </c>
      <c r="F336" s="10">
        <f t="shared" si="83"/>
        <v>0.5679012471</v>
      </c>
      <c r="G336" s="10">
        <f t="shared" si="84"/>
        <v>0.5679012471</v>
      </c>
      <c r="H336" s="4">
        <v>90502.0</v>
      </c>
      <c r="I336" s="8">
        <v>40.0</v>
      </c>
      <c r="J336" s="8">
        <v>19.444444984197617</v>
      </c>
      <c r="K336" s="8">
        <v>45.0</v>
      </c>
      <c r="L336" s="10">
        <f t="shared" si="4"/>
        <v>0.8888888889</v>
      </c>
      <c r="M336" s="11">
        <f t="shared" si="63"/>
        <v>0.4861111246</v>
      </c>
      <c r="N336" s="11">
        <f t="shared" si="64"/>
        <v>0.4320987774</v>
      </c>
      <c r="O336" s="12">
        <f t="shared" si="93"/>
        <v>0.7608695696</v>
      </c>
      <c r="Q336" s="17"/>
      <c r="X336" s="18"/>
    </row>
    <row r="337" ht="15.75" customHeight="1">
      <c r="A337" s="4">
        <v>90503.0</v>
      </c>
      <c r="B337" s="8">
        <v>20.0</v>
      </c>
      <c r="C337" s="8">
        <v>9.555555790662766</v>
      </c>
      <c r="D337" s="8">
        <v>20.0</v>
      </c>
      <c r="E337" s="9">
        <f t="shared" si="82"/>
        <v>1</v>
      </c>
      <c r="F337" s="10">
        <f t="shared" si="83"/>
        <v>0.4777777895</v>
      </c>
      <c r="G337" s="10">
        <f t="shared" si="84"/>
        <v>0.4777777895</v>
      </c>
      <c r="H337" s="4">
        <v>90503.0</v>
      </c>
      <c r="I337" s="8">
        <v>20.0</v>
      </c>
      <c r="J337" s="8">
        <v>8.888889014720917</v>
      </c>
      <c r="K337" s="8">
        <v>20.0</v>
      </c>
      <c r="L337" s="10">
        <f t="shared" si="4"/>
        <v>1</v>
      </c>
      <c r="M337" s="11">
        <f t="shared" si="63"/>
        <v>0.4444444507</v>
      </c>
      <c r="N337" s="11">
        <f t="shared" si="64"/>
        <v>0.4444444507</v>
      </c>
      <c r="O337" s="12">
        <f t="shared" si="93"/>
        <v>0.9302325484</v>
      </c>
      <c r="Q337" s="17"/>
      <c r="X337" s="18"/>
    </row>
    <row r="338" ht="15.75" customHeight="1">
      <c r="A338" s="17">
        <v>10.0</v>
      </c>
      <c r="B338" s="15">
        <f t="shared" ref="B338:D338" si="94">SUM(B240:B242)</f>
        <v>34</v>
      </c>
      <c r="C338" s="15">
        <f t="shared" si="94"/>
        <v>14.2222226</v>
      </c>
      <c r="D338" s="15">
        <f t="shared" si="94"/>
        <v>159</v>
      </c>
      <c r="E338" s="9">
        <f t="shared" si="82"/>
        <v>0.213836478</v>
      </c>
      <c r="F338" s="10">
        <f t="shared" si="83"/>
        <v>0.4183006646</v>
      </c>
      <c r="G338" s="10">
        <f t="shared" si="84"/>
        <v>0.08944794086</v>
      </c>
      <c r="I338" s="15">
        <f t="shared" ref="I338:K338" si="95">SUM(I240:I242)</f>
        <v>192</v>
      </c>
      <c r="J338" s="15">
        <f t="shared" si="95"/>
        <v>77.000002</v>
      </c>
      <c r="K338" s="15">
        <f t="shared" si="95"/>
        <v>1162</v>
      </c>
      <c r="L338" s="10">
        <f t="shared" si="4"/>
        <v>0.165232358</v>
      </c>
      <c r="M338" s="11">
        <f t="shared" si="63"/>
        <v>0.4010416771</v>
      </c>
      <c r="N338" s="11">
        <f t="shared" si="64"/>
        <v>0.06626506196</v>
      </c>
      <c r="O338" s="12">
        <f t="shared" si="93"/>
        <v>0.7408226654</v>
      </c>
      <c r="Q338" s="17"/>
      <c r="X338" s="18"/>
    </row>
    <row r="339" ht="15.75" customHeight="1">
      <c r="A339" s="17">
        <v>11.0</v>
      </c>
      <c r="B339" s="15">
        <f t="shared" ref="B339:D339" si="96">SUM(B3:B337)</f>
        <v>3879</v>
      </c>
      <c r="C339" s="15">
        <f t="shared" si="96"/>
        <v>1728.666709</v>
      </c>
      <c r="D339" s="15">
        <f t="shared" si="96"/>
        <v>8428</v>
      </c>
      <c r="E339" s="9">
        <f t="shared" si="82"/>
        <v>0.4602515425</v>
      </c>
      <c r="F339" s="10">
        <f t="shared" si="83"/>
        <v>0.4456475147</v>
      </c>
      <c r="G339" s="10">
        <f t="shared" si="84"/>
        <v>0.205109956</v>
      </c>
      <c r="I339" s="15">
        <f t="shared" ref="I339:K339" si="97">SUM(I3:I337)</f>
        <v>24131</v>
      </c>
      <c r="J339" s="15">
        <f t="shared" si="97"/>
        <v>10470.77804</v>
      </c>
      <c r="K339" s="15">
        <f t="shared" si="97"/>
        <v>65882</v>
      </c>
      <c r="L339" s="10">
        <f t="shared" si="4"/>
        <v>0.3662760693</v>
      </c>
      <c r="M339" s="11">
        <f t="shared" si="63"/>
        <v>0.4339139711</v>
      </c>
      <c r="N339" s="11">
        <f t="shared" si="64"/>
        <v>0.1589323038</v>
      </c>
      <c r="O339" s="12">
        <f t="shared" si="93"/>
        <v>0.7748639162</v>
      </c>
      <c r="Q339" s="17"/>
      <c r="X339" s="18"/>
    </row>
    <row r="340" ht="15.75" customHeight="1">
      <c r="A340" s="17"/>
      <c r="E340" s="11"/>
      <c r="F340" s="11"/>
      <c r="G340" s="11"/>
      <c r="H340" s="17"/>
      <c r="L340" s="11"/>
      <c r="M340" s="11"/>
      <c r="N340" s="11"/>
      <c r="O340" s="18"/>
      <c r="Q340" s="17"/>
      <c r="X340" s="18"/>
    </row>
    <row r="341" ht="15.75" customHeight="1">
      <c r="A341" s="17"/>
      <c r="E341" s="11"/>
      <c r="F341" s="11"/>
      <c r="G341" s="11"/>
      <c r="H341" s="17"/>
      <c r="L341" s="11"/>
      <c r="M341" s="11"/>
      <c r="N341" s="11"/>
      <c r="O341" s="18"/>
      <c r="Q341" s="17"/>
      <c r="X341" s="18"/>
    </row>
    <row r="342" ht="15.75" customHeight="1">
      <c r="A342" s="17"/>
      <c r="E342" s="11"/>
      <c r="F342" s="11"/>
      <c r="G342" s="11"/>
      <c r="H342" s="17"/>
      <c r="L342" s="11"/>
      <c r="M342" s="11"/>
      <c r="N342" s="11"/>
      <c r="O342" s="18"/>
      <c r="Q342" s="17"/>
      <c r="X342" s="18"/>
    </row>
    <row r="343" ht="15.75" customHeight="1">
      <c r="A343" s="17"/>
      <c r="E343" s="11"/>
      <c r="F343" s="11"/>
      <c r="G343" s="11"/>
      <c r="H343" s="17"/>
      <c r="L343" s="11"/>
      <c r="M343" s="11"/>
      <c r="N343" s="11"/>
      <c r="O343" s="18"/>
      <c r="Q343" s="17"/>
      <c r="X343" s="18"/>
    </row>
    <row r="344" ht="15.75" customHeight="1">
      <c r="A344" s="17"/>
      <c r="E344" s="11"/>
      <c r="F344" s="11"/>
      <c r="G344" s="11"/>
      <c r="H344" s="17"/>
      <c r="L344" s="11"/>
      <c r="M344" s="11"/>
      <c r="N344" s="11"/>
      <c r="O344" s="18"/>
      <c r="Q344" s="17"/>
      <c r="X344" s="18"/>
    </row>
    <row r="345" ht="15.75" customHeight="1">
      <c r="A345" s="17"/>
      <c r="E345" s="11"/>
      <c r="F345" s="11"/>
      <c r="G345" s="11"/>
      <c r="H345" s="17"/>
      <c r="L345" s="11"/>
      <c r="M345" s="11"/>
      <c r="N345" s="11"/>
      <c r="O345" s="18"/>
      <c r="Q345" s="17"/>
      <c r="X345" s="18"/>
    </row>
    <row r="346" ht="15.75" customHeight="1">
      <c r="A346" s="17"/>
      <c r="E346" s="11"/>
      <c r="F346" s="11"/>
      <c r="G346" s="11"/>
      <c r="H346" s="17"/>
      <c r="L346" s="11"/>
      <c r="M346" s="11"/>
      <c r="N346" s="11"/>
      <c r="O346" s="18"/>
      <c r="Q346" s="17"/>
      <c r="X346" s="18"/>
    </row>
    <row r="347" ht="15.75" customHeight="1">
      <c r="A347" s="17"/>
      <c r="E347" s="11"/>
      <c r="F347" s="11"/>
      <c r="G347" s="11"/>
      <c r="H347" s="17"/>
      <c r="L347" s="11"/>
      <c r="M347" s="11"/>
      <c r="N347" s="11"/>
      <c r="O347" s="18"/>
      <c r="Q347" s="17"/>
      <c r="X347" s="18"/>
    </row>
    <row r="348" ht="15.75" customHeight="1">
      <c r="A348" s="17"/>
      <c r="E348" s="11"/>
      <c r="F348" s="11"/>
      <c r="G348" s="11"/>
      <c r="H348" s="17"/>
      <c r="L348" s="11"/>
      <c r="M348" s="11"/>
      <c r="N348" s="11"/>
      <c r="O348" s="18"/>
      <c r="Q348" s="17"/>
      <c r="X348" s="18"/>
    </row>
    <row r="349" ht="15.75" customHeight="1">
      <c r="A349" s="17"/>
      <c r="E349" s="11"/>
      <c r="F349" s="11"/>
      <c r="G349" s="11"/>
      <c r="H349" s="17"/>
      <c r="L349" s="11"/>
      <c r="M349" s="11"/>
      <c r="N349" s="11"/>
      <c r="O349" s="18"/>
      <c r="Q349" s="17"/>
      <c r="X349" s="18"/>
    </row>
    <row r="350" ht="15.75" customHeight="1">
      <c r="A350" s="17"/>
      <c r="E350" s="11"/>
      <c r="F350" s="11"/>
      <c r="G350" s="11"/>
      <c r="H350" s="17"/>
      <c r="L350" s="11"/>
      <c r="M350" s="11"/>
      <c r="N350" s="11"/>
      <c r="O350" s="18"/>
      <c r="Q350" s="17"/>
      <c r="X350" s="18"/>
    </row>
    <row r="351" ht="15.75" customHeight="1">
      <c r="A351" s="17"/>
      <c r="E351" s="11"/>
      <c r="F351" s="11"/>
      <c r="G351" s="11"/>
      <c r="H351" s="17"/>
      <c r="L351" s="11"/>
      <c r="M351" s="11"/>
      <c r="N351" s="11"/>
      <c r="O351" s="18"/>
      <c r="Q351" s="17"/>
      <c r="X351" s="18"/>
    </row>
    <row r="352" ht="15.75" customHeight="1">
      <c r="A352" s="17"/>
      <c r="E352" s="11"/>
      <c r="F352" s="11"/>
      <c r="G352" s="11"/>
      <c r="H352" s="17"/>
      <c r="L352" s="11"/>
      <c r="M352" s="11"/>
      <c r="N352" s="11"/>
      <c r="O352" s="18"/>
      <c r="Q352" s="17"/>
      <c r="X352" s="18"/>
    </row>
    <row r="353" ht="15.75" customHeight="1">
      <c r="A353" s="17"/>
      <c r="E353" s="11"/>
      <c r="F353" s="11"/>
      <c r="G353" s="11"/>
      <c r="H353" s="17"/>
      <c r="L353" s="11"/>
      <c r="M353" s="11"/>
      <c r="N353" s="11"/>
      <c r="O353" s="18"/>
      <c r="Q353" s="17"/>
      <c r="X353" s="18"/>
    </row>
    <row r="354" ht="15.75" customHeight="1">
      <c r="A354" s="17"/>
      <c r="E354" s="11"/>
      <c r="F354" s="11"/>
      <c r="G354" s="11"/>
      <c r="H354" s="17"/>
      <c r="L354" s="11"/>
      <c r="M354" s="11"/>
      <c r="N354" s="11"/>
      <c r="O354" s="18"/>
      <c r="Q354" s="17"/>
      <c r="X354" s="18"/>
    </row>
    <row r="355" ht="15.75" customHeight="1">
      <c r="A355" s="17"/>
      <c r="E355" s="11"/>
      <c r="F355" s="11"/>
      <c r="G355" s="11"/>
      <c r="H355" s="17"/>
      <c r="L355" s="11"/>
      <c r="M355" s="11"/>
      <c r="N355" s="11"/>
      <c r="O355" s="18"/>
      <c r="Q355" s="17"/>
      <c r="X355" s="18"/>
    </row>
    <row r="356" ht="15.75" customHeight="1">
      <c r="A356" s="17"/>
      <c r="E356" s="11"/>
      <c r="F356" s="11"/>
      <c r="G356" s="11"/>
      <c r="H356" s="17"/>
      <c r="L356" s="11"/>
      <c r="M356" s="11"/>
      <c r="N356" s="11"/>
      <c r="O356" s="18"/>
      <c r="Q356" s="17"/>
      <c r="X356" s="18"/>
    </row>
    <row r="357" ht="15.75" customHeight="1">
      <c r="A357" s="17"/>
      <c r="E357" s="11"/>
      <c r="F357" s="11"/>
      <c r="G357" s="11"/>
      <c r="H357" s="17"/>
      <c r="L357" s="11"/>
      <c r="M357" s="11"/>
      <c r="N357" s="11"/>
      <c r="O357" s="18"/>
      <c r="Q357" s="17"/>
      <c r="X357" s="18"/>
    </row>
    <row r="358" ht="15.75" customHeight="1">
      <c r="A358" s="17"/>
      <c r="E358" s="11"/>
      <c r="F358" s="11"/>
      <c r="G358" s="11"/>
      <c r="H358" s="17"/>
      <c r="L358" s="11"/>
      <c r="M358" s="11"/>
      <c r="N358" s="11"/>
      <c r="O358" s="18"/>
      <c r="Q358" s="17"/>
      <c r="X358" s="18"/>
    </row>
    <row r="359" ht="15.75" customHeight="1">
      <c r="A359" s="17"/>
      <c r="E359" s="11"/>
      <c r="F359" s="11"/>
      <c r="G359" s="11"/>
      <c r="H359" s="17"/>
      <c r="L359" s="11"/>
      <c r="M359" s="11"/>
      <c r="N359" s="11"/>
      <c r="O359" s="18"/>
      <c r="Q359" s="17"/>
      <c r="X359" s="18"/>
    </row>
    <row r="360" ht="15.75" customHeight="1">
      <c r="A360" s="17"/>
      <c r="E360" s="11"/>
      <c r="F360" s="11"/>
      <c r="G360" s="11"/>
      <c r="H360" s="17"/>
      <c r="L360" s="11"/>
      <c r="M360" s="11"/>
      <c r="N360" s="11"/>
      <c r="O360" s="18"/>
      <c r="Q360" s="17"/>
      <c r="X360" s="18"/>
    </row>
    <row r="361" ht="15.75" customHeight="1">
      <c r="A361" s="17"/>
      <c r="E361" s="11"/>
      <c r="F361" s="11"/>
      <c r="G361" s="11"/>
      <c r="H361" s="17"/>
      <c r="L361" s="11"/>
      <c r="M361" s="11"/>
      <c r="N361" s="11"/>
      <c r="O361" s="18"/>
      <c r="Q361" s="17"/>
      <c r="X361" s="18"/>
    </row>
    <row r="362" ht="15.75" customHeight="1">
      <c r="A362" s="17"/>
      <c r="E362" s="11"/>
      <c r="F362" s="11"/>
      <c r="G362" s="11"/>
      <c r="H362" s="17"/>
      <c r="L362" s="11"/>
      <c r="M362" s="11"/>
      <c r="N362" s="11"/>
      <c r="O362" s="18"/>
      <c r="Q362" s="17"/>
      <c r="X362" s="18"/>
    </row>
    <row r="363" ht="15.75" customHeight="1">
      <c r="A363" s="17"/>
      <c r="E363" s="11"/>
      <c r="F363" s="11"/>
      <c r="G363" s="11"/>
      <c r="H363" s="17"/>
      <c r="L363" s="11"/>
      <c r="M363" s="11"/>
      <c r="N363" s="11"/>
      <c r="O363" s="18"/>
      <c r="Q363" s="17"/>
      <c r="X363" s="18"/>
    </row>
    <row r="364" ht="15.75" customHeight="1">
      <c r="A364" s="17"/>
      <c r="E364" s="11"/>
      <c r="F364" s="11"/>
      <c r="G364" s="11"/>
      <c r="H364" s="17"/>
      <c r="L364" s="11"/>
      <c r="M364" s="11"/>
      <c r="N364" s="11"/>
      <c r="O364" s="18"/>
      <c r="Q364" s="17"/>
      <c r="X364" s="18"/>
    </row>
    <row r="365" ht="15.75" customHeight="1">
      <c r="A365" s="17"/>
      <c r="E365" s="11"/>
      <c r="F365" s="11"/>
      <c r="G365" s="11"/>
      <c r="H365" s="17"/>
      <c r="L365" s="11"/>
      <c r="M365" s="11"/>
      <c r="N365" s="11"/>
      <c r="O365" s="18"/>
      <c r="Q365" s="17"/>
      <c r="X365" s="18"/>
    </row>
    <row r="366" ht="15.75" customHeight="1">
      <c r="A366" s="17"/>
      <c r="E366" s="11"/>
      <c r="F366" s="11"/>
      <c r="G366" s="11"/>
      <c r="H366" s="17"/>
      <c r="L366" s="11"/>
      <c r="M366" s="11"/>
      <c r="N366" s="11"/>
      <c r="O366" s="18"/>
      <c r="Q366" s="17"/>
      <c r="X366" s="18"/>
    </row>
    <row r="367" ht="15.75" customHeight="1">
      <c r="A367" s="17"/>
      <c r="E367" s="11"/>
      <c r="F367" s="11"/>
      <c r="G367" s="11"/>
      <c r="H367" s="17"/>
      <c r="L367" s="11"/>
      <c r="M367" s="11"/>
      <c r="N367" s="11"/>
      <c r="O367" s="18"/>
      <c r="Q367" s="17"/>
      <c r="X367" s="18"/>
    </row>
    <row r="368" ht="15.75" customHeight="1">
      <c r="A368" s="17"/>
      <c r="E368" s="11"/>
      <c r="F368" s="11"/>
      <c r="G368" s="11"/>
      <c r="H368" s="17"/>
      <c r="L368" s="11"/>
      <c r="M368" s="11"/>
      <c r="N368" s="11"/>
      <c r="O368" s="18"/>
      <c r="Q368" s="17"/>
      <c r="X368" s="18"/>
    </row>
    <row r="369" ht="15.75" customHeight="1">
      <c r="A369" s="17"/>
      <c r="E369" s="11"/>
      <c r="F369" s="11"/>
      <c r="G369" s="11"/>
      <c r="H369" s="17"/>
      <c r="L369" s="11"/>
      <c r="M369" s="11"/>
      <c r="N369" s="11"/>
      <c r="O369" s="18"/>
      <c r="Q369" s="17"/>
      <c r="X369" s="18"/>
    </row>
    <row r="370" ht="15.75" customHeight="1">
      <c r="A370" s="17"/>
      <c r="E370" s="11"/>
      <c r="F370" s="11"/>
      <c r="G370" s="11"/>
      <c r="H370" s="17"/>
      <c r="L370" s="11"/>
      <c r="M370" s="11"/>
      <c r="N370" s="11"/>
      <c r="O370" s="18"/>
      <c r="Q370" s="17"/>
      <c r="X370" s="18"/>
    </row>
    <row r="371" ht="15.75" customHeight="1">
      <c r="A371" s="17"/>
      <c r="E371" s="11"/>
      <c r="F371" s="11"/>
      <c r="G371" s="11"/>
      <c r="H371" s="17"/>
      <c r="L371" s="11"/>
      <c r="M371" s="11"/>
      <c r="N371" s="11"/>
      <c r="O371" s="18"/>
      <c r="Q371" s="17"/>
      <c r="X371" s="18"/>
    </row>
    <row r="372" ht="15.75" customHeight="1">
      <c r="A372" s="17"/>
      <c r="E372" s="11"/>
      <c r="F372" s="11"/>
      <c r="G372" s="11"/>
      <c r="H372" s="17"/>
      <c r="L372" s="11"/>
      <c r="M372" s="11"/>
      <c r="N372" s="11"/>
      <c r="O372" s="18"/>
      <c r="Q372" s="17"/>
      <c r="X372" s="18"/>
    </row>
    <row r="373" ht="15.75" customHeight="1">
      <c r="A373" s="17"/>
      <c r="E373" s="11"/>
      <c r="F373" s="11"/>
      <c r="G373" s="11"/>
      <c r="H373" s="17"/>
      <c r="L373" s="11"/>
      <c r="M373" s="11"/>
      <c r="N373" s="11"/>
      <c r="O373" s="18"/>
      <c r="Q373" s="17"/>
      <c r="X373" s="18"/>
    </row>
    <row r="374" ht="15.75" customHeight="1">
      <c r="A374" s="17"/>
      <c r="E374" s="11"/>
      <c r="F374" s="11"/>
      <c r="G374" s="11"/>
      <c r="H374" s="17"/>
      <c r="L374" s="11"/>
      <c r="M374" s="11"/>
      <c r="N374" s="11"/>
      <c r="O374" s="18"/>
      <c r="Q374" s="17"/>
      <c r="X374" s="18"/>
    </row>
    <row r="375" ht="15.75" customHeight="1">
      <c r="A375" s="17"/>
      <c r="E375" s="11"/>
      <c r="F375" s="11"/>
      <c r="G375" s="11"/>
      <c r="H375" s="17"/>
      <c r="L375" s="11"/>
      <c r="M375" s="11"/>
      <c r="N375" s="11"/>
      <c r="O375" s="18"/>
      <c r="Q375" s="17"/>
      <c r="X375" s="18"/>
    </row>
    <row r="376" ht="15.75" customHeight="1">
      <c r="A376" s="17"/>
      <c r="E376" s="11"/>
      <c r="F376" s="11"/>
      <c r="G376" s="11"/>
      <c r="H376" s="17"/>
      <c r="L376" s="11"/>
      <c r="M376" s="11"/>
      <c r="N376" s="11"/>
      <c r="O376" s="18"/>
      <c r="Q376" s="17"/>
      <c r="X376" s="18"/>
    </row>
    <row r="377" ht="15.75" customHeight="1">
      <c r="A377" s="17"/>
      <c r="E377" s="11"/>
      <c r="F377" s="11"/>
      <c r="G377" s="11"/>
      <c r="H377" s="17"/>
      <c r="L377" s="11"/>
      <c r="M377" s="11"/>
      <c r="N377" s="11"/>
      <c r="O377" s="18"/>
      <c r="Q377" s="17"/>
      <c r="X377" s="18"/>
    </row>
    <row r="378" ht="15.75" customHeight="1">
      <c r="A378" s="17"/>
      <c r="E378" s="11"/>
      <c r="F378" s="11"/>
      <c r="G378" s="11"/>
      <c r="H378" s="17"/>
      <c r="L378" s="11"/>
      <c r="M378" s="11"/>
      <c r="N378" s="11"/>
      <c r="O378" s="18"/>
      <c r="Q378" s="17"/>
      <c r="X378" s="18"/>
    </row>
    <row r="379" ht="15.75" customHeight="1">
      <c r="A379" s="17"/>
      <c r="E379" s="11"/>
      <c r="F379" s="11"/>
      <c r="G379" s="11"/>
      <c r="H379" s="17"/>
      <c r="L379" s="11"/>
      <c r="M379" s="11"/>
      <c r="N379" s="11"/>
      <c r="O379" s="18"/>
      <c r="Q379" s="17"/>
      <c r="X379" s="18"/>
    </row>
    <row r="380" ht="15.75" customHeight="1">
      <c r="A380" s="17"/>
      <c r="E380" s="11"/>
      <c r="F380" s="11"/>
      <c r="G380" s="11"/>
      <c r="H380" s="17"/>
      <c r="L380" s="11"/>
      <c r="M380" s="11"/>
      <c r="N380" s="11"/>
      <c r="O380" s="18"/>
      <c r="Q380" s="17"/>
      <c r="X380" s="18"/>
    </row>
    <row r="381" ht="15.75" customHeight="1">
      <c r="A381" s="17"/>
      <c r="E381" s="11"/>
      <c r="F381" s="11"/>
      <c r="G381" s="11"/>
      <c r="H381" s="17"/>
      <c r="L381" s="11"/>
      <c r="M381" s="11"/>
      <c r="N381" s="11"/>
      <c r="O381" s="18"/>
      <c r="Q381" s="17"/>
      <c r="X381" s="18"/>
    </row>
    <row r="382" ht="15.75" customHeight="1">
      <c r="A382" s="17"/>
      <c r="E382" s="11"/>
      <c r="F382" s="11"/>
      <c r="G382" s="11"/>
      <c r="H382" s="17"/>
      <c r="L382" s="11"/>
      <c r="M382" s="11"/>
      <c r="N382" s="11"/>
      <c r="O382" s="18"/>
      <c r="Q382" s="17"/>
      <c r="X382" s="18"/>
    </row>
    <row r="383" ht="15.75" customHeight="1">
      <c r="A383" s="17"/>
      <c r="E383" s="11"/>
      <c r="F383" s="11"/>
      <c r="G383" s="11"/>
      <c r="H383" s="17"/>
      <c r="L383" s="11"/>
      <c r="M383" s="11"/>
      <c r="N383" s="11"/>
      <c r="O383" s="18"/>
      <c r="Q383" s="17"/>
      <c r="X383" s="18"/>
    </row>
    <row r="384" ht="15.75" customHeight="1">
      <c r="A384" s="17"/>
      <c r="E384" s="11"/>
      <c r="F384" s="11"/>
      <c r="G384" s="11"/>
      <c r="H384" s="17"/>
      <c r="L384" s="11"/>
      <c r="M384" s="11"/>
      <c r="N384" s="11"/>
      <c r="O384" s="18"/>
      <c r="Q384" s="17"/>
      <c r="X384" s="18"/>
    </row>
    <row r="385" ht="15.75" customHeight="1">
      <c r="A385" s="17"/>
      <c r="E385" s="11"/>
      <c r="F385" s="11"/>
      <c r="G385" s="11"/>
      <c r="H385" s="17"/>
      <c r="L385" s="11"/>
      <c r="M385" s="11"/>
      <c r="N385" s="11"/>
      <c r="O385" s="18"/>
      <c r="Q385" s="17"/>
      <c r="X385" s="18"/>
    </row>
    <row r="386" ht="15.75" customHeight="1">
      <c r="A386" s="17"/>
      <c r="E386" s="11"/>
      <c r="F386" s="11"/>
      <c r="G386" s="11"/>
      <c r="H386" s="17"/>
      <c r="L386" s="11"/>
      <c r="M386" s="11"/>
      <c r="N386" s="11"/>
      <c r="O386" s="18"/>
      <c r="Q386" s="17"/>
      <c r="X386" s="18"/>
    </row>
    <row r="387" ht="15.75" customHeight="1">
      <c r="A387" s="17"/>
      <c r="E387" s="11"/>
      <c r="F387" s="11"/>
      <c r="G387" s="11"/>
      <c r="H387" s="17"/>
      <c r="L387" s="11"/>
      <c r="M387" s="11"/>
      <c r="N387" s="11"/>
      <c r="O387" s="18"/>
      <c r="Q387" s="17"/>
      <c r="X387" s="18"/>
    </row>
    <row r="388" ht="15.75" customHeight="1">
      <c r="A388" s="17"/>
      <c r="E388" s="11"/>
      <c r="F388" s="11"/>
      <c r="G388" s="11"/>
      <c r="H388" s="17"/>
      <c r="L388" s="11"/>
      <c r="M388" s="11"/>
      <c r="N388" s="11"/>
      <c r="O388" s="18"/>
      <c r="Q388" s="17"/>
      <c r="X388" s="18"/>
    </row>
    <row r="389" ht="15.75" customHeight="1">
      <c r="A389" s="17"/>
      <c r="E389" s="11"/>
      <c r="F389" s="11"/>
      <c r="G389" s="11"/>
      <c r="H389" s="17"/>
      <c r="L389" s="11"/>
      <c r="M389" s="11"/>
      <c r="N389" s="11"/>
      <c r="O389" s="18"/>
      <c r="Q389" s="17"/>
      <c r="X389" s="18"/>
    </row>
    <row r="390" ht="15.75" customHeight="1">
      <c r="A390" s="17"/>
      <c r="E390" s="11"/>
      <c r="F390" s="11"/>
      <c r="G390" s="11"/>
      <c r="H390" s="17"/>
      <c r="L390" s="11"/>
      <c r="M390" s="11"/>
      <c r="N390" s="11"/>
      <c r="O390" s="18"/>
      <c r="Q390" s="17"/>
      <c r="X390" s="18"/>
    </row>
    <row r="391" ht="15.75" customHeight="1">
      <c r="A391" s="17"/>
      <c r="E391" s="11"/>
      <c r="F391" s="11"/>
      <c r="G391" s="11"/>
      <c r="H391" s="17"/>
      <c r="L391" s="11"/>
      <c r="M391" s="11"/>
      <c r="N391" s="11"/>
      <c r="O391" s="18"/>
      <c r="Q391" s="17"/>
      <c r="X391" s="18"/>
    </row>
    <row r="392" ht="15.75" customHeight="1">
      <c r="A392" s="17"/>
      <c r="E392" s="11"/>
      <c r="F392" s="11"/>
      <c r="G392" s="11"/>
      <c r="H392" s="17"/>
      <c r="L392" s="11"/>
      <c r="M392" s="11"/>
      <c r="N392" s="11"/>
      <c r="O392" s="18"/>
      <c r="Q392" s="17"/>
      <c r="X392" s="18"/>
    </row>
    <row r="393" ht="15.75" customHeight="1">
      <c r="A393" s="17"/>
      <c r="E393" s="11"/>
      <c r="F393" s="11"/>
      <c r="G393" s="11"/>
      <c r="H393" s="17"/>
      <c r="L393" s="11"/>
      <c r="M393" s="11"/>
      <c r="N393" s="11"/>
      <c r="O393" s="18"/>
      <c r="Q393" s="17"/>
      <c r="X393" s="18"/>
    </row>
    <row r="394" ht="15.75" customHeight="1">
      <c r="A394" s="17"/>
      <c r="E394" s="11"/>
      <c r="F394" s="11"/>
      <c r="G394" s="11"/>
      <c r="H394" s="17"/>
      <c r="L394" s="11"/>
      <c r="M394" s="11"/>
      <c r="N394" s="11"/>
      <c r="O394" s="18"/>
      <c r="Q394" s="17"/>
      <c r="X394" s="18"/>
    </row>
    <row r="395" ht="15.75" customHeight="1">
      <c r="A395" s="17"/>
      <c r="E395" s="11"/>
      <c r="F395" s="11"/>
      <c r="G395" s="11"/>
      <c r="H395" s="17"/>
      <c r="L395" s="11"/>
      <c r="M395" s="11"/>
      <c r="N395" s="11"/>
      <c r="O395" s="18"/>
      <c r="Q395" s="17"/>
      <c r="X395" s="18"/>
    </row>
    <row r="396" ht="15.75" customHeight="1">
      <c r="A396" s="17"/>
      <c r="E396" s="11"/>
      <c r="F396" s="11"/>
      <c r="G396" s="11"/>
      <c r="H396" s="17"/>
      <c r="L396" s="11"/>
      <c r="M396" s="11"/>
      <c r="N396" s="11"/>
      <c r="O396" s="18"/>
      <c r="Q396" s="17"/>
      <c r="X396" s="18"/>
    </row>
    <row r="397" ht="15.75" customHeight="1">
      <c r="A397" s="17"/>
      <c r="E397" s="11"/>
      <c r="F397" s="11"/>
      <c r="G397" s="11"/>
      <c r="H397" s="17"/>
      <c r="L397" s="11"/>
      <c r="M397" s="11"/>
      <c r="N397" s="11"/>
      <c r="O397" s="18"/>
      <c r="Q397" s="17"/>
      <c r="X397" s="18"/>
    </row>
    <row r="398" ht="15.75" customHeight="1">
      <c r="A398" s="17"/>
      <c r="E398" s="11"/>
      <c r="F398" s="11"/>
      <c r="G398" s="11"/>
      <c r="H398" s="17"/>
      <c r="L398" s="11"/>
      <c r="M398" s="11"/>
      <c r="N398" s="11"/>
      <c r="O398" s="18"/>
      <c r="Q398" s="17"/>
      <c r="X398" s="18"/>
    </row>
    <row r="399" ht="15.75" customHeight="1">
      <c r="A399" s="17"/>
      <c r="E399" s="11"/>
      <c r="F399" s="11"/>
      <c r="G399" s="11"/>
      <c r="H399" s="17"/>
      <c r="L399" s="11"/>
      <c r="M399" s="11"/>
      <c r="N399" s="11"/>
      <c r="O399" s="18"/>
      <c r="Q399" s="17"/>
      <c r="X399" s="18"/>
    </row>
    <row r="400" ht="15.75" customHeight="1">
      <c r="A400" s="17"/>
      <c r="E400" s="11"/>
      <c r="F400" s="11"/>
      <c r="G400" s="11"/>
      <c r="H400" s="17"/>
      <c r="L400" s="11"/>
      <c r="M400" s="11"/>
      <c r="N400" s="11"/>
      <c r="O400" s="18"/>
      <c r="Q400" s="17"/>
      <c r="X400" s="18"/>
    </row>
    <row r="401" ht="15.75" customHeight="1">
      <c r="A401" s="17"/>
      <c r="E401" s="11"/>
      <c r="F401" s="11"/>
      <c r="G401" s="11"/>
      <c r="H401" s="17"/>
      <c r="L401" s="11"/>
      <c r="M401" s="11"/>
      <c r="N401" s="11"/>
      <c r="O401" s="18"/>
      <c r="Q401" s="17"/>
      <c r="X401" s="18"/>
    </row>
    <row r="402" ht="15.75" customHeight="1">
      <c r="A402" s="17"/>
      <c r="E402" s="11"/>
      <c r="F402" s="11"/>
      <c r="G402" s="11"/>
      <c r="H402" s="17"/>
      <c r="L402" s="11"/>
      <c r="M402" s="11"/>
      <c r="N402" s="11"/>
      <c r="O402" s="18"/>
      <c r="Q402" s="17"/>
      <c r="X402" s="18"/>
    </row>
    <row r="403" ht="15.75" customHeight="1">
      <c r="A403" s="17"/>
      <c r="E403" s="11"/>
      <c r="F403" s="11"/>
      <c r="G403" s="11"/>
      <c r="H403" s="17"/>
      <c r="L403" s="11"/>
      <c r="M403" s="11"/>
      <c r="N403" s="11"/>
      <c r="O403" s="18"/>
      <c r="Q403" s="17"/>
      <c r="X403" s="18"/>
    </row>
    <row r="404" ht="15.75" customHeight="1">
      <c r="A404" s="17"/>
      <c r="E404" s="11"/>
      <c r="F404" s="11"/>
      <c r="G404" s="11"/>
      <c r="H404" s="17"/>
      <c r="L404" s="11"/>
      <c r="M404" s="11"/>
      <c r="N404" s="11"/>
      <c r="O404" s="18"/>
      <c r="Q404" s="17"/>
      <c r="X404" s="18"/>
    </row>
    <row r="405" ht="15.75" customHeight="1">
      <c r="A405" s="17"/>
      <c r="E405" s="11"/>
      <c r="F405" s="11"/>
      <c r="G405" s="11"/>
      <c r="H405" s="17"/>
      <c r="L405" s="11"/>
      <c r="M405" s="11"/>
      <c r="N405" s="11"/>
      <c r="O405" s="18"/>
      <c r="Q405" s="17"/>
      <c r="X405" s="18"/>
    </row>
    <row r="406" ht="15.75" customHeight="1">
      <c r="A406" s="17"/>
      <c r="E406" s="11"/>
      <c r="F406" s="11"/>
      <c r="G406" s="11"/>
      <c r="H406" s="17"/>
      <c r="L406" s="11"/>
      <c r="M406" s="11"/>
      <c r="N406" s="11"/>
      <c r="O406" s="18"/>
      <c r="Q406" s="17"/>
      <c r="X406" s="18"/>
    </row>
    <row r="407" ht="15.75" customHeight="1">
      <c r="A407" s="17"/>
      <c r="E407" s="11"/>
      <c r="F407" s="11"/>
      <c r="G407" s="11"/>
      <c r="H407" s="17"/>
      <c r="L407" s="11"/>
      <c r="M407" s="11"/>
      <c r="N407" s="11"/>
      <c r="O407" s="18"/>
      <c r="Q407" s="17"/>
      <c r="X407" s="18"/>
    </row>
    <row r="408" ht="15.75" customHeight="1">
      <c r="A408" s="17"/>
      <c r="E408" s="11"/>
      <c r="F408" s="11"/>
      <c r="G408" s="11"/>
      <c r="H408" s="17"/>
      <c r="L408" s="11"/>
      <c r="M408" s="11"/>
      <c r="N408" s="11"/>
      <c r="O408" s="18"/>
      <c r="Q408" s="17"/>
      <c r="X408" s="18"/>
    </row>
    <row r="409" ht="15.75" customHeight="1">
      <c r="A409" s="17"/>
      <c r="E409" s="11"/>
      <c r="F409" s="11"/>
      <c r="G409" s="11"/>
      <c r="H409" s="17"/>
      <c r="L409" s="11"/>
      <c r="M409" s="11"/>
      <c r="N409" s="11"/>
      <c r="O409" s="18"/>
      <c r="Q409" s="17"/>
      <c r="X409" s="18"/>
    </row>
    <row r="410" ht="15.75" customHeight="1">
      <c r="A410" s="17"/>
      <c r="E410" s="11"/>
      <c r="F410" s="11"/>
      <c r="G410" s="11"/>
      <c r="H410" s="17"/>
      <c r="L410" s="11"/>
      <c r="M410" s="11"/>
      <c r="N410" s="11"/>
      <c r="O410" s="18"/>
      <c r="Q410" s="17"/>
      <c r="X410" s="18"/>
    </row>
    <row r="411" ht="15.75" customHeight="1">
      <c r="A411" s="17"/>
      <c r="E411" s="11"/>
      <c r="F411" s="11"/>
      <c r="G411" s="11"/>
      <c r="H411" s="17"/>
      <c r="L411" s="11"/>
      <c r="M411" s="11"/>
      <c r="N411" s="11"/>
      <c r="O411" s="18"/>
      <c r="Q411" s="17"/>
      <c r="X411" s="18"/>
    </row>
    <row r="412" ht="15.75" customHeight="1">
      <c r="A412" s="17"/>
      <c r="E412" s="11"/>
      <c r="F412" s="11"/>
      <c r="G412" s="11"/>
      <c r="H412" s="17"/>
      <c r="L412" s="11"/>
      <c r="M412" s="11"/>
      <c r="N412" s="11"/>
      <c r="O412" s="18"/>
      <c r="Q412" s="17"/>
      <c r="X412" s="18"/>
    </row>
    <row r="413" ht="15.75" customHeight="1">
      <c r="A413" s="17"/>
      <c r="E413" s="11"/>
      <c r="F413" s="11"/>
      <c r="G413" s="11"/>
      <c r="H413" s="17"/>
      <c r="L413" s="11"/>
      <c r="M413" s="11"/>
      <c r="N413" s="11"/>
      <c r="O413" s="18"/>
      <c r="Q413" s="17"/>
      <c r="X413" s="18"/>
    </row>
    <row r="414" ht="15.75" customHeight="1">
      <c r="A414" s="17"/>
      <c r="E414" s="11"/>
      <c r="F414" s="11"/>
      <c r="G414" s="11"/>
      <c r="H414" s="17"/>
      <c r="L414" s="11"/>
      <c r="M414" s="11"/>
      <c r="N414" s="11"/>
      <c r="O414" s="18"/>
      <c r="Q414" s="17"/>
      <c r="X414" s="18"/>
    </row>
    <row r="415" ht="15.75" customHeight="1">
      <c r="A415" s="17"/>
      <c r="E415" s="11"/>
      <c r="F415" s="11"/>
      <c r="G415" s="11"/>
      <c r="H415" s="17"/>
      <c r="L415" s="11"/>
      <c r="M415" s="11"/>
      <c r="N415" s="11"/>
      <c r="O415" s="18"/>
      <c r="Q415" s="17"/>
      <c r="X415" s="18"/>
    </row>
    <row r="416" ht="15.75" customHeight="1">
      <c r="A416" s="17"/>
      <c r="E416" s="11"/>
      <c r="F416" s="11"/>
      <c r="G416" s="11"/>
      <c r="H416" s="17"/>
      <c r="L416" s="11"/>
      <c r="M416" s="11"/>
      <c r="N416" s="11"/>
      <c r="O416" s="18"/>
      <c r="Q416" s="17"/>
      <c r="X416" s="18"/>
    </row>
    <row r="417" ht="15.75" customHeight="1">
      <c r="A417" s="17"/>
      <c r="E417" s="11"/>
      <c r="F417" s="11"/>
      <c r="G417" s="11"/>
      <c r="H417" s="17"/>
      <c r="L417" s="11"/>
      <c r="M417" s="11"/>
      <c r="N417" s="11"/>
      <c r="O417" s="18"/>
      <c r="Q417" s="17"/>
      <c r="X417" s="18"/>
    </row>
    <row r="418" ht="15.75" customHeight="1">
      <c r="A418" s="17"/>
      <c r="E418" s="11"/>
      <c r="F418" s="11"/>
      <c r="G418" s="11"/>
      <c r="H418" s="17"/>
      <c r="L418" s="11"/>
      <c r="M418" s="11"/>
      <c r="N418" s="11"/>
      <c r="O418" s="18"/>
      <c r="Q418" s="17"/>
      <c r="X418" s="18"/>
    </row>
    <row r="419" ht="15.75" customHeight="1">
      <c r="A419" s="17"/>
      <c r="E419" s="11"/>
      <c r="F419" s="11"/>
      <c r="G419" s="11"/>
      <c r="H419" s="17"/>
      <c r="L419" s="11"/>
      <c r="M419" s="11"/>
      <c r="N419" s="11"/>
      <c r="O419" s="18"/>
      <c r="Q419" s="17"/>
      <c r="X419" s="18"/>
    </row>
    <row r="420" ht="15.75" customHeight="1">
      <c r="A420" s="17"/>
      <c r="E420" s="11"/>
      <c r="F420" s="11"/>
      <c r="G420" s="11"/>
      <c r="H420" s="17"/>
      <c r="L420" s="11"/>
      <c r="M420" s="11"/>
      <c r="N420" s="11"/>
      <c r="O420" s="18"/>
      <c r="Q420" s="17"/>
      <c r="X420" s="18"/>
    </row>
    <row r="421" ht="15.75" customHeight="1">
      <c r="A421" s="17"/>
      <c r="E421" s="11"/>
      <c r="F421" s="11"/>
      <c r="G421" s="11"/>
      <c r="H421" s="17"/>
      <c r="L421" s="11"/>
      <c r="M421" s="11"/>
      <c r="N421" s="11"/>
      <c r="O421" s="18"/>
      <c r="Q421" s="17"/>
      <c r="X421" s="18"/>
    </row>
    <row r="422" ht="15.75" customHeight="1">
      <c r="A422" s="17"/>
      <c r="E422" s="11"/>
      <c r="F422" s="11"/>
      <c r="G422" s="11"/>
      <c r="H422" s="17"/>
      <c r="L422" s="11"/>
      <c r="M422" s="11"/>
      <c r="N422" s="11"/>
      <c r="O422" s="18"/>
      <c r="Q422" s="17"/>
      <c r="X422" s="18"/>
    </row>
    <row r="423" ht="15.75" customHeight="1">
      <c r="A423" s="17"/>
      <c r="E423" s="11"/>
      <c r="F423" s="11"/>
      <c r="G423" s="11"/>
      <c r="H423" s="17"/>
      <c r="L423" s="11"/>
      <c r="M423" s="11"/>
      <c r="N423" s="11"/>
      <c r="O423" s="18"/>
      <c r="Q423" s="17"/>
      <c r="X423" s="18"/>
    </row>
    <row r="424" ht="15.75" customHeight="1">
      <c r="A424" s="17"/>
      <c r="E424" s="11"/>
      <c r="F424" s="11"/>
      <c r="G424" s="11"/>
      <c r="H424" s="17"/>
      <c r="L424" s="11"/>
      <c r="M424" s="11"/>
      <c r="N424" s="11"/>
      <c r="O424" s="18"/>
      <c r="Q424" s="17"/>
      <c r="X424" s="18"/>
    </row>
    <row r="425" ht="15.75" customHeight="1">
      <c r="A425" s="17"/>
      <c r="E425" s="11"/>
      <c r="F425" s="11"/>
      <c r="G425" s="11"/>
      <c r="H425" s="17"/>
      <c r="L425" s="11"/>
      <c r="M425" s="11"/>
      <c r="N425" s="11"/>
      <c r="O425" s="18"/>
      <c r="Q425" s="17"/>
      <c r="X425" s="18"/>
    </row>
    <row r="426" ht="15.75" customHeight="1">
      <c r="A426" s="17"/>
      <c r="E426" s="11"/>
      <c r="F426" s="11"/>
      <c r="G426" s="11"/>
      <c r="H426" s="17"/>
      <c r="L426" s="11"/>
      <c r="M426" s="11"/>
      <c r="N426" s="11"/>
      <c r="O426" s="18"/>
      <c r="Q426" s="17"/>
      <c r="X426" s="18"/>
    </row>
    <row r="427" ht="15.75" customHeight="1">
      <c r="A427" s="17"/>
      <c r="E427" s="11"/>
      <c r="F427" s="11"/>
      <c r="G427" s="11"/>
      <c r="H427" s="17"/>
      <c r="L427" s="11"/>
      <c r="M427" s="11"/>
      <c r="N427" s="11"/>
      <c r="O427" s="18"/>
      <c r="Q427" s="17"/>
      <c r="X427" s="18"/>
    </row>
    <row r="428" ht="15.75" customHeight="1">
      <c r="A428" s="17"/>
      <c r="E428" s="11"/>
      <c r="F428" s="11"/>
      <c r="G428" s="11"/>
      <c r="H428" s="17"/>
      <c r="L428" s="11"/>
      <c r="M428" s="11"/>
      <c r="N428" s="11"/>
      <c r="O428" s="18"/>
      <c r="Q428" s="17"/>
      <c r="X428" s="18"/>
    </row>
    <row r="429" ht="15.75" customHeight="1">
      <c r="A429" s="17"/>
      <c r="E429" s="11"/>
      <c r="F429" s="11"/>
      <c r="G429" s="11"/>
      <c r="H429" s="17"/>
      <c r="L429" s="11"/>
      <c r="M429" s="11"/>
      <c r="N429" s="11"/>
      <c r="O429" s="18"/>
      <c r="Q429" s="17"/>
      <c r="X429" s="18"/>
    </row>
    <row r="430" ht="15.75" customHeight="1">
      <c r="A430" s="17"/>
      <c r="E430" s="11"/>
      <c r="F430" s="11"/>
      <c r="G430" s="11"/>
      <c r="H430" s="17"/>
      <c r="L430" s="11"/>
      <c r="M430" s="11"/>
      <c r="N430" s="11"/>
      <c r="O430" s="18"/>
      <c r="Q430" s="17"/>
      <c r="X430" s="18"/>
    </row>
    <row r="431" ht="15.75" customHeight="1">
      <c r="A431" s="17"/>
      <c r="E431" s="11"/>
      <c r="F431" s="11"/>
      <c r="G431" s="11"/>
      <c r="H431" s="17"/>
      <c r="L431" s="11"/>
      <c r="M431" s="11"/>
      <c r="N431" s="11"/>
      <c r="O431" s="18"/>
      <c r="Q431" s="17"/>
      <c r="X431" s="18"/>
    </row>
    <row r="432" ht="15.75" customHeight="1">
      <c r="A432" s="17"/>
      <c r="E432" s="11"/>
      <c r="F432" s="11"/>
      <c r="G432" s="11"/>
      <c r="H432" s="17"/>
      <c r="L432" s="11"/>
      <c r="M432" s="11"/>
      <c r="N432" s="11"/>
      <c r="O432" s="18"/>
      <c r="Q432" s="17"/>
      <c r="X432" s="18"/>
    </row>
    <row r="433" ht="15.75" customHeight="1">
      <c r="A433" s="17"/>
      <c r="E433" s="11"/>
      <c r="F433" s="11"/>
      <c r="G433" s="11"/>
      <c r="H433" s="17"/>
      <c r="L433" s="11"/>
      <c r="M433" s="11"/>
      <c r="N433" s="11"/>
      <c r="O433" s="18"/>
      <c r="Q433" s="17"/>
      <c r="X433" s="18"/>
    </row>
    <row r="434" ht="15.75" customHeight="1">
      <c r="A434" s="17"/>
      <c r="E434" s="11"/>
      <c r="F434" s="11"/>
      <c r="G434" s="11"/>
      <c r="H434" s="17"/>
      <c r="L434" s="11"/>
      <c r="M434" s="11"/>
      <c r="N434" s="11"/>
      <c r="O434" s="18"/>
      <c r="Q434" s="17"/>
      <c r="X434" s="18"/>
    </row>
    <row r="435" ht="15.75" customHeight="1">
      <c r="A435" s="17"/>
      <c r="E435" s="11"/>
      <c r="F435" s="11"/>
      <c r="G435" s="11"/>
      <c r="H435" s="17"/>
      <c r="L435" s="11"/>
      <c r="M435" s="11"/>
      <c r="N435" s="11"/>
      <c r="O435" s="18"/>
      <c r="Q435" s="17"/>
      <c r="X435" s="18"/>
    </row>
    <row r="436" ht="15.75" customHeight="1">
      <c r="A436" s="17"/>
      <c r="E436" s="11"/>
      <c r="F436" s="11"/>
      <c r="G436" s="11"/>
      <c r="H436" s="17"/>
      <c r="L436" s="11"/>
      <c r="M436" s="11"/>
      <c r="N436" s="11"/>
      <c r="O436" s="18"/>
      <c r="Q436" s="17"/>
      <c r="X436" s="18"/>
    </row>
    <row r="437" ht="15.75" customHeight="1">
      <c r="A437" s="17"/>
      <c r="E437" s="11"/>
      <c r="F437" s="11"/>
      <c r="G437" s="11"/>
      <c r="H437" s="17"/>
      <c r="L437" s="11"/>
      <c r="M437" s="11"/>
      <c r="N437" s="11"/>
      <c r="O437" s="18"/>
      <c r="Q437" s="17"/>
      <c r="X437" s="18"/>
    </row>
    <row r="438" ht="15.75" customHeight="1">
      <c r="A438" s="17"/>
      <c r="E438" s="11"/>
      <c r="F438" s="11"/>
      <c r="G438" s="11"/>
      <c r="H438" s="17"/>
      <c r="L438" s="11"/>
      <c r="M438" s="11"/>
      <c r="N438" s="11"/>
      <c r="O438" s="18"/>
      <c r="Q438" s="17"/>
      <c r="X438" s="18"/>
    </row>
    <row r="439" ht="15.75" customHeight="1">
      <c r="A439" s="17"/>
      <c r="E439" s="11"/>
      <c r="F439" s="11"/>
      <c r="G439" s="11"/>
      <c r="H439" s="17"/>
      <c r="L439" s="11"/>
      <c r="M439" s="11"/>
      <c r="N439" s="11"/>
      <c r="O439" s="18"/>
      <c r="Q439" s="17"/>
      <c r="X439" s="18"/>
    </row>
    <row r="440" ht="15.75" customHeight="1">
      <c r="A440" s="17"/>
      <c r="E440" s="11"/>
      <c r="F440" s="11"/>
      <c r="G440" s="11"/>
      <c r="H440" s="17"/>
      <c r="L440" s="11"/>
      <c r="M440" s="11"/>
      <c r="N440" s="11"/>
      <c r="O440" s="18"/>
      <c r="Q440" s="17"/>
      <c r="X440" s="18"/>
    </row>
    <row r="441" ht="15.75" customHeight="1">
      <c r="A441" s="17"/>
      <c r="E441" s="11"/>
      <c r="F441" s="11"/>
      <c r="G441" s="11"/>
      <c r="H441" s="17"/>
      <c r="L441" s="11"/>
      <c r="M441" s="11"/>
      <c r="N441" s="11"/>
      <c r="O441" s="18"/>
      <c r="Q441" s="17"/>
      <c r="X441" s="18"/>
    </row>
    <row r="442" ht="15.75" customHeight="1">
      <c r="A442" s="17"/>
      <c r="E442" s="11"/>
      <c r="F442" s="11"/>
      <c r="G442" s="11"/>
      <c r="H442" s="17"/>
      <c r="L442" s="11"/>
      <c r="M442" s="11"/>
      <c r="N442" s="11"/>
      <c r="O442" s="18"/>
      <c r="Q442" s="17"/>
      <c r="X442" s="18"/>
    </row>
    <row r="443" ht="15.75" customHeight="1">
      <c r="A443" s="17"/>
      <c r="E443" s="11"/>
      <c r="F443" s="11"/>
      <c r="G443" s="11"/>
      <c r="H443" s="17"/>
      <c r="L443" s="11"/>
      <c r="M443" s="11"/>
      <c r="N443" s="11"/>
      <c r="O443" s="18"/>
      <c r="Q443" s="17"/>
      <c r="X443" s="18"/>
    </row>
    <row r="444" ht="15.75" customHeight="1">
      <c r="A444" s="17"/>
      <c r="E444" s="11"/>
      <c r="F444" s="11"/>
      <c r="G444" s="11"/>
      <c r="H444" s="17"/>
      <c r="L444" s="11"/>
      <c r="M444" s="11"/>
      <c r="N444" s="11"/>
      <c r="O444" s="18"/>
      <c r="Q444" s="17"/>
      <c r="X444" s="18"/>
    </row>
    <row r="445" ht="15.75" customHeight="1">
      <c r="A445" s="17"/>
      <c r="E445" s="11"/>
      <c r="F445" s="11"/>
      <c r="G445" s="11"/>
      <c r="H445" s="17"/>
      <c r="L445" s="11"/>
      <c r="M445" s="11"/>
      <c r="N445" s="11"/>
      <c r="O445" s="18"/>
      <c r="Q445" s="17"/>
      <c r="X445" s="18"/>
    </row>
    <row r="446" ht="15.75" customHeight="1">
      <c r="A446" s="17"/>
      <c r="E446" s="11"/>
      <c r="F446" s="11"/>
      <c r="G446" s="11"/>
      <c r="H446" s="17"/>
      <c r="L446" s="11"/>
      <c r="M446" s="11"/>
      <c r="N446" s="11"/>
      <c r="O446" s="18"/>
      <c r="Q446" s="17"/>
      <c r="X446" s="18"/>
    </row>
    <row r="447" ht="15.75" customHeight="1">
      <c r="A447" s="17"/>
      <c r="E447" s="11"/>
      <c r="F447" s="11"/>
      <c r="G447" s="11"/>
      <c r="H447" s="17"/>
      <c r="L447" s="11"/>
      <c r="M447" s="11"/>
      <c r="N447" s="11"/>
      <c r="O447" s="18"/>
      <c r="Q447" s="17"/>
      <c r="X447" s="18"/>
    </row>
    <row r="448" ht="15.75" customHeight="1">
      <c r="A448" s="17"/>
      <c r="E448" s="11"/>
      <c r="F448" s="11"/>
      <c r="G448" s="11"/>
      <c r="H448" s="17"/>
      <c r="L448" s="11"/>
      <c r="M448" s="11"/>
      <c r="N448" s="11"/>
      <c r="O448" s="18"/>
      <c r="Q448" s="17"/>
      <c r="X448" s="18"/>
    </row>
    <row r="449" ht="15.75" customHeight="1">
      <c r="A449" s="17"/>
      <c r="E449" s="11"/>
      <c r="F449" s="11"/>
      <c r="G449" s="11"/>
      <c r="H449" s="17"/>
      <c r="L449" s="11"/>
      <c r="M449" s="11"/>
      <c r="N449" s="11"/>
      <c r="O449" s="18"/>
      <c r="Q449" s="17"/>
      <c r="X449" s="18"/>
    </row>
    <row r="450" ht="15.75" customHeight="1">
      <c r="A450" s="17"/>
      <c r="E450" s="11"/>
      <c r="F450" s="11"/>
      <c r="G450" s="11"/>
      <c r="H450" s="17"/>
      <c r="L450" s="11"/>
      <c r="M450" s="11"/>
      <c r="N450" s="11"/>
      <c r="O450" s="18"/>
      <c r="Q450" s="17"/>
      <c r="X450" s="18"/>
    </row>
    <row r="451" ht="15.75" customHeight="1">
      <c r="A451" s="17"/>
      <c r="E451" s="11"/>
      <c r="F451" s="11"/>
      <c r="G451" s="11"/>
      <c r="H451" s="17"/>
      <c r="L451" s="11"/>
      <c r="M451" s="11"/>
      <c r="N451" s="11"/>
      <c r="O451" s="18"/>
      <c r="Q451" s="17"/>
      <c r="X451" s="18"/>
    </row>
    <row r="452" ht="15.75" customHeight="1">
      <c r="A452" s="17"/>
      <c r="E452" s="11"/>
      <c r="F452" s="11"/>
      <c r="G452" s="11"/>
      <c r="H452" s="17"/>
      <c r="L452" s="11"/>
      <c r="M452" s="11"/>
      <c r="N452" s="11"/>
      <c r="O452" s="18"/>
      <c r="Q452" s="17"/>
      <c r="X452" s="18"/>
    </row>
    <row r="453" ht="15.75" customHeight="1">
      <c r="A453" s="17"/>
      <c r="E453" s="11"/>
      <c r="F453" s="11"/>
      <c r="G453" s="11"/>
      <c r="H453" s="17"/>
      <c r="L453" s="11"/>
      <c r="M453" s="11"/>
      <c r="N453" s="11"/>
      <c r="O453" s="18"/>
      <c r="Q453" s="17"/>
      <c r="X453" s="18"/>
    </row>
    <row r="454" ht="15.75" customHeight="1">
      <c r="A454" s="17"/>
      <c r="E454" s="11"/>
      <c r="F454" s="11"/>
      <c r="G454" s="11"/>
      <c r="H454" s="17"/>
      <c r="L454" s="11"/>
      <c r="M454" s="11"/>
      <c r="N454" s="11"/>
      <c r="O454" s="18"/>
      <c r="Q454" s="17"/>
      <c r="X454" s="18"/>
    </row>
    <row r="455" ht="15.75" customHeight="1">
      <c r="A455" s="17"/>
      <c r="E455" s="11"/>
      <c r="F455" s="11"/>
      <c r="G455" s="11"/>
      <c r="H455" s="17"/>
      <c r="L455" s="11"/>
      <c r="M455" s="11"/>
      <c r="N455" s="11"/>
      <c r="O455" s="18"/>
      <c r="Q455" s="17"/>
      <c r="X455" s="18"/>
    </row>
    <row r="456" ht="15.75" customHeight="1">
      <c r="A456" s="17"/>
      <c r="E456" s="11"/>
      <c r="F456" s="11"/>
      <c r="G456" s="11"/>
      <c r="H456" s="17"/>
      <c r="L456" s="11"/>
      <c r="M456" s="11"/>
      <c r="N456" s="11"/>
      <c r="O456" s="18"/>
      <c r="Q456" s="17"/>
      <c r="X456" s="18"/>
    </row>
    <row r="457" ht="15.75" customHeight="1">
      <c r="A457" s="17"/>
      <c r="E457" s="11"/>
      <c r="F457" s="11"/>
      <c r="G457" s="11"/>
      <c r="H457" s="17"/>
      <c r="L457" s="11"/>
      <c r="M457" s="11"/>
      <c r="N457" s="11"/>
      <c r="O457" s="18"/>
      <c r="Q457" s="17"/>
      <c r="X457" s="18"/>
    </row>
    <row r="458" ht="15.75" customHeight="1">
      <c r="A458" s="17"/>
      <c r="E458" s="11"/>
      <c r="F458" s="11"/>
      <c r="G458" s="11"/>
      <c r="H458" s="17"/>
      <c r="L458" s="11"/>
      <c r="M458" s="11"/>
      <c r="N458" s="11"/>
      <c r="O458" s="18"/>
      <c r="Q458" s="17"/>
      <c r="X458" s="18"/>
    </row>
    <row r="459" ht="15.75" customHeight="1">
      <c r="A459" s="17"/>
      <c r="E459" s="11"/>
      <c r="F459" s="11"/>
      <c r="G459" s="11"/>
      <c r="H459" s="17"/>
      <c r="L459" s="11"/>
      <c r="M459" s="11"/>
      <c r="N459" s="11"/>
      <c r="O459" s="18"/>
      <c r="Q459" s="17"/>
      <c r="X459" s="18"/>
    </row>
    <row r="460" ht="15.75" customHeight="1">
      <c r="A460" s="17"/>
      <c r="E460" s="11"/>
      <c r="F460" s="11"/>
      <c r="G460" s="11"/>
      <c r="H460" s="17"/>
      <c r="L460" s="11"/>
      <c r="M460" s="11"/>
      <c r="N460" s="11"/>
      <c r="O460" s="18"/>
      <c r="Q460" s="17"/>
      <c r="X460" s="18"/>
    </row>
    <row r="461" ht="15.75" customHeight="1">
      <c r="A461" s="17"/>
      <c r="E461" s="11"/>
      <c r="F461" s="11"/>
      <c r="G461" s="11"/>
      <c r="H461" s="17"/>
      <c r="L461" s="11"/>
      <c r="M461" s="11"/>
      <c r="N461" s="11"/>
      <c r="O461" s="18"/>
      <c r="Q461" s="17"/>
      <c r="X461" s="18"/>
    </row>
    <row r="462" ht="15.75" customHeight="1">
      <c r="A462" s="17"/>
      <c r="E462" s="11"/>
      <c r="F462" s="11"/>
      <c r="G462" s="11"/>
      <c r="H462" s="17"/>
      <c r="L462" s="11"/>
      <c r="M462" s="11"/>
      <c r="N462" s="11"/>
      <c r="O462" s="18"/>
      <c r="Q462" s="17"/>
      <c r="X462" s="18"/>
    </row>
    <row r="463" ht="15.75" customHeight="1">
      <c r="A463" s="17"/>
      <c r="E463" s="11"/>
      <c r="F463" s="11"/>
      <c r="G463" s="11"/>
      <c r="H463" s="17"/>
      <c r="L463" s="11"/>
      <c r="M463" s="11"/>
      <c r="N463" s="11"/>
      <c r="O463" s="18"/>
      <c r="Q463" s="17"/>
      <c r="X463" s="18"/>
    </row>
    <row r="464" ht="15.75" customHeight="1">
      <c r="A464" s="17"/>
      <c r="E464" s="11"/>
      <c r="F464" s="11"/>
      <c r="G464" s="11"/>
      <c r="H464" s="17"/>
      <c r="L464" s="11"/>
      <c r="M464" s="11"/>
      <c r="N464" s="11"/>
      <c r="O464" s="18"/>
      <c r="Q464" s="17"/>
      <c r="X464" s="18"/>
    </row>
    <row r="465" ht="15.75" customHeight="1">
      <c r="A465" s="17"/>
      <c r="E465" s="11"/>
      <c r="F465" s="11"/>
      <c r="G465" s="11"/>
      <c r="H465" s="17"/>
      <c r="L465" s="11"/>
      <c r="M465" s="11"/>
      <c r="N465" s="11"/>
      <c r="O465" s="18"/>
      <c r="Q465" s="17"/>
      <c r="X465" s="18"/>
    </row>
    <row r="466" ht="15.75" customHeight="1">
      <c r="A466" s="17"/>
      <c r="E466" s="11"/>
      <c r="F466" s="11"/>
      <c r="G466" s="11"/>
      <c r="H466" s="17"/>
      <c r="L466" s="11"/>
      <c r="M466" s="11"/>
      <c r="N466" s="11"/>
      <c r="O466" s="18"/>
      <c r="Q466" s="17"/>
      <c r="X466" s="18"/>
    </row>
    <row r="467" ht="15.75" customHeight="1">
      <c r="A467" s="17"/>
      <c r="E467" s="11"/>
      <c r="F467" s="11"/>
      <c r="G467" s="11"/>
      <c r="H467" s="17"/>
      <c r="L467" s="11"/>
      <c r="M467" s="11"/>
      <c r="N467" s="11"/>
      <c r="O467" s="18"/>
      <c r="Q467" s="17"/>
      <c r="X467" s="18"/>
    </row>
    <row r="468" ht="15.75" customHeight="1">
      <c r="A468" s="17"/>
      <c r="E468" s="11"/>
      <c r="F468" s="11"/>
      <c r="G468" s="11"/>
      <c r="H468" s="17"/>
      <c r="L468" s="11"/>
      <c r="M468" s="11"/>
      <c r="N468" s="11"/>
      <c r="O468" s="18"/>
      <c r="Q468" s="17"/>
      <c r="X468" s="18"/>
    </row>
    <row r="469" ht="15.75" customHeight="1">
      <c r="A469" s="17"/>
      <c r="E469" s="11"/>
      <c r="F469" s="11"/>
      <c r="G469" s="11"/>
      <c r="H469" s="17"/>
      <c r="L469" s="11"/>
      <c r="M469" s="11"/>
      <c r="N469" s="11"/>
      <c r="O469" s="18"/>
      <c r="Q469" s="17"/>
      <c r="X469" s="18"/>
    </row>
    <row r="470" ht="15.75" customHeight="1">
      <c r="A470" s="17"/>
      <c r="E470" s="11"/>
      <c r="F470" s="11"/>
      <c r="G470" s="11"/>
      <c r="H470" s="17"/>
      <c r="L470" s="11"/>
      <c r="M470" s="11"/>
      <c r="N470" s="11"/>
      <c r="O470" s="18"/>
      <c r="Q470" s="17"/>
      <c r="X470" s="18"/>
    </row>
    <row r="471" ht="15.75" customHeight="1">
      <c r="A471" s="17"/>
      <c r="E471" s="11"/>
      <c r="F471" s="11"/>
      <c r="G471" s="11"/>
      <c r="H471" s="17"/>
      <c r="L471" s="11"/>
      <c r="M471" s="11"/>
      <c r="N471" s="11"/>
      <c r="O471" s="18"/>
      <c r="Q471" s="17"/>
      <c r="X471" s="18"/>
    </row>
    <row r="472" ht="15.75" customHeight="1">
      <c r="A472" s="17"/>
      <c r="E472" s="11"/>
      <c r="F472" s="11"/>
      <c r="G472" s="11"/>
      <c r="H472" s="17"/>
      <c r="L472" s="11"/>
      <c r="M472" s="11"/>
      <c r="N472" s="11"/>
      <c r="O472" s="18"/>
      <c r="Q472" s="17"/>
      <c r="X472" s="18"/>
    </row>
    <row r="473" ht="15.75" customHeight="1">
      <c r="A473" s="17"/>
      <c r="E473" s="11"/>
      <c r="F473" s="11"/>
      <c r="G473" s="11"/>
      <c r="H473" s="17"/>
      <c r="L473" s="11"/>
      <c r="M473" s="11"/>
      <c r="N473" s="11"/>
      <c r="O473" s="18"/>
      <c r="Q473" s="17"/>
      <c r="X473" s="18"/>
    </row>
    <row r="474" ht="15.75" customHeight="1">
      <c r="A474" s="17"/>
      <c r="E474" s="11"/>
      <c r="F474" s="11"/>
      <c r="G474" s="11"/>
      <c r="H474" s="17"/>
      <c r="L474" s="11"/>
      <c r="M474" s="11"/>
      <c r="N474" s="11"/>
      <c r="O474" s="18"/>
      <c r="Q474" s="17"/>
      <c r="X474" s="18"/>
    </row>
    <row r="475" ht="15.75" customHeight="1">
      <c r="A475" s="17"/>
      <c r="E475" s="11"/>
      <c r="F475" s="11"/>
      <c r="G475" s="11"/>
      <c r="H475" s="17"/>
      <c r="L475" s="11"/>
      <c r="M475" s="11"/>
      <c r="N475" s="11"/>
      <c r="O475" s="18"/>
      <c r="Q475" s="17"/>
      <c r="X475" s="18"/>
    </row>
    <row r="476" ht="15.75" customHeight="1">
      <c r="A476" s="17"/>
      <c r="E476" s="11"/>
      <c r="F476" s="11"/>
      <c r="G476" s="11"/>
      <c r="H476" s="17"/>
      <c r="L476" s="11"/>
      <c r="M476" s="11"/>
      <c r="N476" s="11"/>
      <c r="O476" s="18"/>
      <c r="Q476" s="17"/>
      <c r="X476" s="18"/>
    </row>
    <row r="477" ht="15.75" customHeight="1">
      <c r="A477" s="17"/>
      <c r="E477" s="11"/>
      <c r="F477" s="11"/>
      <c r="G477" s="11"/>
      <c r="H477" s="17"/>
      <c r="L477" s="11"/>
      <c r="M477" s="11"/>
      <c r="N477" s="11"/>
      <c r="O477" s="18"/>
      <c r="Q477" s="17"/>
      <c r="X477" s="18"/>
    </row>
    <row r="478" ht="15.75" customHeight="1">
      <c r="A478" s="17"/>
      <c r="E478" s="11"/>
      <c r="F478" s="11"/>
      <c r="G478" s="11"/>
      <c r="H478" s="17"/>
      <c r="L478" s="11"/>
      <c r="M478" s="11"/>
      <c r="N478" s="11"/>
      <c r="O478" s="18"/>
      <c r="Q478" s="17"/>
      <c r="X478" s="18"/>
    </row>
    <row r="479" ht="15.75" customHeight="1">
      <c r="A479" s="17"/>
      <c r="E479" s="11"/>
      <c r="F479" s="11"/>
      <c r="G479" s="11"/>
      <c r="H479" s="17"/>
      <c r="L479" s="11"/>
      <c r="M479" s="11"/>
      <c r="N479" s="11"/>
      <c r="O479" s="18"/>
      <c r="Q479" s="17"/>
      <c r="X479" s="18"/>
    </row>
    <row r="480" ht="15.75" customHeight="1">
      <c r="A480" s="17"/>
      <c r="E480" s="11"/>
      <c r="F480" s="11"/>
      <c r="G480" s="11"/>
      <c r="H480" s="17"/>
      <c r="L480" s="11"/>
      <c r="M480" s="11"/>
      <c r="N480" s="11"/>
      <c r="O480" s="18"/>
      <c r="Q480" s="17"/>
      <c r="X480" s="18"/>
    </row>
    <row r="481" ht="15.75" customHeight="1">
      <c r="A481" s="17"/>
      <c r="E481" s="11"/>
      <c r="F481" s="11"/>
      <c r="G481" s="11"/>
      <c r="H481" s="17"/>
      <c r="L481" s="11"/>
      <c r="M481" s="11"/>
      <c r="N481" s="11"/>
      <c r="O481" s="18"/>
      <c r="Q481" s="17"/>
      <c r="X481" s="18"/>
    </row>
    <row r="482" ht="15.75" customHeight="1">
      <c r="A482" s="17"/>
      <c r="E482" s="11"/>
      <c r="F482" s="11"/>
      <c r="G482" s="11"/>
      <c r="H482" s="17"/>
      <c r="L482" s="11"/>
      <c r="M482" s="11"/>
      <c r="N482" s="11"/>
      <c r="O482" s="18"/>
      <c r="Q482" s="17"/>
      <c r="X482" s="18"/>
    </row>
    <row r="483" ht="15.75" customHeight="1">
      <c r="A483" s="17"/>
      <c r="E483" s="11"/>
      <c r="F483" s="11"/>
      <c r="G483" s="11"/>
      <c r="H483" s="17"/>
      <c r="L483" s="11"/>
      <c r="M483" s="11"/>
      <c r="N483" s="11"/>
      <c r="O483" s="18"/>
      <c r="Q483" s="17"/>
      <c r="X483" s="18"/>
    </row>
    <row r="484" ht="15.75" customHeight="1">
      <c r="A484" s="17"/>
      <c r="E484" s="11"/>
      <c r="F484" s="11"/>
      <c r="G484" s="11"/>
      <c r="H484" s="17"/>
      <c r="L484" s="11"/>
      <c r="M484" s="11"/>
      <c r="N484" s="11"/>
      <c r="O484" s="18"/>
      <c r="Q484" s="17"/>
      <c r="X484" s="18"/>
    </row>
    <row r="485" ht="15.75" customHeight="1">
      <c r="A485" s="17"/>
      <c r="E485" s="11"/>
      <c r="F485" s="11"/>
      <c r="G485" s="11"/>
      <c r="H485" s="17"/>
      <c r="L485" s="11"/>
      <c r="M485" s="11"/>
      <c r="N485" s="11"/>
      <c r="O485" s="18"/>
      <c r="Q485" s="17"/>
      <c r="X485" s="18"/>
    </row>
    <row r="486" ht="15.75" customHeight="1">
      <c r="A486" s="17"/>
      <c r="E486" s="11"/>
      <c r="F486" s="11"/>
      <c r="G486" s="11"/>
      <c r="H486" s="17"/>
      <c r="L486" s="11"/>
      <c r="M486" s="11"/>
      <c r="N486" s="11"/>
      <c r="O486" s="18"/>
      <c r="Q486" s="17"/>
      <c r="X486" s="18"/>
    </row>
    <row r="487" ht="15.75" customHeight="1">
      <c r="A487" s="17"/>
      <c r="E487" s="11"/>
      <c r="F487" s="11"/>
      <c r="G487" s="11"/>
      <c r="H487" s="17"/>
      <c r="L487" s="11"/>
      <c r="M487" s="11"/>
      <c r="N487" s="11"/>
      <c r="O487" s="18"/>
      <c r="Q487" s="17"/>
      <c r="X487" s="18"/>
    </row>
    <row r="488" ht="15.75" customHeight="1">
      <c r="A488" s="17"/>
      <c r="E488" s="11"/>
      <c r="F488" s="11"/>
      <c r="G488" s="11"/>
      <c r="H488" s="17"/>
      <c r="L488" s="11"/>
      <c r="M488" s="11"/>
      <c r="N488" s="11"/>
      <c r="O488" s="18"/>
      <c r="Q488" s="17"/>
      <c r="X488" s="18"/>
    </row>
    <row r="489" ht="15.75" customHeight="1">
      <c r="A489" s="17"/>
      <c r="E489" s="11"/>
      <c r="F489" s="11"/>
      <c r="G489" s="11"/>
      <c r="H489" s="17"/>
      <c r="L489" s="11"/>
      <c r="M489" s="11"/>
      <c r="N489" s="11"/>
      <c r="O489" s="18"/>
      <c r="Q489" s="17"/>
      <c r="X489" s="18"/>
    </row>
    <row r="490" ht="15.75" customHeight="1">
      <c r="A490" s="17"/>
      <c r="E490" s="11"/>
      <c r="F490" s="11"/>
      <c r="G490" s="11"/>
      <c r="H490" s="17"/>
      <c r="L490" s="11"/>
      <c r="M490" s="11"/>
      <c r="N490" s="11"/>
      <c r="O490" s="18"/>
      <c r="Q490" s="17"/>
      <c r="X490" s="18"/>
    </row>
    <row r="491" ht="15.75" customHeight="1">
      <c r="A491" s="17"/>
      <c r="E491" s="11"/>
      <c r="F491" s="11"/>
      <c r="G491" s="11"/>
      <c r="H491" s="17"/>
      <c r="L491" s="11"/>
      <c r="M491" s="11"/>
      <c r="N491" s="11"/>
      <c r="O491" s="18"/>
      <c r="Q491" s="17"/>
      <c r="X491" s="18"/>
    </row>
    <row r="492" ht="15.75" customHeight="1">
      <c r="A492" s="17"/>
      <c r="E492" s="11"/>
      <c r="F492" s="11"/>
      <c r="G492" s="11"/>
      <c r="H492" s="17"/>
      <c r="L492" s="11"/>
      <c r="M492" s="11"/>
      <c r="N492" s="11"/>
      <c r="O492" s="18"/>
      <c r="Q492" s="17"/>
      <c r="X492" s="18"/>
    </row>
    <row r="493" ht="15.75" customHeight="1">
      <c r="A493" s="17"/>
      <c r="E493" s="11"/>
      <c r="F493" s="11"/>
      <c r="G493" s="11"/>
      <c r="H493" s="17"/>
      <c r="L493" s="11"/>
      <c r="M493" s="11"/>
      <c r="N493" s="11"/>
      <c r="O493" s="18"/>
      <c r="Q493" s="17"/>
      <c r="X493" s="18"/>
    </row>
    <row r="494" ht="15.75" customHeight="1">
      <c r="A494" s="17"/>
      <c r="E494" s="11"/>
      <c r="F494" s="11"/>
      <c r="G494" s="11"/>
      <c r="H494" s="17"/>
      <c r="L494" s="11"/>
      <c r="M494" s="11"/>
      <c r="N494" s="11"/>
      <c r="O494" s="18"/>
      <c r="Q494" s="17"/>
      <c r="X494" s="18"/>
    </row>
    <row r="495" ht="15.75" customHeight="1">
      <c r="A495" s="17"/>
      <c r="E495" s="11"/>
      <c r="F495" s="11"/>
      <c r="G495" s="11"/>
      <c r="H495" s="17"/>
      <c r="L495" s="11"/>
      <c r="M495" s="11"/>
      <c r="N495" s="11"/>
      <c r="O495" s="18"/>
      <c r="Q495" s="17"/>
      <c r="X495" s="18"/>
    </row>
    <row r="496" ht="15.75" customHeight="1">
      <c r="A496" s="17"/>
      <c r="E496" s="11"/>
      <c r="F496" s="11"/>
      <c r="G496" s="11"/>
      <c r="H496" s="17"/>
      <c r="L496" s="11"/>
      <c r="M496" s="11"/>
      <c r="N496" s="11"/>
      <c r="O496" s="18"/>
      <c r="Q496" s="17"/>
      <c r="X496" s="18"/>
    </row>
    <row r="497" ht="15.75" customHeight="1">
      <c r="A497" s="17"/>
      <c r="E497" s="11"/>
      <c r="F497" s="11"/>
      <c r="G497" s="11"/>
      <c r="H497" s="17"/>
      <c r="L497" s="11"/>
      <c r="M497" s="11"/>
      <c r="N497" s="11"/>
      <c r="O497" s="18"/>
      <c r="Q497" s="17"/>
      <c r="X497" s="18"/>
    </row>
    <row r="498" ht="15.75" customHeight="1">
      <c r="A498" s="17"/>
      <c r="E498" s="11"/>
      <c r="F498" s="11"/>
      <c r="G498" s="11"/>
      <c r="H498" s="17"/>
      <c r="L498" s="11"/>
      <c r="M498" s="11"/>
      <c r="N498" s="11"/>
      <c r="O498" s="18"/>
      <c r="Q498" s="17"/>
      <c r="X498" s="18"/>
    </row>
    <row r="499" ht="15.75" customHeight="1">
      <c r="A499" s="17"/>
      <c r="E499" s="11"/>
      <c r="F499" s="11"/>
      <c r="G499" s="11"/>
      <c r="H499" s="17"/>
      <c r="L499" s="11"/>
      <c r="M499" s="11"/>
      <c r="N499" s="11"/>
      <c r="O499" s="18"/>
      <c r="Q499" s="17"/>
      <c r="X499" s="18"/>
    </row>
    <row r="500" ht="15.75" customHeight="1">
      <c r="A500" s="17"/>
      <c r="E500" s="11"/>
      <c r="F500" s="11"/>
      <c r="G500" s="11"/>
      <c r="H500" s="17"/>
      <c r="L500" s="11"/>
      <c r="M500" s="11"/>
      <c r="N500" s="11"/>
      <c r="O500" s="18"/>
      <c r="Q500" s="17"/>
      <c r="X500" s="18"/>
    </row>
    <row r="501" ht="15.75" customHeight="1">
      <c r="A501" s="17"/>
      <c r="E501" s="11"/>
      <c r="F501" s="11"/>
      <c r="G501" s="11"/>
      <c r="H501" s="17"/>
      <c r="L501" s="11"/>
      <c r="M501" s="11"/>
      <c r="N501" s="11"/>
      <c r="O501" s="18"/>
      <c r="Q501" s="17"/>
      <c r="X501" s="18"/>
    </row>
    <row r="502" ht="15.75" customHeight="1">
      <c r="A502" s="17"/>
      <c r="E502" s="11"/>
      <c r="F502" s="11"/>
      <c r="G502" s="11"/>
      <c r="H502" s="17"/>
      <c r="L502" s="11"/>
      <c r="M502" s="11"/>
      <c r="N502" s="11"/>
      <c r="O502" s="18"/>
      <c r="Q502" s="17"/>
      <c r="X502" s="18"/>
    </row>
    <row r="503" ht="15.75" customHeight="1">
      <c r="A503" s="17"/>
      <c r="E503" s="11"/>
      <c r="F503" s="11"/>
      <c r="G503" s="11"/>
      <c r="H503" s="17"/>
      <c r="L503" s="11"/>
      <c r="M503" s="11"/>
      <c r="N503" s="11"/>
      <c r="O503" s="18"/>
      <c r="Q503" s="17"/>
      <c r="X503" s="18"/>
    </row>
    <row r="504" ht="15.75" customHeight="1">
      <c r="A504" s="17"/>
      <c r="E504" s="11"/>
      <c r="F504" s="11"/>
      <c r="G504" s="11"/>
      <c r="H504" s="17"/>
      <c r="L504" s="11"/>
      <c r="M504" s="11"/>
      <c r="N504" s="11"/>
      <c r="O504" s="18"/>
      <c r="Q504" s="17"/>
      <c r="X504" s="18"/>
    </row>
    <row r="505" ht="15.75" customHeight="1">
      <c r="A505" s="17"/>
      <c r="E505" s="11"/>
      <c r="F505" s="11"/>
      <c r="G505" s="11"/>
      <c r="H505" s="17"/>
      <c r="L505" s="11"/>
      <c r="M505" s="11"/>
      <c r="N505" s="11"/>
      <c r="O505" s="18"/>
      <c r="Q505" s="17"/>
      <c r="X505" s="18"/>
    </row>
    <row r="506" ht="15.75" customHeight="1">
      <c r="A506" s="17"/>
      <c r="E506" s="11"/>
      <c r="F506" s="11"/>
      <c r="G506" s="11"/>
      <c r="H506" s="17"/>
      <c r="L506" s="11"/>
      <c r="M506" s="11"/>
      <c r="N506" s="11"/>
      <c r="O506" s="18"/>
      <c r="Q506" s="17"/>
      <c r="X506" s="18"/>
    </row>
    <row r="507" ht="15.75" customHeight="1">
      <c r="A507" s="17"/>
      <c r="E507" s="11"/>
      <c r="F507" s="11"/>
      <c r="G507" s="11"/>
      <c r="H507" s="17"/>
      <c r="L507" s="11"/>
      <c r="M507" s="11"/>
      <c r="N507" s="11"/>
      <c r="O507" s="18"/>
      <c r="Q507" s="17"/>
      <c r="X507" s="18"/>
    </row>
    <row r="508" ht="15.75" customHeight="1">
      <c r="A508" s="17"/>
      <c r="E508" s="11"/>
      <c r="F508" s="11"/>
      <c r="G508" s="11"/>
      <c r="H508" s="17"/>
      <c r="L508" s="11"/>
      <c r="M508" s="11"/>
      <c r="N508" s="11"/>
      <c r="O508" s="18"/>
      <c r="Q508" s="17"/>
      <c r="X508" s="18"/>
    </row>
    <row r="509" ht="15.75" customHeight="1">
      <c r="A509" s="17"/>
      <c r="E509" s="11"/>
      <c r="F509" s="11"/>
      <c r="G509" s="11"/>
      <c r="H509" s="17"/>
      <c r="L509" s="11"/>
      <c r="M509" s="11"/>
      <c r="N509" s="11"/>
      <c r="O509" s="18"/>
      <c r="Q509" s="17"/>
      <c r="X509" s="18"/>
    </row>
    <row r="510" ht="15.75" customHeight="1">
      <c r="A510" s="17"/>
      <c r="E510" s="11"/>
      <c r="F510" s="11"/>
      <c r="G510" s="11"/>
      <c r="H510" s="17"/>
      <c r="L510" s="11"/>
      <c r="M510" s="11"/>
      <c r="N510" s="11"/>
      <c r="O510" s="18"/>
      <c r="Q510" s="17"/>
      <c r="X510" s="18"/>
    </row>
    <row r="511" ht="15.75" customHeight="1">
      <c r="A511" s="17"/>
      <c r="E511" s="11"/>
      <c r="F511" s="11"/>
      <c r="G511" s="11"/>
      <c r="H511" s="17"/>
      <c r="L511" s="11"/>
      <c r="M511" s="11"/>
      <c r="N511" s="11"/>
      <c r="O511" s="18"/>
      <c r="Q511" s="17"/>
      <c r="X511" s="18"/>
    </row>
    <row r="512" ht="15.75" customHeight="1">
      <c r="A512" s="17"/>
      <c r="E512" s="11"/>
      <c r="F512" s="11"/>
      <c r="G512" s="11"/>
      <c r="H512" s="17"/>
      <c r="L512" s="11"/>
      <c r="M512" s="11"/>
      <c r="N512" s="11"/>
      <c r="O512" s="18"/>
      <c r="Q512" s="17"/>
      <c r="X512" s="18"/>
    </row>
    <row r="513" ht="15.75" customHeight="1">
      <c r="A513" s="17"/>
      <c r="E513" s="11"/>
      <c r="F513" s="11"/>
      <c r="G513" s="11"/>
      <c r="H513" s="17"/>
      <c r="L513" s="11"/>
      <c r="M513" s="11"/>
      <c r="N513" s="11"/>
      <c r="O513" s="18"/>
      <c r="Q513" s="17"/>
      <c r="X513" s="18"/>
    </row>
    <row r="514" ht="15.75" customHeight="1">
      <c r="A514" s="17"/>
      <c r="E514" s="11"/>
      <c r="F514" s="11"/>
      <c r="G514" s="11"/>
      <c r="H514" s="17"/>
      <c r="L514" s="11"/>
      <c r="M514" s="11"/>
      <c r="N514" s="11"/>
      <c r="O514" s="18"/>
      <c r="Q514" s="17"/>
      <c r="X514" s="18"/>
    </row>
    <row r="515" ht="15.75" customHeight="1">
      <c r="A515" s="17"/>
      <c r="E515" s="11"/>
      <c r="F515" s="11"/>
      <c r="G515" s="11"/>
      <c r="H515" s="17"/>
      <c r="L515" s="11"/>
      <c r="M515" s="11"/>
      <c r="N515" s="11"/>
      <c r="O515" s="18"/>
      <c r="Q515" s="17"/>
      <c r="X515" s="18"/>
    </row>
    <row r="516" ht="15.75" customHeight="1">
      <c r="A516" s="17"/>
      <c r="E516" s="11"/>
      <c r="F516" s="11"/>
      <c r="G516" s="11"/>
      <c r="H516" s="17"/>
      <c r="L516" s="11"/>
      <c r="M516" s="11"/>
      <c r="N516" s="11"/>
      <c r="O516" s="18"/>
      <c r="Q516" s="17"/>
      <c r="X516" s="18"/>
    </row>
    <row r="517" ht="15.75" customHeight="1">
      <c r="A517" s="17"/>
      <c r="E517" s="11"/>
      <c r="F517" s="11"/>
      <c r="G517" s="11"/>
      <c r="H517" s="17"/>
      <c r="L517" s="11"/>
      <c r="M517" s="11"/>
      <c r="N517" s="11"/>
      <c r="O517" s="18"/>
      <c r="Q517" s="17"/>
      <c r="X517" s="18"/>
    </row>
    <row r="518" ht="15.75" customHeight="1">
      <c r="A518" s="17"/>
      <c r="E518" s="11"/>
      <c r="F518" s="11"/>
      <c r="G518" s="11"/>
      <c r="H518" s="17"/>
      <c r="L518" s="11"/>
      <c r="M518" s="11"/>
      <c r="N518" s="11"/>
      <c r="O518" s="18"/>
      <c r="Q518" s="17"/>
      <c r="X518" s="18"/>
    </row>
    <row r="519" ht="15.75" customHeight="1">
      <c r="A519" s="17"/>
      <c r="E519" s="11"/>
      <c r="F519" s="11"/>
      <c r="G519" s="11"/>
      <c r="H519" s="17"/>
      <c r="L519" s="11"/>
      <c r="M519" s="11"/>
      <c r="N519" s="11"/>
      <c r="O519" s="18"/>
      <c r="Q519" s="17"/>
      <c r="X519" s="18"/>
    </row>
    <row r="520" ht="15.75" customHeight="1">
      <c r="A520" s="17"/>
      <c r="E520" s="11"/>
      <c r="F520" s="11"/>
      <c r="G520" s="11"/>
      <c r="H520" s="17"/>
      <c r="L520" s="11"/>
      <c r="M520" s="11"/>
      <c r="N520" s="11"/>
      <c r="O520" s="18"/>
      <c r="Q520" s="17"/>
      <c r="X520" s="18"/>
    </row>
    <row r="521" ht="15.75" customHeight="1">
      <c r="A521" s="17"/>
      <c r="E521" s="11"/>
      <c r="F521" s="11"/>
      <c r="G521" s="11"/>
      <c r="H521" s="17"/>
      <c r="L521" s="11"/>
      <c r="M521" s="11"/>
      <c r="N521" s="11"/>
      <c r="O521" s="18"/>
      <c r="Q521" s="17"/>
      <c r="X521" s="18"/>
    </row>
    <row r="522" ht="15.75" customHeight="1">
      <c r="A522" s="17"/>
      <c r="E522" s="11"/>
      <c r="F522" s="11"/>
      <c r="G522" s="11"/>
      <c r="H522" s="17"/>
      <c r="L522" s="11"/>
      <c r="M522" s="11"/>
      <c r="N522" s="11"/>
      <c r="O522" s="18"/>
      <c r="Q522" s="17"/>
      <c r="X522" s="18"/>
    </row>
    <row r="523" ht="15.75" customHeight="1">
      <c r="A523" s="17"/>
      <c r="E523" s="11"/>
      <c r="F523" s="11"/>
      <c r="G523" s="11"/>
      <c r="H523" s="17"/>
      <c r="L523" s="11"/>
      <c r="M523" s="11"/>
      <c r="N523" s="11"/>
      <c r="O523" s="18"/>
      <c r="Q523" s="17"/>
      <c r="X523" s="18"/>
    </row>
    <row r="524" ht="15.75" customHeight="1">
      <c r="A524" s="17"/>
      <c r="E524" s="11"/>
      <c r="F524" s="11"/>
      <c r="G524" s="11"/>
      <c r="H524" s="17"/>
      <c r="L524" s="11"/>
      <c r="M524" s="11"/>
      <c r="N524" s="11"/>
      <c r="O524" s="18"/>
      <c r="Q524" s="17"/>
      <c r="X524" s="18"/>
    </row>
    <row r="525" ht="15.75" customHeight="1">
      <c r="A525" s="17"/>
      <c r="E525" s="11"/>
      <c r="F525" s="11"/>
      <c r="G525" s="11"/>
      <c r="H525" s="17"/>
      <c r="L525" s="11"/>
      <c r="M525" s="11"/>
      <c r="N525" s="11"/>
      <c r="O525" s="18"/>
      <c r="Q525" s="17"/>
      <c r="X525" s="18"/>
    </row>
    <row r="526" ht="15.75" customHeight="1">
      <c r="A526" s="17"/>
      <c r="E526" s="11"/>
      <c r="F526" s="11"/>
      <c r="G526" s="11"/>
      <c r="H526" s="17"/>
      <c r="L526" s="11"/>
      <c r="M526" s="11"/>
      <c r="N526" s="11"/>
      <c r="O526" s="18"/>
      <c r="Q526" s="17"/>
      <c r="X526" s="18"/>
    </row>
    <row r="527" ht="15.75" customHeight="1">
      <c r="A527" s="17"/>
      <c r="E527" s="11"/>
      <c r="F527" s="11"/>
      <c r="G527" s="11"/>
      <c r="H527" s="17"/>
      <c r="L527" s="11"/>
      <c r="M527" s="11"/>
      <c r="N527" s="11"/>
      <c r="O527" s="18"/>
      <c r="Q527" s="17"/>
      <c r="X527" s="18"/>
    </row>
    <row r="528" ht="15.75" customHeight="1">
      <c r="A528" s="17"/>
      <c r="E528" s="11"/>
      <c r="F528" s="11"/>
      <c r="G528" s="11"/>
      <c r="H528" s="17"/>
      <c r="L528" s="11"/>
      <c r="M528" s="11"/>
      <c r="N528" s="11"/>
      <c r="O528" s="18"/>
      <c r="Q528" s="17"/>
      <c r="X528" s="18"/>
    </row>
    <row r="529" ht="15.75" customHeight="1">
      <c r="A529" s="17"/>
      <c r="E529" s="11"/>
      <c r="F529" s="11"/>
      <c r="G529" s="11"/>
      <c r="H529" s="17"/>
      <c r="L529" s="11"/>
      <c r="M529" s="11"/>
      <c r="N529" s="11"/>
      <c r="O529" s="18"/>
      <c r="Q529" s="17"/>
      <c r="X529" s="18"/>
    </row>
    <row r="530" ht="15.75" customHeight="1">
      <c r="A530" s="17"/>
      <c r="E530" s="11"/>
      <c r="F530" s="11"/>
      <c r="G530" s="11"/>
      <c r="H530" s="17"/>
      <c r="L530" s="11"/>
      <c r="M530" s="11"/>
      <c r="N530" s="11"/>
      <c r="O530" s="18"/>
      <c r="Q530" s="17"/>
      <c r="X530" s="18"/>
    </row>
    <row r="531" ht="15.75" customHeight="1">
      <c r="A531" s="17"/>
      <c r="E531" s="11"/>
      <c r="F531" s="11"/>
      <c r="G531" s="11"/>
      <c r="H531" s="17"/>
      <c r="L531" s="11"/>
      <c r="M531" s="11"/>
      <c r="N531" s="11"/>
      <c r="O531" s="18"/>
      <c r="Q531" s="17"/>
      <c r="X531" s="18"/>
    </row>
    <row r="532" ht="15.75" customHeight="1">
      <c r="A532" s="17"/>
      <c r="E532" s="11"/>
      <c r="F532" s="11"/>
      <c r="G532" s="11"/>
      <c r="H532" s="17"/>
      <c r="L532" s="11"/>
      <c r="M532" s="11"/>
      <c r="N532" s="11"/>
      <c r="O532" s="18"/>
      <c r="Q532" s="17"/>
      <c r="X532" s="18"/>
    </row>
    <row r="533" ht="15.75" customHeight="1">
      <c r="A533" s="17"/>
      <c r="E533" s="11"/>
      <c r="F533" s="11"/>
      <c r="G533" s="11"/>
      <c r="H533" s="17"/>
      <c r="L533" s="11"/>
      <c r="M533" s="11"/>
      <c r="N533" s="11"/>
      <c r="O533" s="18"/>
      <c r="Q533" s="17"/>
      <c r="X533" s="18"/>
    </row>
    <row r="534" ht="15.75" customHeight="1">
      <c r="A534" s="17"/>
      <c r="E534" s="11"/>
      <c r="F534" s="11"/>
      <c r="G534" s="11"/>
      <c r="H534" s="17"/>
      <c r="L534" s="11"/>
      <c r="M534" s="11"/>
      <c r="N534" s="11"/>
      <c r="O534" s="18"/>
      <c r="Q534" s="17"/>
      <c r="X534" s="18"/>
    </row>
    <row r="535" ht="15.75" customHeight="1">
      <c r="A535" s="17"/>
      <c r="E535" s="11"/>
      <c r="F535" s="11"/>
      <c r="G535" s="11"/>
      <c r="H535" s="17"/>
      <c r="L535" s="11"/>
      <c r="M535" s="11"/>
      <c r="N535" s="11"/>
      <c r="O535" s="18"/>
      <c r="Q535" s="17"/>
      <c r="X535" s="18"/>
    </row>
    <row r="536" ht="15.75" customHeight="1">
      <c r="A536" s="17"/>
      <c r="E536" s="11"/>
      <c r="F536" s="11"/>
      <c r="G536" s="11"/>
      <c r="H536" s="17"/>
      <c r="L536" s="11"/>
      <c r="M536" s="11"/>
      <c r="N536" s="11"/>
      <c r="O536" s="18"/>
      <c r="Q536" s="17"/>
      <c r="X536" s="18"/>
    </row>
    <row r="537" ht="15.75" customHeight="1">
      <c r="A537" s="17"/>
      <c r="E537" s="11"/>
      <c r="F537" s="11"/>
      <c r="G537" s="11"/>
      <c r="H537" s="17"/>
      <c r="L537" s="11"/>
      <c r="M537" s="11"/>
      <c r="N537" s="11"/>
      <c r="O537" s="18"/>
      <c r="Q537" s="17"/>
      <c r="X537" s="18"/>
    </row>
    <row r="538" ht="15.75" customHeight="1">
      <c r="A538" s="17"/>
      <c r="E538" s="11"/>
      <c r="F538" s="11"/>
      <c r="G538" s="11"/>
      <c r="H538" s="17"/>
      <c r="L538" s="11"/>
      <c r="M538" s="11"/>
      <c r="N538" s="11"/>
      <c r="O538" s="18"/>
      <c r="Q538" s="17"/>
      <c r="X538" s="18"/>
    </row>
    <row r="539" ht="15.75" customHeight="1">
      <c r="A539" s="17"/>
      <c r="E539" s="11"/>
      <c r="F539" s="11"/>
      <c r="G539" s="11"/>
      <c r="H539" s="17"/>
      <c r="L539" s="11"/>
      <c r="M539" s="11"/>
      <c r="N539" s="11"/>
      <c r="O539" s="18"/>
      <c r="Q539" s="17"/>
      <c r="X539" s="18"/>
    </row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3" t="s">
        <v>27</v>
      </c>
      <c r="B1" s="13" t="s">
        <v>1</v>
      </c>
      <c r="C1" s="13" t="s">
        <v>2</v>
      </c>
      <c r="D1" s="13" t="s">
        <v>3</v>
      </c>
      <c r="E1" s="9" t="s">
        <v>4</v>
      </c>
      <c r="F1" s="9" t="s">
        <v>5</v>
      </c>
      <c r="G1" s="9" t="s">
        <v>28</v>
      </c>
      <c r="H1" s="13" t="s">
        <v>27</v>
      </c>
      <c r="I1" s="13" t="s">
        <v>7</v>
      </c>
      <c r="J1" s="13" t="s">
        <v>8</v>
      </c>
      <c r="K1" s="13" t="s">
        <v>9</v>
      </c>
      <c r="L1" s="9" t="s">
        <v>10</v>
      </c>
      <c r="M1" s="11" t="s">
        <v>11</v>
      </c>
      <c r="N1" s="9" t="s">
        <v>29</v>
      </c>
      <c r="O1" s="18" t="s">
        <v>30</v>
      </c>
      <c r="Q1" s="13" t="s">
        <v>31</v>
      </c>
      <c r="R1" s="2" t="s">
        <v>1</v>
      </c>
      <c r="S1" s="2" t="s">
        <v>2</v>
      </c>
      <c r="T1" s="2" t="s">
        <v>3</v>
      </c>
      <c r="U1" s="6" t="s">
        <v>4</v>
      </c>
      <c r="V1" s="6" t="s">
        <v>5</v>
      </c>
      <c r="W1" s="6" t="s">
        <v>28</v>
      </c>
      <c r="X1" s="18" t="s">
        <v>32</v>
      </c>
    </row>
    <row r="2" ht="15.75" customHeight="1">
      <c r="A2" s="8">
        <v>10101.0</v>
      </c>
      <c r="B2" s="8">
        <v>355.0</v>
      </c>
      <c r="C2" s="8">
        <v>130.1111145913601</v>
      </c>
      <c r="D2" s="8">
        <v>14680.0</v>
      </c>
      <c r="E2" s="11">
        <f t="shared" ref="E2:E346" si="1">B2/D2</f>
        <v>0.02418256131</v>
      </c>
      <c r="F2" s="11">
        <f t="shared" ref="F2:F346" si="2">C2/B2</f>
        <v>0.3665101819</v>
      </c>
      <c r="G2" s="11">
        <f t="shared" ref="G2:G346" si="3">E2*F2</f>
        <v>0.008863154945</v>
      </c>
      <c r="H2" s="8">
        <v>10101.0</v>
      </c>
      <c r="I2" s="8">
        <v>49.0</v>
      </c>
      <c r="J2" s="8">
        <v>18.3333338201046</v>
      </c>
      <c r="K2" s="8">
        <v>1317.0</v>
      </c>
      <c r="L2" s="11">
        <f t="shared" ref="L2:L346" si="4">I2/K2</f>
        <v>0.03720577069</v>
      </c>
      <c r="M2" s="11">
        <f t="shared" ref="M2:M346" si="5">J2/I2</f>
        <v>0.3741496698</v>
      </c>
      <c r="N2" s="11">
        <f t="shared" ref="N2:N346" si="6">L2*M2</f>
        <v>0.01392052682</v>
      </c>
      <c r="O2" s="18">
        <f t="shared" ref="O2:O8" si="7">N2/G2</f>
        <v>1.57060628</v>
      </c>
      <c r="Q2" s="8">
        <v>1.0</v>
      </c>
      <c r="R2" s="8">
        <v>2129.0</v>
      </c>
      <c r="S2" s="8">
        <v>823.7777988612652</v>
      </c>
      <c r="T2" s="8">
        <v>28012.0</v>
      </c>
      <c r="U2" s="18">
        <f t="shared" ref="U2:U10" si="8">R2/T2</f>
        <v>0.07600314151</v>
      </c>
      <c r="V2" s="18">
        <f t="shared" ref="V2:V10" si="9">S2/R2</f>
        <v>0.3869317984</v>
      </c>
      <c r="W2" s="18">
        <f t="shared" ref="W2:W10" si="10">U2*V2</f>
        <v>0.02940803223</v>
      </c>
      <c r="X2" s="18">
        <f t="shared" ref="X2:X10" si="11">W14/W2</f>
        <v>1.841809461</v>
      </c>
    </row>
    <row r="3" ht="15.75" customHeight="1">
      <c r="A3" s="8">
        <v>10102.0</v>
      </c>
      <c r="B3" s="8">
        <v>40.0</v>
      </c>
      <c r="C3" s="8">
        <v>15.555556029081345</v>
      </c>
      <c r="D3" s="8">
        <v>613.0</v>
      </c>
      <c r="E3" s="11">
        <f t="shared" si="1"/>
        <v>0.06525285481</v>
      </c>
      <c r="F3" s="11">
        <f t="shared" si="2"/>
        <v>0.3888889007</v>
      </c>
      <c r="G3" s="11">
        <f t="shared" si="3"/>
        <v>0.02537611098</v>
      </c>
      <c r="H3" s="8">
        <v>10102.0</v>
      </c>
      <c r="I3" s="8">
        <v>35.0</v>
      </c>
      <c r="J3" s="8">
        <v>12.666666954755783</v>
      </c>
      <c r="K3" s="8">
        <v>272.0</v>
      </c>
      <c r="L3" s="11">
        <f t="shared" si="4"/>
        <v>0.1286764706</v>
      </c>
      <c r="M3" s="11">
        <f t="shared" si="5"/>
        <v>0.3619047701</v>
      </c>
      <c r="N3" s="11">
        <f t="shared" si="6"/>
        <v>0.04656862851</v>
      </c>
      <c r="O3" s="18">
        <f t="shared" si="7"/>
        <v>1.83513654</v>
      </c>
      <c r="Q3" s="8">
        <v>2.0</v>
      </c>
      <c r="R3" s="8">
        <v>12741.0</v>
      </c>
      <c r="S3" s="8">
        <v>4689.555674225092</v>
      </c>
      <c r="T3" s="8">
        <v>151067.0</v>
      </c>
      <c r="U3" s="18">
        <f t="shared" si="8"/>
        <v>0.08434006103</v>
      </c>
      <c r="V3" s="18">
        <f t="shared" si="9"/>
        <v>0.368068101</v>
      </c>
      <c r="W3" s="18">
        <f t="shared" si="10"/>
        <v>0.0310428861</v>
      </c>
      <c r="X3" s="18">
        <f t="shared" si="11"/>
        <v>1.69044093</v>
      </c>
    </row>
    <row r="4" ht="15.75" customHeight="1">
      <c r="A4" s="8">
        <v>10103.0</v>
      </c>
      <c r="B4" s="8">
        <v>217.0</v>
      </c>
      <c r="C4" s="8">
        <v>86.22222432494164</v>
      </c>
      <c r="D4" s="8">
        <v>514.0</v>
      </c>
      <c r="E4" s="11">
        <f t="shared" si="1"/>
        <v>0.4221789883</v>
      </c>
      <c r="F4" s="11">
        <f t="shared" si="2"/>
        <v>0.3973374393</v>
      </c>
      <c r="G4" s="11">
        <f t="shared" si="3"/>
        <v>0.1677475181</v>
      </c>
      <c r="H4" s="8">
        <v>10103.0</v>
      </c>
      <c r="I4" s="8">
        <v>132.0</v>
      </c>
      <c r="J4" s="8">
        <v>51.8888903260231</v>
      </c>
      <c r="K4" s="8">
        <v>262.0</v>
      </c>
      <c r="L4" s="11">
        <f t="shared" si="4"/>
        <v>0.5038167939</v>
      </c>
      <c r="M4" s="11">
        <f t="shared" si="5"/>
        <v>0.393097654</v>
      </c>
      <c r="N4" s="11">
        <f t="shared" si="6"/>
        <v>0.1980491997</v>
      </c>
      <c r="O4" s="18">
        <f t="shared" si="7"/>
        <v>1.180638628</v>
      </c>
      <c r="Q4" s="8">
        <v>3.0</v>
      </c>
      <c r="R4" s="8">
        <v>14635.0</v>
      </c>
      <c r="S4" s="8">
        <v>5380.88902464509</v>
      </c>
      <c r="T4" s="8">
        <v>132341.0</v>
      </c>
      <c r="U4" s="18">
        <f t="shared" si="8"/>
        <v>0.1105855328</v>
      </c>
      <c r="V4" s="18">
        <f t="shared" si="9"/>
        <v>0.3676726358</v>
      </c>
      <c r="W4" s="18">
        <f t="shared" si="10"/>
        <v>0.04065927433</v>
      </c>
      <c r="X4" s="18">
        <f t="shared" si="11"/>
        <v>1.718239571</v>
      </c>
    </row>
    <row r="5" ht="15.75" customHeight="1">
      <c r="A5" s="8">
        <v>10201.0</v>
      </c>
      <c r="B5" s="8">
        <v>59.0</v>
      </c>
      <c r="C5" s="8">
        <v>23.66666716337204</v>
      </c>
      <c r="D5" s="8">
        <v>296.0</v>
      </c>
      <c r="E5" s="11">
        <f t="shared" si="1"/>
        <v>0.1993243243</v>
      </c>
      <c r="F5" s="11">
        <f t="shared" si="2"/>
        <v>0.4011299519</v>
      </c>
      <c r="G5" s="11">
        <f t="shared" si="3"/>
        <v>0.07995495663</v>
      </c>
      <c r="H5" s="8">
        <v>10201.0</v>
      </c>
      <c r="I5" s="8">
        <v>20.0</v>
      </c>
      <c r="J5" s="8">
        <v>9.000000268220901</v>
      </c>
      <c r="K5" s="8">
        <v>83.0</v>
      </c>
      <c r="L5" s="11">
        <f t="shared" si="4"/>
        <v>0.2409638554</v>
      </c>
      <c r="M5" s="11">
        <f t="shared" si="5"/>
        <v>0.4500000134</v>
      </c>
      <c r="N5" s="11">
        <f t="shared" si="6"/>
        <v>0.1084337382</v>
      </c>
      <c r="O5" s="18">
        <f t="shared" si="7"/>
        <v>1.356185317</v>
      </c>
      <c r="Q5" s="8">
        <v>4.0</v>
      </c>
      <c r="R5" s="8">
        <v>2722.0</v>
      </c>
      <c r="S5" s="8">
        <v>990.4444691538811</v>
      </c>
      <c r="T5" s="8">
        <v>27481.0</v>
      </c>
      <c r="U5" s="18">
        <f t="shared" si="8"/>
        <v>0.0990502529</v>
      </c>
      <c r="V5" s="18">
        <f t="shared" si="9"/>
        <v>0.3638664472</v>
      </c>
      <c r="W5" s="18">
        <f t="shared" si="10"/>
        <v>0.03604106361</v>
      </c>
      <c r="X5" s="18">
        <f t="shared" si="11"/>
        <v>2.01263022</v>
      </c>
    </row>
    <row r="6" ht="15.75" customHeight="1">
      <c r="A6" s="8">
        <v>10202.0</v>
      </c>
      <c r="B6" s="8">
        <v>123.0</v>
      </c>
      <c r="C6" s="8">
        <v>49.111112385988235</v>
      </c>
      <c r="D6" s="8">
        <v>665.0</v>
      </c>
      <c r="E6" s="11">
        <f t="shared" si="1"/>
        <v>0.184962406</v>
      </c>
      <c r="F6" s="11">
        <f t="shared" si="2"/>
        <v>0.3992773365</v>
      </c>
      <c r="G6" s="11">
        <f t="shared" si="3"/>
        <v>0.07385129682</v>
      </c>
      <c r="H6" s="8">
        <v>10202.0</v>
      </c>
      <c r="I6" s="8">
        <v>41.0</v>
      </c>
      <c r="J6" s="8">
        <v>17.222222685813904</v>
      </c>
      <c r="K6" s="8">
        <v>150.0</v>
      </c>
      <c r="L6" s="11">
        <f t="shared" si="4"/>
        <v>0.2733333333</v>
      </c>
      <c r="M6" s="11">
        <f t="shared" si="5"/>
        <v>0.4200542118</v>
      </c>
      <c r="N6" s="11">
        <f t="shared" si="6"/>
        <v>0.1148148179</v>
      </c>
      <c r="O6" s="18">
        <f t="shared" si="7"/>
        <v>1.554675718</v>
      </c>
      <c r="Q6" s="8">
        <v>5.0</v>
      </c>
      <c r="R6" s="8">
        <v>4863.0</v>
      </c>
      <c r="S6" s="8">
        <v>1812.3333785533905</v>
      </c>
      <c r="T6" s="8">
        <v>43136.0</v>
      </c>
      <c r="U6" s="18">
        <f t="shared" si="8"/>
        <v>0.1127364614</v>
      </c>
      <c r="V6" s="18">
        <f t="shared" si="9"/>
        <v>0.3726780544</v>
      </c>
      <c r="W6" s="18">
        <f t="shared" si="10"/>
        <v>0.0420144051</v>
      </c>
      <c r="X6" s="18">
        <f t="shared" si="11"/>
        <v>1.882652768</v>
      </c>
    </row>
    <row r="7" ht="15.75" customHeight="1">
      <c r="A7" s="8">
        <v>10301.0</v>
      </c>
      <c r="B7" s="8">
        <v>70.0</v>
      </c>
      <c r="C7" s="8">
        <v>25.777778536081314</v>
      </c>
      <c r="D7" s="8">
        <v>637.0</v>
      </c>
      <c r="E7" s="11">
        <f t="shared" si="1"/>
        <v>0.1098901099</v>
      </c>
      <c r="F7" s="11">
        <f t="shared" si="2"/>
        <v>0.3682539791</v>
      </c>
      <c r="G7" s="11">
        <f t="shared" si="3"/>
        <v>0.04046747023</v>
      </c>
      <c r="H7" s="8">
        <v>10301.0</v>
      </c>
      <c r="I7" s="8">
        <v>38.0</v>
      </c>
      <c r="J7" s="8">
        <v>13.777778089046478</v>
      </c>
      <c r="K7" s="8">
        <v>241.0</v>
      </c>
      <c r="L7" s="11">
        <f t="shared" si="4"/>
        <v>0.1576763485</v>
      </c>
      <c r="M7" s="11">
        <f t="shared" si="5"/>
        <v>0.3625731076</v>
      </c>
      <c r="N7" s="11">
        <f t="shared" si="6"/>
        <v>0.05716920369</v>
      </c>
      <c r="O7" s="18">
        <f t="shared" si="7"/>
        <v>1.412719979</v>
      </c>
      <c r="Q7" s="8">
        <v>6.0</v>
      </c>
      <c r="R7" s="8">
        <v>982.0</v>
      </c>
      <c r="S7" s="8">
        <v>357.2222313582897</v>
      </c>
      <c r="T7" s="8">
        <v>24003.0</v>
      </c>
      <c r="U7" s="18">
        <f t="shared" si="8"/>
        <v>0.04091155272</v>
      </c>
      <c r="V7" s="18">
        <f t="shared" si="9"/>
        <v>0.363770093</v>
      </c>
      <c r="W7" s="18">
        <f t="shared" si="10"/>
        <v>0.01488239934</v>
      </c>
      <c r="X7" s="18">
        <f t="shared" si="11"/>
        <v>1.493748686</v>
      </c>
    </row>
    <row r="8" ht="15.75" customHeight="1">
      <c r="A8" s="8">
        <v>10302.0</v>
      </c>
      <c r="B8" s="8">
        <v>57.0</v>
      </c>
      <c r="C8" s="8">
        <v>21.666667222976685</v>
      </c>
      <c r="D8" s="8">
        <v>334.0</v>
      </c>
      <c r="E8" s="11">
        <f t="shared" si="1"/>
        <v>0.1706586826</v>
      </c>
      <c r="F8" s="11">
        <f t="shared" si="2"/>
        <v>0.3801169688</v>
      </c>
      <c r="G8" s="11">
        <f t="shared" si="3"/>
        <v>0.06487026115</v>
      </c>
      <c r="H8" s="8">
        <v>10302.0</v>
      </c>
      <c r="I8" s="8">
        <v>31.0</v>
      </c>
      <c r="J8" s="8">
        <v>12.888889282941818</v>
      </c>
      <c r="K8" s="8">
        <v>165.0</v>
      </c>
      <c r="L8" s="11">
        <f t="shared" si="4"/>
        <v>0.1878787879</v>
      </c>
      <c r="M8" s="11">
        <f t="shared" si="5"/>
        <v>0.415770622</v>
      </c>
      <c r="N8" s="11">
        <f t="shared" si="6"/>
        <v>0.0781144805</v>
      </c>
      <c r="O8" s="18">
        <f t="shared" si="7"/>
        <v>1.20416473</v>
      </c>
      <c r="Q8" s="8">
        <v>7.0</v>
      </c>
      <c r="R8" s="8">
        <v>10277.0</v>
      </c>
      <c r="S8" s="8">
        <v>3767.111206829548</v>
      </c>
      <c r="T8" s="8">
        <v>160845.0</v>
      </c>
      <c r="U8" s="18">
        <f t="shared" si="8"/>
        <v>0.06389381081</v>
      </c>
      <c r="V8" s="18">
        <f t="shared" si="9"/>
        <v>0.3665574785</v>
      </c>
      <c r="W8" s="18">
        <f t="shared" si="10"/>
        <v>0.02342075418</v>
      </c>
      <c r="X8" s="18">
        <f t="shared" si="11"/>
        <v>1.247091775</v>
      </c>
    </row>
    <row r="9" ht="15.75" customHeight="1">
      <c r="A9" s="8">
        <v>10303.0</v>
      </c>
      <c r="B9" s="8">
        <v>18.0</v>
      </c>
      <c r="C9" s="8">
        <v>7.444444686174393</v>
      </c>
      <c r="D9" s="8">
        <v>272.0</v>
      </c>
      <c r="E9" s="11">
        <f t="shared" si="1"/>
        <v>0.06617647059</v>
      </c>
      <c r="F9" s="11">
        <f t="shared" si="2"/>
        <v>0.4135802603</v>
      </c>
      <c r="G9" s="11">
        <f t="shared" si="3"/>
        <v>0.02736928193</v>
      </c>
      <c r="H9" s="8">
        <v>10303.0</v>
      </c>
      <c r="I9" s="8">
        <v>0.0</v>
      </c>
      <c r="J9" s="8">
        <v>0.0</v>
      </c>
      <c r="K9" s="8">
        <v>49.0</v>
      </c>
      <c r="L9" s="11">
        <f t="shared" si="4"/>
        <v>0</v>
      </c>
      <c r="M9" s="11" t="str">
        <f t="shared" si="5"/>
        <v>#DIV/0!</v>
      </c>
      <c r="N9" s="11" t="str">
        <f t="shared" si="6"/>
        <v>#DIV/0!</v>
      </c>
      <c r="O9" s="18" t="s">
        <v>22</v>
      </c>
      <c r="Q9" s="8">
        <v>8.0</v>
      </c>
      <c r="R9" s="8">
        <v>4728.0</v>
      </c>
      <c r="S9" s="8">
        <v>1771.1111550033092</v>
      </c>
      <c r="T9" s="8">
        <v>30917.0</v>
      </c>
      <c r="U9" s="18">
        <f t="shared" si="8"/>
        <v>0.1529255749</v>
      </c>
      <c r="V9" s="18">
        <f t="shared" si="9"/>
        <v>0.3746004981</v>
      </c>
      <c r="W9" s="18">
        <f t="shared" si="10"/>
        <v>0.05728599654</v>
      </c>
      <c r="X9" s="18">
        <f t="shared" si="11"/>
        <v>0.9260344788</v>
      </c>
    </row>
    <row r="10" ht="15.75" customHeight="1">
      <c r="A10" s="8">
        <v>10304.0</v>
      </c>
      <c r="B10" s="8">
        <v>42.0</v>
      </c>
      <c r="C10" s="8">
        <v>17.111111521720886</v>
      </c>
      <c r="D10" s="8">
        <v>263.0</v>
      </c>
      <c r="E10" s="11">
        <f t="shared" si="1"/>
        <v>0.1596958175</v>
      </c>
      <c r="F10" s="11">
        <f t="shared" si="2"/>
        <v>0.4074074172</v>
      </c>
      <c r="G10" s="11">
        <f t="shared" si="3"/>
        <v>0.06506126054</v>
      </c>
      <c r="H10" s="8">
        <v>10304.0</v>
      </c>
      <c r="I10" s="8">
        <v>13.0</v>
      </c>
      <c r="J10" s="8">
        <v>5.333333522081375</v>
      </c>
      <c r="K10" s="8">
        <v>97.0</v>
      </c>
      <c r="L10" s="11">
        <f t="shared" si="4"/>
        <v>0.1340206186</v>
      </c>
      <c r="M10" s="11">
        <f t="shared" si="5"/>
        <v>0.4102564248</v>
      </c>
      <c r="N10" s="11">
        <f t="shared" si="6"/>
        <v>0.05498281982</v>
      </c>
      <c r="O10" s="18">
        <f t="shared" ref="O10:O14" si="12">N10/G10</f>
        <v>0.8450930609</v>
      </c>
      <c r="Q10" s="8">
        <v>9.0</v>
      </c>
      <c r="R10" s="8">
        <v>1842.0</v>
      </c>
      <c r="S10" s="8">
        <v>692.1111280918121</v>
      </c>
      <c r="T10" s="8">
        <v>12147.0</v>
      </c>
      <c r="U10" s="18">
        <f t="shared" si="8"/>
        <v>0.1516423808</v>
      </c>
      <c r="V10" s="18">
        <f t="shared" si="9"/>
        <v>0.3757389403</v>
      </c>
      <c r="W10" s="18">
        <f t="shared" si="10"/>
        <v>0.05697794748</v>
      </c>
      <c r="X10" s="18">
        <f t="shared" si="11"/>
        <v>1.358705951</v>
      </c>
    </row>
    <row r="11" ht="15.75" customHeight="1">
      <c r="A11" s="8">
        <v>10401.0</v>
      </c>
      <c r="B11" s="8">
        <v>54.0</v>
      </c>
      <c r="C11" s="8">
        <v>20.444444954395294</v>
      </c>
      <c r="D11" s="8">
        <v>670.0</v>
      </c>
      <c r="E11" s="11">
        <f t="shared" si="1"/>
        <v>0.08059701493</v>
      </c>
      <c r="F11" s="11">
        <f t="shared" si="2"/>
        <v>0.3786008325</v>
      </c>
      <c r="G11" s="11">
        <f t="shared" si="3"/>
        <v>0.03051409695</v>
      </c>
      <c r="H11" s="8">
        <v>10401.0</v>
      </c>
      <c r="I11" s="8">
        <v>21.0</v>
      </c>
      <c r="J11" s="8">
        <v>7.6666668355464935</v>
      </c>
      <c r="K11" s="8">
        <v>196.0</v>
      </c>
      <c r="L11" s="11">
        <f t="shared" si="4"/>
        <v>0.1071428571</v>
      </c>
      <c r="M11" s="11">
        <f t="shared" si="5"/>
        <v>0.3650793731</v>
      </c>
      <c r="N11" s="11">
        <f t="shared" si="6"/>
        <v>0.03911564712</v>
      </c>
      <c r="O11" s="18">
        <f t="shared" si="12"/>
        <v>1.281887751</v>
      </c>
      <c r="U11" s="18"/>
      <c r="V11" s="18"/>
      <c r="W11" s="18"/>
      <c r="X11" s="18"/>
    </row>
    <row r="12" ht="15.75" customHeight="1">
      <c r="A12" s="8">
        <v>10402.0</v>
      </c>
      <c r="B12" s="8">
        <v>35.0</v>
      </c>
      <c r="C12" s="8">
        <v>13.333333641290665</v>
      </c>
      <c r="D12" s="8">
        <v>440.0</v>
      </c>
      <c r="E12" s="11">
        <f t="shared" si="1"/>
        <v>0.07954545455</v>
      </c>
      <c r="F12" s="11">
        <f t="shared" si="2"/>
        <v>0.3809523898</v>
      </c>
      <c r="G12" s="11">
        <f t="shared" si="3"/>
        <v>0.030303031</v>
      </c>
      <c r="H12" s="8">
        <v>10402.0</v>
      </c>
      <c r="I12" s="8">
        <v>3.0</v>
      </c>
      <c r="J12" s="8">
        <v>1.0000000298023224</v>
      </c>
      <c r="K12" s="8">
        <v>9.0</v>
      </c>
      <c r="L12" s="11">
        <f t="shared" si="4"/>
        <v>0.3333333333</v>
      </c>
      <c r="M12" s="11">
        <f t="shared" si="5"/>
        <v>0.3333333433</v>
      </c>
      <c r="N12" s="11">
        <f t="shared" si="6"/>
        <v>0.1111111144</v>
      </c>
      <c r="O12" s="18">
        <f t="shared" si="12"/>
        <v>3.666666691</v>
      </c>
      <c r="U12" s="18"/>
      <c r="V12" s="18"/>
      <c r="W12" s="18"/>
      <c r="X12" s="18"/>
    </row>
    <row r="13" ht="15.75" customHeight="1">
      <c r="A13" s="8">
        <v>10403.0</v>
      </c>
      <c r="B13" s="8">
        <v>84.0</v>
      </c>
      <c r="C13" s="8">
        <v>31.666667461395264</v>
      </c>
      <c r="D13" s="8">
        <v>476.0</v>
      </c>
      <c r="E13" s="11">
        <f t="shared" si="1"/>
        <v>0.1764705882</v>
      </c>
      <c r="F13" s="11">
        <f t="shared" si="2"/>
        <v>0.3769841364</v>
      </c>
      <c r="G13" s="11">
        <f t="shared" si="3"/>
        <v>0.06652661231</v>
      </c>
      <c r="H13" s="8">
        <v>10403.0</v>
      </c>
      <c r="I13" s="8">
        <v>42.0</v>
      </c>
      <c r="J13" s="8">
        <v>14.777778178453445</v>
      </c>
      <c r="K13" s="8">
        <v>173.0</v>
      </c>
      <c r="L13" s="11">
        <f t="shared" si="4"/>
        <v>0.2427745665</v>
      </c>
      <c r="M13" s="11">
        <f t="shared" si="5"/>
        <v>0.3518518614</v>
      </c>
      <c r="N13" s="11">
        <f t="shared" si="6"/>
        <v>0.08542068311</v>
      </c>
      <c r="O13" s="18">
        <f t="shared" si="12"/>
        <v>1.28400771</v>
      </c>
      <c r="Q13" s="13" t="s">
        <v>31</v>
      </c>
      <c r="R13" s="2" t="s">
        <v>7</v>
      </c>
      <c r="S13" s="2" t="s">
        <v>8</v>
      </c>
      <c r="T13" s="2" t="s">
        <v>9</v>
      </c>
      <c r="U13" s="6" t="s">
        <v>10</v>
      </c>
      <c r="V13" s="20" t="s">
        <v>11</v>
      </c>
      <c r="W13" s="6" t="s">
        <v>29</v>
      </c>
      <c r="X13" s="18"/>
    </row>
    <row r="14" ht="15.75" customHeight="1">
      <c r="A14" s="8">
        <v>10404.0</v>
      </c>
      <c r="B14" s="8">
        <v>17.0</v>
      </c>
      <c r="C14" s="8">
        <v>6.444444626569748</v>
      </c>
      <c r="D14" s="8">
        <v>298.0</v>
      </c>
      <c r="E14" s="11">
        <f t="shared" si="1"/>
        <v>0.05704697987</v>
      </c>
      <c r="F14" s="11">
        <f t="shared" si="2"/>
        <v>0.379084978</v>
      </c>
      <c r="G14" s="11">
        <f t="shared" si="3"/>
        <v>0.02162565311</v>
      </c>
      <c r="H14" s="8">
        <v>10404.0</v>
      </c>
      <c r="I14" s="8">
        <v>12.0</v>
      </c>
      <c r="J14" s="8">
        <v>5.111111253499985</v>
      </c>
      <c r="K14" s="8">
        <v>121.0</v>
      </c>
      <c r="L14" s="11">
        <f t="shared" si="4"/>
        <v>0.09917355372</v>
      </c>
      <c r="M14" s="11">
        <f t="shared" si="5"/>
        <v>0.4259259378</v>
      </c>
      <c r="N14" s="11">
        <f t="shared" si="6"/>
        <v>0.04224058887</v>
      </c>
      <c r="O14" s="18">
        <f t="shared" si="12"/>
        <v>1.953263037</v>
      </c>
      <c r="Q14" s="8">
        <v>1.0</v>
      </c>
      <c r="R14" s="8">
        <v>651.0</v>
      </c>
      <c r="S14" s="8">
        <v>253.00000655651093</v>
      </c>
      <c r="T14" s="8">
        <v>4671.0</v>
      </c>
      <c r="U14" s="18">
        <f t="shared" ref="U14:U22" si="13">R14/T14</f>
        <v>0.1393705845</v>
      </c>
      <c r="V14" s="18">
        <f t="shared" ref="V14:V22" si="14">S14/R14</f>
        <v>0.3886328826</v>
      </c>
      <c r="W14" s="18">
        <f t="shared" ref="W14:W22" si="15">U14*V14</f>
        <v>0.05416399198</v>
      </c>
      <c r="X14" s="18"/>
    </row>
    <row r="15" ht="15.75" customHeight="1">
      <c r="A15" s="8">
        <v>10405.0</v>
      </c>
      <c r="B15" s="8">
        <v>17.0</v>
      </c>
      <c r="C15" s="8">
        <v>6.555555731058121</v>
      </c>
      <c r="D15" s="8">
        <v>278.0</v>
      </c>
      <c r="E15" s="11">
        <f t="shared" si="1"/>
        <v>0.06115107914</v>
      </c>
      <c r="F15" s="11">
        <f t="shared" si="2"/>
        <v>0.3856209254</v>
      </c>
      <c r="G15" s="11">
        <f t="shared" si="3"/>
        <v>0.02358113572</v>
      </c>
      <c r="H15" s="8">
        <v>10405.0</v>
      </c>
      <c r="I15" s="8">
        <v>0.0</v>
      </c>
      <c r="J15" s="8">
        <v>0.0</v>
      </c>
      <c r="K15" s="8">
        <v>6.0</v>
      </c>
      <c r="L15" s="11">
        <f t="shared" si="4"/>
        <v>0</v>
      </c>
      <c r="M15" s="11" t="str">
        <f t="shared" si="5"/>
        <v>#DIV/0!</v>
      </c>
      <c r="N15" s="11" t="str">
        <f t="shared" si="6"/>
        <v>#DIV/0!</v>
      </c>
      <c r="O15" s="18" t="s">
        <v>22</v>
      </c>
      <c r="Q15" s="8">
        <v>2.0</v>
      </c>
      <c r="R15" s="8">
        <v>5018.0</v>
      </c>
      <c r="S15" s="8">
        <v>1820.555600643158</v>
      </c>
      <c r="T15" s="8">
        <v>34693.0</v>
      </c>
      <c r="U15" s="18">
        <f t="shared" si="13"/>
        <v>0.1446401291</v>
      </c>
      <c r="V15" s="18">
        <f t="shared" si="14"/>
        <v>0.362805022</v>
      </c>
      <c r="W15" s="18">
        <f t="shared" si="15"/>
        <v>0.05247616524</v>
      </c>
      <c r="X15" s="18"/>
    </row>
    <row r="16" ht="15.75" customHeight="1">
      <c r="A16" s="8">
        <v>10501.0</v>
      </c>
      <c r="B16" s="8">
        <v>81.0</v>
      </c>
      <c r="C16" s="8">
        <v>31.000000834465027</v>
      </c>
      <c r="D16" s="8">
        <v>1423.0</v>
      </c>
      <c r="E16" s="11">
        <f t="shared" si="1"/>
        <v>0.05692199578</v>
      </c>
      <c r="F16" s="11">
        <f t="shared" si="2"/>
        <v>0.3827160597</v>
      </c>
      <c r="G16" s="11">
        <f t="shared" si="3"/>
        <v>0.02178496194</v>
      </c>
      <c r="H16" s="8">
        <v>10501.0</v>
      </c>
      <c r="I16" s="8">
        <v>9.0</v>
      </c>
      <c r="J16" s="8">
        <v>3.3333334028720856</v>
      </c>
      <c r="K16" s="8">
        <v>143.0</v>
      </c>
      <c r="L16" s="11">
        <f t="shared" si="4"/>
        <v>0.06293706294</v>
      </c>
      <c r="M16" s="11">
        <f t="shared" si="5"/>
        <v>0.3703703781</v>
      </c>
      <c r="N16" s="11">
        <f t="shared" si="6"/>
        <v>0.0233100238</v>
      </c>
      <c r="O16" s="18">
        <f t="shared" ref="O16:O26" si="16">N16/G16</f>
        <v>1.070005257</v>
      </c>
      <c r="Q16" s="8">
        <v>3.0</v>
      </c>
      <c r="R16" s="8">
        <v>3216.0</v>
      </c>
      <c r="S16" s="8">
        <v>1177.1111408770084</v>
      </c>
      <c r="T16" s="8">
        <v>16849.0</v>
      </c>
      <c r="U16" s="18">
        <f t="shared" si="13"/>
        <v>0.1908718618</v>
      </c>
      <c r="V16" s="18">
        <f t="shared" si="14"/>
        <v>0.3660171458</v>
      </c>
      <c r="W16" s="18">
        <f t="shared" si="15"/>
        <v>0.06986237408</v>
      </c>
      <c r="X16" s="18"/>
    </row>
    <row r="17" ht="15.75" customHeight="1">
      <c r="A17" s="8">
        <v>10502.0</v>
      </c>
      <c r="B17" s="8">
        <v>31.0</v>
      </c>
      <c r="C17" s="8">
        <v>11.222222536802292</v>
      </c>
      <c r="D17" s="8">
        <v>326.0</v>
      </c>
      <c r="E17" s="11">
        <f t="shared" si="1"/>
        <v>0.09509202454</v>
      </c>
      <c r="F17" s="11">
        <f t="shared" si="2"/>
        <v>0.3620071786</v>
      </c>
      <c r="G17" s="11">
        <f t="shared" si="3"/>
        <v>0.03442399551</v>
      </c>
      <c r="H17" s="8">
        <v>10502.0</v>
      </c>
      <c r="I17" s="8">
        <v>3.0</v>
      </c>
      <c r="J17" s="8">
        <v>1.0000000298023224</v>
      </c>
      <c r="K17" s="8">
        <v>34.0</v>
      </c>
      <c r="L17" s="11">
        <f t="shared" si="4"/>
        <v>0.08823529412</v>
      </c>
      <c r="M17" s="11">
        <f t="shared" si="5"/>
        <v>0.3333333433</v>
      </c>
      <c r="N17" s="11">
        <f t="shared" si="6"/>
        <v>0.02941176558</v>
      </c>
      <c r="O17" s="18">
        <f t="shared" si="16"/>
        <v>0.8543972059</v>
      </c>
      <c r="Q17" s="8">
        <v>4.0</v>
      </c>
      <c r="R17" s="8">
        <v>1415.0</v>
      </c>
      <c r="S17" s="8">
        <v>519.2222352325916</v>
      </c>
      <c r="T17" s="8">
        <v>7158.0</v>
      </c>
      <c r="U17" s="18">
        <f t="shared" si="13"/>
        <v>0.1976809165</v>
      </c>
      <c r="V17" s="18">
        <f t="shared" si="14"/>
        <v>0.366941509</v>
      </c>
      <c r="W17" s="18">
        <f t="shared" si="15"/>
        <v>0.07253733378</v>
      </c>
      <c r="X17" s="18"/>
    </row>
    <row r="18" ht="15.75" customHeight="1">
      <c r="A18" s="8">
        <v>10601.0</v>
      </c>
      <c r="B18" s="8">
        <v>91.0</v>
      </c>
      <c r="C18" s="8">
        <v>35.666667491197586</v>
      </c>
      <c r="D18" s="8">
        <v>528.0</v>
      </c>
      <c r="E18" s="11">
        <f t="shared" si="1"/>
        <v>0.1723484848</v>
      </c>
      <c r="F18" s="11">
        <f t="shared" si="2"/>
        <v>0.391941401</v>
      </c>
      <c r="G18" s="11">
        <f t="shared" si="3"/>
        <v>0.06755050661</v>
      </c>
      <c r="H18" s="8">
        <v>10601.0</v>
      </c>
      <c r="I18" s="8">
        <v>47.0</v>
      </c>
      <c r="J18" s="8">
        <v>19.111111611127853</v>
      </c>
      <c r="K18" s="8">
        <v>245.0</v>
      </c>
      <c r="L18" s="11">
        <f t="shared" si="4"/>
        <v>0.1918367347</v>
      </c>
      <c r="M18" s="11">
        <f t="shared" si="5"/>
        <v>0.406619396</v>
      </c>
      <c r="N18" s="11">
        <f t="shared" si="6"/>
        <v>0.07800453719</v>
      </c>
      <c r="O18" s="18">
        <f t="shared" si="16"/>
        <v>1.154758729</v>
      </c>
      <c r="Q18" s="8">
        <v>5.0</v>
      </c>
      <c r="R18" s="8">
        <v>2756.0</v>
      </c>
      <c r="S18" s="8">
        <v>1017.4444692134857</v>
      </c>
      <c r="T18" s="8">
        <v>12863.0</v>
      </c>
      <c r="U18" s="18">
        <f t="shared" si="13"/>
        <v>0.2142579492</v>
      </c>
      <c r="V18" s="18">
        <f t="shared" si="14"/>
        <v>0.3691743357</v>
      </c>
      <c r="W18" s="18">
        <f t="shared" si="15"/>
        <v>0.07909853605</v>
      </c>
      <c r="X18" s="18"/>
    </row>
    <row r="19" ht="15.75" customHeight="1">
      <c r="A19" s="8">
        <v>10602.0</v>
      </c>
      <c r="B19" s="8">
        <v>57.0</v>
      </c>
      <c r="C19" s="8">
        <v>21.00000050663948</v>
      </c>
      <c r="D19" s="8">
        <v>406.0</v>
      </c>
      <c r="E19" s="11">
        <f t="shared" si="1"/>
        <v>0.1403940887</v>
      </c>
      <c r="F19" s="11">
        <f t="shared" si="2"/>
        <v>0.3684210615</v>
      </c>
      <c r="G19" s="11">
        <f t="shared" si="3"/>
        <v>0.05172413918</v>
      </c>
      <c r="H19" s="8">
        <v>10602.0</v>
      </c>
      <c r="I19" s="8">
        <v>33.0</v>
      </c>
      <c r="J19" s="8">
        <v>12.000000327825546</v>
      </c>
      <c r="K19" s="8">
        <v>263.0</v>
      </c>
      <c r="L19" s="11">
        <f t="shared" si="4"/>
        <v>0.1254752852</v>
      </c>
      <c r="M19" s="11">
        <f t="shared" si="5"/>
        <v>0.3636363736</v>
      </c>
      <c r="N19" s="11">
        <f t="shared" si="6"/>
        <v>0.04562737767</v>
      </c>
      <c r="O19" s="18">
        <f t="shared" si="16"/>
        <v>0.8821292804</v>
      </c>
      <c r="Q19" s="8">
        <v>6.0</v>
      </c>
      <c r="R19" s="8">
        <v>164.0</v>
      </c>
      <c r="S19" s="8">
        <v>59.22222372889519</v>
      </c>
      <c r="T19" s="8">
        <v>2664.0</v>
      </c>
      <c r="U19" s="18">
        <f t="shared" si="13"/>
        <v>0.06156156156</v>
      </c>
      <c r="V19" s="18">
        <f t="shared" si="14"/>
        <v>0.3611111203</v>
      </c>
      <c r="W19" s="18">
        <f t="shared" si="15"/>
        <v>0.02223056446</v>
      </c>
      <c r="X19" s="18"/>
    </row>
    <row r="20" ht="15.75" customHeight="1">
      <c r="A20" s="8">
        <v>10701.0</v>
      </c>
      <c r="B20" s="8">
        <v>37.0</v>
      </c>
      <c r="C20" s="8">
        <v>14.111111402511597</v>
      </c>
      <c r="D20" s="8">
        <v>596.0</v>
      </c>
      <c r="E20" s="11">
        <f t="shared" si="1"/>
        <v>0.06208053691</v>
      </c>
      <c r="F20" s="11">
        <f t="shared" si="2"/>
        <v>0.3813813893</v>
      </c>
      <c r="G20" s="11">
        <f t="shared" si="3"/>
        <v>0.02367636141</v>
      </c>
      <c r="H20" s="8">
        <v>10701.0</v>
      </c>
      <c r="I20" s="8">
        <v>10.0</v>
      </c>
      <c r="J20" s="8">
        <v>3.5555556416511536</v>
      </c>
      <c r="K20" s="8">
        <v>95.0</v>
      </c>
      <c r="L20" s="11">
        <f t="shared" si="4"/>
        <v>0.1052631579</v>
      </c>
      <c r="M20" s="11">
        <f t="shared" si="5"/>
        <v>0.3555555642</v>
      </c>
      <c r="N20" s="11">
        <f t="shared" si="6"/>
        <v>0.03742690149</v>
      </c>
      <c r="O20" s="18">
        <f t="shared" si="16"/>
        <v>1.58077083</v>
      </c>
      <c r="Q20" s="8">
        <v>7.0</v>
      </c>
      <c r="R20" s="8">
        <v>1191.0</v>
      </c>
      <c r="S20" s="8">
        <v>438.55556616187096</v>
      </c>
      <c r="T20" s="8">
        <v>15015.0</v>
      </c>
      <c r="U20" s="18">
        <f t="shared" si="13"/>
        <v>0.07932067932</v>
      </c>
      <c r="V20" s="18">
        <f t="shared" si="14"/>
        <v>0.3682246567</v>
      </c>
      <c r="W20" s="18">
        <f t="shared" si="15"/>
        <v>0.02920782991</v>
      </c>
      <c r="X20" s="18"/>
    </row>
    <row r="21" ht="15.75" customHeight="1">
      <c r="A21" s="8">
        <v>10702.0</v>
      </c>
      <c r="B21" s="8">
        <v>127.0</v>
      </c>
      <c r="C21" s="8">
        <v>48.555556893348694</v>
      </c>
      <c r="D21" s="8">
        <v>871.0</v>
      </c>
      <c r="E21" s="11">
        <f t="shared" si="1"/>
        <v>0.1458094145</v>
      </c>
      <c r="F21" s="11">
        <f t="shared" si="2"/>
        <v>0.3823272196</v>
      </c>
      <c r="G21" s="11">
        <f t="shared" si="3"/>
        <v>0.05574690803</v>
      </c>
      <c r="H21" s="8">
        <v>10702.0</v>
      </c>
      <c r="I21" s="8">
        <v>26.0</v>
      </c>
      <c r="J21" s="8">
        <v>10.11111131310463</v>
      </c>
      <c r="K21" s="8">
        <v>154.0</v>
      </c>
      <c r="L21" s="11">
        <f t="shared" si="4"/>
        <v>0.1688311688</v>
      </c>
      <c r="M21" s="11">
        <f t="shared" si="5"/>
        <v>0.3888888967</v>
      </c>
      <c r="N21" s="11">
        <f t="shared" si="6"/>
        <v>0.06565656697</v>
      </c>
      <c r="O21" s="18">
        <f t="shared" si="16"/>
        <v>1.177761589</v>
      </c>
      <c r="Q21" s="8">
        <v>8.0</v>
      </c>
      <c r="R21" s="8">
        <v>368.0</v>
      </c>
      <c r="S21" s="8">
        <v>137.55555900931358</v>
      </c>
      <c r="T21" s="8">
        <v>2593.0</v>
      </c>
      <c r="U21" s="18">
        <f t="shared" si="13"/>
        <v>0.1419205553</v>
      </c>
      <c r="V21" s="18">
        <f t="shared" si="14"/>
        <v>0.3737922799</v>
      </c>
      <c r="W21" s="18">
        <f t="shared" si="15"/>
        <v>0.05304880795</v>
      </c>
      <c r="X21" s="18"/>
    </row>
    <row r="22" ht="15.75" customHeight="1">
      <c r="A22" s="8">
        <v>10703.0</v>
      </c>
      <c r="B22" s="8">
        <v>112.0</v>
      </c>
      <c r="C22" s="8">
        <v>48.77777907252312</v>
      </c>
      <c r="D22" s="8">
        <v>455.0</v>
      </c>
      <c r="E22" s="11">
        <f t="shared" si="1"/>
        <v>0.2461538462</v>
      </c>
      <c r="F22" s="11">
        <f t="shared" si="2"/>
        <v>0.4355158846</v>
      </c>
      <c r="G22" s="11">
        <f t="shared" si="3"/>
        <v>0.10720391</v>
      </c>
      <c r="H22" s="8">
        <v>10703.0</v>
      </c>
      <c r="I22" s="8">
        <v>11.0</v>
      </c>
      <c r="J22" s="8">
        <v>5.0000001192092896</v>
      </c>
      <c r="K22" s="8">
        <v>62.0</v>
      </c>
      <c r="L22" s="11">
        <f t="shared" si="4"/>
        <v>0.1774193548</v>
      </c>
      <c r="M22" s="11">
        <f t="shared" si="5"/>
        <v>0.4545454654</v>
      </c>
      <c r="N22" s="11">
        <f t="shared" si="6"/>
        <v>0.08064516321</v>
      </c>
      <c r="O22" s="18">
        <f t="shared" si="16"/>
        <v>0.7522595321</v>
      </c>
      <c r="Q22" s="8">
        <v>9.0</v>
      </c>
      <c r="R22" s="8">
        <v>342.0</v>
      </c>
      <c r="S22" s="8">
        <v>126.11111414432526</v>
      </c>
      <c r="T22" s="8">
        <v>1629.0</v>
      </c>
      <c r="U22" s="18">
        <f t="shared" si="13"/>
        <v>0.2099447514</v>
      </c>
      <c r="V22" s="18">
        <f t="shared" si="14"/>
        <v>0.3687459478</v>
      </c>
      <c r="W22" s="18">
        <f t="shared" si="15"/>
        <v>0.07741627633</v>
      </c>
      <c r="X22" s="18"/>
    </row>
    <row r="23" ht="15.75" customHeight="1">
      <c r="A23" s="8">
        <v>10704.0</v>
      </c>
      <c r="B23" s="8">
        <v>125.0</v>
      </c>
      <c r="C23" s="8">
        <v>50.111112385988235</v>
      </c>
      <c r="D23" s="8">
        <v>600.0</v>
      </c>
      <c r="E23" s="11">
        <f t="shared" si="1"/>
        <v>0.2083333333</v>
      </c>
      <c r="F23" s="11">
        <f t="shared" si="2"/>
        <v>0.4008888991</v>
      </c>
      <c r="G23" s="11">
        <f t="shared" si="3"/>
        <v>0.08351852064</v>
      </c>
      <c r="H23" s="8">
        <v>10704.0</v>
      </c>
      <c r="I23" s="8">
        <v>31.0</v>
      </c>
      <c r="J23" s="8">
        <v>12.666666895151138</v>
      </c>
      <c r="K23" s="8">
        <v>110.0</v>
      </c>
      <c r="L23" s="11">
        <f t="shared" si="4"/>
        <v>0.2818181818</v>
      </c>
      <c r="M23" s="11">
        <f t="shared" si="5"/>
        <v>0.4086021579</v>
      </c>
      <c r="N23" s="11">
        <f t="shared" si="6"/>
        <v>0.1151515172</v>
      </c>
      <c r="O23" s="18">
        <f t="shared" si="16"/>
        <v>1.378754273</v>
      </c>
      <c r="U23" s="18"/>
      <c r="V23" s="18"/>
      <c r="W23" s="18"/>
      <c r="X23" s="18"/>
    </row>
    <row r="24" ht="15.75" customHeight="1">
      <c r="A24" s="8">
        <v>10801.0</v>
      </c>
      <c r="B24" s="8">
        <v>45.0</v>
      </c>
      <c r="C24" s="8">
        <v>17.88888931274414</v>
      </c>
      <c r="D24" s="8">
        <v>523.0</v>
      </c>
      <c r="E24" s="11">
        <f t="shared" si="1"/>
        <v>0.08604206501</v>
      </c>
      <c r="F24" s="11">
        <f t="shared" si="2"/>
        <v>0.3975308736</v>
      </c>
      <c r="G24" s="11">
        <f t="shared" si="3"/>
        <v>0.03420437727</v>
      </c>
      <c r="H24" s="8">
        <v>10801.0</v>
      </c>
      <c r="I24" s="8">
        <v>4.0</v>
      </c>
      <c r="J24" s="8">
        <v>1.5555556118488312</v>
      </c>
      <c r="K24" s="8">
        <v>87.0</v>
      </c>
      <c r="L24" s="11">
        <f t="shared" si="4"/>
        <v>0.04597701149</v>
      </c>
      <c r="M24" s="11">
        <f t="shared" si="5"/>
        <v>0.388888903</v>
      </c>
      <c r="N24" s="11">
        <f t="shared" si="6"/>
        <v>0.01787994956</v>
      </c>
      <c r="O24" s="18">
        <f t="shared" si="16"/>
        <v>0.5227386372</v>
      </c>
      <c r="U24" s="18"/>
      <c r="V24" s="18"/>
      <c r="W24" s="18"/>
      <c r="X24" s="18"/>
    </row>
    <row r="25" ht="15.75" customHeight="1">
      <c r="A25" s="8">
        <v>10901.0</v>
      </c>
      <c r="B25" s="8">
        <v>25.0</v>
      </c>
      <c r="C25" s="8">
        <v>9.555555790662766</v>
      </c>
      <c r="D25" s="8">
        <v>316.0</v>
      </c>
      <c r="E25" s="11">
        <f t="shared" si="1"/>
        <v>0.07911392405</v>
      </c>
      <c r="F25" s="11">
        <f t="shared" si="2"/>
        <v>0.3822222316</v>
      </c>
      <c r="G25" s="11">
        <f t="shared" si="3"/>
        <v>0.0302391006</v>
      </c>
      <c r="H25" s="8">
        <v>10901.0</v>
      </c>
      <c r="I25" s="8">
        <v>15.0</v>
      </c>
      <c r="J25" s="8">
        <v>5.888888984918594</v>
      </c>
      <c r="K25" s="8">
        <v>92.0</v>
      </c>
      <c r="L25" s="11">
        <f t="shared" si="4"/>
        <v>0.1630434783</v>
      </c>
      <c r="M25" s="11">
        <f t="shared" si="5"/>
        <v>0.392592599</v>
      </c>
      <c r="N25" s="11">
        <f t="shared" si="6"/>
        <v>0.06400966288</v>
      </c>
      <c r="O25" s="18">
        <f t="shared" si="16"/>
        <v>2.116784613</v>
      </c>
      <c r="U25" s="18"/>
      <c r="V25" s="18"/>
      <c r="W25" s="18"/>
      <c r="X25" s="18"/>
    </row>
    <row r="26" ht="15.75" customHeight="1">
      <c r="A26" s="8">
        <v>10902.0</v>
      </c>
      <c r="B26" s="8">
        <v>98.0</v>
      </c>
      <c r="C26" s="8">
        <v>39.111112147569656</v>
      </c>
      <c r="D26" s="8">
        <v>533.0</v>
      </c>
      <c r="E26" s="11">
        <f t="shared" si="1"/>
        <v>0.1838649156</v>
      </c>
      <c r="F26" s="11">
        <f t="shared" si="2"/>
        <v>0.3990929811</v>
      </c>
      <c r="G26" s="11">
        <f t="shared" si="3"/>
        <v>0.07337919727</v>
      </c>
      <c r="H26" s="8">
        <v>10902.0</v>
      </c>
      <c r="I26" s="8">
        <v>19.0</v>
      </c>
      <c r="J26" s="8">
        <v>7.1111113131046295</v>
      </c>
      <c r="K26" s="8">
        <v>124.0</v>
      </c>
      <c r="L26" s="11">
        <f t="shared" si="4"/>
        <v>0.1532258065</v>
      </c>
      <c r="M26" s="11">
        <f t="shared" si="5"/>
        <v>0.3742690165</v>
      </c>
      <c r="N26" s="11">
        <f t="shared" si="6"/>
        <v>0.05734767188</v>
      </c>
      <c r="O26" s="18">
        <f t="shared" si="16"/>
        <v>0.7815249282</v>
      </c>
      <c r="U26" s="18"/>
      <c r="V26" s="18"/>
      <c r="W26" s="18"/>
      <c r="X26" s="18"/>
    </row>
    <row r="27" ht="15.75" customHeight="1">
      <c r="A27" s="8">
        <v>10903.0</v>
      </c>
      <c r="B27" s="8">
        <v>38.0</v>
      </c>
      <c r="C27" s="8">
        <v>15.444444745779037</v>
      </c>
      <c r="D27" s="8">
        <v>334.0</v>
      </c>
      <c r="E27" s="11">
        <f t="shared" si="1"/>
        <v>0.1137724551</v>
      </c>
      <c r="F27" s="11">
        <f t="shared" si="2"/>
        <v>0.4064327565</v>
      </c>
      <c r="G27" s="11">
        <f t="shared" si="3"/>
        <v>0.04624085253</v>
      </c>
      <c r="H27" s="8">
        <v>10903.0</v>
      </c>
      <c r="I27" s="8">
        <v>0.0</v>
      </c>
      <c r="J27" s="8">
        <v>0.0</v>
      </c>
      <c r="K27" s="8">
        <v>34.0</v>
      </c>
      <c r="L27" s="11">
        <f t="shared" si="4"/>
        <v>0</v>
      </c>
      <c r="M27" s="11" t="str">
        <f t="shared" si="5"/>
        <v>#DIV/0!</v>
      </c>
      <c r="N27" s="11" t="str">
        <f t="shared" si="6"/>
        <v>#DIV/0!</v>
      </c>
      <c r="O27" s="18" t="s">
        <v>22</v>
      </c>
      <c r="U27" s="18"/>
      <c r="V27" s="18"/>
      <c r="W27" s="18"/>
      <c r="X27" s="18"/>
    </row>
    <row r="28" ht="15.75" customHeight="1">
      <c r="A28" s="8">
        <v>11001.0</v>
      </c>
      <c r="B28" s="8">
        <v>7.0</v>
      </c>
      <c r="C28" s="8">
        <v>2.4444445073604584</v>
      </c>
      <c r="D28" s="8">
        <v>51.0</v>
      </c>
      <c r="E28" s="11">
        <f t="shared" si="1"/>
        <v>0.137254902</v>
      </c>
      <c r="F28" s="11">
        <f t="shared" si="2"/>
        <v>0.3492063582</v>
      </c>
      <c r="G28" s="11">
        <f t="shared" si="3"/>
        <v>0.04793028446</v>
      </c>
      <c r="H28" s="8">
        <v>11001.0</v>
      </c>
      <c r="I28" s="8">
        <v>0.0</v>
      </c>
      <c r="J28" s="8">
        <v>0.0</v>
      </c>
      <c r="K28" s="8">
        <v>5.0</v>
      </c>
      <c r="L28" s="11">
        <f t="shared" si="4"/>
        <v>0</v>
      </c>
      <c r="M28" s="11" t="str">
        <f t="shared" si="5"/>
        <v>#DIV/0!</v>
      </c>
      <c r="N28" s="11" t="str">
        <f t="shared" si="6"/>
        <v>#DIV/0!</v>
      </c>
      <c r="O28" s="18" t="s">
        <v>22</v>
      </c>
      <c r="U28" s="18"/>
      <c r="V28" s="18"/>
      <c r="W28" s="18"/>
      <c r="X28" s="18"/>
    </row>
    <row r="29" ht="15.75" customHeight="1">
      <c r="A29" s="8">
        <v>11002.0</v>
      </c>
      <c r="B29" s="8">
        <v>5.0</v>
      </c>
      <c r="C29" s="8">
        <v>1.7777778208255768</v>
      </c>
      <c r="D29" s="8">
        <v>125.0</v>
      </c>
      <c r="E29" s="11">
        <f t="shared" si="1"/>
        <v>0.04</v>
      </c>
      <c r="F29" s="11">
        <f t="shared" si="2"/>
        <v>0.3555555642</v>
      </c>
      <c r="G29" s="11">
        <f t="shared" si="3"/>
        <v>0.01422222257</v>
      </c>
      <c r="H29" s="8">
        <v>11002.0</v>
      </c>
      <c r="I29" s="8">
        <v>0.0</v>
      </c>
      <c r="J29" s="8">
        <v>0.0</v>
      </c>
      <c r="K29" s="8">
        <v>21.0</v>
      </c>
      <c r="L29" s="11">
        <f t="shared" si="4"/>
        <v>0</v>
      </c>
      <c r="M29" s="11" t="str">
        <f t="shared" si="5"/>
        <v>#DIV/0!</v>
      </c>
      <c r="N29" s="11" t="str">
        <f t="shared" si="6"/>
        <v>#DIV/0!</v>
      </c>
      <c r="O29" s="18" t="s">
        <v>22</v>
      </c>
      <c r="U29" s="18"/>
      <c r="V29" s="18"/>
      <c r="W29" s="18"/>
      <c r="X29" s="18"/>
    </row>
    <row r="30" ht="15.75" customHeight="1">
      <c r="A30" s="8">
        <v>11003.0</v>
      </c>
      <c r="B30" s="8">
        <v>62.0</v>
      </c>
      <c r="C30" s="8">
        <v>22.000000536441803</v>
      </c>
      <c r="D30" s="8">
        <v>489.0</v>
      </c>
      <c r="E30" s="11">
        <f t="shared" si="1"/>
        <v>0.1267893661</v>
      </c>
      <c r="F30" s="11">
        <f t="shared" si="2"/>
        <v>0.3548387183</v>
      </c>
      <c r="G30" s="11">
        <f t="shared" si="3"/>
        <v>0.04498977615</v>
      </c>
      <c r="H30" s="8">
        <v>11003.0</v>
      </c>
      <c r="I30" s="8">
        <v>6.0</v>
      </c>
      <c r="J30" s="8">
        <v>2.0000000596046448</v>
      </c>
      <c r="K30" s="8">
        <v>61.0</v>
      </c>
      <c r="L30" s="11">
        <f t="shared" si="4"/>
        <v>0.09836065574</v>
      </c>
      <c r="M30" s="11">
        <f t="shared" si="5"/>
        <v>0.3333333433</v>
      </c>
      <c r="N30" s="11">
        <f t="shared" si="6"/>
        <v>0.03278688622</v>
      </c>
      <c r="O30" s="18">
        <f t="shared" ref="O30:O160" si="17">N30/G30</f>
        <v>0.7287630442</v>
      </c>
      <c r="U30" s="18"/>
      <c r="V30" s="18"/>
      <c r="W30" s="18"/>
      <c r="X30" s="18"/>
    </row>
    <row r="31" ht="15.75" customHeight="1">
      <c r="A31" s="8">
        <v>20101.0</v>
      </c>
      <c r="B31" s="8">
        <v>271.0</v>
      </c>
      <c r="C31" s="8">
        <v>97.22222477197647</v>
      </c>
      <c r="D31" s="8">
        <v>20777.0</v>
      </c>
      <c r="E31" s="11">
        <f t="shared" si="1"/>
        <v>0.013043269</v>
      </c>
      <c r="F31" s="11">
        <f t="shared" si="2"/>
        <v>0.3587535969</v>
      </c>
      <c r="G31" s="11">
        <f t="shared" si="3"/>
        <v>0.004679319669</v>
      </c>
      <c r="H31" s="8">
        <v>20101.0</v>
      </c>
      <c r="I31" s="8">
        <v>127.0</v>
      </c>
      <c r="J31" s="8">
        <v>46.777779042720795</v>
      </c>
      <c r="K31" s="8">
        <v>2675.0</v>
      </c>
      <c r="L31" s="11">
        <f t="shared" si="4"/>
        <v>0.04747663551</v>
      </c>
      <c r="M31" s="11">
        <f t="shared" si="5"/>
        <v>0.3683289688</v>
      </c>
      <c r="N31" s="11">
        <f t="shared" si="6"/>
        <v>0.0174870202</v>
      </c>
      <c r="O31" s="18">
        <f t="shared" si="17"/>
        <v>3.737086038</v>
      </c>
      <c r="U31" s="18"/>
      <c r="V31" s="18"/>
      <c r="W31" s="18"/>
      <c r="X31" s="18"/>
    </row>
    <row r="32" ht="15.75" customHeight="1">
      <c r="A32" s="8">
        <v>20102.0</v>
      </c>
      <c r="B32" s="8">
        <v>75.0</v>
      </c>
      <c r="C32" s="8">
        <v>26.555556267499924</v>
      </c>
      <c r="D32" s="8">
        <v>681.0</v>
      </c>
      <c r="E32" s="11">
        <f t="shared" si="1"/>
        <v>0.1101321586</v>
      </c>
      <c r="F32" s="11">
        <f t="shared" si="2"/>
        <v>0.3540740836</v>
      </c>
      <c r="G32" s="11">
        <f t="shared" si="3"/>
        <v>0.03899494312</v>
      </c>
      <c r="H32" s="8">
        <v>20102.0</v>
      </c>
      <c r="I32" s="8">
        <v>39.0</v>
      </c>
      <c r="J32" s="8">
        <v>13.5555559694767</v>
      </c>
      <c r="K32" s="8">
        <v>341.0</v>
      </c>
      <c r="L32" s="11">
        <f t="shared" si="4"/>
        <v>0.1143695015</v>
      </c>
      <c r="M32" s="11">
        <f t="shared" si="5"/>
        <v>0.3475783582</v>
      </c>
      <c r="N32" s="11">
        <f t="shared" si="6"/>
        <v>0.03975236355</v>
      </c>
      <c r="O32" s="18">
        <f t="shared" si="17"/>
        <v>1.019423555</v>
      </c>
      <c r="U32" s="18"/>
      <c r="V32" s="18"/>
      <c r="W32" s="18"/>
      <c r="X32" s="18"/>
    </row>
    <row r="33" ht="15.75" customHeight="1">
      <c r="A33" s="8">
        <v>20103.0</v>
      </c>
      <c r="B33" s="8">
        <v>71.0</v>
      </c>
      <c r="C33" s="8">
        <v>24.666667342185974</v>
      </c>
      <c r="D33" s="8">
        <v>2008.0</v>
      </c>
      <c r="E33" s="11">
        <f t="shared" si="1"/>
        <v>0.03535856574</v>
      </c>
      <c r="F33" s="11">
        <f t="shared" si="2"/>
        <v>0.3474178499</v>
      </c>
      <c r="G33" s="11">
        <f t="shared" si="3"/>
        <v>0.01228419688</v>
      </c>
      <c r="H33" s="8">
        <v>20103.0</v>
      </c>
      <c r="I33" s="8">
        <v>28.0</v>
      </c>
      <c r="J33" s="8">
        <v>9.777778029441833</v>
      </c>
      <c r="K33" s="8">
        <v>485.0</v>
      </c>
      <c r="L33" s="11">
        <f t="shared" si="4"/>
        <v>0.05773195876</v>
      </c>
      <c r="M33" s="11">
        <f t="shared" si="5"/>
        <v>0.3492063582</v>
      </c>
      <c r="N33" s="11">
        <f t="shared" si="6"/>
        <v>0.02016036707</v>
      </c>
      <c r="O33" s="18">
        <f t="shared" si="17"/>
        <v>1.64116281</v>
      </c>
      <c r="U33" s="18"/>
      <c r="V33" s="18"/>
      <c r="W33" s="18"/>
      <c r="X33" s="18"/>
    </row>
    <row r="34" ht="15.75" customHeight="1">
      <c r="A34" s="8">
        <v>20104.0</v>
      </c>
      <c r="B34" s="8">
        <v>744.0</v>
      </c>
      <c r="C34" s="8">
        <v>264.44445139169693</v>
      </c>
      <c r="D34" s="8">
        <v>6272.0</v>
      </c>
      <c r="E34" s="11">
        <f t="shared" si="1"/>
        <v>0.118622449</v>
      </c>
      <c r="F34" s="11">
        <f t="shared" si="2"/>
        <v>0.3554360906</v>
      </c>
      <c r="G34" s="11">
        <f t="shared" si="3"/>
        <v>0.04216269952</v>
      </c>
      <c r="H34" s="8">
        <v>20104.0</v>
      </c>
      <c r="I34" s="8">
        <v>243.0</v>
      </c>
      <c r="J34" s="8">
        <v>89.22222453355789</v>
      </c>
      <c r="K34" s="8">
        <v>1070.0</v>
      </c>
      <c r="L34" s="11">
        <f t="shared" si="4"/>
        <v>0.2271028037</v>
      </c>
      <c r="M34" s="11">
        <f t="shared" si="5"/>
        <v>0.3671696483</v>
      </c>
      <c r="N34" s="11">
        <f t="shared" si="6"/>
        <v>0.08338525657</v>
      </c>
      <c r="O34" s="18">
        <f t="shared" si="17"/>
        <v>1.977702033</v>
      </c>
      <c r="U34" s="18"/>
      <c r="V34" s="18"/>
      <c r="W34" s="18"/>
      <c r="X34" s="18"/>
    </row>
    <row r="35" ht="15.75" customHeight="1">
      <c r="A35" s="8">
        <v>20105.0</v>
      </c>
      <c r="B35" s="8">
        <v>846.0</v>
      </c>
      <c r="C35" s="8">
        <v>299.11111879348755</v>
      </c>
      <c r="D35" s="8">
        <v>38411.0</v>
      </c>
      <c r="E35" s="11">
        <f t="shared" si="1"/>
        <v>0.02202494077</v>
      </c>
      <c r="F35" s="11">
        <f t="shared" si="2"/>
        <v>0.3535592421</v>
      </c>
      <c r="G35" s="11">
        <f t="shared" si="3"/>
        <v>0.007787121366</v>
      </c>
      <c r="H35" s="8">
        <v>20105.0</v>
      </c>
      <c r="I35" s="8">
        <v>230.0</v>
      </c>
      <c r="J35" s="8">
        <v>84.11111319065094</v>
      </c>
      <c r="K35" s="8">
        <v>4195.0</v>
      </c>
      <c r="L35" s="11">
        <f t="shared" si="4"/>
        <v>0.05482717521</v>
      </c>
      <c r="M35" s="11">
        <f t="shared" si="5"/>
        <v>0.3657004921</v>
      </c>
      <c r="N35" s="11">
        <f t="shared" si="6"/>
        <v>0.02005032496</v>
      </c>
      <c r="O35" s="18">
        <f t="shared" si="17"/>
        <v>2.574805761</v>
      </c>
      <c r="U35" s="18"/>
      <c r="V35" s="18"/>
      <c r="W35" s="18"/>
      <c r="X35" s="18"/>
    </row>
    <row r="36" ht="15.75" customHeight="1">
      <c r="A36" s="8">
        <v>20201.0</v>
      </c>
      <c r="B36" s="8">
        <v>135.0</v>
      </c>
      <c r="C36" s="8">
        <v>47.66666793823242</v>
      </c>
      <c r="D36" s="8">
        <v>1512.0</v>
      </c>
      <c r="E36" s="11">
        <f t="shared" si="1"/>
        <v>0.08928571429</v>
      </c>
      <c r="F36" s="11">
        <f t="shared" si="2"/>
        <v>0.3530864292</v>
      </c>
      <c r="G36" s="11">
        <f t="shared" si="3"/>
        <v>0.03152557403</v>
      </c>
      <c r="H36" s="8">
        <v>20201.0</v>
      </c>
      <c r="I36" s="8">
        <v>141.0</v>
      </c>
      <c r="J36" s="8">
        <v>53.66666799783707</v>
      </c>
      <c r="K36" s="8">
        <v>946.0</v>
      </c>
      <c r="L36" s="11">
        <f t="shared" si="4"/>
        <v>0.1490486258</v>
      </c>
      <c r="M36" s="11">
        <f t="shared" si="5"/>
        <v>0.3806146667</v>
      </c>
      <c r="N36" s="11">
        <f t="shared" si="6"/>
        <v>0.05673009302</v>
      </c>
      <c r="O36" s="18">
        <f t="shared" si="17"/>
        <v>1.799494371</v>
      </c>
      <c r="U36" s="18"/>
      <c r="V36" s="18"/>
      <c r="W36" s="18"/>
      <c r="X36" s="18"/>
    </row>
    <row r="37" ht="15.75" customHeight="1">
      <c r="A37" s="8">
        <v>20202.0</v>
      </c>
      <c r="B37" s="8">
        <v>119.0</v>
      </c>
      <c r="C37" s="8">
        <v>43.444445580244064</v>
      </c>
      <c r="D37" s="8">
        <v>719.0</v>
      </c>
      <c r="E37" s="11">
        <f t="shared" si="1"/>
        <v>0.1655076495</v>
      </c>
      <c r="F37" s="11">
        <f t="shared" si="2"/>
        <v>0.3650793746</v>
      </c>
      <c r="G37" s="11">
        <f t="shared" si="3"/>
        <v>0.06042342918</v>
      </c>
      <c r="H37" s="8">
        <v>20202.0</v>
      </c>
      <c r="I37" s="8">
        <v>99.0</v>
      </c>
      <c r="J37" s="8">
        <v>37.00000098347664</v>
      </c>
      <c r="K37" s="8">
        <v>480.0</v>
      </c>
      <c r="L37" s="11">
        <f t="shared" si="4"/>
        <v>0.20625</v>
      </c>
      <c r="M37" s="11">
        <f t="shared" si="5"/>
        <v>0.3737373837</v>
      </c>
      <c r="N37" s="11">
        <f t="shared" si="6"/>
        <v>0.07708333538</v>
      </c>
      <c r="O37" s="18">
        <f t="shared" si="17"/>
        <v>1.27571931</v>
      </c>
      <c r="U37" s="18"/>
      <c r="V37" s="18"/>
      <c r="W37" s="18"/>
      <c r="X37" s="18"/>
    </row>
    <row r="38" ht="15.75" customHeight="1">
      <c r="A38" s="8">
        <v>20203.0</v>
      </c>
      <c r="B38" s="8">
        <v>68.0</v>
      </c>
      <c r="C38" s="8">
        <v>24.222222834825516</v>
      </c>
      <c r="D38" s="8">
        <v>655.0</v>
      </c>
      <c r="E38" s="11">
        <f t="shared" si="1"/>
        <v>0.1038167939</v>
      </c>
      <c r="F38" s="11">
        <f t="shared" si="2"/>
        <v>0.3562091593</v>
      </c>
      <c r="G38" s="11">
        <f t="shared" si="3"/>
        <v>0.03698049288</v>
      </c>
      <c r="H38" s="8">
        <v>20203.0</v>
      </c>
      <c r="I38" s="8">
        <v>45.0</v>
      </c>
      <c r="J38" s="8">
        <v>17.00000038743019</v>
      </c>
      <c r="K38" s="8">
        <v>402.0</v>
      </c>
      <c r="L38" s="11">
        <f t="shared" si="4"/>
        <v>0.1119402985</v>
      </c>
      <c r="M38" s="11">
        <f t="shared" si="5"/>
        <v>0.3777777864</v>
      </c>
      <c r="N38" s="11">
        <f t="shared" si="6"/>
        <v>0.04228855818</v>
      </c>
      <c r="O38" s="18">
        <f t="shared" si="17"/>
        <v>1.1435369</v>
      </c>
      <c r="U38" s="18"/>
      <c r="V38" s="18"/>
      <c r="W38" s="18"/>
      <c r="X38" s="18"/>
    </row>
    <row r="39" ht="15.75" customHeight="1">
      <c r="A39" s="8">
        <v>20204.0</v>
      </c>
      <c r="B39" s="8">
        <v>41.0</v>
      </c>
      <c r="C39" s="8">
        <v>14.333333730697632</v>
      </c>
      <c r="D39" s="8">
        <v>473.0</v>
      </c>
      <c r="E39" s="11">
        <f t="shared" si="1"/>
        <v>0.0866807611</v>
      </c>
      <c r="F39" s="11">
        <f t="shared" si="2"/>
        <v>0.3495935056</v>
      </c>
      <c r="G39" s="11">
        <f t="shared" si="3"/>
        <v>0.03030303114</v>
      </c>
      <c r="H39" s="8">
        <v>20204.0</v>
      </c>
      <c r="I39" s="8">
        <v>32.0</v>
      </c>
      <c r="J39" s="8">
        <v>10.888889193534851</v>
      </c>
      <c r="K39" s="8">
        <v>244.0</v>
      </c>
      <c r="L39" s="11">
        <f t="shared" si="4"/>
        <v>0.131147541</v>
      </c>
      <c r="M39" s="11">
        <f t="shared" si="5"/>
        <v>0.3402777873</v>
      </c>
      <c r="N39" s="11">
        <f t="shared" si="6"/>
        <v>0.04462659506</v>
      </c>
      <c r="O39" s="18">
        <f t="shared" si="17"/>
        <v>1.472677596</v>
      </c>
      <c r="U39" s="18"/>
      <c r="V39" s="18"/>
      <c r="W39" s="18"/>
      <c r="X39" s="18"/>
    </row>
    <row r="40" ht="15.75" customHeight="1">
      <c r="A40" s="8">
        <v>20205.0</v>
      </c>
      <c r="B40" s="8">
        <v>53.0</v>
      </c>
      <c r="C40" s="8">
        <v>19.3333338201046</v>
      </c>
      <c r="D40" s="8">
        <v>579.0</v>
      </c>
      <c r="E40" s="11">
        <f t="shared" si="1"/>
        <v>0.09153713299</v>
      </c>
      <c r="F40" s="11">
        <f t="shared" si="2"/>
        <v>0.3647798834</v>
      </c>
      <c r="G40" s="11">
        <f t="shared" si="3"/>
        <v>0.0333909047</v>
      </c>
      <c r="H40" s="8">
        <v>20205.0</v>
      </c>
      <c r="I40" s="8">
        <v>32.0</v>
      </c>
      <c r="J40" s="8">
        <v>12.000000298023224</v>
      </c>
      <c r="K40" s="8">
        <v>422.0</v>
      </c>
      <c r="L40" s="11">
        <f t="shared" si="4"/>
        <v>0.07582938389</v>
      </c>
      <c r="M40" s="11">
        <f t="shared" si="5"/>
        <v>0.3750000093</v>
      </c>
      <c r="N40" s="11">
        <f t="shared" si="6"/>
        <v>0.02843601966</v>
      </c>
      <c r="O40" s="18">
        <f t="shared" si="17"/>
        <v>0.8516097399</v>
      </c>
      <c r="U40" s="18"/>
      <c r="V40" s="18"/>
      <c r="W40" s="18"/>
      <c r="X40" s="18"/>
    </row>
    <row r="41" ht="15.75" customHeight="1">
      <c r="A41" s="8">
        <v>20206.0</v>
      </c>
      <c r="B41" s="8">
        <v>38.0</v>
      </c>
      <c r="C41" s="8">
        <v>13.888889223337173</v>
      </c>
      <c r="D41" s="8">
        <v>506.0</v>
      </c>
      <c r="E41" s="11">
        <f t="shared" si="1"/>
        <v>0.07509881423</v>
      </c>
      <c r="F41" s="11">
        <f t="shared" si="2"/>
        <v>0.3654970848</v>
      </c>
      <c r="G41" s="11">
        <f t="shared" si="3"/>
        <v>0.02744839767</v>
      </c>
      <c r="H41" s="8">
        <v>20206.0</v>
      </c>
      <c r="I41" s="8">
        <v>30.0</v>
      </c>
      <c r="J41" s="8">
        <v>10.444444715976715</v>
      </c>
      <c r="K41" s="8">
        <v>330.0</v>
      </c>
      <c r="L41" s="11">
        <f t="shared" si="4"/>
        <v>0.09090909091</v>
      </c>
      <c r="M41" s="11">
        <f t="shared" si="5"/>
        <v>0.3481481572</v>
      </c>
      <c r="N41" s="11">
        <f t="shared" si="6"/>
        <v>0.03164983247</v>
      </c>
      <c r="O41" s="18">
        <f t="shared" si="17"/>
        <v>1.153066669</v>
      </c>
      <c r="U41" s="18"/>
      <c r="V41" s="18"/>
      <c r="W41" s="18"/>
      <c r="X41" s="18"/>
    </row>
    <row r="42" ht="15.75" customHeight="1">
      <c r="A42" s="8">
        <v>20301.0</v>
      </c>
      <c r="B42" s="8">
        <v>126.0</v>
      </c>
      <c r="C42" s="8">
        <v>47.44444540143013</v>
      </c>
      <c r="D42" s="8">
        <v>839.0</v>
      </c>
      <c r="E42" s="11">
        <f t="shared" si="1"/>
        <v>0.1501787843</v>
      </c>
      <c r="F42" s="11">
        <f t="shared" si="2"/>
        <v>0.3765432175</v>
      </c>
      <c r="G42" s="11">
        <f t="shared" si="3"/>
        <v>0.05654880262</v>
      </c>
      <c r="H42" s="8">
        <v>20301.0</v>
      </c>
      <c r="I42" s="8">
        <v>79.0</v>
      </c>
      <c r="J42" s="8">
        <v>29.111111760139465</v>
      </c>
      <c r="K42" s="8">
        <v>499.0</v>
      </c>
      <c r="L42" s="11">
        <f t="shared" si="4"/>
        <v>0.1583166333</v>
      </c>
      <c r="M42" s="11">
        <f t="shared" si="5"/>
        <v>0.3684950856</v>
      </c>
      <c r="N42" s="11">
        <f t="shared" si="6"/>
        <v>0.05833890132</v>
      </c>
      <c r="O42" s="18">
        <f t="shared" si="17"/>
        <v>1.03165582</v>
      </c>
      <c r="U42" s="18"/>
      <c r="V42" s="18"/>
      <c r="W42" s="18"/>
      <c r="X42" s="18"/>
    </row>
    <row r="43" ht="15.75" customHeight="1">
      <c r="A43" s="8">
        <v>20302.0</v>
      </c>
      <c r="B43" s="8">
        <v>160.0</v>
      </c>
      <c r="C43" s="8">
        <v>55.777779281139374</v>
      </c>
      <c r="D43" s="8">
        <v>906.0</v>
      </c>
      <c r="E43" s="11">
        <f t="shared" si="1"/>
        <v>0.1766004415</v>
      </c>
      <c r="F43" s="11">
        <f t="shared" si="2"/>
        <v>0.3486111205</v>
      </c>
      <c r="G43" s="11">
        <f t="shared" si="3"/>
        <v>0.06156487779</v>
      </c>
      <c r="H43" s="8">
        <v>20302.0</v>
      </c>
      <c r="I43" s="8">
        <v>134.0</v>
      </c>
      <c r="J43" s="8">
        <v>47.88889002799988</v>
      </c>
      <c r="K43" s="8">
        <v>832.0</v>
      </c>
      <c r="L43" s="11">
        <f t="shared" si="4"/>
        <v>0.1610576923</v>
      </c>
      <c r="M43" s="11">
        <f t="shared" si="5"/>
        <v>0.3573797763</v>
      </c>
      <c r="N43" s="11">
        <f t="shared" si="6"/>
        <v>0.05755876205</v>
      </c>
      <c r="O43" s="18">
        <f t="shared" si="17"/>
        <v>0.9349285521</v>
      </c>
      <c r="U43" s="18"/>
      <c r="V43" s="18"/>
      <c r="W43" s="18"/>
      <c r="X43" s="18"/>
    </row>
    <row r="44" ht="15.75" customHeight="1">
      <c r="A44" s="8">
        <v>20303.0</v>
      </c>
      <c r="B44" s="8">
        <v>186.0</v>
      </c>
      <c r="C44" s="8">
        <v>67.55555719137192</v>
      </c>
      <c r="D44" s="8">
        <v>796.0</v>
      </c>
      <c r="E44" s="11">
        <f t="shared" si="1"/>
        <v>0.2336683417</v>
      </c>
      <c r="F44" s="11">
        <f t="shared" si="2"/>
        <v>0.3632019204</v>
      </c>
      <c r="G44" s="11">
        <f t="shared" si="3"/>
        <v>0.08486879044</v>
      </c>
      <c r="H44" s="8">
        <v>20303.0</v>
      </c>
      <c r="I44" s="8">
        <v>103.0</v>
      </c>
      <c r="J44" s="8">
        <v>38.00000086426735</v>
      </c>
      <c r="K44" s="8">
        <v>497.0</v>
      </c>
      <c r="L44" s="11">
        <f t="shared" si="4"/>
        <v>0.2072434608</v>
      </c>
      <c r="M44" s="11">
        <f t="shared" si="5"/>
        <v>0.3689320472</v>
      </c>
      <c r="N44" s="11">
        <f t="shared" si="6"/>
        <v>0.07645875425</v>
      </c>
      <c r="O44" s="18">
        <f t="shared" si="17"/>
        <v>0.9009054313</v>
      </c>
      <c r="U44" s="18"/>
      <c r="V44" s="18"/>
      <c r="W44" s="18"/>
      <c r="X44" s="18"/>
    </row>
    <row r="45" ht="15.75" customHeight="1">
      <c r="A45" s="8">
        <v>20304.0</v>
      </c>
      <c r="B45" s="8">
        <v>30.0</v>
      </c>
      <c r="C45" s="8">
        <v>10.555555820465088</v>
      </c>
      <c r="D45" s="8">
        <v>267.0</v>
      </c>
      <c r="E45" s="11">
        <f t="shared" si="1"/>
        <v>0.1123595506</v>
      </c>
      <c r="F45" s="11">
        <f t="shared" si="2"/>
        <v>0.3518518607</v>
      </c>
      <c r="G45" s="11">
        <f t="shared" si="3"/>
        <v>0.03953391693</v>
      </c>
      <c r="H45" s="8">
        <v>20304.0</v>
      </c>
      <c r="I45" s="8">
        <v>15.0</v>
      </c>
      <c r="J45" s="8">
        <v>5.000000149011612</v>
      </c>
      <c r="K45" s="8">
        <v>105.0</v>
      </c>
      <c r="L45" s="11">
        <f t="shared" si="4"/>
        <v>0.1428571429</v>
      </c>
      <c r="M45" s="11">
        <f t="shared" si="5"/>
        <v>0.3333333433</v>
      </c>
      <c r="N45" s="11">
        <f t="shared" si="6"/>
        <v>0.04761904904</v>
      </c>
      <c r="O45" s="18">
        <f t="shared" si="17"/>
        <v>1.204511284</v>
      </c>
      <c r="U45" s="18"/>
      <c r="V45" s="18"/>
      <c r="W45" s="18"/>
      <c r="X45" s="18"/>
    </row>
    <row r="46" ht="15.75" customHeight="1">
      <c r="A46" s="8">
        <v>20305.0</v>
      </c>
      <c r="B46" s="8">
        <v>40.0</v>
      </c>
      <c r="C46" s="8">
        <v>14.222222596406937</v>
      </c>
      <c r="D46" s="8">
        <v>157.0</v>
      </c>
      <c r="E46" s="11">
        <f t="shared" si="1"/>
        <v>0.2547770701</v>
      </c>
      <c r="F46" s="11">
        <f t="shared" si="2"/>
        <v>0.3555555649</v>
      </c>
      <c r="G46" s="11">
        <f t="shared" si="3"/>
        <v>0.09058740507</v>
      </c>
      <c r="H46" s="8">
        <v>20305.0</v>
      </c>
      <c r="I46" s="8">
        <v>5.0</v>
      </c>
      <c r="J46" s="8">
        <v>1.8888889253139496</v>
      </c>
      <c r="K46" s="8">
        <v>53.0</v>
      </c>
      <c r="L46" s="11">
        <f t="shared" si="4"/>
        <v>0.09433962264</v>
      </c>
      <c r="M46" s="11">
        <f t="shared" si="5"/>
        <v>0.3777777851</v>
      </c>
      <c r="N46" s="11">
        <f t="shared" si="6"/>
        <v>0.03563941369</v>
      </c>
      <c r="O46" s="18">
        <f t="shared" si="17"/>
        <v>0.3934257048</v>
      </c>
      <c r="U46" s="18"/>
      <c r="V46" s="18"/>
      <c r="W46" s="18"/>
      <c r="X46" s="18"/>
    </row>
    <row r="47" ht="15.75" customHeight="1">
      <c r="A47" s="8">
        <v>20306.0</v>
      </c>
      <c r="B47" s="8">
        <v>50.0</v>
      </c>
      <c r="C47" s="8">
        <v>19.111111640930176</v>
      </c>
      <c r="D47" s="8">
        <v>259.0</v>
      </c>
      <c r="E47" s="11">
        <f t="shared" si="1"/>
        <v>0.1930501931</v>
      </c>
      <c r="F47" s="11">
        <f t="shared" si="2"/>
        <v>0.3822222328</v>
      </c>
      <c r="G47" s="11">
        <f t="shared" si="3"/>
        <v>0.07378807583</v>
      </c>
      <c r="H47" s="8">
        <v>20306.0</v>
      </c>
      <c r="I47" s="8">
        <v>13.0</v>
      </c>
      <c r="J47" s="8">
        <v>4.444444566965103</v>
      </c>
      <c r="K47" s="8">
        <v>81.0</v>
      </c>
      <c r="L47" s="11">
        <f t="shared" si="4"/>
        <v>0.1604938272</v>
      </c>
      <c r="M47" s="11">
        <f t="shared" si="5"/>
        <v>0.3418803513</v>
      </c>
      <c r="N47" s="11">
        <f t="shared" si="6"/>
        <v>0.05486968601</v>
      </c>
      <c r="O47" s="18">
        <f t="shared" si="17"/>
        <v>0.7436118288</v>
      </c>
      <c r="U47" s="18"/>
      <c r="V47" s="18"/>
      <c r="W47" s="18"/>
      <c r="X47" s="18"/>
    </row>
    <row r="48" ht="15.75" customHeight="1">
      <c r="A48" s="8">
        <v>20307.0</v>
      </c>
      <c r="B48" s="8">
        <v>46.0</v>
      </c>
      <c r="C48" s="8">
        <v>16.22222262620926</v>
      </c>
      <c r="D48" s="8">
        <v>275.0</v>
      </c>
      <c r="E48" s="11">
        <f t="shared" si="1"/>
        <v>0.1672727273</v>
      </c>
      <c r="F48" s="11">
        <f t="shared" si="2"/>
        <v>0.3526570136</v>
      </c>
      <c r="G48" s="11">
        <f t="shared" si="3"/>
        <v>0.05898990046</v>
      </c>
      <c r="H48" s="8">
        <v>20307.0</v>
      </c>
      <c r="I48" s="8">
        <v>33.0</v>
      </c>
      <c r="J48" s="8">
        <v>11.444444745779037</v>
      </c>
      <c r="K48" s="8">
        <v>181.0</v>
      </c>
      <c r="L48" s="11">
        <f t="shared" si="4"/>
        <v>0.182320442</v>
      </c>
      <c r="M48" s="11">
        <f t="shared" si="5"/>
        <v>0.3468013559</v>
      </c>
      <c r="N48" s="11">
        <f t="shared" si="6"/>
        <v>0.0632289765</v>
      </c>
      <c r="O48" s="18">
        <f t="shared" si="17"/>
        <v>1.071861047</v>
      </c>
      <c r="U48" s="18"/>
      <c r="V48" s="18"/>
      <c r="W48" s="18"/>
      <c r="X48" s="18"/>
    </row>
    <row r="49" ht="15.75" customHeight="1">
      <c r="A49" s="8">
        <v>20308.0</v>
      </c>
      <c r="B49" s="8">
        <v>160.0</v>
      </c>
      <c r="C49" s="8">
        <v>60.77777913212776</v>
      </c>
      <c r="D49" s="8">
        <v>440.0</v>
      </c>
      <c r="E49" s="11">
        <f t="shared" si="1"/>
        <v>0.3636363636</v>
      </c>
      <c r="F49" s="11">
        <f t="shared" si="2"/>
        <v>0.3798611196</v>
      </c>
      <c r="G49" s="11">
        <f t="shared" si="3"/>
        <v>0.1381313162</v>
      </c>
      <c r="H49" s="8">
        <v>20308.0</v>
      </c>
      <c r="I49" s="8">
        <v>88.0</v>
      </c>
      <c r="J49" s="8">
        <v>32.00000077486038</v>
      </c>
      <c r="K49" s="8">
        <v>246.0</v>
      </c>
      <c r="L49" s="11">
        <f t="shared" si="4"/>
        <v>0.3577235772</v>
      </c>
      <c r="M49" s="11">
        <f t="shared" si="5"/>
        <v>0.3636363724</v>
      </c>
      <c r="N49" s="11">
        <f t="shared" si="6"/>
        <v>0.130081304</v>
      </c>
      <c r="O49" s="18">
        <f t="shared" si="17"/>
        <v>0.9417220333</v>
      </c>
      <c r="U49" s="18"/>
      <c r="V49" s="18"/>
      <c r="W49" s="18"/>
      <c r="X49" s="18"/>
    </row>
    <row r="50" ht="15.75" customHeight="1">
      <c r="A50" s="8">
        <v>20401.0</v>
      </c>
      <c r="B50" s="8">
        <v>151.0</v>
      </c>
      <c r="C50" s="8">
        <v>54.22222363948822</v>
      </c>
      <c r="D50" s="8">
        <v>808.0</v>
      </c>
      <c r="E50" s="11">
        <f t="shared" si="1"/>
        <v>0.1868811881</v>
      </c>
      <c r="F50" s="11">
        <f t="shared" si="2"/>
        <v>0.3590875738</v>
      </c>
      <c r="G50" s="11">
        <f t="shared" si="3"/>
        <v>0.06710671243</v>
      </c>
      <c r="H50" s="8">
        <v>20401.0</v>
      </c>
      <c r="I50" s="8">
        <v>140.0</v>
      </c>
      <c r="J50" s="8">
        <v>50.00000125169754</v>
      </c>
      <c r="K50" s="8">
        <v>540.0</v>
      </c>
      <c r="L50" s="11">
        <f t="shared" si="4"/>
        <v>0.2592592593</v>
      </c>
      <c r="M50" s="11">
        <f t="shared" si="5"/>
        <v>0.3571428661</v>
      </c>
      <c r="N50" s="11">
        <f t="shared" si="6"/>
        <v>0.09259259491</v>
      </c>
      <c r="O50" s="18">
        <f t="shared" si="17"/>
        <v>1.379781419</v>
      </c>
      <c r="U50" s="18"/>
      <c r="V50" s="18"/>
      <c r="W50" s="18"/>
      <c r="X50" s="18"/>
    </row>
    <row r="51" ht="15.75" customHeight="1">
      <c r="A51" s="8">
        <v>20402.0</v>
      </c>
      <c r="B51" s="8">
        <v>75.0</v>
      </c>
      <c r="C51" s="8">
        <v>26.888889610767365</v>
      </c>
      <c r="D51" s="8">
        <v>493.0</v>
      </c>
      <c r="E51" s="11">
        <f t="shared" si="1"/>
        <v>0.1521298174</v>
      </c>
      <c r="F51" s="11">
        <f t="shared" si="2"/>
        <v>0.3585185281</v>
      </c>
      <c r="G51" s="11">
        <f t="shared" si="3"/>
        <v>0.05454135824</v>
      </c>
      <c r="H51" s="8">
        <v>20402.0</v>
      </c>
      <c r="I51" s="8">
        <v>41.0</v>
      </c>
      <c r="J51" s="8">
        <v>15.000000327825546</v>
      </c>
      <c r="K51" s="8">
        <v>335.0</v>
      </c>
      <c r="L51" s="11">
        <f t="shared" si="4"/>
        <v>0.1223880597</v>
      </c>
      <c r="M51" s="11">
        <f t="shared" si="5"/>
        <v>0.3658536665</v>
      </c>
      <c r="N51" s="11">
        <f t="shared" si="6"/>
        <v>0.04477612038</v>
      </c>
      <c r="O51" s="18">
        <f t="shared" si="17"/>
        <v>0.8209571934</v>
      </c>
      <c r="U51" s="18"/>
      <c r="V51" s="18"/>
      <c r="W51" s="18"/>
      <c r="X51" s="18"/>
    </row>
    <row r="52" ht="15.75" customHeight="1">
      <c r="A52" s="8">
        <v>20403.0</v>
      </c>
      <c r="B52" s="8">
        <v>93.0</v>
      </c>
      <c r="C52" s="8">
        <v>33.55555647611618</v>
      </c>
      <c r="D52" s="8">
        <v>724.0</v>
      </c>
      <c r="E52" s="11">
        <f t="shared" si="1"/>
        <v>0.1284530387</v>
      </c>
      <c r="F52" s="11">
        <f t="shared" si="2"/>
        <v>0.3608124352</v>
      </c>
      <c r="G52" s="11">
        <f t="shared" si="3"/>
        <v>0.0463474537</v>
      </c>
      <c r="H52" s="8">
        <v>20403.0</v>
      </c>
      <c r="I52" s="8">
        <v>95.0</v>
      </c>
      <c r="J52" s="8">
        <v>33.66666758060455</v>
      </c>
      <c r="K52" s="8">
        <v>483.0</v>
      </c>
      <c r="L52" s="11">
        <f t="shared" si="4"/>
        <v>0.1966873706</v>
      </c>
      <c r="M52" s="11">
        <f t="shared" si="5"/>
        <v>0.3543859745</v>
      </c>
      <c r="N52" s="11">
        <f t="shared" si="6"/>
        <v>0.06970324551</v>
      </c>
      <c r="O52" s="18">
        <f t="shared" si="17"/>
        <v>1.503928262</v>
      </c>
      <c r="U52" s="18"/>
      <c r="V52" s="18"/>
      <c r="W52" s="18"/>
      <c r="X52" s="18"/>
    </row>
    <row r="53" ht="15.75" customHeight="1">
      <c r="A53" s="8">
        <v>20404.0</v>
      </c>
      <c r="B53" s="8">
        <v>56.0</v>
      </c>
      <c r="C53" s="8">
        <v>20.44444489479065</v>
      </c>
      <c r="D53" s="8">
        <v>155.0</v>
      </c>
      <c r="E53" s="11">
        <f t="shared" si="1"/>
        <v>0.3612903226</v>
      </c>
      <c r="F53" s="11">
        <f t="shared" si="2"/>
        <v>0.3650793731</v>
      </c>
      <c r="G53" s="11">
        <f t="shared" si="3"/>
        <v>0.1318996445</v>
      </c>
      <c r="H53" s="8">
        <v>20404.0</v>
      </c>
      <c r="I53" s="8">
        <v>35.0</v>
      </c>
      <c r="J53" s="8">
        <v>13.66666692495346</v>
      </c>
      <c r="K53" s="8">
        <v>78.0</v>
      </c>
      <c r="L53" s="11">
        <f t="shared" si="4"/>
        <v>0.4487179487</v>
      </c>
      <c r="M53" s="11">
        <f t="shared" si="5"/>
        <v>0.3904761979</v>
      </c>
      <c r="N53" s="11">
        <f t="shared" si="6"/>
        <v>0.1752136785</v>
      </c>
      <c r="O53" s="18">
        <f t="shared" si="17"/>
        <v>1.328386283</v>
      </c>
      <c r="U53" s="18"/>
      <c r="V53" s="18"/>
      <c r="W53" s="18"/>
      <c r="X53" s="18"/>
    </row>
    <row r="54" ht="15.75" customHeight="1">
      <c r="A54" s="8">
        <v>20405.0</v>
      </c>
      <c r="B54" s="8">
        <v>95.0</v>
      </c>
      <c r="C54" s="8">
        <v>36.000000804662704</v>
      </c>
      <c r="D54" s="8">
        <v>420.0</v>
      </c>
      <c r="E54" s="11">
        <f t="shared" si="1"/>
        <v>0.2261904762</v>
      </c>
      <c r="F54" s="11">
        <f t="shared" si="2"/>
        <v>0.3789473769</v>
      </c>
      <c r="G54" s="11">
        <f t="shared" si="3"/>
        <v>0.08571428763</v>
      </c>
      <c r="H54" s="8">
        <v>20405.0</v>
      </c>
      <c r="I54" s="8">
        <v>66.0</v>
      </c>
      <c r="J54" s="8">
        <v>24.666667193174362</v>
      </c>
      <c r="K54" s="8">
        <v>347.0</v>
      </c>
      <c r="L54" s="11">
        <f t="shared" si="4"/>
        <v>0.1902017291</v>
      </c>
      <c r="M54" s="11">
        <f t="shared" si="5"/>
        <v>0.3737373817</v>
      </c>
      <c r="N54" s="11">
        <f t="shared" si="6"/>
        <v>0.07108549623</v>
      </c>
      <c r="O54" s="18">
        <f t="shared" si="17"/>
        <v>0.8293307709</v>
      </c>
      <c r="U54" s="18"/>
      <c r="V54" s="18"/>
      <c r="W54" s="18"/>
      <c r="X54" s="18"/>
    </row>
    <row r="55" ht="15.75" customHeight="1">
      <c r="A55" s="8">
        <v>20501.0</v>
      </c>
      <c r="B55" s="8">
        <v>49.0</v>
      </c>
      <c r="C55" s="8">
        <v>17.888889342546463</v>
      </c>
      <c r="D55" s="8">
        <v>486.0</v>
      </c>
      <c r="E55" s="11">
        <f t="shared" si="1"/>
        <v>0.1008230453</v>
      </c>
      <c r="F55" s="11">
        <f t="shared" si="2"/>
        <v>0.3650793743</v>
      </c>
      <c r="G55" s="11">
        <f t="shared" si="3"/>
        <v>0.03680841429</v>
      </c>
      <c r="H55" s="8">
        <v>20501.0</v>
      </c>
      <c r="I55" s="8">
        <v>25.0</v>
      </c>
      <c r="J55" s="8">
        <v>9.222222417593002</v>
      </c>
      <c r="K55" s="8">
        <v>291.0</v>
      </c>
      <c r="L55" s="11">
        <f t="shared" si="4"/>
        <v>0.08591065292</v>
      </c>
      <c r="M55" s="11">
        <f t="shared" si="5"/>
        <v>0.3688888967</v>
      </c>
      <c r="N55" s="11">
        <f t="shared" si="6"/>
        <v>0.03169148597</v>
      </c>
      <c r="O55" s="18">
        <f t="shared" si="17"/>
        <v>0.8609848206</v>
      </c>
      <c r="U55" s="18"/>
      <c r="V55" s="18"/>
      <c r="W55" s="18"/>
      <c r="X55" s="18"/>
    </row>
    <row r="56" ht="15.75" customHeight="1">
      <c r="A56" s="8">
        <v>20502.0</v>
      </c>
      <c r="B56" s="8">
        <v>82.0</v>
      </c>
      <c r="C56" s="8">
        <v>30.22222289443016</v>
      </c>
      <c r="D56" s="8">
        <v>439.0</v>
      </c>
      <c r="E56" s="11">
        <f t="shared" si="1"/>
        <v>0.1867881549</v>
      </c>
      <c r="F56" s="11">
        <f t="shared" si="2"/>
        <v>0.3685636938</v>
      </c>
      <c r="G56" s="11">
        <f t="shared" si="3"/>
        <v>0.06884333233</v>
      </c>
      <c r="H56" s="8">
        <v>20502.0</v>
      </c>
      <c r="I56" s="8">
        <v>15.0</v>
      </c>
      <c r="J56" s="8">
        <v>5.6666668355464935</v>
      </c>
      <c r="K56" s="8">
        <v>104.0</v>
      </c>
      <c r="L56" s="11">
        <f t="shared" si="4"/>
        <v>0.1442307692</v>
      </c>
      <c r="M56" s="11">
        <f t="shared" si="5"/>
        <v>0.377777789</v>
      </c>
      <c r="N56" s="11">
        <f t="shared" si="6"/>
        <v>0.05448718111</v>
      </c>
      <c r="O56" s="18">
        <f t="shared" si="17"/>
        <v>0.7914663521</v>
      </c>
      <c r="U56" s="18"/>
      <c r="V56" s="18"/>
      <c r="W56" s="18"/>
      <c r="X56" s="18"/>
    </row>
    <row r="57" ht="15.75" customHeight="1">
      <c r="A57" s="8">
        <v>20503.0</v>
      </c>
      <c r="B57" s="8">
        <v>66.0</v>
      </c>
      <c r="C57" s="8">
        <v>24.222222805023193</v>
      </c>
      <c r="D57" s="8">
        <v>470.0</v>
      </c>
      <c r="E57" s="11">
        <f t="shared" si="1"/>
        <v>0.1404255319</v>
      </c>
      <c r="F57" s="11">
        <f t="shared" si="2"/>
        <v>0.3670033758</v>
      </c>
      <c r="G57" s="11">
        <f t="shared" si="3"/>
        <v>0.05153664427</v>
      </c>
      <c r="H57" s="8">
        <v>20503.0</v>
      </c>
      <c r="I57" s="8">
        <v>8.0</v>
      </c>
      <c r="J57" s="8">
        <v>3.11111119389534</v>
      </c>
      <c r="K57" s="8">
        <v>74.0</v>
      </c>
      <c r="L57" s="11">
        <f t="shared" si="4"/>
        <v>0.1081081081</v>
      </c>
      <c r="M57" s="11">
        <f t="shared" si="5"/>
        <v>0.3888888992</v>
      </c>
      <c r="N57" s="11">
        <f t="shared" si="6"/>
        <v>0.04204204316</v>
      </c>
      <c r="O57" s="18">
        <f t="shared" si="17"/>
        <v>0.8157699004</v>
      </c>
      <c r="U57" s="18"/>
      <c r="V57" s="18"/>
      <c r="W57" s="18"/>
      <c r="X57" s="18"/>
    </row>
    <row r="58" ht="15.75" customHeight="1">
      <c r="A58" s="8">
        <v>20601.0</v>
      </c>
      <c r="B58" s="8">
        <v>267.0</v>
      </c>
      <c r="C58" s="8">
        <v>95.0000025331974</v>
      </c>
      <c r="D58" s="8">
        <v>1570.0</v>
      </c>
      <c r="E58" s="11">
        <f t="shared" si="1"/>
        <v>0.1700636943</v>
      </c>
      <c r="F58" s="11">
        <f t="shared" si="2"/>
        <v>0.3558052529</v>
      </c>
      <c r="G58" s="11">
        <f t="shared" si="3"/>
        <v>0.06050955575</v>
      </c>
      <c r="H58" s="8">
        <v>20601.0</v>
      </c>
      <c r="I58" s="8">
        <v>94.0</v>
      </c>
      <c r="J58" s="8">
        <v>32.22222310304642</v>
      </c>
      <c r="K58" s="8">
        <v>578.0</v>
      </c>
      <c r="L58" s="11">
        <f t="shared" si="4"/>
        <v>0.1626297578</v>
      </c>
      <c r="M58" s="11">
        <f t="shared" si="5"/>
        <v>0.3427896075</v>
      </c>
      <c r="N58" s="11">
        <f t="shared" si="6"/>
        <v>0.05574779084</v>
      </c>
      <c r="O58" s="18">
        <f t="shared" si="17"/>
        <v>0.9213055713</v>
      </c>
      <c r="U58" s="18"/>
      <c r="V58" s="18"/>
      <c r="W58" s="18"/>
      <c r="X58" s="18"/>
    </row>
    <row r="59" ht="15.75" customHeight="1">
      <c r="A59" s="8">
        <v>20602.0</v>
      </c>
      <c r="B59" s="8">
        <v>154.0</v>
      </c>
      <c r="C59" s="8">
        <v>56.77777910232544</v>
      </c>
      <c r="D59" s="8">
        <v>1475.0</v>
      </c>
      <c r="E59" s="11">
        <f t="shared" si="1"/>
        <v>0.1044067797</v>
      </c>
      <c r="F59" s="11">
        <f t="shared" si="2"/>
        <v>0.3686868773</v>
      </c>
      <c r="G59" s="11">
        <f t="shared" si="3"/>
        <v>0.03849340956</v>
      </c>
      <c r="H59" s="8">
        <v>20602.0</v>
      </c>
      <c r="I59" s="8">
        <v>20.0</v>
      </c>
      <c r="J59" s="8">
        <v>7.222222447395325</v>
      </c>
      <c r="K59" s="8">
        <v>173.0</v>
      </c>
      <c r="L59" s="11">
        <f t="shared" si="4"/>
        <v>0.1156069364</v>
      </c>
      <c r="M59" s="11">
        <f t="shared" si="5"/>
        <v>0.3611111224</v>
      </c>
      <c r="N59" s="11">
        <f t="shared" si="6"/>
        <v>0.04174695056</v>
      </c>
      <c r="O59" s="18">
        <f t="shared" si="17"/>
        <v>1.084522027</v>
      </c>
      <c r="U59" s="18"/>
      <c r="V59" s="18"/>
      <c r="W59" s="18"/>
      <c r="X59" s="18"/>
    </row>
    <row r="60" ht="15.75" customHeight="1">
      <c r="A60" s="8">
        <v>20603.0</v>
      </c>
      <c r="B60" s="8">
        <v>153.0</v>
      </c>
      <c r="C60" s="8">
        <v>54.33333471417427</v>
      </c>
      <c r="D60" s="8">
        <v>781.0</v>
      </c>
      <c r="E60" s="11">
        <f t="shared" si="1"/>
        <v>0.1959026889</v>
      </c>
      <c r="F60" s="11">
        <f t="shared" si="2"/>
        <v>0.3551198347</v>
      </c>
      <c r="G60" s="11">
        <f t="shared" si="3"/>
        <v>0.06956893049</v>
      </c>
      <c r="H60" s="8">
        <v>20603.0</v>
      </c>
      <c r="I60" s="8">
        <v>20.0</v>
      </c>
      <c r="J60" s="8">
        <v>7.111111283302307</v>
      </c>
      <c r="K60" s="8">
        <v>138.0</v>
      </c>
      <c r="L60" s="11">
        <f t="shared" si="4"/>
        <v>0.1449275362</v>
      </c>
      <c r="M60" s="11">
        <f t="shared" si="5"/>
        <v>0.3555555642</v>
      </c>
      <c r="N60" s="11">
        <f t="shared" si="6"/>
        <v>0.05152979191</v>
      </c>
      <c r="O60" s="18">
        <f t="shared" si="17"/>
        <v>0.7407012231</v>
      </c>
      <c r="U60" s="18"/>
      <c r="V60" s="18"/>
      <c r="W60" s="18"/>
      <c r="X60" s="18"/>
    </row>
    <row r="61" ht="15.75" customHeight="1">
      <c r="A61" s="8">
        <v>20604.0</v>
      </c>
      <c r="B61" s="8">
        <v>30.0</v>
      </c>
      <c r="C61" s="8">
        <v>11.333333611488342</v>
      </c>
      <c r="D61" s="8">
        <v>161.0</v>
      </c>
      <c r="E61" s="11">
        <f t="shared" si="1"/>
        <v>0.1863354037</v>
      </c>
      <c r="F61" s="11">
        <f t="shared" si="2"/>
        <v>0.377777787</v>
      </c>
      <c r="G61" s="11">
        <f t="shared" si="3"/>
        <v>0.07039337647</v>
      </c>
      <c r="H61" s="8">
        <v>20604.0</v>
      </c>
      <c r="I61" s="8">
        <v>13.0</v>
      </c>
      <c r="J61" s="8">
        <v>4.888889044523239</v>
      </c>
      <c r="K61" s="8">
        <v>67.0</v>
      </c>
      <c r="L61" s="11">
        <f t="shared" si="4"/>
        <v>0.1940298507</v>
      </c>
      <c r="M61" s="11">
        <f t="shared" si="5"/>
        <v>0.376068388</v>
      </c>
      <c r="N61" s="11">
        <f t="shared" si="6"/>
        <v>0.0729684932</v>
      </c>
      <c r="O61" s="18">
        <f t="shared" si="17"/>
        <v>1.036581804</v>
      </c>
      <c r="U61" s="18"/>
      <c r="V61" s="18"/>
      <c r="W61" s="18"/>
      <c r="X61" s="18"/>
    </row>
    <row r="62" ht="15.75" customHeight="1">
      <c r="A62" s="8">
        <v>20605.0</v>
      </c>
      <c r="B62" s="8">
        <v>5.0</v>
      </c>
      <c r="C62" s="8">
        <v>1.666666716337204</v>
      </c>
      <c r="D62" s="8">
        <v>109.0</v>
      </c>
      <c r="E62" s="11">
        <f t="shared" si="1"/>
        <v>0.04587155963</v>
      </c>
      <c r="F62" s="11">
        <f t="shared" si="2"/>
        <v>0.3333333433</v>
      </c>
      <c r="G62" s="11">
        <f t="shared" si="3"/>
        <v>0.01529052033</v>
      </c>
      <c r="H62" s="8">
        <v>20605.0</v>
      </c>
      <c r="I62" s="8">
        <v>11.0</v>
      </c>
      <c r="J62" s="8">
        <v>4.000000089406967</v>
      </c>
      <c r="K62" s="8">
        <v>112.0</v>
      </c>
      <c r="L62" s="11">
        <f t="shared" si="4"/>
        <v>0.09821428571</v>
      </c>
      <c r="M62" s="11">
        <f t="shared" si="5"/>
        <v>0.3636363718</v>
      </c>
      <c r="N62" s="11">
        <f t="shared" si="6"/>
        <v>0.03571428651</v>
      </c>
      <c r="O62" s="18">
        <f t="shared" si="17"/>
        <v>2.335714268</v>
      </c>
      <c r="U62" s="18"/>
      <c r="V62" s="18"/>
      <c r="W62" s="18"/>
      <c r="X62" s="18"/>
    </row>
    <row r="63" ht="15.75" customHeight="1">
      <c r="A63" s="8">
        <v>20606.0</v>
      </c>
      <c r="B63" s="8">
        <v>65.0</v>
      </c>
      <c r="C63" s="8">
        <v>23.111111670732498</v>
      </c>
      <c r="D63" s="8">
        <v>876.0</v>
      </c>
      <c r="E63" s="11">
        <f t="shared" si="1"/>
        <v>0.07420091324</v>
      </c>
      <c r="F63" s="11">
        <f t="shared" si="2"/>
        <v>0.3555555642</v>
      </c>
      <c r="G63" s="11">
        <f t="shared" si="3"/>
        <v>0.02638254757</v>
      </c>
      <c r="H63" s="8">
        <v>20606.0</v>
      </c>
      <c r="I63" s="8">
        <v>11.0</v>
      </c>
      <c r="J63" s="8">
        <v>3.6666667759418488</v>
      </c>
      <c r="K63" s="8">
        <v>116.0</v>
      </c>
      <c r="L63" s="11">
        <f t="shared" si="4"/>
        <v>0.09482758621</v>
      </c>
      <c r="M63" s="11">
        <f t="shared" si="5"/>
        <v>0.3333333433</v>
      </c>
      <c r="N63" s="11">
        <f t="shared" si="6"/>
        <v>0.03160919634</v>
      </c>
      <c r="O63" s="18">
        <f t="shared" si="17"/>
        <v>1.198110086</v>
      </c>
      <c r="U63" s="18"/>
      <c r="V63" s="18"/>
      <c r="W63" s="18"/>
      <c r="X63" s="18"/>
    </row>
    <row r="64" ht="15.75" customHeight="1">
      <c r="A64" s="8">
        <v>20607.0</v>
      </c>
      <c r="B64" s="8">
        <v>159.0</v>
      </c>
      <c r="C64" s="8">
        <v>56.22222378849983</v>
      </c>
      <c r="D64" s="8">
        <v>2544.0</v>
      </c>
      <c r="E64" s="11">
        <f t="shared" si="1"/>
        <v>0.0625</v>
      </c>
      <c r="F64" s="11">
        <f t="shared" si="2"/>
        <v>0.3535988918</v>
      </c>
      <c r="G64" s="11">
        <f t="shared" si="3"/>
        <v>0.02209993073</v>
      </c>
      <c r="H64" s="8">
        <v>20607.0</v>
      </c>
      <c r="I64" s="8">
        <v>11.0</v>
      </c>
      <c r="J64" s="8">
        <v>4.111111223697662</v>
      </c>
      <c r="K64" s="8">
        <v>235.0</v>
      </c>
      <c r="L64" s="11">
        <f t="shared" si="4"/>
        <v>0.04680851064</v>
      </c>
      <c r="M64" s="11">
        <f t="shared" si="5"/>
        <v>0.373737384</v>
      </c>
      <c r="N64" s="11">
        <f t="shared" si="6"/>
        <v>0.01749409031</v>
      </c>
      <c r="O64" s="18">
        <f t="shared" si="17"/>
        <v>0.791590278</v>
      </c>
      <c r="U64" s="18"/>
      <c r="V64" s="18"/>
      <c r="W64" s="18"/>
      <c r="X64" s="18"/>
    </row>
    <row r="65" ht="15.75" customHeight="1">
      <c r="A65" s="8">
        <v>20608.0</v>
      </c>
      <c r="B65" s="8">
        <v>382.0</v>
      </c>
      <c r="C65" s="8">
        <v>149.111114859581</v>
      </c>
      <c r="D65" s="8">
        <v>1535.0</v>
      </c>
      <c r="E65" s="11">
        <f t="shared" si="1"/>
        <v>0.2488599349</v>
      </c>
      <c r="F65" s="11">
        <f t="shared" si="2"/>
        <v>0.3903432326</v>
      </c>
      <c r="G65" s="11">
        <f t="shared" si="3"/>
        <v>0.09714079144</v>
      </c>
      <c r="H65" s="8">
        <v>20608.0</v>
      </c>
      <c r="I65" s="8">
        <v>43.0</v>
      </c>
      <c r="J65" s="8">
        <v>15.333333760499954</v>
      </c>
      <c r="K65" s="8">
        <v>151.0</v>
      </c>
      <c r="L65" s="11">
        <f t="shared" si="4"/>
        <v>0.2847682119</v>
      </c>
      <c r="M65" s="11">
        <f t="shared" si="5"/>
        <v>0.3565891572</v>
      </c>
      <c r="N65" s="11">
        <f t="shared" si="6"/>
        <v>0.1015452567</v>
      </c>
      <c r="O65" s="18">
        <f t="shared" si="17"/>
        <v>1.045341048</v>
      </c>
      <c r="U65" s="18"/>
      <c r="V65" s="18"/>
      <c r="W65" s="18"/>
      <c r="X65" s="18"/>
    </row>
    <row r="66" ht="15.75" customHeight="1">
      <c r="A66" s="8">
        <v>20701.0</v>
      </c>
      <c r="B66" s="8">
        <v>255.0</v>
      </c>
      <c r="C66" s="8">
        <v>112.00000295042992</v>
      </c>
      <c r="D66" s="8">
        <v>1326.0</v>
      </c>
      <c r="E66" s="11">
        <f t="shared" si="1"/>
        <v>0.1923076923</v>
      </c>
      <c r="F66" s="11">
        <f t="shared" si="2"/>
        <v>0.4392156978</v>
      </c>
      <c r="G66" s="11">
        <f t="shared" si="3"/>
        <v>0.08446455728</v>
      </c>
      <c r="H66" s="8">
        <v>20701.0</v>
      </c>
      <c r="I66" s="8">
        <v>25.0</v>
      </c>
      <c r="J66" s="8">
        <v>8.666666895151138</v>
      </c>
      <c r="K66" s="8">
        <v>115.0</v>
      </c>
      <c r="L66" s="11">
        <f t="shared" si="4"/>
        <v>0.2173913043</v>
      </c>
      <c r="M66" s="11">
        <f t="shared" si="5"/>
        <v>0.3466666758</v>
      </c>
      <c r="N66" s="11">
        <f t="shared" si="6"/>
        <v>0.07536232083</v>
      </c>
      <c r="O66" s="18">
        <f t="shared" si="17"/>
        <v>0.8922360249</v>
      </c>
      <c r="U66" s="18"/>
      <c r="V66" s="18"/>
      <c r="W66" s="18"/>
      <c r="X66" s="18"/>
    </row>
    <row r="67" ht="15.75" customHeight="1">
      <c r="A67" s="8">
        <v>20702.0</v>
      </c>
      <c r="B67" s="8">
        <v>61.0</v>
      </c>
      <c r="C67" s="8">
        <v>22.33333393931389</v>
      </c>
      <c r="D67" s="8">
        <v>406.0</v>
      </c>
      <c r="E67" s="11">
        <f t="shared" si="1"/>
        <v>0.1502463054</v>
      </c>
      <c r="F67" s="11">
        <f t="shared" si="2"/>
        <v>0.3661202285</v>
      </c>
      <c r="G67" s="11">
        <f t="shared" si="3"/>
        <v>0.05500821167</v>
      </c>
      <c r="H67" s="8">
        <v>20702.0</v>
      </c>
      <c r="I67" s="8">
        <v>31.0</v>
      </c>
      <c r="J67" s="8">
        <v>10.444444745779037</v>
      </c>
      <c r="K67" s="8">
        <v>115.0</v>
      </c>
      <c r="L67" s="11">
        <f t="shared" si="4"/>
        <v>0.2695652174</v>
      </c>
      <c r="M67" s="11">
        <f t="shared" si="5"/>
        <v>0.3369175724</v>
      </c>
      <c r="N67" s="11">
        <f t="shared" si="6"/>
        <v>0.09082125866</v>
      </c>
      <c r="O67" s="18">
        <f t="shared" si="17"/>
        <v>1.651049105</v>
      </c>
      <c r="U67" s="18"/>
      <c r="V67" s="18"/>
      <c r="W67" s="18"/>
      <c r="X67" s="18"/>
    </row>
    <row r="68" ht="15.75" customHeight="1">
      <c r="A68" s="8">
        <v>20801.0</v>
      </c>
      <c r="B68" s="8">
        <v>893.0</v>
      </c>
      <c r="C68" s="8">
        <v>323.33334159851074</v>
      </c>
      <c r="D68" s="8">
        <v>13567.0</v>
      </c>
      <c r="E68" s="11">
        <f t="shared" si="1"/>
        <v>0.06582147859</v>
      </c>
      <c r="F68" s="11">
        <f t="shared" si="2"/>
        <v>0.3620754105</v>
      </c>
      <c r="G68" s="11">
        <f t="shared" si="3"/>
        <v>0.02383233888</v>
      </c>
      <c r="H68" s="8">
        <v>20801.0</v>
      </c>
      <c r="I68" s="8">
        <v>438.0</v>
      </c>
      <c r="J68" s="8">
        <v>157.8888927102089</v>
      </c>
      <c r="K68" s="8">
        <v>2041.0</v>
      </c>
      <c r="L68" s="11">
        <f t="shared" si="4"/>
        <v>0.2146006859</v>
      </c>
      <c r="M68" s="11">
        <f t="shared" si="5"/>
        <v>0.360476924</v>
      </c>
      <c r="N68" s="11">
        <f t="shared" si="6"/>
        <v>0.07735859515</v>
      </c>
      <c r="O68" s="18">
        <f t="shared" si="17"/>
        <v>3.245950619</v>
      </c>
      <c r="U68" s="18"/>
      <c r="V68" s="18"/>
      <c r="W68" s="18"/>
      <c r="X68" s="18"/>
    </row>
    <row r="69" ht="15.75" customHeight="1">
      <c r="A69" s="8">
        <v>20802.0</v>
      </c>
      <c r="B69" s="8">
        <v>44.0</v>
      </c>
      <c r="C69" s="8">
        <v>15.888889282941818</v>
      </c>
      <c r="D69" s="8">
        <v>602.0</v>
      </c>
      <c r="E69" s="11">
        <f t="shared" si="1"/>
        <v>0.073089701</v>
      </c>
      <c r="F69" s="11">
        <f t="shared" si="2"/>
        <v>0.3611111201</v>
      </c>
      <c r="G69" s="11">
        <f t="shared" si="3"/>
        <v>0.02639350379</v>
      </c>
      <c r="H69" s="8">
        <v>20802.0</v>
      </c>
      <c r="I69" s="8">
        <v>27.0</v>
      </c>
      <c r="J69" s="8">
        <v>9.444444686174393</v>
      </c>
      <c r="K69" s="8">
        <v>403.0</v>
      </c>
      <c r="L69" s="11">
        <f t="shared" si="4"/>
        <v>0.06699751861</v>
      </c>
      <c r="M69" s="11">
        <f t="shared" si="5"/>
        <v>0.3497942476</v>
      </c>
      <c r="N69" s="11">
        <f t="shared" si="6"/>
        <v>0.02343534662</v>
      </c>
      <c r="O69" s="18">
        <f t="shared" si="17"/>
        <v>0.8879210127</v>
      </c>
      <c r="U69" s="18"/>
      <c r="V69" s="18"/>
      <c r="W69" s="18"/>
      <c r="X69" s="18"/>
    </row>
    <row r="70" ht="15.75" customHeight="1">
      <c r="A70" s="8">
        <v>20803.0</v>
      </c>
      <c r="B70" s="8">
        <v>81.0</v>
      </c>
      <c r="C70" s="8">
        <v>29.000000715255737</v>
      </c>
      <c r="D70" s="8">
        <v>554.0</v>
      </c>
      <c r="E70" s="11">
        <f t="shared" si="1"/>
        <v>0.1462093863</v>
      </c>
      <c r="F70" s="11">
        <f t="shared" si="2"/>
        <v>0.3580247002</v>
      </c>
      <c r="G70" s="11">
        <f t="shared" si="3"/>
        <v>0.05234657169</v>
      </c>
      <c r="H70" s="8">
        <v>20803.0</v>
      </c>
      <c r="I70" s="8">
        <v>52.0</v>
      </c>
      <c r="J70" s="8">
        <v>19.000000476837158</v>
      </c>
      <c r="K70" s="8">
        <v>302.0</v>
      </c>
      <c r="L70" s="11">
        <f t="shared" si="4"/>
        <v>0.1721854305</v>
      </c>
      <c r="M70" s="11">
        <f t="shared" si="5"/>
        <v>0.3653846246</v>
      </c>
      <c r="N70" s="11">
        <f t="shared" si="6"/>
        <v>0.06291390886</v>
      </c>
      <c r="O70" s="18">
        <f t="shared" si="17"/>
        <v>1.201872574</v>
      </c>
      <c r="U70" s="18"/>
      <c r="V70" s="18"/>
      <c r="W70" s="18"/>
      <c r="X70" s="18"/>
    </row>
    <row r="71" ht="15.75" customHeight="1">
      <c r="A71" s="8">
        <v>20804.0</v>
      </c>
      <c r="B71" s="8">
        <v>13.0</v>
      </c>
      <c r="C71" s="8">
        <v>4.888888984918594</v>
      </c>
      <c r="D71" s="8">
        <v>351.0</v>
      </c>
      <c r="E71" s="11">
        <f t="shared" si="1"/>
        <v>0.03703703704</v>
      </c>
      <c r="F71" s="11">
        <f t="shared" si="2"/>
        <v>0.3760683835</v>
      </c>
      <c r="G71" s="11">
        <f t="shared" si="3"/>
        <v>0.01392845865</v>
      </c>
      <c r="H71" s="8">
        <v>20804.0</v>
      </c>
      <c r="I71" s="8">
        <v>7.0</v>
      </c>
      <c r="J71" s="8">
        <v>2.3333334028720856</v>
      </c>
      <c r="K71" s="8">
        <v>126.0</v>
      </c>
      <c r="L71" s="11">
        <f t="shared" si="4"/>
        <v>0.05555555556</v>
      </c>
      <c r="M71" s="11">
        <f t="shared" si="5"/>
        <v>0.3333333433</v>
      </c>
      <c r="N71" s="11">
        <f t="shared" si="6"/>
        <v>0.01851851907</v>
      </c>
      <c r="O71" s="18">
        <f t="shared" si="17"/>
        <v>1.329545468</v>
      </c>
      <c r="U71" s="18"/>
      <c r="V71" s="18"/>
      <c r="W71" s="18"/>
      <c r="X71" s="18"/>
    </row>
    <row r="72" ht="15.75" customHeight="1">
      <c r="A72" s="8">
        <v>20805.0</v>
      </c>
      <c r="B72" s="8">
        <v>35.0</v>
      </c>
      <c r="C72" s="8">
        <v>12.222222536802292</v>
      </c>
      <c r="D72" s="8">
        <v>411.0</v>
      </c>
      <c r="E72" s="11">
        <f t="shared" si="1"/>
        <v>0.08515815085</v>
      </c>
      <c r="F72" s="11">
        <f t="shared" si="2"/>
        <v>0.3492063582</v>
      </c>
      <c r="G72" s="11">
        <f t="shared" si="3"/>
        <v>0.02973776773</v>
      </c>
      <c r="H72" s="8">
        <v>20805.0</v>
      </c>
      <c r="I72" s="8">
        <v>24.0</v>
      </c>
      <c r="J72" s="8">
        <v>9.000000178813934</v>
      </c>
      <c r="K72" s="8">
        <v>207.0</v>
      </c>
      <c r="L72" s="11">
        <f t="shared" si="4"/>
        <v>0.115942029</v>
      </c>
      <c r="M72" s="11">
        <f t="shared" si="5"/>
        <v>0.3750000075</v>
      </c>
      <c r="N72" s="11">
        <f t="shared" si="6"/>
        <v>0.04347826173</v>
      </c>
      <c r="O72" s="18">
        <f t="shared" si="17"/>
        <v>1.462055327</v>
      </c>
      <c r="U72" s="18"/>
      <c r="V72" s="18"/>
      <c r="W72" s="18"/>
      <c r="X72" s="18"/>
    </row>
    <row r="73" ht="15.75" customHeight="1">
      <c r="A73" s="8">
        <v>20806.0</v>
      </c>
      <c r="B73" s="8">
        <v>104.0</v>
      </c>
      <c r="C73" s="8">
        <v>37.22222316265106</v>
      </c>
      <c r="D73" s="8">
        <v>719.0</v>
      </c>
      <c r="E73" s="11">
        <f t="shared" si="1"/>
        <v>0.1446453408</v>
      </c>
      <c r="F73" s="11">
        <f t="shared" si="2"/>
        <v>0.3579059919</v>
      </c>
      <c r="G73" s="11">
        <f t="shared" si="3"/>
        <v>0.05176943416</v>
      </c>
      <c r="H73" s="8">
        <v>20806.0</v>
      </c>
      <c r="I73" s="8">
        <v>63.0</v>
      </c>
      <c r="J73" s="8">
        <v>22.55555608868599</v>
      </c>
      <c r="K73" s="8">
        <v>463.0</v>
      </c>
      <c r="L73" s="11">
        <f t="shared" si="4"/>
        <v>0.1360691145</v>
      </c>
      <c r="M73" s="11">
        <f t="shared" si="5"/>
        <v>0.3580246998</v>
      </c>
      <c r="N73" s="11">
        <f t="shared" si="6"/>
        <v>0.04871610386</v>
      </c>
      <c r="O73" s="18">
        <f t="shared" si="17"/>
        <v>0.9410205974</v>
      </c>
      <c r="U73" s="18"/>
      <c r="V73" s="18"/>
      <c r="W73" s="18"/>
      <c r="X73" s="18"/>
    </row>
    <row r="74" ht="15.75" customHeight="1">
      <c r="A74" s="8">
        <v>20807.0</v>
      </c>
      <c r="B74" s="8">
        <v>45.0</v>
      </c>
      <c r="C74" s="8">
        <v>15.777778178453445</v>
      </c>
      <c r="D74" s="8">
        <v>533.0</v>
      </c>
      <c r="E74" s="11">
        <f t="shared" si="1"/>
        <v>0.08442776735</v>
      </c>
      <c r="F74" s="11">
        <f t="shared" si="2"/>
        <v>0.3506172929</v>
      </c>
      <c r="G74" s="11">
        <f t="shared" si="3"/>
        <v>0.02960183523</v>
      </c>
      <c r="H74" s="8">
        <v>20807.0</v>
      </c>
      <c r="I74" s="8">
        <v>40.0</v>
      </c>
      <c r="J74" s="8">
        <v>14.44444477558136</v>
      </c>
      <c r="K74" s="8">
        <v>356.0</v>
      </c>
      <c r="L74" s="11">
        <f t="shared" si="4"/>
        <v>0.1123595506</v>
      </c>
      <c r="M74" s="11">
        <f t="shared" si="5"/>
        <v>0.3611111194</v>
      </c>
      <c r="N74" s="11">
        <f t="shared" si="6"/>
        <v>0.04057428308</v>
      </c>
      <c r="O74" s="18">
        <f t="shared" si="17"/>
        <v>1.370667824</v>
      </c>
      <c r="U74" s="18"/>
      <c r="V74" s="18"/>
      <c r="W74" s="18"/>
      <c r="X74" s="18"/>
    </row>
    <row r="75" ht="15.75" customHeight="1">
      <c r="A75" s="8">
        <v>20901.0</v>
      </c>
      <c r="B75" s="8">
        <v>27.0</v>
      </c>
      <c r="C75" s="8">
        <v>9.555555820465088</v>
      </c>
      <c r="D75" s="8">
        <v>396.0</v>
      </c>
      <c r="E75" s="11">
        <f t="shared" si="1"/>
        <v>0.06818181818</v>
      </c>
      <c r="F75" s="11">
        <f t="shared" si="2"/>
        <v>0.3539094748</v>
      </c>
      <c r="G75" s="11">
        <f t="shared" si="3"/>
        <v>0.02413019147</v>
      </c>
      <c r="H75" s="8">
        <v>20901.0</v>
      </c>
      <c r="I75" s="8">
        <v>12.0</v>
      </c>
      <c r="J75" s="8">
        <v>4.0000001192092896</v>
      </c>
      <c r="K75" s="8">
        <v>140.0</v>
      </c>
      <c r="L75" s="11">
        <f t="shared" si="4"/>
        <v>0.08571428571</v>
      </c>
      <c r="M75" s="11">
        <f t="shared" si="5"/>
        <v>0.3333333433</v>
      </c>
      <c r="N75" s="11">
        <f t="shared" si="6"/>
        <v>0.02857142942</v>
      </c>
      <c r="O75" s="18">
        <f t="shared" si="17"/>
        <v>1.184053159</v>
      </c>
      <c r="U75" s="18"/>
      <c r="V75" s="18"/>
      <c r="W75" s="18"/>
      <c r="X75" s="18"/>
    </row>
    <row r="76" ht="15.75" customHeight="1">
      <c r="A76" s="8">
        <v>20902.0</v>
      </c>
      <c r="B76" s="8">
        <v>80.0</v>
      </c>
      <c r="C76" s="8">
        <v>29.888889610767365</v>
      </c>
      <c r="D76" s="8">
        <v>668.0</v>
      </c>
      <c r="E76" s="11">
        <f t="shared" si="1"/>
        <v>0.119760479</v>
      </c>
      <c r="F76" s="11">
        <f t="shared" si="2"/>
        <v>0.3736111201</v>
      </c>
      <c r="G76" s="11">
        <f t="shared" si="3"/>
        <v>0.04474384672</v>
      </c>
      <c r="H76" s="8">
        <v>20902.0</v>
      </c>
      <c r="I76" s="8">
        <v>39.0</v>
      </c>
      <c r="J76" s="8">
        <v>14.333333641290665</v>
      </c>
      <c r="K76" s="8">
        <v>265.0</v>
      </c>
      <c r="L76" s="11">
        <f t="shared" si="4"/>
        <v>0.1471698113</v>
      </c>
      <c r="M76" s="11">
        <f t="shared" si="5"/>
        <v>0.3675213754</v>
      </c>
      <c r="N76" s="11">
        <f t="shared" si="6"/>
        <v>0.05408805148</v>
      </c>
      <c r="O76" s="18">
        <f t="shared" si="17"/>
        <v>1.208837761</v>
      </c>
      <c r="U76" s="18"/>
      <c r="V76" s="18"/>
      <c r="W76" s="18"/>
      <c r="X76" s="18"/>
    </row>
    <row r="77" ht="15.75" customHeight="1">
      <c r="A77" s="8">
        <v>20903.0</v>
      </c>
      <c r="B77" s="8">
        <v>103.0</v>
      </c>
      <c r="C77" s="8">
        <v>37.33333423733711</v>
      </c>
      <c r="D77" s="8">
        <v>444.0</v>
      </c>
      <c r="E77" s="11">
        <f t="shared" si="1"/>
        <v>0.231981982</v>
      </c>
      <c r="F77" s="11">
        <f t="shared" si="2"/>
        <v>0.3624595557</v>
      </c>
      <c r="G77" s="11">
        <f t="shared" si="3"/>
        <v>0.08408408612</v>
      </c>
      <c r="H77" s="8">
        <v>20903.0</v>
      </c>
      <c r="I77" s="8">
        <v>62.0</v>
      </c>
      <c r="J77" s="8">
        <v>23.22222274541855</v>
      </c>
      <c r="K77" s="8">
        <v>349.0</v>
      </c>
      <c r="L77" s="11">
        <f t="shared" si="4"/>
        <v>0.1776504298</v>
      </c>
      <c r="M77" s="11">
        <f t="shared" si="5"/>
        <v>0.3745519798</v>
      </c>
      <c r="N77" s="11">
        <f t="shared" si="6"/>
        <v>0.06653932019</v>
      </c>
      <c r="O77" s="18">
        <f t="shared" si="17"/>
        <v>0.7913426102</v>
      </c>
      <c r="U77" s="18"/>
      <c r="V77" s="18"/>
      <c r="W77" s="18"/>
      <c r="X77" s="18"/>
    </row>
    <row r="78" ht="15.75" customHeight="1">
      <c r="A78" s="8">
        <v>20904.0</v>
      </c>
      <c r="B78" s="8">
        <v>63.0</v>
      </c>
      <c r="C78" s="8">
        <v>22.888889461755753</v>
      </c>
      <c r="D78" s="8">
        <v>336.0</v>
      </c>
      <c r="E78" s="11">
        <f t="shared" si="1"/>
        <v>0.1875</v>
      </c>
      <c r="F78" s="11">
        <f t="shared" si="2"/>
        <v>0.3633157057</v>
      </c>
      <c r="G78" s="11">
        <f t="shared" si="3"/>
        <v>0.06812169483</v>
      </c>
      <c r="H78" s="8">
        <v>20904.0</v>
      </c>
      <c r="I78" s="8">
        <v>54.0</v>
      </c>
      <c r="J78" s="8">
        <v>19.111111611127853</v>
      </c>
      <c r="K78" s="8">
        <v>156.0</v>
      </c>
      <c r="L78" s="11">
        <f t="shared" si="4"/>
        <v>0.3461538462</v>
      </c>
      <c r="M78" s="11">
        <f t="shared" si="5"/>
        <v>0.3539094743</v>
      </c>
      <c r="N78" s="11">
        <f t="shared" si="6"/>
        <v>0.1225071257</v>
      </c>
      <c r="O78" s="18">
        <f t="shared" si="17"/>
        <v>1.798356985</v>
      </c>
      <c r="U78" s="18"/>
      <c r="V78" s="18"/>
      <c r="W78" s="18"/>
      <c r="X78" s="18"/>
    </row>
    <row r="79" ht="15.75" customHeight="1">
      <c r="A79" s="8">
        <v>20905.0</v>
      </c>
      <c r="B79" s="8">
        <v>58.0</v>
      </c>
      <c r="C79" s="8">
        <v>20.44444501399994</v>
      </c>
      <c r="D79" s="8">
        <v>572.0</v>
      </c>
      <c r="E79" s="11">
        <f t="shared" si="1"/>
        <v>0.1013986014</v>
      </c>
      <c r="F79" s="11">
        <f t="shared" si="2"/>
        <v>0.3524904313</v>
      </c>
      <c r="G79" s="11">
        <f t="shared" si="3"/>
        <v>0.03574203674</v>
      </c>
      <c r="H79" s="8">
        <v>20905.0</v>
      </c>
      <c r="I79" s="8">
        <v>16.0</v>
      </c>
      <c r="J79" s="8">
        <v>5.666666805744171</v>
      </c>
      <c r="K79" s="8">
        <v>117.0</v>
      </c>
      <c r="L79" s="11">
        <f t="shared" si="4"/>
        <v>0.1367521368</v>
      </c>
      <c r="M79" s="11">
        <f t="shared" si="5"/>
        <v>0.3541666754</v>
      </c>
      <c r="N79" s="11">
        <f t="shared" si="6"/>
        <v>0.04843304962</v>
      </c>
      <c r="O79" s="18">
        <f t="shared" si="17"/>
        <v>1.355072459</v>
      </c>
      <c r="U79" s="18"/>
      <c r="V79" s="18"/>
      <c r="W79" s="18"/>
      <c r="X79" s="18"/>
    </row>
    <row r="80" ht="15.75" customHeight="1">
      <c r="A80" s="8">
        <v>21001.0</v>
      </c>
      <c r="B80" s="8">
        <v>212.0</v>
      </c>
      <c r="C80" s="8">
        <v>76.88889083266258</v>
      </c>
      <c r="D80" s="8">
        <v>821.0</v>
      </c>
      <c r="E80" s="11">
        <f t="shared" si="1"/>
        <v>0.2582216809</v>
      </c>
      <c r="F80" s="11">
        <f t="shared" si="2"/>
        <v>0.3626834473</v>
      </c>
      <c r="G80" s="11">
        <f t="shared" si="3"/>
        <v>0.09365272939</v>
      </c>
      <c r="H80" s="8">
        <v>21001.0</v>
      </c>
      <c r="I80" s="8">
        <v>56.0</v>
      </c>
      <c r="J80" s="8">
        <v>19.444444954395294</v>
      </c>
      <c r="K80" s="8">
        <v>274.0</v>
      </c>
      <c r="L80" s="11">
        <f t="shared" si="4"/>
        <v>0.204379562</v>
      </c>
      <c r="M80" s="11">
        <f t="shared" si="5"/>
        <v>0.3472222313</v>
      </c>
      <c r="N80" s="11">
        <f t="shared" si="6"/>
        <v>0.07096512757</v>
      </c>
      <c r="O80" s="18">
        <f t="shared" si="17"/>
        <v>0.7577475641</v>
      </c>
      <c r="U80" s="18"/>
      <c r="V80" s="18"/>
      <c r="W80" s="18"/>
      <c r="X80" s="18"/>
    </row>
    <row r="81" ht="15.75" customHeight="1">
      <c r="A81" s="8">
        <v>21002.0</v>
      </c>
      <c r="B81" s="8">
        <v>70.0</v>
      </c>
      <c r="C81" s="8">
        <v>25.444445073604584</v>
      </c>
      <c r="D81" s="8">
        <v>743.0</v>
      </c>
      <c r="E81" s="11">
        <f t="shared" si="1"/>
        <v>0.09421265141</v>
      </c>
      <c r="F81" s="11">
        <f t="shared" si="2"/>
        <v>0.3634920725</v>
      </c>
      <c r="G81" s="11">
        <f t="shared" si="3"/>
        <v>0.03424555192</v>
      </c>
      <c r="H81" s="8">
        <v>21002.0</v>
      </c>
      <c r="I81" s="8">
        <v>10.0</v>
      </c>
      <c r="J81" s="8">
        <v>3.5555556416511536</v>
      </c>
      <c r="K81" s="8">
        <v>137.0</v>
      </c>
      <c r="L81" s="11">
        <f t="shared" si="4"/>
        <v>0.07299270073</v>
      </c>
      <c r="M81" s="11">
        <f t="shared" si="5"/>
        <v>0.3555555642</v>
      </c>
      <c r="N81" s="11">
        <f t="shared" si="6"/>
        <v>0.02595296089</v>
      </c>
      <c r="O81" s="18">
        <f t="shared" si="17"/>
        <v>0.7578491055</v>
      </c>
      <c r="U81" s="18"/>
      <c r="V81" s="18"/>
      <c r="W81" s="18"/>
      <c r="X81" s="18"/>
    </row>
    <row r="82" ht="15.75" customHeight="1">
      <c r="A82" s="8">
        <v>21003.0</v>
      </c>
      <c r="B82" s="8">
        <v>109.0</v>
      </c>
      <c r="C82" s="8">
        <v>41.00000098347664</v>
      </c>
      <c r="D82" s="8">
        <v>889.0</v>
      </c>
      <c r="E82" s="11">
        <f t="shared" si="1"/>
        <v>0.1226096738</v>
      </c>
      <c r="F82" s="11">
        <f t="shared" si="2"/>
        <v>0.376146798</v>
      </c>
      <c r="G82" s="11">
        <f t="shared" si="3"/>
        <v>0.0461192362</v>
      </c>
      <c r="H82" s="8">
        <v>21003.0</v>
      </c>
      <c r="I82" s="8">
        <v>3.0</v>
      </c>
      <c r="J82" s="8">
        <v>1.0000000298023224</v>
      </c>
      <c r="K82" s="8">
        <v>87.0</v>
      </c>
      <c r="L82" s="11">
        <f t="shared" si="4"/>
        <v>0.03448275862</v>
      </c>
      <c r="M82" s="11">
        <f t="shared" si="5"/>
        <v>0.3333333433</v>
      </c>
      <c r="N82" s="11">
        <f t="shared" si="6"/>
        <v>0.01149425322</v>
      </c>
      <c r="O82" s="18">
        <f t="shared" si="17"/>
        <v>0.2492290455</v>
      </c>
      <c r="U82" s="18"/>
      <c r="V82" s="18"/>
      <c r="W82" s="18"/>
      <c r="X82" s="18"/>
    </row>
    <row r="83" ht="15.75" customHeight="1">
      <c r="A83" s="8">
        <v>21004.0</v>
      </c>
      <c r="B83" s="8">
        <v>105.0</v>
      </c>
      <c r="C83" s="8">
        <v>36.88888990879059</v>
      </c>
      <c r="D83" s="8">
        <v>842.0</v>
      </c>
      <c r="E83" s="11">
        <f t="shared" si="1"/>
        <v>0.1247030879</v>
      </c>
      <c r="F83" s="11">
        <f t="shared" si="2"/>
        <v>0.351322761</v>
      </c>
      <c r="G83" s="11">
        <f t="shared" si="3"/>
        <v>0.04381103315</v>
      </c>
      <c r="H83" s="8">
        <v>21004.0</v>
      </c>
      <c r="I83" s="8">
        <v>94.0</v>
      </c>
      <c r="J83" s="8">
        <v>32.00000089406967</v>
      </c>
      <c r="K83" s="8">
        <v>468.0</v>
      </c>
      <c r="L83" s="11">
        <f t="shared" si="4"/>
        <v>0.2008547009</v>
      </c>
      <c r="M83" s="11">
        <f t="shared" si="5"/>
        <v>0.3404255414</v>
      </c>
      <c r="N83" s="11">
        <f t="shared" si="6"/>
        <v>0.06837607029</v>
      </c>
      <c r="O83" s="18">
        <f t="shared" si="17"/>
        <v>1.560704356</v>
      </c>
      <c r="U83" s="18"/>
      <c r="V83" s="18"/>
      <c r="W83" s="18"/>
      <c r="X83" s="18"/>
    </row>
    <row r="84" ht="15.75" customHeight="1">
      <c r="A84" s="8">
        <v>21005.0</v>
      </c>
      <c r="B84" s="8">
        <v>49.0</v>
      </c>
      <c r="C84" s="8">
        <v>17.444444924592972</v>
      </c>
      <c r="D84" s="8">
        <v>168.0</v>
      </c>
      <c r="E84" s="11">
        <f t="shared" si="1"/>
        <v>0.2916666667</v>
      </c>
      <c r="F84" s="11">
        <f t="shared" si="2"/>
        <v>0.3560090801</v>
      </c>
      <c r="G84" s="11">
        <f t="shared" si="3"/>
        <v>0.1038359817</v>
      </c>
      <c r="H84" s="8">
        <v>21005.0</v>
      </c>
      <c r="I84" s="8">
        <v>17.0</v>
      </c>
      <c r="J84" s="8">
        <v>6.2222223579883575</v>
      </c>
      <c r="K84" s="8">
        <v>50.0</v>
      </c>
      <c r="L84" s="11">
        <f t="shared" si="4"/>
        <v>0.34</v>
      </c>
      <c r="M84" s="11">
        <f t="shared" si="5"/>
        <v>0.3660130799</v>
      </c>
      <c r="N84" s="11">
        <f t="shared" si="6"/>
        <v>0.1244444472</v>
      </c>
      <c r="O84" s="18">
        <f t="shared" si="17"/>
        <v>1.198471331</v>
      </c>
      <c r="U84" s="18"/>
      <c r="V84" s="18"/>
      <c r="W84" s="18"/>
      <c r="X84" s="18"/>
    </row>
    <row r="85" ht="15.75" customHeight="1">
      <c r="A85" s="8">
        <v>21006.0</v>
      </c>
      <c r="B85" s="8">
        <v>21.0</v>
      </c>
      <c r="C85" s="8">
        <v>7.333333522081375</v>
      </c>
      <c r="D85" s="8">
        <v>329.0</v>
      </c>
      <c r="E85" s="11">
        <f t="shared" si="1"/>
        <v>0.06382978723</v>
      </c>
      <c r="F85" s="11">
        <f t="shared" si="2"/>
        <v>0.3492063582</v>
      </c>
      <c r="G85" s="11">
        <f t="shared" si="3"/>
        <v>0.02228976754</v>
      </c>
      <c r="H85" s="8">
        <v>21006.0</v>
      </c>
      <c r="I85" s="8">
        <v>8.0</v>
      </c>
      <c r="J85" s="8">
        <v>2.6666667461395264</v>
      </c>
      <c r="K85" s="8">
        <v>70.0</v>
      </c>
      <c r="L85" s="11">
        <f t="shared" si="4"/>
        <v>0.1142857143</v>
      </c>
      <c r="M85" s="11">
        <f t="shared" si="5"/>
        <v>0.3333333433</v>
      </c>
      <c r="N85" s="11">
        <f t="shared" si="6"/>
        <v>0.03809523923</v>
      </c>
      <c r="O85" s="18">
        <f t="shared" si="17"/>
        <v>1.709090916</v>
      </c>
      <c r="U85" s="18"/>
      <c r="V85" s="18"/>
      <c r="W85" s="18"/>
      <c r="X85" s="18"/>
    </row>
    <row r="86" ht="15.75" customHeight="1">
      <c r="A86" s="8">
        <v>21101.0</v>
      </c>
      <c r="B86" s="8">
        <v>43.0</v>
      </c>
      <c r="C86" s="8">
        <v>15.777778178453445</v>
      </c>
      <c r="D86" s="8">
        <v>955.0</v>
      </c>
      <c r="E86" s="11">
        <f t="shared" si="1"/>
        <v>0.04502617801</v>
      </c>
      <c r="F86" s="11">
        <f t="shared" si="2"/>
        <v>0.3669250739</v>
      </c>
      <c r="G86" s="11">
        <f t="shared" si="3"/>
        <v>0.01652123369</v>
      </c>
      <c r="H86" s="8">
        <v>21101.0</v>
      </c>
      <c r="I86" s="8">
        <v>3.0</v>
      </c>
      <c r="J86" s="8">
        <v>1.1111111342906952</v>
      </c>
      <c r="K86" s="8">
        <v>152.0</v>
      </c>
      <c r="L86" s="11">
        <f t="shared" si="4"/>
        <v>0.01973684211</v>
      </c>
      <c r="M86" s="11">
        <f t="shared" si="5"/>
        <v>0.3703703781</v>
      </c>
      <c r="N86" s="11">
        <f t="shared" si="6"/>
        <v>0.007309941673</v>
      </c>
      <c r="O86" s="18">
        <f t="shared" si="17"/>
        <v>0.4424573738</v>
      </c>
      <c r="U86" s="18"/>
      <c r="V86" s="18"/>
      <c r="W86" s="18"/>
      <c r="X86" s="18"/>
    </row>
    <row r="87" ht="15.75" customHeight="1">
      <c r="A87" s="8">
        <v>21102.0</v>
      </c>
      <c r="B87" s="8">
        <v>151.0</v>
      </c>
      <c r="C87" s="8">
        <v>53.555556893348694</v>
      </c>
      <c r="D87" s="8">
        <v>1696.0</v>
      </c>
      <c r="E87" s="11">
        <f t="shared" si="1"/>
        <v>0.08903301887</v>
      </c>
      <c r="F87" s="11">
        <f t="shared" si="2"/>
        <v>0.3546725622</v>
      </c>
      <c r="G87" s="11">
        <f t="shared" si="3"/>
        <v>0.03157756892</v>
      </c>
      <c r="H87" s="8">
        <v>21102.0</v>
      </c>
      <c r="I87" s="8">
        <v>21.0</v>
      </c>
      <c r="J87" s="8">
        <v>7.888889044523239</v>
      </c>
      <c r="K87" s="8">
        <v>255.0</v>
      </c>
      <c r="L87" s="11">
        <f t="shared" si="4"/>
        <v>0.08235294118</v>
      </c>
      <c r="M87" s="11">
        <f t="shared" si="5"/>
        <v>0.3756613831</v>
      </c>
      <c r="N87" s="11">
        <f t="shared" si="6"/>
        <v>0.03093681978</v>
      </c>
      <c r="O87" s="18">
        <f t="shared" si="17"/>
        <v>0.9797087248</v>
      </c>
      <c r="U87" s="18"/>
      <c r="V87" s="18"/>
      <c r="W87" s="18"/>
      <c r="X87" s="18"/>
    </row>
    <row r="88" ht="15.75" customHeight="1">
      <c r="A88" s="8">
        <v>21103.0</v>
      </c>
      <c r="B88" s="8">
        <v>36.0</v>
      </c>
      <c r="C88" s="8">
        <v>13.555555999279022</v>
      </c>
      <c r="D88" s="8">
        <v>707.0</v>
      </c>
      <c r="E88" s="11">
        <f t="shared" si="1"/>
        <v>0.05091937765</v>
      </c>
      <c r="F88" s="11">
        <f t="shared" si="2"/>
        <v>0.3765432222</v>
      </c>
      <c r="G88" s="11">
        <f t="shared" si="3"/>
        <v>0.01917334653</v>
      </c>
      <c r="H88" s="8">
        <v>21103.0</v>
      </c>
      <c r="I88" s="8">
        <v>18.0</v>
      </c>
      <c r="J88" s="8">
        <v>6.000000178813934</v>
      </c>
      <c r="K88" s="8">
        <v>174.0</v>
      </c>
      <c r="L88" s="11">
        <f t="shared" si="4"/>
        <v>0.1034482759</v>
      </c>
      <c r="M88" s="11">
        <f t="shared" si="5"/>
        <v>0.3333333433</v>
      </c>
      <c r="N88" s="11">
        <f t="shared" si="6"/>
        <v>0.03448275965</v>
      </c>
      <c r="O88" s="18">
        <f t="shared" si="17"/>
        <v>1.798473709</v>
      </c>
      <c r="U88" s="18"/>
      <c r="V88" s="18"/>
      <c r="W88" s="18"/>
      <c r="X88" s="18"/>
    </row>
    <row r="89" ht="15.75" customHeight="1">
      <c r="A89" s="8">
        <v>21104.0</v>
      </c>
      <c r="B89" s="8">
        <v>599.0</v>
      </c>
      <c r="C89" s="8">
        <v>236.66667219996452</v>
      </c>
      <c r="D89" s="8">
        <v>2376.0</v>
      </c>
      <c r="E89" s="11">
        <f t="shared" si="1"/>
        <v>0.2521043771</v>
      </c>
      <c r="F89" s="11">
        <f t="shared" si="2"/>
        <v>0.3951029586</v>
      </c>
      <c r="G89" s="11">
        <f t="shared" si="3"/>
        <v>0.09960718527</v>
      </c>
      <c r="H89" s="8">
        <v>21104.0</v>
      </c>
      <c r="I89" s="8">
        <v>43.0</v>
      </c>
      <c r="J89" s="8">
        <v>15.555556029081345</v>
      </c>
      <c r="K89" s="8">
        <v>222.0</v>
      </c>
      <c r="L89" s="11">
        <f t="shared" si="4"/>
        <v>0.1936936937</v>
      </c>
      <c r="M89" s="11">
        <f t="shared" si="5"/>
        <v>0.361757117</v>
      </c>
      <c r="N89" s="11">
        <f t="shared" si="6"/>
        <v>0.0700700722</v>
      </c>
      <c r="O89" s="18">
        <f t="shared" si="17"/>
        <v>0.7034640324</v>
      </c>
      <c r="U89" s="18"/>
      <c r="V89" s="18"/>
      <c r="W89" s="18"/>
      <c r="X89" s="18"/>
    </row>
    <row r="90" ht="15.75" customHeight="1">
      <c r="A90" s="8">
        <v>21105.0</v>
      </c>
      <c r="B90" s="8">
        <v>709.0</v>
      </c>
      <c r="C90" s="8">
        <v>271.33333986997604</v>
      </c>
      <c r="D90" s="8">
        <v>3087.0</v>
      </c>
      <c r="E90" s="11">
        <f t="shared" si="1"/>
        <v>0.2296728215</v>
      </c>
      <c r="F90" s="11">
        <f t="shared" si="2"/>
        <v>0.3826986458</v>
      </c>
      <c r="G90" s="11">
        <f t="shared" si="3"/>
        <v>0.08789547777</v>
      </c>
      <c r="H90" s="8">
        <v>21105.0</v>
      </c>
      <c r="I90" s="8">
        <v>92.0</v>
      </c>
      <c r="J90" s="8">
        <v>34.111111879348755</v>
      </c>
      <c r="K90" s="8">
        <v>349.0</v>
      </c>
      <c r="L90" s="11">
        <f t="shared" si="4"/>
        <v>0.2636103152</v>
      </c>
      <c r="M90" s="11">
        <f t="shared" si="5"/>
        <v>0.3707729552</v>
      </c>
      <c r="N90" s="11">
        <f t="shared" si="6"/>
        <v>0.09773957559</v>
      </c>
      <c r="O90" s="18">
        <f t="shared" si="17"/>
        <v>1.111997774</v>
      </c>
      <c r="U90" s="18"/>
      <c r="V90" s="18"/>
      <c r="W90" s="18"/>
      <c r="X90" s="18"/>
    </row>
    <row r="91" ht="15.75" customHeight="1">
      <c r="A91" s="8">
        <v>21201.0</v>
      </c>
      <c r="B91" s="8">
        <v>400.0</v>
      </c>
      <c r="C91" s="8">
        <v>142.2222258746624</v>
      </c>
      <c r="D91" s="8">
        <v>2931.0</v>
      </c>
      <c r="E91" s="11">
        <f t="shared" si="1"/>
        <v>0.1364721938</v>
      </c>
      <c r="F91" s="11">
        <f t="shared" si="2"/>
        <v>0.3555555647</v>
      </c>
      <c r="G91" s="11">
        <f t="shared" si="3"/>
        <v>0.04852344793</v>
      </c>
      <c r="H91" s="8">
        <v>21201.0</v>
      </c>
      <c r="I91" s="8">
        <v>246.0</v>
      </c>
      <c r="J91" s="8">
        <v>86.6666688323021</v>
      </c>
      <c r="K91" s="8">
        <v>1217.0</v>
      </c>
      <c r="L91" s="11">
        <f t="shared" si="4"/>
        <v>0.202136401</v>
      </c>
      <c r="M91" s="11">
        <f t="shared" si="5"/>
        <v>0.3523035318</v>
      </c>
      <c r="N91" s="11">
        <f t="shared" si="6"/>
        <v>0.07121336798</v>
      </c>
      <c r="O91" s="18">
        <f t="shared" si="17"/>
        <v>1.467607333</v>
      </c>
      <c r="U91" s="18"/>
      <c r="V91" s="18"/>
      <c r="W91" s="18"/>
      <c r="X91" s="18"/>
    </row>
    <row r="92" ht="15.75" customHeight="1">
      <c r="A92" s="8">
        <v>21202.0</v>
      </c>
      <c r="B92" s="8">
        <v>438.0</v>
      </c>
      <c r="C92" s="8">
        <v>156.44444847106934</v>
      </c>
      <c r="D92" s="8">
        <v>4620.0</v>
      </c>
      <c r="E92" s="11">
        <f t="shared" si="1"/>
        <v>0.09480519481</v>
      </c>
      <c r="F92" s="11">
        <f t="shared" si="2"/>
        <v>0.3571791061</v>
      </c>
      <c r="G92" s="11">
        <f t="shared" si="3"/>
        <v>0.03386243473</v>
      </c>
      <c r="H92" s="8">
        <v>21202.0</v>
      </c>
      <c r="I92" s="8">
        <v>219.0</v>
      </c>
      <c r="J92" s="8">
        <v>79.11111298203468</v>
      </c>
      <c r="K92" s="8">
        <v>1138.0</v>
      </c>
      <c r="L92" s="11">
        <f t="shared" si="4"/>
        <v>0.1924428822</v>
      </c>
      <c r="M92" s="11">
        <f t="shared" si="5"/>
        <v>0.3612379588</v>
      </c>
      <c r="N92" s="11">
        <f t="shared" si="6"/>
        <v>0.06951767397</v>
      </c>
      <c r="O92" s="18">
        <f t="shared" si="17"/>
        <v>2.052943757</v>
      </c>
      <c r="U92" s="18"/>
      <c r="V92" s="18"/>
      <c r="W92" s="18"/>
      <c r="X92" s="18"/>
    </row>
    <row r="93" ht="15.75" customHeight="1">
      <c r="A93" s="8">
        <v>21203.0</v>
      </c>
      <c r="B93" s="8">
        <v>89.0</v>
      </c>
      <c r="C93" s="8">
        <v>31.222223043441772</v>
      </c>
      <c r="D93" s="8">
        <v>937.0</v>
      </c>
      <c r="E93" s="11">
        <f t="shared" si="1"/>
        <v>0.09498399146</v>
      </c>
      <c r="F93" s="11">
        <f t="shared" si="2"/>
        <v>0.3508114949</v>
      </c>
      <c r="G93" s="11">
        <f t="shared" si="3"/>
        <v>0.03332147603</v>
      </c>
      <c r="H93" s="8">
        <v>21203.0</v>
      </c>
      <c r="I93" s="8">
        <v>44.0</v>
      </c>
      <c r="J93" s="8">
        <v>16.000000417232513</v>
      </c>
      <c r="K93" s="8">
        <v>475.0</v>
      </c>
      <c r="L93" s="11">
        <f t="shared" si="4"/>
        <v>0.09263157895</v>
      </c>
      <c r="M93" s="11">
        <f t="shared" si="5"/>
        <v>0.3636363731</v>
      </c>
      <c r="N93" s="11">
        <f t="shared" si="6"/>
        <v>0.0336842114</v>
      </c>
      <c r="O93" s="18">
        <f t="shared" si="17"/>
        <v>1.010885933</v>
      </c>
      <c r="U93" s="18"/>
      <c r="V93" s="18"/>
      <c r="W93" s="18"/>
      <c r="X93" s="18"/>
    </row>
    <row r="94" ht="15.75" customHeight="1">
      <c r="A94" s="8">
        <v>21204.0</v>
      </c>
      <c r="B94" s="8">
        <v>45.0</v>
      </c>
      <c r="C94" s="8">
        <v>15.666667103767395</v>
      </c>
      <c r="D94" s="8">
        <v>293.0</v>
      </c>
      <c r="E94" s="11">
        <f t="shared" si="1"/>
        <v>0.1535836177</v>
      </c>
      <c r="F94" s="11">
        <f t="shared" si="2"/>
        <v>0.3481481579</v>
      </c>
      <c r="G94" s="11">
        <f t="shared" si="3"/>
        <v>0.0534698536</v>
      </c>
      <c r="H94" s="8">
        <v>21204.0</v>
      </c>
      <c r="I94" s="8">
        <v>43.0</v>
      </c>
      <c r="J94" s="8">
        <v>16.000000327825546</v>
      </c>
      <c r="K94" s="8">
        <v>214.0</v>
      </c>
      <c r="L94" s="11">
        <f t="shared" si="4"/>
        <v>0.2009345794</v>
      </c>
      <c r="M94" s="11">
        <f t="shared" si="5"/>
        <v>0.3720930309</v>
      </c>
      <c r="N94" s="11">
        <f t="shared" si="6"/>
        <v>0.07476635667</v>
      </c>
      <c r="O94" s="18">
        <f t="shared" si="17"/>
        <v>1.398289908</v>
      </c>
      <c r="U94" s="18"/>
      <c r="V94" s="18"/>
      <c r="W94" s="18"/>
      <c r="X94" s="18"/>
    </row>
    <row r="95" ht="15.75" customHeight="1">
      <c r="A95" s="8">
        <v>21301.0</v>
      </c>
      <c r="B95" s="8">
        <v>189.0</v>
      </c>
      <c r="C95" s="8">
        <v>68.7777795791626</v>
      </c>
      <c r="D95" s="8">
        <v>1314.0</v>
      </c>
      <c r="E95" s="11">
        <f t="shared" si="1"/>
        <v>0.1438356164</v>
      </c>
      <c r="F95" s="11">
        <f t="shared" si="2"/>
        <v>0.3639035957</v>
      </c>
      <c r="G95" s="11">
        <f t="shared" si="3"/>
        <v>0.05234229801</v>
      </c>
      <c r="H95" s="8">
        <v>21301.0</v>
      </c>
      <c r="I95" s="8">
        <v>65.0</v>
      </c>
      <c r="J95" s="8">
        <v>24.77777823805809</v>
      </c>
      <c r="K95" s="8">
        <v>664.0</v>
      </c>
      <c r="L95" s="11">
        <f t="shared" si="4"/>
        <v>0.09789156627</v>
      </c>
      <c r="M95" s="11">
        <f t="shared" si="5"/>
        <v>0.3811965883</v>
      </c>
      <c r="N95" s="11">
        <f t="shared" si="6"/>
        <v>0.03731593108</v>
      </c>
      <c r="O95" s="18">
        <f t="shared" si="17"/>
        <v>0.7129211461</v>
      </c>
      <c r="U95" s="18"/>
      <c r="V95" s="18"/>
      <c r="W95" s="18"/>
      <c r="X95" s="18"/>
    </row>
    <row r="96" ht="15.75" customHeight="1">
      <c r="A96" s="8">
        <v>21302.0</v>
      </c>
      <c r="B96" s="8">
        <v>53.0</v>
      </c>
      <c r="C96" s="8">
        <v>18.666667133569717</v>
      </c>
      <c r="D96" s="8">
        <v>422.0</v>
      </c>
      <c r="E96" s="11">
        <f t="shared" si="1"/>
        <v>0.1255924171</v>
      </c>
      <c r="F96" s="11">
        <f t="shared" si="2"/>
        <v>0.3522012667</v>
      </c>
      <c r="G96" s="11">
        <f t="shared" si="3"/>
        <v>0.04423380837</v>
      </c>
      <c r="H96" s="8">
        <v>21302.0</v>
      </c>
      <c r="I96" s="8">
        <v>55.0</v>
      </c>
      <c r="J96" s="8">
        <v>19.00000050663948</v>
      </c>
      <c r="K96" s="8">
        <v>281.0</v>
      </c>
      <c r="L96" s="11">
        <f t="shared" si="4"/>
        <v>0.1957295374</v>
      </c>
      <c r="M96" s="11">
        <f t="shared" si="5"/>
        <v>0.3454545547</v>
      </c>
      <c r="N96" s="11">
        <f t="shared" si="6"/>
        <v>0.06761566017</v>
      </c>
      <c r="O96" s="18">
        <f t="shared" si="17"/>
        <v>1.528596851</v>
      </c>
      <c r="U96" s="18"/>
      <c r="V96" s="18"/>
      <c r="W96" s="18"/>
      <c r="X96" s="18"/>
    </row>
    <row r="97" ht="15.75" customHeight="1">
      <c r="A97" s="8">
        <v>21303.0</v>
      </c>
      <c r="B97" s="8">
        <v>100.0</v>
      </c>
      <c r="C97" s="8">
        <v>35.55555644631386</v>
      </c>
      <c r="D97" s="8">
        <v>401.0</v>
      </c>
      <c r="E97" s="11">
        <f t="shared" si="1"/>
        <v>0.2493765586</v>
      </c>
      <c r="F97" s="11">
        <f t="shared" si="2"/>
        <v>0.3555555645</v>
      </c>
      <c r="G97" s="11">
        <f t="shared" si="3"/>
        <v>0.08866722306</v>
      </c>
      <c r="H97" s="8">
        <v>21303.0</v>
      </c>
      <c r="I97" s="8">
        <v>50.0</v>
      </c>
      <c r="J97" s="8">
        <v>17.777778208255768</v>
      </c>
      <c r="K97" s="8">
        <v>258.0</v>
      </c>
      <c r="L97" s="11">
        <f t="shared" si="4"/>
        <v>0.1937984496</v>
      </c>
      <c r="M97" s="11">
        <f t="shared" si="5"/>
        <v>0.3555555642</v>
      </c>
      <c r="N97" s="11">
        <f t="shared" si="6"/>
        <v>0.06890611709</v>
      </c>
      <c r="O97" s="18">
        <f t="shared" si="17"/>
        <v>0.7771317823</v>
      </c>
      <c r="U97" s="18"/>
      <c r="V97" s="18"/>
      <c r="W97" s="18"/>
      <c r="X97" s="18"/>
    </row>
    <row r="98" ht="15.75" customHeight="1">
      <c r="A98" s="8">
        <v>21304.0</v>
      </c>
      <c r="B98" s="8">
        <v>67.0</v>
      </c>
      <c r="C98" s="8">
        <v>24.222222834825516</v>
      </c>
      <c r="D98" s="8">
        <v>702.0</v>
      </c>
      <c r="E98" s="11">
        <f t="shared" si="1"/>
        <v>0.09544159544</v>
      </c>
      <c r="F98" s="11">
        <f t="shared" si="2"/>
        <v>0.361525714</v>
      </c>
      <c r="G98" s="11">
        <f t="shared" si="3"/>
        <v>0.03450459093</v>
      </c>
      <c r="H98" s="8">
        <v>21304.0</v>
      </c>
      <c r="I98" s="8">
        <v>55.0</v>
      </c>
      <c r="J98" s="8">
        <v>20.00000050663948</v>
      </c>
      <c r="K98" s="8">
        <v>354.0</v>
      </c>
      <c r="L98" s="11">
        <f t="shared" si="4"/>
        <v>0.1553672316</v>
      </c>
      <c r="M98" s="11">
        <f t="shared" si="5"/>
        <v>0.3636363728</v>
      </c>
      <c r="N98" s="11">
        <f t="shared" si="6"/>
        <v>0.05649717657</v>
      </c>
      <c r="O98" s="18">
        <f t="shared" si="17"/>
        <v>1.637381434</v>
      </c>
      <c r="U98" s="18"/>
      <c r="V98" s="18"/>
      <c r="W98" s="18"/>
      <c r="X98" s="18"/>
    </row>
    <row r="99" ht="15.75" customHeight="1">
      <c r="A99" s="8">
        <v>21305.0</v>
      </c>
      <c r="B99" s="8">
        <v>116.0</v>
      </c>
      <c r="C99" s="8">
        <v>42.222223311662674</v>
      </c>
      <c r="D99" s="8">
        <v>1424.0</v>
      </c>
      <c r="E99" s="11">
        <f t="shared" si="1"/>
        <v>0.08146067416</v>
      </c>
      <c r="F99" s="11">
        <f t="shared" si="2"/>
        <v>0.3639846837</v>
      </c>
      <c r="G99" s="11">
        <f t="shared" si="3"/>
        <v>0.02965043772</v>
      </c>
      <c r="H99" s="8">
        <v>21305.0</v>
      </c>
      <c r="I99" s="8">
        <v>65.0</v>
      </c>
      <c r="J99" s="8">
        <v>24.44444501399994</v>
      </c>
      <c r="K99" s="8">
        <v>435.0</v>
      </c>
      <c r="L99" s="11">
        <f t="shared" si="4"/>
        <v>0.1494252874</v>
      </c>
      <c r="M99" s="11">
        <f t="shared" si="5"/>
        <v>0.3760683848</v>
      </c>
      <c r="N99" s="11">
        <f t="shared" si="6"/>
        <v>0.05619412647</v>
      </c>
      <c r="O99" s="18">
        <f t="shared" si="17"/>
        <v>1.895220806</v>
      </c>
      <c r="U99" s="18"/>
      <c r="V99" s="18"/>
      <c r="W99" s="18"/>
      <c r="X99" s="18"/>
    </row>
    <row r="100" ht="15.75" customHeight="1">
      <c r="A100" s="8">
        <v>21306.0</v>
      </c>
      <c r="B100" s="8">
        <v>26.0</v>
      </c>
      <c r="C100" s="8">
        <v>9.111111342906952</v>
      </c>
      <c r="D100" s="8">
        <v>319.0</v>
      </c>
      <c r="E100" s="11">
        <f t="shared" si="1"/>
        <v>0.08150470219</v>
      </c>
      <c r="F100" s="11">
        <f t="shared" si="2"/>
        <v>0.3504273593</v>
      </c>
      <c r="G100" s="11">
        <f t="shared" si="3"/>
        <v>0.02856147756</v>
      </c>
      <c r="H100" s="8">
        <v>21306.0</v>
      </c>
      <c r="I100" s="8">
        <v>10.0</v>
      </c>
      <c r="J100" s="8">
        <v>3.5555556416511536</v>
      </c>
      <c r="K100" s="8">
        <v>118.0</v>
      </c>
      <c r="L100" s="11">
        <f t="shared" si="4"/>
        <v>0.08474576271</v>
      </c>
      <c r="M100" s="11">
        <f t="shared" si="5"/>
        <v>0.3555555642</v>
      </c>
      <c r="N100" s="11">
        <f t="shared" si="6"/>
        <v>0.03013182747</v>
      </c>
      <c r="O100" s="18">
        <f t="shared" si="17"/>
        <v>1.054981396</v>
      </c>
      <c r="U100" s="18"/>
      <c r="V100" s="18"/>
      <c r="W100" s="18"/>
      <c r="X100" s="18"/>
    </row>
    <row r="101" ht="15.75" customHeight="1">
      <c r="A101" s="8">
        <v>21307.0</v>
      </c>
      <c r="B101" s="8">
        <v>6.0</v>
      </c>
      <c r="C101" s="8">
        <v>2.0000000596046448</v>
      </c>
      <c r="D101" s="8">
        <v>185.0</v>
      </c>
      <c r="E101" s="11">
        <f t="shared" si="1"/>
        <v>0.03243243243</v>
      </c>
      <c r="F101" s="11">
        <f t="shared" si="2"/>
        <v>0.3333333433</v>
      </c>
      <c r="G101" s="11">
        <f t="shared" si="3"/>
        <v>0.01081081113</v>
      </c>
      <c r="H101" s="8">
        <v>21307.0</v>
      </c>
      <c r="I101" s="8">
        <v>17.0</v>
      </c>
      <c r="J101" s="8">
        <v>6.000000149011612</v>
      </c>
      <c r="K101" s="8">
        <v>185.0</v>
      </c>
      <c r="L101" s="11">
        <f t="shared" si="4"/>
        <v>0.09189189189</v>
      </c>
      <c r="M101" s="11">
        <f t="shared" si="5"/>
        <v>0.3529411852</v>
      </c>
      <c r="N101" s="11">
        <f t="shared" si="6"/>
        <v>0.03243243324</v>
      </c>
      <c r="O101" s="18">
        <f t="shared" si="17"/>
        <v>2.999999985</v>
      </c>
      <c r="U101" s="18"/>
      <c r="V101" s="18"/>
      <c r="W101" s="18"/>
      <c r="X101" s="18"/>
    </row>
    <row r="102" ht="15.75" customHeight="1">
      <c r="A102" s="8">
        <v>21401.0</v>
      </c>
      <c r="B102" s="8">
        <v>294.0</v>
      </c>
      <c r="C102" s="8">
        <v>107.33333590626717</v>
      </c>
      <c r="D102" s="8">
        <v>2395.0</v>
      </c>
      <c r="E102" s="11">
        <f t="shared" si="1"/>
        <v>0.1227557411</v>
      </c>
      <c r="F102" s="11">
        <f t="shared" si="2"/>
        <v>0.3650793738</v>
      </c>
      <c r="G102" s="11">
        <f t="shared" si="3"/>
        <v>0.0448155891</v>
      </c>
      <c r="H102" s="8">
        <v>21401.0</v>
      </c>
      <c r="I102" s="8">
        <v>36.0</v>
      </c>
      <c r="J102" s="8">
        <v>12.7777781188488</v>
      </c>
      <c r="K102" s="8">
        <v>428.0</v>
      </c>
      <c r="L102" s="11">
        <f t="shared" si="4"/>
        <v>0.08411214953</v>
      </c>
      <c r="M102" s="11">
        <f t="shared" si="5"/>
        <v>0.3549382811</v>
      </c>
      <c r="N102" s="11">
        <f t="shared" si="6"/>
        <v>0.02985462177</v>
      </c>
      <c r="O102" s="18">
        <f t="shared" si="17"/>
        <v>0.6661660009</v>
      </c>
      <c r="U102" s="18"/>
      <c r="V102" s="18"/>
      <c r="W102" s="18"/>
      <c r="X102" s="18"/>
    </row>
    <row r="103" ht="15.75" customHeight="1">
      <c r="A103" s="8">
        <v>21402.0</v>
      </c>
      <c r="B103" s="8">
        <v>54.0</v>
      </c>
      <c r="C103" s="8">
        <v>21.000000447034836</v>
      </c>
      <c r="D103" s="8">
        <v>1015.0</v>
      </c>
      <c r="E103" s="11">
        <f t="shared" si="1"/>
        <v>0.05320197044</v>
      </c>
      <c r="F103" s="11">
        <f t="shared" si="2"/>
        <v>0.3888888972</v>
      </c>
      <c r="G103" s="11">
        <f t="shared" si="3"/>
        <v>0.02068965561</v>
      </c>
      <c r="H103" s="8">
        <v>21402.0</v>
      </c>
      <c r="I103" s="8">
        <v>9.0</v>
      </c>
      <c r="J103" s="8">
        <v>3.11111119389534</v>
      </c>
      <c r="K103" s="8">
        <v>167.0</v>
      </c>
      <c r="L103" s="11">
        <f t="shared" si="4"/>
        <v>0.05389221557</v>
      </c>
      <c r="M103" s="11">
        <f t="shared" si="5"/>
        <v>0.3456790215</v>
      </c>
      <c r="N103" s="11">
        <f t="shared" si="6"/>
        <v>0.01862940835</v>
      </c>
      <c r="O103" s="18">
        <f t="shared" si="17"/>
        <v>0.9004213843</v>
      </c>
      <c r="U103" s="18"/>
      <c r="V103" s="18"/>
      <c r="W103" s="18"/>
      <c r="X103" s="18"/>
    </row>
    <row r="104" ht="15.75" customHeight="1">
      <c r="A104" s="8">
        <v>21501.0</v>
      </c>
      <c r="B104" s="8">
        <v>290.0</v>
      </c>
      <c r="C104" s="8">
        <v>109.88889154791832</v>
      </c>
      <c r="D104" s="8">
        <v>1126.0</v>
      </c>
      <c r="E104" s="11">
        <f t="shared" si="1"/>
        <v>0.2575488455</v>
      </c>
      <c r="F104" s="11">
        <f t="shared" si="2"/>
        <v>0.3789272122</v>
      </c>
      <c r="G104" s="11">
        <f t="shared" si="3"/>
        <v>0.09759226603</v>
      </c>
      <c r="H104" s="8">
        <v>21501.0</v>
      </c>
      <c r="I104" s="8">
        <v>54.0</v>
      </c>
      <c r="J104" s="8">
        <v>20.555555999279022</v>
      </c>
      <c r="K104" s="8">
        <v>216.0</v>
      </c>
      <c r="L104" s="11">
        <f t="shared" si="4"/>
        <v>0.25</v>
      </c>
      <c r="M104" s="11">
        <f t="shared" si="5"/>
        <v>0.3806584444</v>
      </c>
      <c r="N104" s="11">
        <f t="shared" si="6"/>
        <v>0.09516461111</v>
      </c>
      <c r="O104" s="18">
        <f t="shared" si="17"/>
        <v>0.9751245153</v>
      </c>
      <c r="U104" s="18"/>
      <c r="V104" s="18"/>
      <c r="W104" s="18"/>
      <c r="X104" s="18"/>
    </row>
    <row r="105" ht="15.75" customHeight="1">
      <c r="A105" s="8">
        <v>21502.0</v>
      </c>
      <c r="B105" s="8">
        <v>102.0</v>
      </c>
      <c r="C105" s="8">
        <v>53.00000089406967</v>
      </c>
      <c r="D105" s="8">
        <v>963.0</v>
      </c>
      <c r="E105" s="11">
        <f t="shared" si="1"/>
        <v>0.1059190031</v>
      </c>
      <c r="F105" s="11">
        <f t="shared" si="2"/>
        <v>0.5196078519</v>
      </c>
      <c r="G105" s="11">
        <f t="shared" si="3"/>
        <v>0.05503634568</v>
      </c>
      <c r="H105" s="8">
        <v>21502.0</v>
      </c>
      <c r="I105" s="8">
        <v>6.0</v>
      </c>
      <c r="J105" s="8">
        <v>2.2222222685813904</v>
      </c>
      <c r="K105" s="8">
        <v>78.0</v>
      </c>
      <c r="L105" s="11">
        <f t="shared" si="4"/>
        <v>0.07692307692</v>
      </c>
      <c r="M105" s="11">
        <f t="shared" si="5"/>
        <v>0.3703703781</v>
      </c>
      <c r="N105" s="11">
        <f t="shared" si="6"/>
        <v>0.02849002908</v>
      </c>
      <c r="O105" s="18">
        <f t="shared" si="17"/>
        <v>0.5176584443</v>
      </c>
      <c r="U105" s="18"/>
      <c r="V105" s="18"/>
      <c r="W105" s="18"/>
      <c r="X105" s="18"/>
    </row>
    <row r="106" ht="15.75" customHeight="1">
      <c r="A106" s="8">
        <v>21601.0</v>
      </c>
      <c r="B106" s="8">
        <v>168.0</v>
      </c>
      <c r="C106" s="8">
        <v>63.55555722117424</v>
      </c>
      <c r="D106" s="8">
        <v>683.0</v>
      </c>
      <c r="E106" s="11">
        <f t="shared" si="1"/>
        <v>0.2459736457</v>
      </c>
      <c r="F106" s="11">
        <f t="shared" si="2"/>
        <v>0.3783068882</v>
      </c>
      <c r="G106" s="11">
        <f t="shared" si="3"/>
        <v>0.09305352448</v>
      </c>
      <c r="H106" s="8">
        <v>21601.0</v>
      </c>
      <c r="I106" s="8">
        <v>43.0</v>
      </c>
      <c r="J106" s="8">
        <v>16.222222596406937</v>
      </c>
      <c r="K106" s="8">
        <v>250.0</v>
      </c>
      <c r="L106" s="11">
        <f t="shared" si="4"/>
        <v>0.172</v>
      </c>
      <c r="M106" s="11">
        <f t="shared" si="5"/>
        <v>0.3772609906</v>
      </c>
      <c r="N106" s="11">
        <f t="shared" si="6"/>
        <v>0.06488889039</v>
      </c>
      <c r="O106" s="18">
        <f t="shared" si="17"/>
        <v>0.6973286691</v>
      </c>
      <c r="U106" s="18"/>
      <c r="V106" s="18"/>
      <c r="W106" s="18"/>
      <c r="X106" s="18"/>
    </row>
    <row r="107" ht="15.75" customHeight="1">
      <c r="A107" s="8">
        <v>21602.0</v>
      </c>
      <c r="B107" s="8">
        <v>95.0</v>
      </c>
      <c r="C107" s="8">
        <v>39.66666769981384</v>
      </c>
      <c r="D107" s="8">
        <v>397.0</v>
      </c>
      <c r="E107" s="11">
        <f t="shared" si="1"/>
        <v>0.2392947103</v>
      </c>
      <c r="F107" s="11">
        <f t="shared" si="2"/>
        <v>0.4175438705</v>
      </c>
      <c r="G107" s="11">
        <f t="shared" si="3"/>
        <v>0.09991603955</v>
      </c>
      <c r="H107" s="8">
        <v>21602.0</v>
      </c>
      <c r="I107" s="8">
        <v>24.0</v>
      </c>
      <c r="J107" s="8">
        <v>9.666666895151138</v>
      </c>
      <c r="K107" s="8">
        <v>108.0</v>
      </c>
      <c r="L107" s="11">
        <f t="shared" si="4"/>
        <v>0.2222222222</v>
      </c>
      <c r="M107" s="11">
        <f t="shared" si="5"/>
        <v>0.4027777873</v>
      </c>
      <c r="N107" s="11">
        <f t="shared" si="6"/>
        <v>0.08950617496</v>
      </c>
      <c r="O107" s="18">
        <f t="shared" si="17"/>
        <v>0.8958138789</v>
      </c>
      <c r="U107" s="18"/>
      <c r="V107" s="18"/>
      <c r="W107" s="18"/>
      <c r="X107" s="18"/>
    </row>
    <row r="108" ht="15.75" customHeight="1">
      <c r="A108" s="8">
        <v>21701.0</v>
      </c>
      <c r="B108" s="8">
        <v>112.0</v>
      </c>
      <c r="C108" s="8">
        <v>41.111112266778946</v>
      </c>
      <c r="D108" s="8">
        <v>863.0</v>
      </c>
      <c r="E108" s="11">
        <f t="shared" si="1"/>
        <v>0.1297798378</v>
      </c>
      <c r="F108" s="11">
        <f t="shared" si="2"/>
        <v>0.3670635024</v>
      </c>
      <c r="G108" s="11">
        <f t="shared" si="3"/>
        <v>0.04763744179</v>
      </c>
      <c r="H108" s="8">
        <v>21701.0</v>
      </c>
      <c r="I108" s="8">
        <v>85.0</v>
      </c>
      <c r="J108" s="8">
        <v>31.777778685092926</v>
      </c>
      <c r="K108" s="8">
        <v>501.0</v>
      </c>
      <c r="L108" s="11">
        <f t="shared" si="4"/>
        <v>0.1696606786</v>
      </c>
      <c r="M108" s="11">
        <f t="shared" si="5"/>
        <v>0.3738562198</v>
      </c>
      <c r="N108" s="11">
        <f t="shared" si="6"/>
        <v>0.06342869997</v>
      </c>
      <c r="O108" s="18">
        <f t="shared" si="17"/>
        <v>1.331488375</v>
      </c>
      <c r="U108" s="18"/>
      <c r="V108" s="18"/>
      <c r="W108" s="18"/>
      <c r="X108" s="18"/>
    </row>
    <row r="109" ht="15.75" customHeight="1">
      <c r="A109" s="8">
        <v>21702.0</v>
      </c>
      <c r="B109" s="8">
        <v>64.0</v>
      </c>
      <c r="C109" s="8">
        <v>23.11111170053482</v>
      </c>
      <c r="D109" s="8">
        <v>712.0</v>
      </c>
      <c r="E109" s="11">
        <f t="shared" si="1"/>
        <v>0.08988764045</v>
      </c>
      <c r="F109" s="11">
        <f t="shared" si="2"/>
        <v>0.3611111203</v>
      </c>
      <c r="G109" s="11">
        <f t="shared" si="3"/>
        <v>0.03245942655</v>
      </c>
      <c r="H109" s="8">
        <v>21702.0</v>
      </c>
      <c r="I109" s="8">
        <v>62.0</v>
      </c>
      <c r="J109" s="8">
        <v>21.88888943195343</v>
      </c>
      <c r="K109" s="8">
        <v>375.0</v>
      </c>
      <c r="L109" s="11">
        <f t="shared" si="4"/>
        <v>0.1653333333</v>
      </c>
      <c r="M109" s="11">
        <f t="shared" si="5"/>
        <v>0.3530466037</v>
      </c>
      <c r="N109" s="11">
        <f t="shared" si="6"/>
        <v>0.05837037182</v>
      </c>
      <c r="O109" s="18">
        <f t="shared" si="17"/>
        <v>1.798256409</v>
      </c>
      <c r="U109" s="18"/>
      <c r="V109" s="18"/>
      <c r="W109" s="18"/>
      <c r="X109" s="18"/>
    </row>
    <row r="110" ht="15.75" customHeight="1">
      <c r="A110" s="8">
        <v>21703.0</v>
      </c>
      <c r="B110" s="8">
        <v>37.0</v>
      </c>
      <c r="C110" s="8">
        <v>13.44444477558136</v>
      </c>
      <c r="D110" s="8">
        <v>163.0</v>
      </c>
      <c r="E110" s="11">
        <f t="shared" si="1"/>
        <v>0.226993865</v>
      </c>
      <c r="F110" s="11">
        <f t="shared" si="2"/>
        <v>0.3633633723</v>
      </c>
      <c r="G110" s="11">
        <f t="shared" si="3"/>
        <v>0.08248125629</v>
      </c>
      <c r="H110" s="8">
        <v>21703.0</v>
      </c>
      <c r="I110" s="8">
        <v>15.0</v>
      </c>
      <c r="J110" s="8">
        <v>5.888889044523239</v>
      </c>
      <c r="K110" s="8">
        <v>56.0</v>
      </c>
      <c r="L110" s="11">
        <f t="shared" si="4"/>
        <v>0.2678571429</v>
      </c>
      <c r="M110" s="11">
        <f t="shared" si="5"/>
        <v>0.392592603</v>
      </c>
      <c r="N110" s="11">
        <f t="shared" si="6"/>
        <v>0.1051587329</v>
      </c>
      <c r="O110" s="18">
        <f t="shared" si="17"/>
        <v>1.27494097</v>
      </c>
      <c r="U110" s="18"/>
      <c r="V110" s="18"/>
      <c r="W110" s="18"/>
      <c r="X110" s="18"/>
    </row>
    <row r="111" ht="15.75" customHeight="1">
      <c r="A111" s="8">
        <v>21801.0</v>
      </c>
      <c r="B111" s="8">
        <v>32.0</v>
      </c>
      <c r="C111" s="8">
        <v>11.66666692495346</v>
      </c>
      <c r="D111" s="8">
        <v>251.0</v>
      </c>
      <c r="E111" s="11">
        <f t="shared" si="1"/>
        <v>0.1274900398</v>
      </c>
      <c r="F111" s="11">
        <f t="shared" si="2"/>
        <v>0.3645833414</v>
      </c>
      <c r="G111" s="11">
        <f t="shared" si="3"/>
        <v>0.04648074472</v>
      </c>
      <c r="H111" s="8">
        <v>21801.0</v>
      </c>
      <c r="I111" s="8">
        <v>121.0</v>
      </c>
      <c r="J111" s="8">
        <v>44.33333441615105</v>
      </c>
      <c r="K111" s="8">
        <v>556.0</v>
      </c>
      <c r="L111" s="11">
        <f t="shared" si="4"/>
        <v>0.2176258993</v>
      </c>
      <c r="M111" s="11">
        <f t="shared" si="5"/>
        <v>0.3663911935</v>
      </c>
      <c r="N111" s="11">
        <f t="shared" si="6"/>
        <v>0.07973621298</v>
      </c>
      <c r="O111" s="18">
        <f t="shared" si="17"/>
        <v>1.71546763</v>
      </c>
      <c r="U111" s="18"/>
      <c r="V111" s="18"/>
      <c r="W111" s="18"/>
      <c r="X111" s="18"/>
    </row>
    <row r="112" ht="15.75" customHeight="1">
      <c r="A112" s="8">
        <v>21802.0</v>
      </c>
      <c r="B112" s="8">
        <v>58.0</v>
      </c>
      <c r="C112" s="8">
        <v>20.444444984197617</v>
      </c>
      <c r="D112" s="8">
        <v>222.0</v>
      </c>
      <c r="E112" s="11">
        <f t="shared" si="1"/>
        <v>0.2612612613</v>
      </c>
      <c r="F112" s="11">
        <f t="shared" si="2"/>
        <v>0.3524904308</v>
      </c>
      <c r="G112" s="11">
        <f t="shared" si="3"/>
        <v>0.09209209452</v>
      </c>
      <c r="H112" s="8">
        <v>21802.0</v>
      </c>
      <c r="I112" s="8">
        <v>31.0</v>
      </c>
      <c r="J112" s="8">
        <v>11.33333358168602</v>
      </c>
      <c r="K112" s="8">
        <v>120.0</v>
      </c>
      <c r="L112" s="11">
        <f t="shared" si="4"/>
        <v>0.2583333333</v>
      </c>
      <c r="M112" s="11">
        <f t="shared" si="5"/>
        <v>0.3655914059</v>
      </c>
      <c r="N112" s="11">
        <f t="shared" si="6"/>
        <v>0.09444444651</v>
      </c>
      <c r="O112" s="18">
        <f t="shared" si="17"/>
        <v>1.025543474</v>
      </c>
      <c r="U112" s="18"/>
      <c r="V112" s="18"/>
      <c r="W112" s="18"/>
      <c r="X112" s="18"/>
    </row>
    <row r="113" ht="15.75" customHeight="1">
      <c r="A113" s="8">
        <v>21803.0</v>
      </c>
      <c r="B113" s="8">
        <v>25.0</v>
      </c>
      <c r="C113" s="8">
        <v>8.666666895151138</v>
      </c>
      <c r="D113" s="8">
        <v>93.0</v>
      </c>
      <c r="E113" s="11">
        <f t="shared" si="1"/>
        <v>0.2688172043</v>
      </c>
      <c r="F113" s="11">
        <f t="shared" si="2"/>
        <v>0.3466666758</v>
      </c>
      <c r="G113" s="11">
        <f t="shared" si="3"/>
        <v>0.09318996661</v>
      </c>
      <c r="H113" s="8">
        <v>21803.0</v>
      </c>
      <c r="I113" s="8">
        <v>10.0</v>
      </c>
      <c r="J113" s="8">
        <v>3.4444445371627808</v>
      </c>
      <c r="K113" s="8">
        <v>60.0</v>
      </c>
      <c r="L113" s="11">
        <f t="shared" si="4"/>
        <v>0.1666666667</v>
      </c>
      <c r="M113" s="11">
        <f t="shared" si="5"/>
        <v>0.3444444537</v>
      </c>
      <c r="N113" s="11">
        <f t="shared" si="6"/>
        <v>0.05740740895</v>
      </c>
      <c r="O113" s="18">
        <f t="shared" si="17"/>
        <v>0.6160256414</v>
      </c>
      <c r="U113" s="18"/>
      <c r="V113" s="18"/>
      <c r="W113" s="18"/>
      <c r="X113" s="18"/>
    </row>
    <row r="114" ht="15.75" customHeight="1">
      <c r="A114" s="8">
        <v>21901.0</v>
      </c>
      <c r="B114" s="8">
        <v>22.0</v>
      </c>
      <c r="C114" s="8">
        <v>7.3333335518836975</v>
      </c>
      <c r="D114" s="8">
        <v>309.0</v>
      </c>
      <c r="E114" s="11">
        <f t="shared" si="1"/>
        <v>0.071197411</v>
      </c>
      <c r="F114" s="11">
        <f t="shared" si="2"/>
        <v>0.3333333433</v>
      </c>
      <c r="G114" s="11">
        <f t="shared" si="3"/>
        <v>0.02373247104</v>
      </c>
      <c r="H114" s="8">
        <v>21901.0</v>
      </c>
      <c r="I114" s="8">
        <v>20.0</v>
      </c>
      <c r="J114" s="8">
        <v>6.777777969837189</v>
      </c>
      <c r="K114" s="8">
        <v>120.0</v>
      </c>
      <c r="L114" s="11">
        <f t="shared" si="4"/>
        <v>0.1666666667</v>
      </c>
      <c r="M114" s="11">
        <f t="shared" si="5"/>
        <v>0.3388888985</v>
      </c>
      <c r="N114" s="11">
        <f t="shared" si="6"/>
        <v>0.05648148308</v>
      </c>
      <c r="O114" s="18">
        <f t="shared" si="17"/>
        <v>2.379924239</v>
      </c>
      <c r="U114" s="18"/>
      <c r="V114" s="18"/>
      <c r="W114" s="18"/>
      <c r="X114" s="18"/>
    </row>
    <row r="115" ht="15.75" customHeight="1">
      <c r="A115" s="8">
        <v>21902.0</v>
      </c>
      <c r="B115" s="8">
        <v>49.0</v>
      </c>
      <c r="C115" s="8">
        <v>16.666667133569717</v>
      </c>
      <c r="D115" s="8">
        <v>265.0</v>
      </c>
      <c r="E115" s="11">
        <f t="shared" si="1"/>
        <v>0.1849056604</v>
      </c>
      <c r="F115" s="11">
        <f t="shared" si="2"/>
        <v>0.340136064</v>
      </c>
      <c r="G115" s="11">
        <f t="shared" si="3"/>
        <v>0.06289308352</v>
      </c>
      <c r="H115" s="8">
        <v>21902.0</v>
      </c>
      <c r="I115" s="8">
        <v>12.0</v>
      </c>
      <c r="J115" s="8">
        <v>4.222222328186035</v>
      </c>
      <c r="K115" s="8">
        <v>111.0</v>
      </c>
      <c r="L115" s="11">
        <f t="shared" si="4"/>
        <v>0.1081081081</v>
      </c>
      <c r="M115" s="11">
        <f t="shared" si="5"/>
        <v>0.3518518607</v>
      </c>
      <c r="N115" s="11">
        <f t="shared" si="6"/>
        <v>0.03803803899</v>
      </c>
      <c r="O115" s="18">
        <f t="shared" si="17"/>
        <v>0.604804803</v>
      </c>
      <c r="U115" s="18"/>
      <c r="V115" s="18"/>
      <c r="W115" s="18"/>
      <c r="X115" s="18"/>
    </row>
    <row r="116" ht="15.75" customHeight="1">
      <c r="A116" s="8">
        <v>22001.0</v>
      </c>
      <c r="B116" s="8">
        <v>495.0</v>
      </c>
      <c r="C116" s="8">
        <v>178.77778235077858</v>
      </c>
      <c r="D116" s="8">
        <v>4184.0</v>
      </c>
      <c r="E116" s="11">
        <f t="shared" si="1"/>
        <v>0.1183078394</v>
      </c>
      <c r="F116" s="11">
        <f t="shared" si="2"/>
        <v>0.3611672371</v>
      </c>
      <c r="G116" s="11">
        <f t="shared" si="3"/>
        <v>0.04272891548</v>
      </c>
      <c r="H116" s="8">
        <v>22001.0</v>
      </c>
      <c r="I116" s="8">
        <v>169.0</v>
      </c>
      <c r="J116" s="8">
        <v>63.666668176651</v>
      </c>
      <c r="K116" s="8">
        <v>810.0</v>
      </c>
      <c r="L116" s="11">
        <f t="shared" si="4"/>
        <v>0.2086419753</v>
      </c>
      <c r="M116" s="11">
        <f t="shared" si="5"/>
        <v>0.3767258472</v>
      </c>
      <c r="N116" s="11">
        <f t="shared" si="6"/>
        <v>0.07860082491</v>
      </c>
      <c r="O116" s="18">
        <f t="shared" si="17"/>
        <v>1.83952305</v>
      </c>
      <c r="U116" s="18"/>
      <c r="V116" s="18"/>
      <c r="W116" s="18"/>
      <c r="X116" s="18"/>
    </row>
    <row r="117" ht="15.75" customHeight="1">
      <c r="A117" s="8">
        <v>22002.0</v>
      </c>
      <c r="B117" s="8">
        <v>208.0</v>
      </c>
      <c r="C117" s="8">
        <v>81.55555799603462</v>
      </c>
      <c r="D117" s="8">
        <v>802.0</v>
      </c>
      <c r="E117" s="11">
        <f t="shared" si="1"/>
        <v>0.2593516209</v>
      </c>
      <c r="F117" s="11">
        <f t="shared" si="2"/>
        <v>0.3920940288</v>
      </c>
      <c r="G117" s="11">
        <f t="shared" si="3"/>
        <v>0.1016902219</v>
      </c>
      <c r="H117" s="8">
        <v>22002.0</v>
      </c>
      <c r="I117" s="8">
        <v>33.0</v>
      </c>
      <c r="J117" s="8">
        <v>11.888889193534851</v>
      </c>
      <c r="K117" s="8">
        <v>99.0</v>
      </c>
      <c r="L117" s="11">
        <f t="shared" si="4"/>
        <v>0.3333333333</v>
      </c>
      <c r="M117" s="11">
        <f t="shared" si="5"/>
        <v>0.3602693695</v>
      </c>
      <c r="N117" s="11">
        <f t="shared" si="6"/>
        <v>0.1200897898</v>
      </c>
      <c r="O117" s="18">
        <f t="shared" si="17"/>
        <v>1.180937435</v>
      </c>
      <c r="U117" s="18"/>
      <c r="V117" s="18"/>
      <c r="W117" s="18"/>
      <c r="X117" s="18"/>
    </row>
    <row r="118" ht="15.75" customHeight="1">
      <c r="A118" s="8">
        <v>30101.0</v>
      </c>
      <c r="B118" s="8">
        <v>2346.0</v>
      </c>
      <c r="C118" s="8">
        <v>850.3333553373814</v>
      </c>
      <c r="D118" s="8">
        <v>29359.0</v>
      </c>
      <c r="E118" s="11">
        <f t="shared" si="1"/>
        <v>0.07990735379</v>
      </c>
      <c r="F118" s="11">
        <f t="shared" si="2"/>
        <v>0.3624609358</v>
      </c>
      <c r="G118" s="11">
        <f t="shared" si="3"/>
        <v>0.02896329423</v>
      </c>
      <c r="H118" s="8">
        <v>30101.0</v>
      </c>
      <c r="I118" s="8">
        <v>269.0</v>
      </c>
      <c r="J118" s="8">
        <v>97.11111357808113</v>
      </c>
      <c r="K118" s="8">
        <v>2437.0</v>
      </c>
      <c r="L118" s="11">
        <f t="shared" si="4"/>
        <v>0.1103816167</v>
      </c>
      <c r="M118" s="11">
        <f t="shared" si="5"/>
        <v>0.3610078572</v>
      </c>
      <c r="N118" s="11">
        <f t="shared" si="6"/>
        <v>0.03984863093</v>
      </c>
      <c r="O118" s="18">
        <f t="shared" si="17"/>
        <v>1.375832135</v>
      </c>
      <c r="U118" s="18"/>
      <c r="V118" s="18"/>
      <c r="W118" s="18"/>
      <c r="X118" s="18"/>
    </row>
    <row r="119" ht="15.75" customHeight="1">
      <c r="A119" s="8">
        <v>30201.0</v>
      </c>
      <c r="B119" s="8">
        <v>103.0</v>
      </c>
      <c r="C119" s="8">
        <v>41.22222328186035</v>
      </c>
      <c r="D119" s="8">
        <v>972.0</v>
      </c>
      <c r="E119" s="11">
        <f t="shared" si="1"/>
        <v>0.1059670782</v>
      </c>
      <c r="F119" s="11">
        <f t="shared" si="2"/>
        <v>0.40021576</v>
      </c>
      <c r="G119" s="11">
        <f t="shared" si="3"/>
        <v>0.04240969473</v>
      </c>
      <c r="H119" s="8">
        <v>30201.0</v>
      </c>
      <c r="I119" s="8">
        <v>30.0</v>
      </c>
      <c r="J119" s="8">
        <v>11.111111432313919</v>
      </c>
      <c r="K119" s="8">
        <v>180.0</v>
      </c>
      <c r="L119" s="11">
        <f t="shared" si="4"/>
        <v>0.1666666667</v>
      </c>
      <c r="M119" s="11">
        <f t="shared" si="5"/>
        <v>0.3703703811</v>
      </c>
      <c r="N119" s="11">
        <f t="shared" si="6"/>
        <v>0.06172839685</v>
      </c>
      <c r="O119" s="18">
        <f t="shared" si="17"/>
        <v>1.455525611</v>
      </c>
      <c r="U119" s="18"/>
      <c r="V119" s="18"/>
      <c r="W119" s="18"/>
      <c r="X119" s="18"/>
    </row>
    <row r="120" ht="15.75" customHeight="1">
      <c r="A120" s="8">
        <v>30202.0</v>
      </c>
      <c r="B120" s="8">
        <v>35.0</v>
      </c>
      <c r="C120" s="8">
        <v>13.44444489479065</v>
      </c>
      <c r="D120" s="8">
        <v>376.0</v>
      </c>
      <c r="E120" s="11">
        <f t="shared" si="1"/>
        <v>0.09308510638</v>
      </c>
      <c r="F120" s="11">
        <f t="shared" si="2"/>
        <v>0.384126997</v>
      </c>
      <c r="G120" s="11">
        <f t="shared" si="3"/>
        <v>0.03575650238</v>
      </c>
      <c r="H120" s="8">
        <v>30202.0</v>
      </c>
      <c r="I120" s="8">
        <v>11.0</v>
      </c>
      <c r="J120" s="8">
        <v>3.8888889849185944</v>
      </c>
      <c r="K120" s="8">
        <v>123.0</v>
      </c>
      <c r="L120" s="11">
        <f t="shared" si="4"/>
        <v>0.08943089431</v>
      </c>
      <c r="M120" s="11">
        <f t="shared" si="5"/>
        <v>0.3535353623</v>
      </c>
      <c r="N120" s="11">
        <f t="shared" si="6"/>
        <v>0.03161698362</v>
      </c>
      <c r="O120" s="18">
        <f t="shared" si="17"/>
        <v>0.8842303221</v>
      </c>
      <c r="U120" s="18"/>
      <c r="V120" s="18"/>
      <c r="W120" s="18"/>
      <c r="X120" s="18"/>
    </row>
    <row r="121" ht="15.75" customHeight="1">
      <c r="A121" s="8">
        <v>30203.0</v>
      </c>
      <c r="B121" s="8">
        <v>23.0</v>
      </c>
      <c r="C121" s="8">
        <v>9.000000149011612</v>
      </c>
      <c r="D121" s="8">
        <v>415.0</v>
      </c>
      <c r="E121" s="11">
        <f t="shared" si="1"/>
        <v>0.05542168675</v>
      </c>
      <c r="F121" s="11">
        <f t="shared" si="2"/>
        <v>0.3913043543</v>
      </c>
      <c r="G121" s="11">
        <f t="shared" si="3"/>
        <v>0.02168674735</v>
      </c>
      <c r="H121" s="8">
        <v>30203.0</v>
      </c>
      <c r="I121" s="8">
        <v>3.0</v>
      </c>
      <c r="J121" s="8">
        <v>1.0000000298023224</v>
      </c>
      <c r="K121" s="8">
        <v>81.0</v>
      </c>
      <c r="L121" s="11">
        <f t="shared" si="4"/>
        <v>0.03703703704</v>
      </c>
      <c r="M121" s="11">
        <f t="shared" si="5"/>
        <v>0.3333333433</v>
      </c>
      <c r="N121" s="11">
        <f t="shared" si="6"/>
        <v>0.01234567938</v>
      </c>
      <c r="O121" s="18">
        <f t="shared" si="17"/>
        <v>0.5692729842</v>
      </c>
      <c r="U121" s="18"/>
      <c r="V121" s="18"/>
      <c r="W121" s="18"/>
      <c r="X121" s="18"/>
    </row>
    <row r="122" ht="15.75" customHeight="1">
      <c r="A122" s="8">
        <v>30301.0</v>
      </c>
      <c r="B122" s="8">
        <v>218.0</v>
      </c>
      <c r="C122" s="8">
        <v>81.33333542943001</v>
      </c>
      <c r="D122" s="8">
        <v>1068.0</v>
      </c>
      <c r="E122" s="11">
        <f t="shared" si="1"/>
        <v>0.2041198502</v>
      </c>
      <c r="F122" s="11">
        <f t="shared" si="2"/>
        <v>0.3730886946</v>
      </c>
      <c r="G122" s="11">
        <f t="shared" si="3"/>
        <v>0.07615480845</v>
      </c>
      <c r="H122" s="8">
        <v>30301.0</v>
      </c>
      <c r="I122" s="8">
        <v>77.0</v>
      </c>
      <c r="J122" s="8">
        <v>28.22222301363945</v>
      </c>
      <c r="K122" s="8">
        <v>316.0</v>
      </c>
      <c r="L122" s="11">
        <f t="shared" si="4"/>
        <v>0.2436708861</v>
      </c>
      <c r="M122" s="11">
        <f t="shared" si="5"/>
        <v>0.3665223768</v>
      </c>
      <c r="N122" s="11">
        <f t="shared" si="6"/>
        <v>0.08931083232</v>
      </c>
      <c r="O122" s="18">
        <f t="shared" si="17"/>
        <v>1.172753686</v>
      </c>
      <c r="U122" s="18"/>
      <c r="V122" s="18"/>
      <c r="W122" s="18"/>
      <c r="X122" s="18"/>
    </row>
    <row r="123" ht="15.75" customHeight="1">
      <c r="A123" s="8">
        <v>30302.0</v>
      </c>
      <c r="B123" s="8">
        <v>102.0</v>
      </c>
      <c r="C123" s="8">
        <v>39.88888981938362</v>
      </c>
      <c r="D123" s="8">
        <v>445.0</v>
      </c>
      <c r="E123" s="11">
        <f t="shared" si="1"/>
        <v>0.2292134831</v>
      </c>
      <c r="F123" s="11">
        <f t="shared" si="2"/>
        <v>0.3910675472</v>
      </c>
      <c r="G123" s="11">
        <f t="shared" si="3"/>
        <v>0.08963795465</v>
      </c>
      <c r="H123" s="8">
        <v>30302.0</v>
      </c>
      <c r="I123" s="8">
        <v>110.0</v>
      </c>
      <c r="J123" s="8">
        <v>41.44444528222084</v>
      </c>
      <c r="K123" s="8">
        <v>302.0</v>
      </c>
      <c r="L123" s="11">
        <f t="shared" si="4"/>
        <v>0.3642384106</v>
      </c>
      <c r="M123" s="11">
        <f t="shared" si="5"/>
        <v>0.3767676844</v>
      </c>
      <c r="N123" s="11">
        <f t="shared" si="6"/>
        <v>0.1372332625</v>
      </c>
      <c r="O123" s="18">
        <f t="shared" si="17"/>
        <v>1.530972712</v>
      </c>
      <c r="U123" s="18"/>
      <c r="V123" s="18"/>
      <c r="W123" s="18"/>
      <c r="X123" s="18"/>
    </row>
    <row r="124" ht="15.75" customHeight="1">
      <c r="A124" s="8">
        <v>30303.0</v>
      </c>
      <c r="B124" s="8">
        <v>394.0</v>
      </c>
      <c r="C124" s="8">
        <v>155.44444781541824</v>
      </c>
      <c r="D124" s="8">
        <v>1066.0</v>
      </c>
      <c r="E124" s="11">
        <f t="shared" si="1"/>
        <v>0.3696060038</v>
      </c>
      <c r="F124" s="11">
        <f t="shared" si="2"/>
        <v>0.3945290554</v>
      </c>
      <c r="G124" s="11">
        <f t="shared" si="3"/>
        <v>0.1458203075</v>
      </c>
      <c r="H124" s="8">
        <v>30303.0</v>
      </c>
      <c r="I124" s="8">
        <v>170.0</v>
      </c>
      <c r="J124" s="8">
        <v>62.55555722117424</v>
      </c>
      <c r="K124" s="8">
        <v>498.0</v>
      </c>
      <c r="L124" s="11">
        <f t="shared" si="4"/>
        <v>0.3413654618</v>
      </c>
      <c r="M124" s="11">
        <f t="shared" si="5"/>
        <v>0.367973866</v>
      </c>
      <c r="N124" s="11">
        <f t="shared" si="6"/>
        <v>0.1256135687</v>
      </c>
      <c r="O124" s="18">
        <f t="shared" si="17"/>
        <v>0.861427128</v>
      </c>
      <c r="U124" s="18"/>
      <c r="V124" s="18"/>
      <c r="W124" s="18"/>
      <c r="X124" s="18"/>
    </row>
    <row r="125" ht="15.75" customHeight="1">
      <c r="A125" s="8">
        <v>30401.0</v>
      </c>
      <c r="B125" s="8">
        <v>304.0</v>
      </c>
      <c r="C125" s="8">
        <v>120.00000289082527</v>
      </c>
      <c r="D125" s="8">
        <v>819.0</v>
      </c>
      <c r="E125" s="11">
        <f t="shared" si="1"/>
        <v>0.3711843712</v>
      </c>
      <c r="F125" s="11">
        <f t="shared" si="2"/>
        <v>0.3947368516</v>
      </c>
      <c r="G125" s="11">
        <f t="shared" si="3"/>
        <v>0.14652015</v>
      </c>
      <c r="H125" s="8">
        <v>30401.0</v>
      </c>
      <c r="I125" s="8">
        <v>7.0</v>
      </c>
      <c r="J125" s="8">
        <v>2.777777850627899</v>
      </c>
      <c r="K125" s="8">
        <v>103.0</v>
      </c>
      <c r="L125" s="11">
        <f t="shared" si="4"/>
        <v>0.06796116505</v>
      </c>
      <c r="M125" s="11">
        <f t="shared" si="5"/>
        <v>0.3968254072</v>
      </c>
      <c r="N125" s="11">
        <f t="shared" si="6"/>
        <v>0.026968717</v>
      </c>
      <c r="O125" s="18">
        <f t="shared" si="17"/>
        <v>0.1840614891</v>
      </c>
      <c r="U125" s="18"/>
      <c r="V125" s="18"/>
      <c r="W125" s="18"/>
      <c r="X125" s="18"/>
    </row>
    <row r="126" ht="15.75" customHeight="1">
      <c r="A126" s="8">
        <v>30402.0</v>
      </c>
      <c r="B126" s="8">
        <v>63.0</v>
      </c>
      <c r="C126" s="8">
        <v>23.44444501399994</v>
      </c>
      <c r="D126" s="8">
        <v>290.0</v>
      </c>
      <c r="E126" s="11">
        <f t="shared" si="1"/>
        <v>0.2172413793</v>
      </c>
      <c r="F126" s="11">
        <f t="shared" si="2"/>
        <v>0.3721340478</v>
      </c>
      <c r="G126" s="11">
        <f t="shared" si="3"/>
        <v>0.08084291384</v>
      </c>
      <c r="H126" s="8">
        <v>30402.0</v>
      </c>
      <c r="I126" s="8">
        <v>42.0</v>
      </c>
      <c r="J126" s="8">
        <v>15.555555939674377</v>
      </c>
      <c r="K126" s="8">
        <v>177.0</v>
      </c>
      <c r="L126" s="11">
        <f t="shared" si="4"/>
        <v>0.2372881356</v>
      </c>
      <c r="M126" s="11">
        <f t="shared" si="5"/>
        <v>0.3703703795</v>
      </c>
      <c r="N126" s="11">
        <f t="shared" si="6"/>
        <v>0.08788449683</v>
      </c>
      <c r="O126" s="18">
        <f t="shared" si="17"/>
        <v>1.087102043</v>
      </c>
      <c r="U126" s="18"/>
      <c r="V126" s="18"/>
      <c r="W126" s="18"/>
      <c r="X126" s="18"/>
    </row>
    <row r="127" ht="15.75" customHeight="1">
      <c r="A127" s="8">
        <v>30403.0</v>
      </c>
      <c r="B127" s="8">
        <v>2380.0</v>
      </c>
      <c r="C127" s="8">
        <v>873.3333554565907</v>
      </c>
      <c r="D127" s="8">
        <v>4799.0</v>
      </c>
      <c r="E127" s="11">
        <f t="shared" si="1"/>
        <v>0.4959366535</v>
      </c>
      <c r="F127" s="11">
        <f t="shared" si="2"/>
        <v>0.366946788</v>
      </c>
      <c r="G127" s="11">
        <f t="shared" si="3"/>
        <v>0.181982362</v>
      </c>
      <c r="H127" s="8">
        <v>30403.0</v>
      </c>
      <c r="I127" s="8">
        <v>598.0</v>
      </c>
      <c r="J127" s="8">
        <v>219.11111661791801</v>
      </c>
      <c r="K127" s="8">
        <v>936.0</v>
      </c>
      <c r="L127" s="11">
        <f t="shared" si="4"/>
        <v>0.6388888889</v>
      </c>
      <c r="M127" s="11">
        <f t="shared" si="5"/>
        <v>0.3664065495</v>
      </c>
      <c r="N127" s="11">
        <f t="shared" si="6"/>
        <v>0.2340930733</v>
      </c>
      <c r="O127" s="18">
        <f t="shared" si="17"/>
        <v>1.28635034</v>
      </c>
      <c r="U127" s="18"/>
      <c r="V127" s="18"/>
      <c r="W127" s="18"/>
      <c r="X127" s="18"/>
    </row>
    <row r="128" ht="15.75" customHeight="1">
      <c r="A128" s="8">
        <v>30404.0</v>
      </c>
      <c r="B128" s="8">
        <v>21.0</v>
      </c>
      <c r="C128" s="8">
        <v>7.555555760860443</v>
      </c>
      <c r="D128" s="8">
        <v>84.0</v>
      </c>
      <c r="E128" s="11">
        <f t="shared" si="1"/>
        <v>0.25</v>
      </c>
      <c r="F128" s="11">
        <f t="shared" si="2"/>
        <v>0.3597883696</v>
      </c>
      <c r="G128" s="11">
        <f t="shared" si="3"/>
        <v>0.08994709239</v>
      </c>
      <c r="H128" s="8">
        <v>30404.0</v>
      </c>
      <c r="I128" s="8">
        <v>24.0</v>
      </c>
      <c r="J128" s="8">
        <v>10.444444715976715</v>
      </c>
      <c r="K128" s="8">
        <v>64.0</v>
      </c>
      <c r="L128" s="11">
        <f t="shared" si="4"/>
        <v>0.375</v>
      </c>
      <c r="M128" s="11">
        <f t="shared" si="5"/>
        <v>0.4351851965</v>
      </c>
      <c r="N128" s="11">
        <f t="shared" si="6"/>
        <v>0.1631944487</v>
      </c>
      <c r="O128" s="18">
        <f t="shared" si="17"/>
        <v>1.814338233</v>
      </c>
      <c r="U128" s="18"/>
      <c r="V128" s="18"/>
      <c r="W128" s="18"/>
      <c r="X128" s="18"/>
    </row>
    <row r="129" ht="15.75" customHeight="1">
      <c r="A129" s="8">
        <v>30501.0</v>
      </c>
      <c r="B129" s="8">
        <v>32.0</v>
      </c>
      <c r="C129" s="8">
        <v>11.333333611488342</v>
      </c>
      <c r="D129" s="8">
        <v>498.0</v>
      </c>
      <c r="E129" s="11">
        <f t="shared" si="1"/>
        <v>0.06425702811</v>
      </c>
      <c r="F129" s="11">
        <f t="shared" si="2"/>
        <v>0.3541666754</v>
      </c>
      <c r="G129" s="11">
        <f t="shared" si="3"/>
        <v>0.02275769802</v>
      </c>
      <c r="H129" s="8">
        <v>30501.0</v>
      </c>
      <c r="I129" s="8">
        <v>13.0</v>
      </c>
      <c r="J129" s="8">
        <v>5.0000001192092896</v>
      </c>
      <c r="K129" s="8">
        <v>114.0</v>
      </c>
      <c r="L129" s="11">
        <f t="shared" si="4"/>
        <v>0.1140350877</v>
      </c>
      <c r="M129" s="11">
        <f t="shared" si="5"/>
        <v>0.3846153938</v>
      </c>
      <c r="N129" s="11">
        <f t="shared" si="6"/>
        <v>0.04385965017</v>
      </c>
      <c r="O129" s="18">
        <f t="shared" si="17"/>
        <v>1.927244581</v>
      </c>
      <c r="U129" s="18"/>
      <c r="V129" s="18"/>
      <c r="W129" s="18"/>
      <c r="X129" s="18"/>
    </row>
    <row r="130" ht="15.75" customHeight="1">
      <c r="A130" s="8">
        <v>30502.0</v>
      </c>
      <c r="B130" s="8">
        <v>48.0</v>
      </c>
      <c r="C130" s="8">
        <v>18.333333730697632</v>
      </c>
      <c r="D130" s="8">
        <v>326.0</v>
      </c>
      <c r="E130" s="11">
        <f t="shared" si="1"/>
        <v>0.1472392638</v>
      </c>
      <c r="F130" s="11">
        <f t="shared" si="2"/>
        <v>0.3819444527</v>
      </c>
      <c r="G130" s="11">
        <f t="shared" si="3"/>
        <v>0.05623722003</v>
      </c>
      <c r="H130" s="8">
        <v>30502.0</v>
      </c>
      <c r="I130" s="8">
        <v>20.0</v>
      </c>
      <c r="J130" s="8">
        <v>7.444444626569748</v>
      </c>
      <c r="K130" s="8">
        <v>149.0</v>
      </c>
      <c r="L130" s="11">
        <f t="shared" si="4"/>
        <v>0.1342281879</v>
      </c>
      <c r="M130" s="11">
        <f t="shared" si="5"/>
        <v>0.3722222313</v>
      </c>
      <c r="N130" s="11">
        <f t="shared" si="6"/>
        <v>0.04996271561</v>
      </c>
      <c r="O130" s="18">
        <f t="shared" si="17"/>
        <v>0.8884279057</v>
      </c>
      <c r="U130" s="18"/>
      <c r="V130" s="18"/>
      <c r="W130" s="18"/>
      <c r="X130" s="18"/>
    </row>
    <row r="131" ht="15.75" customHeight="1">
      <c r="A131" s="8">
        <v>30601.0</v>
      </c>
      <c r="B131" s="8">
        <v>52.0</v>
      </c>
      <c r="C131" s="8">
        <v>20.222222715616226</v>
      </c>
      <c r="D131" s="8">
        <v>247.0</v>
      </c>
      <c r="E131" s="11">
        <f t="shared" si="1"/>
        <v>0.2105263158</v>
      </c>
      <c r="F131" s="11">
        <f t="shared" si="2"/>
        <v>0.3888888984</v>
      </c>
      <c r="G131" s="11">
        <f t="shared" si="3"/>
        <v>0.08187134703</v>
      </c>
      <c r="H131" s="8">
        <v>30601.0</v>
      </c>
      <c r="I131" s="8">
        <v>20.0</v>
      </c>
      <c r="J131" s="8">
        <v>6.8888890743255615</v>
      </c>
      <c r="K131" s="8">
        <v>126.0</v>
      </c>
      <c r="L131" s="11">
        <f t="shared" si="4"/>
        <v>0.1587301587</v>
      </c>
      <c r="M131" s="11">
        <f t="shared" si="5"/>
        <v>0.3444444537</v>
      </c>
      <c r="N131" s="11">
        <f t="shared" si="6"/>
        <v>0.05467372281</v>
      </c>
      <c r="O131" s="18">
        <f t="shared" si="17"/>
        <v>0.6678004552</v>
      </c>
      <c r="U131" s="18"/>
      <c r="V131" s="18"/>
      <c r="W131" s="18"/>
      <c r="X131" s="18"/>
    </row>
    <row r="132" ht="15.75" customHeight="1">
      <c r="A132" s="8">
        <v>30602.0</v>
      </c>
      <c r="B132" s="8">
        <v>63.0</v>
      </c>
      <c r="C132" s="8">
        <v>25.33333393931389</v>
      </c>
      <c r="D132" s="8">
        <v>418.0</v>
      </c>
      <c r="E132" s="11">
        <f t="shared" si="1"/>
        <v>0.1507177033</v>
      </c>
      <c r="F132" s="11">
        <f t="shared" si="2"/>
        <v>0.4021164117</v>
      </c>
      <c r="G132" s="11">
        <f t="shared" si="3"/>
        <v>0.06060606206</v>
      </c>
      <c r="H132" s="8">
        <v>30602.0</v>
      </c>
      <c r="I132" s="8">
        <v>57.0</v>
      </c>
      <c r="J132" s="8">
        <v>20.555556058883667</v>
      </c>
      <c r="K132" s="8">
        <v>267.0</v>
      </c>
      <c r="L132" s="11">
        <f t="shared" si="4"/>
        <v>0.2134831461</v>
      </c>
      <c r="M132" s="11">
        <f t="shared" si="5"/>
        <v>0.3606237905</v>
      </c>
      <c r="N132" s="11">
        <f t="shared" si="6"/>
        <v>0.07698710134</v>
      </c>
      <c r="O132" s="18">
        <f t="shared" si="17"/>
        <v>1.270287142</v>
      </c>
      <c r="U132" s="18"/>
      <c r="V132" s="18"/>
      <c r="W132" s="18"/>
      <c r="X132" s="18"/>
    </row>
    <row r="133" ht="15.75" customHeight="1">
      <c r="A133" s="8">
        <v>30701.0</v>
      </c>
      <c r="B133" s="8">
        <v>91.0</v>
      </c>
      <c r="C133" s="8">
        <v>35.22222310304642</v>
      </c>
      <c r="D133" s="8">
        <v>932.0</v>
      </c>
      <c r="E133" s="11">
        <f t="shared" si="1"/>
        <v>0.09763948498</v>
      </c>
      <c r="F133" s="11">
        <f t="shared" si="2"/>
        <v>0.3870573967</v>
      </c>
      <c r="G133" s="11">
        <f t="shared" si="3"/>
        <v>0.03779208487</v>
      </c>
      <c r="H133" s="8">
        <v>30701.0</v>
      </c>
      <c r="I133" s="8">
        <v>40.0</v>
      </c>
      <c r="J133" s="8">
        <v>14.222222656011581</v>
      </c>
      <c r="K133" s="8">
        <v>231.0</v>
      </c>
      <c r="L133" s="11">
        <f t="shared" si="4"/>
        <v>0.1731601732</v>
      </c>
      <c r="M133" s="11">
        <f t="shared" si="5"/>
        <v>0.3555555664</v>
      </c>
      <c r="N133" s="11">
        <f t="shared" si="6"/>
        <v>0.06156806345</v>
      </c>
      <c r="O133" s="18">
        <f t="shared" si="17"/>
        <v>1.629125878</v>
      </c>
      <c r="U133" s="18"/>
      <c r="V133" s="18"/>
      <c r="W133" s="18"/>
      <c r="X133" s="18"/>
    </row>
    <row r="134" ht="15.75" customHeight="1">
      <c r="A134" s="8">
        <v>30702.0</v>
      </c>
      <c r="B134" s="8">
        <v>55.0</v>
      </c>
      <c r="C134" s="8">
        <v>19.3333338201046</v>
      </c>
      <c r="D134" s="8">
        <v>660.0</v>
      </c>
      <c r="E134" s="11">
        <f t="shared" si="1"/>
        <v>0.08333333333</v>
      </c>
      <c r="F134" s="11">
        <f t="shared" si="2"/>
        <v>0.3515151604</v>
      </c>
      <c r="G134" s="11">
        <f t="shared" si="3"/>
        <v>0.02929293003</v>
      </c>
      <c r="H134" s="8">
        <v>30702.0</v>
      </c>
      <c r="I134" s="8">
        <v>37.0</v>
      </c>
      <c r="J134" s="8">
        <v>13.333333641290665</v>
      </c>
      <c r="K134" s="8">
        <v>215.0</v>
      </c>
      <c r="L134" s="11">
        <f t="shared" si="4"/>
        <v>0.1720930233</v>
      </c>
      <c r="M134" s="11">
        <f t="shared" si="5"/>
        <v>0.3603603687</v>
      </c>
      <c r="N134" s="11">
        <f t="shared" si="6"/>
        <v>0.06201550531</v>
      </c>
      <c r="O134" s="18">
        <f t="shared" si="17"/>
        <v>2.11708099</v>
      </c>
      <c r="U134" s="18"/>
      <c r="V134" s="18"/>
      <c r="W134" s="18"/>
      <c r="X134" s="18"/>
    </row>
    <row r="135" ht="15.75" customHeight="1">
      <c r="A135" s="8">
        <v>30703.0</v>
      </c>
      <c r="B135" s="8">
        <v>23.0</v>
      </c>
      <c r="C135" s="8">
        <v>8.777777969837189</v>
      </c>
      <c r="D135" s="8">
        <v>162.0</v>
      </c>
      <c r="E135" s="11">
        <f t="shared" si="1"/>
        <v>0.1419753086</v>
      </c>
      <c r="F135" s="11">
        <f t="shared" si="2"/>
        <v>0.3816425204</v>
      </c>
      <c r="G135" s="11">
        <f t="shared" si="3"/>
        <v>0.05418381463</v>
      </c>
      <c r="H135" s="8">
        <v>30703.0</v>
      </c>
      <c r="I135" s="8">
        <v>3.0</v>
      </c>
      <c r="J135" s="8">
        <v>1.1111111342906952</v>
      </c>
      <c r="K135" s="8">
        <v>36.0</v>
      </c>
      <c r="L135" s="11">
        <f t="shared" si="4"/>
        <v>0.08333333333</v>
      </c>
      <c r="M135" s="11">
        <f t="shared" si="5"/>
        <v>0.3703703781</v>
      </c>
      <c r="N135" s="11">
        <f t="shared" si="6"/>
        <v>0.03086419817</v>
      </c>
      <c r="O135" s="18">
        <f t="shared" si="17"/>
        <v>0.5696202526</v>
      </c>
      <c r="U135" s="18"/>
      <c r="V135" s="18"/>
      <c r="W135" s="18"/>
      <c r="X135" s="18"/>
    </row>
    <row r="136" ht="15.75" customHeight="1">
      <c r="A136" s="8">
        <v>30801.0</v>
      </c>
      <c r="B136" s="8">
        <v>50.0</v>
      </c>
      <c r="C136" s="8">
        <v>17.333333790302277</v>
      </c>
      <c r="D136" s="8">
        <v>833.0</v>
      </c>
      <c r="E136" s="11">
        <f t="shared" si="1"/>
        <v>0.0600240096</v>
      </c>
      <c r="F136" s="11">
        <f t="shared" si="2"/>
        <v>0.3466666758</v>
      </c>
      <c r="G136" s="11">
        <f t="shared" si="3"/>
        <v>0.02080832388</v>
      </c>
      <c r="H136" s="8">
        <v>30801.0</v>
      </c>
      <c r="I136" s="8">
        <v>5.0</v>
      </c>
      <c r="J136" s="8">
        <v>1.666666716337204</v>
      </c>
      <c r="K136" s="8">
        <v>139.0</v>
      </c>
      <c r="L136" s="11">
        <f t="shared" si="4"/>
        <v>0.03597122302</v>
      </c>
      <c r="M136" s="11">
        <f t="shared" si="5"/>
        <v>0.3333333433</v>
      </c>
      <c r="N136" s="11">
        <f t="shared" si="6"/>
        <v>0.01199040803</v>
      </c>
      <c r="O136" s="18">
        <f t="shared" si="17"/>
        <v>0.5762313246</v>
      </c>
      <c r="U136" s="18"/>
      <c r="V136" s="18"/>
      <c r="W136" s="18"/>
      <c r="X136" s="18"/>
    </row>
    <row r="137" ht="15.75" customHeight="1">
      <c r="A137" s="8">
        <v>30802.0</v>
      </c>
      <c r="B137" s="8">
        <v>30.0</v>
      </c>
      <c r="C137" s="8">
        <v>12.000000268220901</v>
      </c>
      <c r="D137" s="8">
        <v>349.0</v>
      </c>
      <c r="E137" s="11">
        <f t="shared" si="1"/>
        <v>0.08595988539</v>
      </c>
      <c r="F137" s="11">
        <f t="shared" si="2"/>
        <v>0.4000000089</v>
      </c>
      <c r="G137" s="11">
        <f t="shared" si="3"/>
        <v>0.03438395492</v>
      </c>
      <c r="H137" s="8">
        <v>30802.0</v>
      </c>
      <c r="I137" s="8">
        <v>5.0</v>
      </c>
      <c r="J137" s="8">
        <v>1.888888955116272</v>
      </c>
      <c r="K137" s="8">
        <v>51.0</v>
      </c>
      <c r="L137" s="11">
        <f t="shared" si="4"/>
        <v>0.09803921569</v>
      </c>
      <c r="M137" s="11">
        <f t="shared" si="5"/>
        <v>0.377777791</v>
      </c>
      <c r="N137" s="11">
        <f t="shared" si="6"/>
        <v>0.03703703834</v>
      </c>
      <c r="O137" s="18">
        <f t="shared" si="17"/>
        <v>1.077160508</v>
      </c>
      <c r="U137" s="18"/>
      <c r="V137" s="18"/>
      <c r="W137" s="18"/>
      <c r="X137" s="18"/>
    </row>
    <row r="138" ht="15.75" customHeight="1">
      <c r="A138" s="8">
        <v>30803.0</v>
      </c>
      <c r="B138" s="8">
        <v>589.0</v>
      </c>
      <c r="C138" s="8">
        <v>212.66667196154594</v>
      </c>
      <c r="D138" s="8">
        <v>1265.0</v>
      </c>
      <c r="E138" s="11">
        <f t="shared" si="1"/>
        <v>0.4656126482</v>
      </c>
      <c r="F138" s="11">
        <f t="shared" si="2"/>
        <v>0.3610639592</v>
      </c>
      <c r="G138" s="11">
        <f t="shared" si="3"/>
        <v>0.1681159462</v>
      </c>
      <c r="H138" s="8">
        <v>30803.0</v>
      </c>
      <c r="I138" s="8">
        <v>97.0</v>
      </c>
      <c r="J138" s="8">
        <v>35.22222310304642</v>
      </c>
      <c r="K138" s="8">
        <v>166.0</v>
      </c>
      <c r="L138" s="11">
        <f t="shared" si="4"/>
        <v>0.5843373494</v>
      </c>
      <c r="M138" s="11">
        <f t="shared" si="5"/>
        <v>0.3631157021</v>
      </c>
      <c r="N138" s="11">
        <f t="shared" si="6"/>
        <v>0.2121820669</v>
      </c>
      <c r="O138" s="18">
        <f t="shared" si="17"/>
        <v>1.262117435</v>
      </c>
      <c r="U138" s="18"/>
      <c r="V138" s="18"/>
      <c r="W138" s="18"/>
      <c r="X138" s="18"/>
    </row>
    <row r="139" ht="15.75" customHeight="1">
      <c r="A139" s="8">
        <v>30901.0</v>
      </c>
      <c r="B139" s="8">
        <v>569.0</v>
      </c>
      <c r="C139" s="8">
        <v>203.66667193174362</v>
      </c>
      <c r="D139" s="8">
        <v>11632.0</v>
      </c>
      <c r="E139" s="11">
        <f t="shared" si="1"/>
        <v>0.04891678129</v>
      </c>
      <c r="F139" s="11">
        <f t="shared" si="2"/>
        <v>0.357937912</v>
      </c>
      <c r="G139" s="11">
        <f t="shared" si="3"/>
        <v>0.01750917056</v>
      </c>
      <c r="H139" s="8">
        <v>30901.0</v>
      </c>
      <c r="I139" s="8">
        <v>98.0</v>
      </c>
      <c r="J139" s="8">
        <v>35.55555647611618</v>
      </c>
      <c r="K139" s="8">
        <v>1043.0</v>
      </c>
      <c r="L139" s="11">
        <f t="shared" si="4"/>
        <v>0.09395973154</v>
      </c>
      <c r="M139" s="11">
        <f t="shared" si="5"/>
        <v>0.3628118008</v>
      </c>
      <c r="N139" s="11">
        <f t="shared" si="6"/>
        <v>0.0340896994</v>
      </c>
      <c r="O139" s="18">
        <f t="shared" si="17"/>
        <v>1.946962552</v>
      </c>
      <c r="U139" s="18"/>
      <c r="V139" s="18"/>
      <c r="W139" s="18"/>
      <c r="X139" s="18"/>
    </row>
    <row r="140" ht="15.75" customHeight="1">
      <c r="A140" s="8">
        <v>30902.0</v>
      </c>
      <c r="B140" s="8">
        <v>409.0</v>
      </c>
      <c r="C140" s="8">
        <v>147.5555595457554</v>
      </c>
      <c r="D140" s="8">
        <v>4581.0</v>
      </c>
      <c r="E140" s="11">
        <f t="shared" si="1"/>
        <v>0.0892818162</v>
      </c>
      <c r="F140" s="11">
        <f t="shared" si="2"/>
        <v>0.3607715392</v>
      </c>
      <c r="G140" s="11">
        <f t="shared" si="3"/>
        <v>0.03221033825</v>
      </c>
      <c r="H140" s="8">
        <v>30902.0</v>
      </c>
      <c r="I140" s="8">
        <v>43.0</v>
      </c>
      <c r="J140" s="8">
        <v>15.444444864988327</v>
      </c>
      <c r="K140" s="8">
        <v>438.0</v>
      </c>
      <c r="L140" s="11">
        <f t="shared" si="4"/>
        <v>0.09817351598</v>
      </c>
      <c r="M140" s="11">
        <f t="shared" si="5"/>
        <v>0.3591731364</v>
      </c>
      <c r="N140" s="11">
        <f t="shared" si="6"/>
        <v>0.03526128965</v>
      </c>
      <c r="O140" s="18">
        <f t="shared" si="17"/>
        <v>1.094719632</v>
      </c>
      <c r="U140" s="18"/>
      <c r="V140" s="18"/>
      <c r="W140" s="18"/>
      <c r="X140" s="18"/>
    </row>
    <row r="141" ht="15.75" customHeight="1">
      <c r="A141" s="8">
        <v>30903.0</v>
      </c>
      <c r="B141" s="8">
        <v>150.0</v>
      </c>
      <c r="C141" s="8">
        <v>52.1111124753952</v>
      </c>
      <c r="D141" s="8">
        <v>6815.0</v>
      </c>
      <c r="E141" s="11">
        <f t="shared" si="1"/>
        <v>0.02201027146</v>
      </c>
      <c r="F141" s="11">
        <f t="shared" si="2"/>
        <v>0.3474074165</v>
      </c>
      <c r="G141" s="11">
        <f t="shared" si="3"/>
        <v>0.007646531544</v>
      </c>
      <c r="H141" s="8">
        <v>30903.0</v>
      </c>
      <c r="I141" s="8">
        <v>14.0</v>
      </c>
      <c r="J141" s="8">
        <v>4.777777910232544</v>
      </c>
      <c r="K141" s="8">
        <v>381.0</v>
      </c>
      <c r="L141" s="11">
        <f t="shared" si="4"/>
        <v>0.03674540682</v>
      </c>
      <c r="M141" s="11">
        <f t="shared" si="5"/>
        <v>0.3412698507</v>
      </c>
      <c r="N141" s="11">
        <f t="shared" si="6"/>
        <v>0.0125400995</v>
      </c>
      <c r="O141" s="18">
        <f t="shared" si="17"/>
        <v>1.639972245</v>
      </c>
      <c r="U141" s="18"/>
      <c r="V141" s="18"/>
      <c r="W141" s="18"/>
      <c r="X141" s="18"/>
    </row>
    <row r="142" ht="15.75" customHeight="1">
      <c r="A142" s="8">
        <v>30904.0</v>
      </c>
      <c r="B142" s="8">
        <v>299.0</v>
      </c>
      <c r="C142" s="8">
        <v>106.00000283122063</v>
      </c>
      <c r="D142" s="8">
        <v>5338.0</v>
      </c>
      <c r="E142" s="11">
        <f t="shared" si="1"/>
        <v>0.0560134882</v>
      </c>
      <c r="F142" s="11">
        <f t="shared" si="2"/>
        <v>0.3545150596</v>
      </c>
      <c r="G142" s="11">
        <f t="shared" si="3"/>
        <v>0.01985762511</v>
      </c>
      <c r="H142" s="8">
        <v>30904.0</v>
      </c>
      <c r="I142" s="8">
        <v>36.0</v>
      </c>
      <c r="J142" s="8">
        <v>12.666666984558105</v>
      </c>
      <c r="K142" s="8">
        <v>401.0</v>
      </c>
      <c r="L142" s="11">
        <f t="shared" si="4"/>
        <v>0.0897755611</v>
      </c>
      <c r="M142" s="11">
        <f t="shared" si="5"/>
        <v>0.3518518607</v>
      </c>
      <c r="N142" s="11">
        <f t="shared" si="6"/>
        <v>0.03158769822</v>
      </c>
      <c r="O142" s="18">
        <f t="shared" si="17"/>
        <v>1.59070876</v>
      </c>
      <c r="U142" s="18"/>
      <c r="V142" s="18"/>
      <c r="W142" s="18"/>
      <c r="X142" s="18"/>
    </row>
    <row r="143" ht="15.75" customHeight="1">
      <c r="A143" s="8">
        <v>30905.0</v>
      </c>
      <c r="B143" s="8">
        <v>100.0</v>
      </c>
      <c r="C143" s="8">
        <v>34.55555647611618</v>
      </c>
      <c r="D143" s="8">
        <v>8003.0</v>
      </c>
      <c r="E143" s="11">
        <f t="shared" si="1"/>
        <v>0.01249531426</v>
      </c>
      <c r="F143" s="11">
        <f t="shared" si="2"/>
        <v>0.3455555648</v>
      </c>
      <c r="G143" s="11">
        <f t="shared" si="3"/>
        <v>0.004317825375</v>
      </c>
      <c r="H143" s="8">
        <v>30905.0</v>
      </c>
      <c r="I143" s="8">
        <v>9.0</v>
      </c>
      <c r="J143" s="8">
        <v>3.000000089406967</v>
      </c>
      <c r="K143" s="8">
        <v>489.0</v>
      </c>
      <c r="L143" s="11">
        <f t="shared" si="4"/>
        <v>0.01840490798</v>
      </c>
      <c r="M143" s="11">
        <f t="shared" si="5"/>
        <v>0.3333333433</v>
      </c>
      <c r="N143" s="11">
        <f t="shared" si="6"/>
        <v>0.006134969508</v>
      </c>
      <c r="O143" s="18">
        <f t="shared" si="17"/>
        <v>1.420847064</v>
      </c>
      <c r="U143" s="18"/>
      <c r="V143" s="18"/>
      <c r="W143" s="18"/>
      <c r="X143" s="18"/>
    </row>
    <row r="144" ht="15.75" customHeight="1">
      <c r="A144" s="8">
        <v>31001.0</v>
      </c>
      <c r="B144" s="8">
        <v>1223.0</v>
      </c>
      <c r="C144" s="8">
        <v>435.3333447277546</v>
      </c>
      <c r="D144" s="8">
        <v>18877.0</v>
      </c>
      <c r="E144" s="11">
        <f t="shared" si="1"/>
        <v>0.06478783705</v>
      </c>
      <c r="F144" s="11">
        <f t="shared" si="2"/>
        <v>0.3559553105</v>
      </c>
      <c r="G144" s="11">
        <f t="shared" si="3"/>
        <v>0.02306157465</v>
      </c>
      <c r="H144" s="8">
        <v>31001.0</v>
      </c>
      <c r="I144" s="8">
        <v>354.0</v>
      </c>
      <c r="J144" s="8">
        <v>128.00000327825546</v>
      </c>
      <c r="K144" s="8">
        <v>2065.0</v>
      </c>
      <c r="L144" s="11">
        <f t="shared" si="4"/>
        <v>0.1714285714</v>
      </c>
      <c r="M144" s="11">
        <f t="shared" si="5"/>
        <v>0.3615819302</v>
      </c>
      <c r="N144" s="11">
        <f t="shared" si="6"/>
        <v>0.06198547374</v>
      </c>
      <c r="O144" s="18">
        <f t="shared" si="17"/>
        <v>2.687824863</v>
      </c>
      <c r="U144" s="18"/>
      <c r="V144" s="18"/>
      <c r="W144" s="18"/>
      <c r="X144" s="18"/>
    </row>
    <row r="145" ht="15.75" customHeight="1">
      <c r="A145" s="8">
        <v>31002.0</v>
      </c>
      <c r="B145" s="8">
        <v>163.0</v>
      </c>
      <c r="C145" s="8">
        <v>58.22222366929054</v>
      </c>
      <c r="D145" s="8">
        <v>1107.0</v>
      </c>
      <c r="E145" s="11">
        <f t="shared" si="1"/>
        <v>0.1472448058</v>
      </c>
      <c r="F145" s="11">
        <f t="shared" si="2"/>
        <v>0.3571915563</v>
      </c>
      <c r="G145" s="11">
        <f t="shared" si="3"/>
        <v>0.05259460133</v>
      </c>
      <c r="H145" s="8">
        <v>31002.0</v>
      </c>
      <c r="I145" s="8">
        <v>76.0</v>
      </c>
      <c r="J145" s="8">
        <v>27.444445192813873</v>
      </c>
      <c r="K145" s="8">
        <v>385.0</v>
      </c>
      <c r="L145" s="11">
        <f t="shared" si="4"/>
        <v>0.1974025974</v>
      </c>
      <c r="M145" s="11">
        <f t="shared" si="5"/>
        <v>0.361111121</v>
      </c>
      <c r="N145" s="11">
        <f t="shared" si="6"/>
        <v>0.07128427323</v>
      </c>
      <c r="O145" s="18">
        <f t="shared" si="17"/>
        <v>1.355353428</v>
      </c>
      <c r="U145" s="18"/>
      <c r="V145" s="18"/>
      <c r="W145" s="18"/>
      <c r="X145" s="18"/>
    </row>
    <row r="146" ht="15.75" customHeight="1">
      <c r="A146" s="8">
        <v>31003.0</v>
      </c>
      <c r="B146" s="8">
        <v>1487.0</v>
      </c>
      <c r="C146" s="8">
        <v>544.1111246943474</v>
      </c>
      <c r="D146" s="8">
        <v>8573.0</v>
      </c>
      <c r="E146" s="11">
        <f t="shared" si="1"/>
        <v>0.1734515339</v>
      </c>
      <c r="F146" s="11">
        <f t="shared" si="2"/>
        <v>0.365911987</v>
      </c>
      <c r="G146" s="11">
        <f t="shared" si="3"/>
        <v>0.06346799542</v>
      </c>
      <c r="H146" s="8">
        <v>31003.0</v>
      </c>
      <c r="I146" s="8">
        <v>283.0</v>
      </c>
      <c r="J146" s="8">
        <v>104.2222248017788</v>
      </c>
      <c r="K146" s="8">
        <v>1352.0</v>
      </c>
      <c r="L146" s="11">
        <f t="shared" si="4"/>
        <v>0.2093195266</v>
      </c>
      <c r="M146" s="11">
        <f t="shared" si="5"/>
        <v>0.3682764127</v>
      </c>
      <c r="N146" s="11">
        <f t="shared" si="6"/>
        <v>0.07708744438</v>
      </c>
      <c r="O146" s="18">
        <f t="shared" si="17"/>
        <v>1.214587665</v>
      </c>
      <c r="U146" s="18"/>
      <c r="V146" s="18"/>
      <c r="W146" s="18"/>
      <c r="X146" s="18"/>
    </row>
    <row r="147" ht="15.75" customHeight="1">
      <c r="A147" s="8">
        <v>31101.0</v>
      </c>
      <c r="B147" s="8">
        <v>211.0</v>
      </c>
      <c r="C147" s="8">
        <v>81.44444653391838</v>
      </c>
      <c r="D147" s="8">
        <v>893.0</v>
      </c>
      <c r="E147" s="11">
        <f t="shared" si="1"/>
        <v>0.2362821948</v>
      </c>
      <c r="F147" s="11">
        <f t="shared" si="2"/>
        <v>0.3859926376</v>
      </c>
      <c r="G147" s="11">
        <f t="shared" si="3"/>
        <v>0.09120318761</v>
      </c>
      <c r="H147" s="8">
        <v>31101.0</v>
      </c>
      <c r="I147" s="8">
        <v>123.0</v>
      </c>
      <c r="J147" s="8">
        <v>46.222223311662674</v>
      </c>
      <c r="K147" s="8">
        <v>312.0</v>
      </c>
      <c r="L147" s="11">
        <f t="shared" si="4"/>
        <v>0.3942307692</v>
      </c>
      <c r="M147" s="11">
        <f t="shared" si="5"/>
        <v>0.3757904334</v>
      </c>
      <c r="N147" s="11">
        <f t="shared" si="6"/>
        <v>0.1481481516</v>
      </c>
      <c r="O147" s="18">
        <f t="shared" si="17"/>
        <v>1.624374712</v>
      </c>
      <c r="U147" s="18"/>
      <c r="V147" s="18"/>
      <c r="W147" s="18"/>
      <c r="X147" s="18"/>
    </row>
    <row r="148" ht="15.75" customHeight="1">
      <c r="A148" s="8">
        <v>31201.0</v>
      </c>
      <c r="B148" s="8">
        <v>178.0</v>
      </c>
      <c r="C148" s="8">
        <v>67.55555713176727</v>
      </c>
      <c r="D148" s="8">
        <v>651.0</v>
      </c>
      <c r="E148" s="11">
        <f t="shared" si="1"/>
        <v>0.2734254992</v>
      </c>
      <c r="F148" s="11">
        <f t="shared" si="2"/>
        <v>0.3795256019</v>
      </c>
      <c r="G148" s="11">
        <f t="shared" si="3"/>
        <v>0.1037719772</v>
      </c>
      <c r="H148" s="8">
        <v>31201.0</v>
      </c>
      <c r="I148" s="8">
        <v>45.0</v>
      </c>
      <c r="J148" s="8">
        <v>17.22222265601158</v>
      </c>
      <c r="K148" s="8">
        <v>171.0</v>
      </c>
      <c r="L148" s="11">
        <f t="shared" si="4"/>
        <v>0.2631578947</v>
      </c>
      <c r="M148" s="11">
        <f t="shared" si="5"/>
        <v>0.382716059</v>
      </c>
      <c r="N148" s="11">
        <f t="shared" si="6"/>
        <v>0.1007147524</v>
      </c>
      <c r="O148" s="18">
        <f t="shared" si="17"/>
        <v>0.9705390138</v>
      </c>
      <c r="U148" s="18"/>
      <c r="V148" s="18"/>
      <c r="W148" s="18"/>
      <c r="X148" s="18"/>
    </row>
    <row r="149" ht="15.75" customHeight="1">
      <c r="A149" s="8">
        <v>31202.0</v>
      </c>
      <c r="B149" s="8">
        <v>124.0</v>
      </c>
      <c r="C149" s="8">
        <v>46.11111229658127</v>
      </c>
      <c r="D149" s="8">
        <v>536.0</v>
      </c>
      <c r="E149" s="11">
        <f t="shared" si="1"/>
        <v>0.2313432836</v>
      </c>
      <c r="F149" s="11">
        <f t="shared" si="2"/>
        <v>0.3718638088</v>
      </c>
      <c r="G149" s="11">
        <f t="shared" si="3"/>
        <v>0.08602819458</v>
      </c>
      <c r="H149" s="8">
        <v>31202.0</v>
      </c>
      <c r="I149" s="8">
        <v>18.0</v>
      </c>
      <c r="J149" s="8">
        <v>7.222222417593002</v>
      </c>
      <c r="K149" s="8">
        <v>114.0</v>
      </c>
      <c r="L149" s="11">
        <f t="shared" si="4"/>
        <v>0.1578947368</v>
      </c>
      <c r="M149" s="11">
        <f t="shared" si="5"/>
        <v>0.4012345788</v>
      </c>
      <c r="N149" s="11">
        <f t="shared" si="6"/>
        <v>0.06335282822</v>
      </c>
      <c r="O149" s="18">
        <f t="shared" si="17"/>
        <v>0.7364193626</v>
      </c>
      <c r="U149" s="18"/>
      <c r="V149" s="18"/>
      <c r="W149" s="18"/>
      <c r="X149" s="18"/>
    </row>
    <row r="150" ht="15.75" customHeight="1">
      <c r="A150" s="8">
        <v>31203.0</v>
      </c>
      <c r="B150" s="8">
        <v>68.0</v>
      </c>
      <c r="C150" s="8">
        <v>24.111111760139465</v>
      </c>
      <c r="D150" s="8">
        <v>480.0</v>
      </c>
      <c r="E150" s="11">
        <f t="shared" si="1"/>
        <v>0.1416666667</v>
      </c>
      <c r="F150" s="11">
        <f t="shared" si="2"/>
        <v>0.3545751729</v>
      </c>
      <c r="G150" s="11">
        <f t="shared" si="3"/>
        <v>0.05023148283</v>
      </c>
      <c r="H150" s="8">
        <v>31203.0</v>
      </c>
      <c r="I150" s="8">
        <v>23.0</v>
      </c>
      <c r="J150" s="8">
        <v>8.777777969837189</v>
      </c>
      <c r="K150" s="8">
        <v>186.0</v>
      </c>
      <c r="L150" s="11">
        <f t="shared" si="4"/>
        <v>0.123655914</v>
      </c>
      <c r="M150" s="11">
        <f t="shared" si="5"/>
        <v>0.3816425204</v>
      </c>
      <c r="N150" s="11">
        <f t="shared" si="6"/>
        <v>0.04719235468</v>
      </c>
      <c r="O150" s="18">
        <f t="shared" si="17"/>
        <v>0.9394975425</v>
      </c>
      <c r="U150" s="18"/>
      <c r="V150" s="18"/>
      <c r="W150" s="18"/>
      <c r="X150" s="18"/>
    </row>
    <row r="151" ht="15.75" customHeight="1">
      <c r="A151" s="8">
        <v>31204.0</v>
      </c>
      <c r="B151" s="8">
        <v>333.0</v>
      </c>
      <c r="C151" s="8">
        <v>126.00000315904617</v>
      </c>
      <c r="D151" s="8">
        <v>2675.0</v>
      </c>
      <c r="E151" s="11">
        <f t="shared" si="1"/>
        <v>0.1244859813</v>
      </c>
      <c r="F151" s="11">
        <f t="shared" si="2"/>
        <v>0.3783783879</v>
      </c>
      <c r="G151" s="11">
        <f t="shared" si="3"/>
        <v>0.04710280492</v>
      </c>
      <c r="H151" s="8">
        <v>31204.0</v>
      </c>
      <c r="I151" s="8">
        <v>36.0</v>
      </c>
      <c r="J151" s="8">
        <v>13.000000327825546</v>
      </c>
      <c r="K151" s="8">
        <v>353.0</v>
      </c>
      <c r="L151" s="11">
        <f t="shared" si="4"/>
        <v>0.1019830028</v>
      </c>
      <c r="M151" s="11">
        <f t="shared" si="5"/>
        <v>0.3611111202</v>
      </c>
      <c r="N151" s="11">
        <f t="shared" si="6"/>
        <v>0.0368271964</v>
      </c>
      <c r="O151" s="18">
        <f t="shared" si="17"/>
        <v>0.7818472055</v>
      </c>
      <c r="U151" s="18"/>
      <c r="V151" s="18"/>
      <c r="W151" s="18"/>
      <c r="X151" s="18"/>
    </row>
    <row r="152" ht="15.75" customHeight="1">
      <c r="A152" s="8">
        <v>31205.0</v>
      </c>
      <c r="B152" s="8">
        <v>551.0</v>
      </c>
      <c r="C152" s="8">
        <v>205.88889396190643</v>
      </c>
      <c r="D152" s="8">
        <v>4171.0</v>
      </c>
      <c r="E152" s="11">
        <f t="shared" si="1"/>
        <v>0.1321026133</v>
      </c>
      <c r="F152" s="11">
        <f t="shared" si="2"/>
        <v>0.3736640544</v>
      </c>
      <c r="G152" s="11">
        <f t="shared" si="3"/>
        <v>0.04936199807</v>
      </c>
      <c r="H152" s="8">
        <v>31205.0</v>
      </c>
      <c r="I152" s="8">
        <v>62.0</v>
      </c>
      <c r="J152" s="8">
        <v>21.777778327465057</v>
      </c>
      <c r="K152" s="8">
        <v>438.0</v>
      </c>
      <c r="L152" s="11">
        <f t="shared" si="4"/>
        <v>0.1415525114</v>
      </c>
      <c r="M152" s="11">
        <f t="shared" si="5"/>
        <v>0.3512544892</v>
      </c>
      <c r="N152" s="11">
        <f t="shared" si="6"/>
        <v>0.04972095509</v>
      </c>
      <c r="O152" s="18">
        <f t="shared" si="17"/>
        <v>1.00727193</v>
      </c>
      <c r="U152" s="18"/>
      <c r="V152" s="18"/>
      <c r="W152" s="18"/>
      <c r="X152" s="18"/>
    </row>
    <row r="153" ht="15.75" customHeight="1">
      <c r="A153" s="8">
        <v>31206.0</v>
      </c>
      <c r="B153" s="8">
        <v>576.0</v>
      </c>
      <c r="C153" s="8">
        <v>210.00000512599945</v>
      </c>
      <c r="D153" s="8">
        <v>4017.0</v>
      </c>
      <c r="E153" s="11">
        <f t="shared" si="1"/>
        <v>0.14339059</v>
      </c>
      <c r="F153" s="11">
        <f t="shared" si="2"/>
        <v>0.3645833422</v>
      </c>
      <c r="G153" s="11">
        <f t="shared" si="3"/>
        <v>0.05227782054</v>
      </c>
      <c r="H153" s="8">
        <v>31206.0</v>
      </c>
      <c r="I153" s="8">
        <v>69.0</v>
      </c>
      <c r="J153" s="8">
        <v>24.555556148290634</v>
      </c>
      <c r="K153" s="8">
        <v>390.0</v>
      </c>
      <c r="L153" s="11">
        <f t="shared" si="4"/>
        <v>0.1769230769</v>
      </c>
      <c r="M153" s="11">
        <f t="shared" si="5"/>
        <v>0.3558776253</v>
      </c>
      <c r="N153" s="11">
        <f t="shared" si="6"/>
        <v>0.06296296448</v>
      </c>
      <c r="O153" s="18">
        <f t="shared" si="17"/>
        <v>1.204391534</v>
      </c>
      <c r="U153" s="18"/>
      <c r="V153" s="18"/>
      <c r="W153" s="18"/>
      <c r="X153" s="18"/>
    </row>
    <row r="154" ht="15.75" customHeight="1">
      <c r="A154" s="8">
        <v>31301.0</v>
      </c>
      <c r="B154" s="8">
        <v>118.0</v>
      </c>
      <c r="C154" s="8">
        <v>44.77777886390686</v>
      </c>
      <c r="D154" s="8">
        <v>1034.0</v>
      </c>
      <c r="E154" s="11">
        <f t="shared" si="1"/>
        <v>0.1141199226</v>
      </c>
      <c r="F154" s="11">
        <f t="shared" si="2"/>
        <v>0.3794727022</v>
      </c>
      <c r="G154" s="11">
        <f t="shared" si="3"/>
        <v>0.04330539542</v>
      </c>
      <c r="H154" s="8">
        <v>31301.0</v>
      </c>
      <c r="I154" s="8">
        <v>47.0</v>
      </c>
      <c r="J154" s="8">
        <v>16.666667103767395</v>
      </c>
      <c r="K154" s="8">
        <v>246.0</v>
      </c>
      <c r="L154" s="11">
        <f t="shared" si="4"/>
        <v>0.1910569106</v>
      </c>
      <c r="M154" s="11">
        <f t="shared" si="5"/>
        <v>0.3546099384</v>
      </c>
      <c r="N154" s="11">
        <f t="shared" si="6"/>
        <v>0.06775067928</v>
      </c>
      <c r="O154" s="18">
        <f t="shared" si="17"/>
        <v>1.564485871</v>
      </c>
      <c r="U154" s="18"/>
      <c r="V154" s="18"/>
      <c r="W154" s="18"/>
      <c r="X154" s="18"/>
    </row>
    <row r="155" ht="15.75" customHeight="1">
      <c r="A155" s="8">
        <v>31302.0</v>
      </c>
      <c r="B155" s="8">
        <v>40.0</v>
      </c>
      <c r="C155" s="8">
        <v>15.111111551523209</v>
      </c>
      <c r="D155" s="8">
        <v>134.0</v>
      </c>
      <c r="E155" s="11">
        <f t="shared" si="1"/>
        <v>0.2985074627</v>
      </c>
      <c r="F155" s="11">
        <f t="shared" si="2"/>
        <v>0.3777777888</v>
      </c>
      <c r="G155" s="11">
        <f t="shared" si="3"/>
        <v>0.1127694892</v>
      </c>
      <c r="H155" s="8">
        <v>31302.0</v>
      </c>
      <c r="I155" s="8">
        <v>18.0</v>
      </c>
      <c r="J155" s="8">
        <v>6.4444445967674255</v>
      </c>
      <c r="K155" s="8">
        <v>51.0</v>
      </c>
      <c r="L155" s="11">
        <f t="shared" si="4"/>
        <v>0.3529411765</v>
      </c>
      <c r="M155" s="11">
        <f t="shared" si="5"/>
        <v>0.3580246998</v>
      </c>
      <c r="N155" s="11">
        <f t="shared" si="6"/>
        <v>0.1263616588</v>
      </c>
      <c r="O155" s="18">
        <f t="shared" si="17"/>
        <v>1.120530559</v>
      </c>
      <c r="U155" s="18"/>
      <c r="V155" s="18"/>
      <c r="W155" s="18"/>
      <c r="X155" s="18"/>
    </row>
    <row r="156" ht="15.75" customHeight="1">
      <c r="A156" s="8">
        <v>31303.0</v>
      </c>
      <c r="B156" s="8">
        <v>48.0</v>
      </c>
      <c r="C156" s="8">
        <v>18.22222277522087</v>
      </c>
      <c r="D156" s="8">
        <v>117.0</v>
      </c>
      <c r="E156" s="11">
        <f t="shared" si="1"/>
        <v>0.4102564103</v>
      </c>
      <c r="F156" s="11">
        <f t="shared" si="2"/>
        <v>0.3796296412</v>
      </c>
      <c r="G156" s="11">
        <f t="shared" si="3"/>
        <v>0.1557454938</v>
      </c>
      <c r="H156" s="8">
        <v>31303.0</v>
      </c>
      <c r="I156" s="8">
        <v>42.0</v>
      </c>
      <c r="J156" s="8">
        <v>15.888889223337173</v>
      </c>
      <c r="K156" s="8">
        <v>76.0</v>
      </c>
      <c r="L156" s="11">
        <f t="shared" si="4"/>
        <v>0.5526315789</v>
      </c>
      <c r="M156" s="11">
        <f t="shared" si="5"/>
        <v>0.3783068863</v>
      </c>
      <c r="N156" s="11">
        <f t="shared" si="6"/>
        <v>0.2090643319</v>
      </c>
      <c r="O156" s="18">
        <f t="shared" si="17"/>
        <v>1.342345944</v>
      </c>
      <c r="U156" s="18"/>
      <c r="V156" s="18"/>
      <c r="W156" s="18"/>
      <c r="X156" s="18"/>
    </row>
    <row r="157" ht="15.75" customHeight="1">
      <c r="A157" s="8">
        <v>31304.0</v>
      </c>
      <c r="B157" s="8">
        <v>103.0</v>
      </c>
      <c r="C157" s="8">
        <v>43.66666769981384</v>
      </c>
      <c r="D157" s="8">
        <v>213.0</v>
      </c>
      <c r="E157" s="11">
        <f t="shared" si="1"/>
        <v>0.4835680751</v>
      </c>
      <c r="F157" s="11">
        <f t="shared" si="2"/>
        <v>0.4239482301</v>
      </c>
      <c r="G157" s="11">
        <f t="shared" si="3"/>
        <v>0.2050078296</v>
      </c>
      <c r="H157" s="8">
        <v>31304.0</v>
      </c>
      <c r="I157" s="8">
        <v>47.0</v>
      </c>
      <c r="J157" s="8">
        <v>17.444444864988327</v>
      </c>
      <c r="K157" s="8">
        <v>119.0</v>
      </c>
      <c r="L157" s="11">
        <f t="shared" si="4"/>
        <v>0.3949579832</v>
      </c>
      <c r="M157" s="11">
        <f t="shared" si="5"/>
        <v>0.3711584014</v>
      </c>
      <c r="N157" s="11">
        <f t="shared" si="6"/>
        <v>0.1465919737</v>
      </c>
      <c r="O157" s="18">
        <f t="shared" si="17"/>
        <v>0.7150554882</v>
      </c>
      <c r="U157" s="18"/>
      <c r="V157" s="18"/>
      <c r="W157" s="18"/>
      <c r="X157" s="18"/>
    </row>
    <row r="158" ht="15.75" customHeight="1">
      <c r="A158" s="8">
        <v>31401.0</v>
      </c>
      <c r="B158" s="8">
        <v>168.0</v>
      </c>
      <c r="C158" s="8">
        <v>60.11111271381378</v>
      </c>
      <c r="D158" s="8">
        <v>1647.0</v>
      </c>
      <c r="E158" s="11">
        <f t="shared" si="1"/>
        <v>0.102003643</v>
      </c>
      <c r="F158" s="11">
        <f t="shared" si="2"/>
        <v>0.3578042423</v>
      </c>
      <c r="G158" s="11">
        <f t="shared" si="3"/>
        <v>0.0364973362</v>
      </c>
      <c r="H158" s="8">
        <v>31401.0</v>
      </c>
      <c r="I158" s="8">
        <v>27.0</v>
      </c>
      <c r="J158" s="8">
        <v>9.666666895151138</v>
      </c>
      <c r="K158" s="8">
        <v>271.0</v>
      </c>
      <c r="L158" s="11">
        <f t="shared" si="4"/>
        <v>0.09963099631</v>
      </c>
      <c r="M158" s="11">
        <f t="shared" si="5"/>
        <v>0.3580246998</v>
      </c>
      <c r="N158" s="11">
        <f t="shared" si="6"/>
        <v>0.03567035755</v>
      </c>
      <c r="O158" s="18">
        <f t="shared" si="17"/>
        <v>0.9773413971</v>
      </c>
      <c r="U158" s="18"/>
      <c r="V158" s="18"/>
      <c r="W158" s="18"/>
      <c r="X158" s="18"/>
    </row>
    <row r="159" ht="15.75" customHeight="1">
      <c r="A159" s="8">
        <v>31402.0</v>
      </c>
      <c r="B159" s="8">
        <v>66.0</v>
      </c>
      <c r="C159" s="8">
        <v>23.11111170053482</v>
      </c>
      <c r="D159" s="8">
        <v>672.0</v>
      </c>
      <c r="E159" s="11">
        <f t="shared" si="1"/>
        <v>0.09821428571</v>
      </c>
      <c r="F159" s="11">
        <f t="shared" si="2"/>
        <v>0.3501683591</v>
      </c>
      <c r="G159" s="11">
        <f t="shared" si="3"/>
        <v>0.03439153527</v>
      </c>
      <c r="H159" s="8">
        <v>31402.0</v>
      </c>
      <c r="I159" s="8">
        <v>16.0</v>
      </c>
      <c r="J159" s="8">
        <v>5.777777940034866</v>
      </c>
      <c r="K159" s="8">
        <v>90.0</v>
      </c>
      <c r="L159" s="11">
        <f t="shared" si="4"/>
        <v>0.1777777778</v>
      </c>
      <c r="M159" s="11">
        <f t="shared" si="5"/>
        <v>0.3611111213</v>
      </c>
      <c r="N159" s="11">
        <f t="shared" si="6"/>
        <v>0.06419753267</v>
      </c>
      <c r="O159" s="18">
        <f t="shared" si="17"/>
        <v>1.866666671</v>
      </c>
      <c r="U159" s="18"/>
      <c r="V159" s="18"/>
      <c r="W159" s="18"/>
      <c r="X159" s="18"/>
    </row>
    <row r="160" ht="15.75" customHeight="1">
      <c r="A160" s="8">
        <v>31403.0</v>
      </c>
      <c r="B160" s="8">
        <v>62.0</v>
      </c>
      <c r="C160" s="8">
        <v>22.333333909511566</v>
      </c>
      <c r="D160" s="8">
        <v>835.0</v>
      </c>
      <c r="E160" s="11">
        <f t="shared" si="1"/>
        <v>0.07425149701</v>
      </c>
      <c r="F160" s="11">
        <f t="shared" si="2"/>
        <v>0.3602150631</v>
      </c>
      <c r="G160" s="11">
        <f t="shared" si="3"/>
        <v>0.02674650768</v>
      </c>
      <c r="H160" s="8">
        <v>31403.0</v>
      </c>
      <c r="I160" s="8">
        <v>9.0</v>
      </c>
      <c r="J160" s="8">
        <v>3.2222222983837128</v>
      </c>
      <c r="K160" s="8">
        <v>125.0</v>
      </c>
      <c r="L160" s="11">
        <f t="shared" si="4"/>
        <v>0.072</v>
      </c>
      <c r="M160" s="11">
        <f t="shared" si="5"/>
        <v>0.3580246998</v>
      </c>
      <c r="N160" s="11">
        <f t="shared" si="6"/>
        <v>0.02577777839</v>
      </c>
      <c r="O160" s="18">
        <f t="shared" si="17"/>
        <v>0.9637810924</v>
      </c>
      <c r="U160" s="18"/>
      <c r="V160" s="18"/>
      <c r="W160" s="18"/>
      <c r="X160" s="18"/>
    </row>
    <row r="161" ht="15.75" customHeight="1">
      <c r="A161" s="8">
        <v>31404.0</v>
      </c>
      <c r="B161" s="8">
        <v>4.0</v>
      </c>
      <c r="C161" s="8">
        <v>1.444444477558136</v>
      </c>
      <c r="D161" s="8">
        <v>98.0</v>
      </c>
      <c r="E161" s="11">
        <f t="shared" si="1"/>
        <v>0.04081632653</v>
      </c>
      <c r="F161" s="11">
        <f t="shared" si="2"/>
        <v>0.3611111194</v>
      </c>
      <c r="G161" s="11">
        <f t="shared" si="3"/>
        <v>0.01473922936</v>
      </c>
      <c r="H161" s="8">
        <v>31404.0</v>
      </c>
      <c r="I161" s="8">
        <v>0.0</v>
      </c>
      <c r="J161" s="8">
        <v>0.0</v>
      </c>
      <c r="K161" s="8">
        <v>44.0</v>
      </c>
      <c r="L161" s="11">
        <f t="shared" si="4"/>
        <v>0</v>
      </c>
      <c r="M161" s="11" t="str">
        <f t="shared" si="5"/>
        <v>#DIV/0!</v>
      </c>
      <c r="N161" s="11" t="str">
        <f t="shared" si="6"/>
        <v>#DIV/0!</v>
      </c>
      <c r="O161" s="18" t="s">
        <v>22</v>
      </c>
      <c r="U161" s="18"/>
      <c r="V161" s="18"/>
      <c r="W161" s="18"/>
      <c r="X161" s="18"/>
    </row>
    <row r="162" ht="15.75" customHeight="1">
      <c r="A162" s="8">
        <v>31405.0</v>
      </c>
      <c r="B162" s="8">
        <v>17.0</v>
      </c>
      <c r="C162" s="8">
        <v>6.111111283302307</v>
      </c>
      <c r="D162" s="8">
        <v>150.0</v>
      </c>
      <c r="E162" s="11">
        <f t="shared" si="1"/>
        <v>0.1133333333</v>
      </c>
      <c r="F162" s="11">
        <f t="shared" si="2"/>
        <v>0.3594771343</v>
      </c>
      <c r="G162" s="11">
        <f t="shared" si="3"/>
        <v>0.04074074189</v>
      </c>
      <c r="H162" s="8">
        <v>31405.0</v>
      </c>
      <c r="I162" s="8">
        <v>8.0</v>
      </c>
      <c r="J162" s="8">
        <v>2.888888955116272</v>
      </c>
      <c r="K162" s="8">
        <v>51.0</v>
      </c>
      <c r="L162" s="11">
        <f t="shared" si="4"/>
        <v>0.1568627451</v>
      </c>
      <c r="M162" s="11">
        <f t="shared" si="5"/>
        <v>0.3611111194</v>
      </c>
      <c r="N162" s="11">
        <f t="shared" si="6"/>
        <v>0.05664488147</v>
      </c>
      <c r="O162" s="18">
        <f t="shared" ref="O162:O178" si="18">N162/G162</f>
        <v>1.390374324</v>
      </c>
      <c r="U162" s="18"/>
      <c r="V162" s="18"/>
      <c r="W162" s="18"/>
      <c r="X162" s="18"/>
    </row>
    <row r="163" ht="15.75" customHeight="1">
      <c r="A163" s="8">
        <v>31501.0</v>
      </c>
      <c r="B163" s="8">
        <v>52.0</v>
      </c>
      <c r="C163" s="8">
        <v>18.77777823805809</v>
      </c>
      <c r="D163" s="8">
        <v>223.0</v>
      </c>
      <c r="E163" s="11">
        <f t="shared" si="1"/>
        <v>0.2331838565</v>
      </c>
      <c r="F163" s="11">
        <f t="shared" si="2"/>
        <v>0.36111112</v>
      </c>
      <c r="G163" s="11">
        <f t="shared" si="3"/>
        <v>0.08420528358</v>
      </c>
      <c r="H163" s="8">
        <v>31501.0</v>
      </c>
      <c r="I163" s="8">
        <v>18.0</v>
      </c>
      <c r="J163" s="8">
        <v>6.888889133930206</v>
      </c>
      <c r="K163" s="8">
        <v>108.0</v>
      </c>
      <c r="L163" s="11">
        <f t="shared" si="4"/>
        <v>0.1666666667</v>
      </c>
      <c r="M163" s="11">
        <f t="shared" si="5"/>
        <v>0.382716063</v>
      </c>
      <c r="N163" s="11">
        <f t="shared" si="6"/>
        <v>0.0637860105</v>
      </c>
      <c r="O163" s="18">
        <f t="shared" si="18"/>
        <v>0.7575060351</v>
      </c>
      <c r="U163" s="18"/>
      <c r="V163" s="18"/>
      <c r="W163" s="18"/>
      <c r="X163" s="18"/>
    </row>
    <row r="164" ht="15.75" customHeight="1">
      <c r="A164" s="8">
        <v>31601.0</v>
      </c>
      <c r="B164" s="8">
        <v>155.0</v>
      </c>
      <c r="C164" s="8">
        <v>62.33333459496498</v>
      </c>
      <c r="D164" s="8">
        <v>664.0</v>
      </c>
      <c r="E164" s="11">
        <f t="shared" si="1"/>
        <v>0.2334337349</v>
      </c>
      <c r="F164" s="11">
        <f t="shared" si="2"/>
        <v>0.4021505458</v>
      </c>
      <c r="G164" s="11">
        <f t="shared" si="3"/>
        <v>0.09387550391</v>
      </c>
      <c r="H164" s="8">
        <v>31601.0</v>
      </c>
      <c r="I164" s="8">
        <v>26.0</v>
      </c>
      <c r="J164" s="8">
        <v>10.666666954755783</v>
      </c>
      <c r="K164" s="8">
        <v>206.0</v>
      </c>
      <c r="L164" s="11">
        <f t="shared" si="4"/>
        <v>0.1262135922</v>
      </c>
      <c r="M164" s="11">
        <f t="shared" si="5"/>
        <v>0.4102564213</v>
      </c>
      <c r="N164" s="11">
        <f t="shared" si="6"/>
        <v>0.05177993667</v>
      </c>
      <c r="O164" s="18">
        <f t="shared" si="18"/>
        <v>0.5515809185</v>
      </c>
      <c r="U164" s="18"/>
      <c r="V164" s="18"/>
      <c r="W164" s="18"/>
      <c r="X164" s="18"/>
    </row>
    <row r="165" ht="15.75" customHeight="1">
      <c r="A165" s="8">
        <v>31602.0</v>
      </c>
      <c r="B165" s="8">
        <v>339.0</v>
      </c>
      <c r="C165" s="8">
        <v>126.66666975617409</v>
      </c>
      <c r="D165" s="8">
        <v>2822.0</v>
      </c>
      <c r="E165" s="11">
        <f t="shared" si="1"/>
        <v>0.1201275691</v>
      </c>
      <c r="F165" s="11">
        <f t="shared" si="2"/>
        <v>0.3736479934</v>
      </c>
      <c r="G165" s="11">
        <f t="shared" si="3"/>
        <v>0.04488542514</v>
      </c>
      <c r="H165" s="8">
        <v>31602.0</v>
      </c>
      <c r="I165" s="8">
        <v>31.0</v>
      </c>
      <c r="J165" s="8">
        <v>11.111111402511597</v>
      </c>
      <c r="K165" s="8">
        <v>233.0</v>
      </c>
      <c r="L165" s="11">
        <f t="shared" si="4"/>
        <v>0.1330472103</v>
      </c>
      <c r="M165" s="11">
        <f t="shared" si="5"/>
        <v>0.3584229485</v>
      </c>
      <c r="N165" s="11">
        <f t="shared" si="6"/>
        <v>0.0476871734</v>
      </c>
      <c r="O165" s="18">
        <f t="shared" si="18"/>
        <v>1.06242</v>
      </c>
      <c r="U165" s="18"/>
      <c r="V165" s="18"/>
      <c r="W165" s="18"/>
      <c r="X165" s="18"/>
    </row>
    <row r="166" ht="15.75" customHeight="1">
      <c r="A166" s="8">
        <v>40101.0</v>
      </c>
      <c r="B166" s="8">
        <v>610.0</v>
      </c>
      <c r="C166" s="8">
        <v>222.88889473676682</v>
      </c>
      <c r="D166" s="8">
        <v>13043.0</v>
      </c>
      <c r="E166" s="11">
        <f t="shared" si="1"/>
        <v>0.04676838151</v>
      </c>
      <c r="F166" s="11">
        <f t="shared" si="2"/>
        <v>0.3653916307</v>
      </c>
      <c r="G166" s="11">
        <f t="shared" si="3"/>
        <v>0.01708877518</v>
      </c>
      <c r="H166" s="8">
        <v>40101.0</v>
      </c>
      <c r="I166" s="8">
        <v>113.0</v>
      </c>
      <c r="J166" s="8">
        <v>43.66666769981384</v>
      </c>
      <c r="K166" s="8">
        <v>1322.0</v>
      </c>
      <c r="L166" s="11">
        <f t="shared" si="4"/>
        <v>0.08547655068</v>
      </c>
      <c r="M166" s="11">
        <f t="shared" si="5"/>
        <v>0.3864306876</v>
      </c>
      <c r="N166" s="11">
        <f t="shared" si="6"/>
        <v>0.03303076225</v>
      </c>
      <c r="O166" s="18">
        <f t="shared" si="18"/>
        <v>1.932892317</v>
      </c>
      <c r="U166" s="18"/>
      <c r="V166" s="18"/>
      <c r="W166" s="18"/>
      <c r="X166" s="18"/>
    </row>
    <row r="167" ht="15.75" customHeight="1">
      <c r="A167" s="8">
        <v>40102.0</v>
      </c>
      <c r="B167" s="8">
        <v>92.0</v>
      </c>
      <c r="C167" s="8">
        <v>31.888889729976654</v>
      </c>
      <c r="D167" s="8">
        <v>1053.0</v>
      </c>
      <c r="E167" s="11">
        <f t="shared" si="1"/>
        <v>0.0873694207</v>
      </c>
      <c r="F167" s="11">
        <f t="shared" si="2"/>
        <v>0.3466183666</v>
      </c>
      <c r="G167" s="11">
        <f t="shared" si="3"/>
        <v>0.0302838459</v>
      </c>
      <c r="H167" s="8">
        <v>40102.0</v>
      </c>
      <c r="I167" s="8">
        <v>25.0</v>
      </c>
      <c r="J167" s="8">
        <v>8.444444686174393</v>
      </c>
      <c r="K167" s="8">
        <v>284.0</v>
      </c>
      <c r="L167" s="11">
        <f t="shared" si="4"/>
        <v>0.08802816901</v>
      </c>
      <c r="M167" s="11">
        <f t="shared" si="5"/>
        <v>0.3377777874</v>
      </c>
      <c r="N167" s="11">
        <f t="shared" si="6"/>
        <v>0.02973396016</v>
      </c>
      <c r="O167" s="18">
        <f t="shared" si="18"/>
        <v>0.9818422754</v>
      </c>
      <c r="U167" s="18"/>
      <c r="V167" s="18"/>
      <c r="W167" s="18"/>
      <c r="X167" s="18"/>
    </row>
    <row r="168" ht="15.75" customHeight="1">
      <c r="A168" s="8">
        <v>40103.0</v>
      </c>
      <c r="B168" s="8">
        <v>195.0</v>
      </c>
      <c r="C168" s="8">
        <v>71.44444611668587</v>
      </c>
      <c r="D168" s="8">
        <v>425.0</v>
      </c>
      <c r="E168" s="11">
        <f t="shared" si="1"/>
        <v>0.4588235294</v>
      </c>
      <c r="F168" s="11">
        <f t="shared" si="2"/>
        <v>0.366381775</v>
      </c>
      <c r="G168" s="11">
        <f t="shared" si="3"/>
        <v>0.1681045791</v>
      </c>
      <c r="H168" s="8">
        <v>40103.0</v>
      </c>
      <c r="I168" s="8">
        <v>277.0</v>
      </c>
      <c r="J168" s="8">
        <v>104.44444698095322</v>
      </c>
      <c r="K168" s="8">
        <v>421.0</v>
      </c>
      <c r="L168" s="11">
        <f t="shared" si="4"/>
        <v>0.6579572447</v>
      </c>
      <c r="M168" s="11">
        <f t="shared" si="5"/>
        <v>0.3770557653</v>
      </c>
      <c r="N168" s="11">
        <f t="shared" si="6"/>
        <v>0.2480865724</v>
      </c>
      <c r="O168" s="18">
        <f t="shared" si="18"/>
        <v>1.475787119</v>
      </c>
      <c r="U168" s="18"/>
      <c r="V168" s="18"/>
      <c r="W168" s="18"/>
      <c r="X168" s="18"/>
    </row>
    <row r="169" ht="15.75" customHeight="1">
      <c r="A169" s="8">
        <v>40104.0</v>
      </c>
      <c r="B169" s="8">
        <v>113.0</v>
      </c>
      <c r="C169" s="8">
        <v>39.77777877449989</v>
      </c>
      <c r="D169" s="8">
        <v>740.0</v>
      </c>
      <c r="E169" s="11">
        <f t="shared" si="1"/>
        <v>0.1527027027</v>
      </c>
      <c r="F169" s="11">
        <f t="shared" si="2"/>
        <v>0.3520157414</v>
      </c>
      <c r="G169" s="11">
        <f t="shared" si="3"/>
        <v>0.0537537551</v>
      </c>
      <c r="H169" s="8">
        <v>40104.0</v>
      </c>
      <c r="I169" s="8">
        <v>70.0</v>
      </c>
      <c r="J169" s="8">
        <v>25.333334028720856</v>
      </c>
      <c r="K169" s="8">
        <v>274.0</v>
      </c>
      <c r="L169" s="11">
        <f t="shared" si="4"/>
        <v>0.2554744526</v>
      </c>
      <c r="M169" s="11">
        <f t="shared" si="5"/>
        <v>0.3619047718</v>
      </c>
      <c r="N169" s="11">
        <f t="shared" si="6"/>
        <v>0.09245742346</v>
      </c>
      <c r="O169" s="18">
        <f t="shared" si="18"/>
        <v>1.720017946</v>
      </c>
      <c r="U169" s="18"/>
      <c r="V169" s="18"/>
      <c r="W169" s="18"/>
      <c r="X169" s="18"/>
    </row>
    <row r="170" ht="15.75" customHeight="1">
      <c r="A170" s="8">
        <v>40201.0</v>
      </c>
      <c r="B170" s="8">
        <v>137.0</v>
      </c>
      <c r="C170" s="8">
        <v>48.777779042720795</v>
      </c>
      <c r="D170" s="8">
        <v>1342.0</v>
      </c>
      <c r="E170" s="11">
        <f t="shared" si="1"/>
        <v>0.1020864382</v>
      </c>
      <c r="F170" s="11">
        <f t="shared" si="2"/>
        <v>0.3560421828</v>
      </c>
      <c r="G170" s="11">
        <f t="shared" si="3"/>
        <v>0.03634707827</v>
      </c>
      <c r="H170" s="8">
        <v>40201.0</v>
      </c>
      <c r="I170" s="8">
        <v>73.0</v>
      </c>
      <c r="J170" s="8">
        <v>26.22222289443016</v>
      </c>
      <c r="K170" s="8">
        <v>354.0</v>
      </c>
      <c r="L170" s="11">
        <f t="shared" si="4"/>
        <v>0.2062146893</v>
      </c>
      <c r="M170" s="11">
        <f t="shared" si="5"/>
        <v>0.3592085328</v>
      </c>
      <c r="N170" s="11">
        <f t="shared" si="6"/>
        <v>0.07407407597</v>
      </c>
      <c r="O170" s="18">
        <f t="shared" si="18"/>
        <v>2.037965072</v>
      </c>
      <c r="U170" s="18"/>
      <c r="V170" s="18"/>
      <c r="W170" s="18"/>
      <c r="X170" s="18"/>
    </row>
    <row r="171" ht="15.75" customHeight="1">
      <c r="A171" s="8">
        <v>40202.0</v>
      </c>
      <c r="B171" s="8">
        <v>112.0</v>
      </c>
      <c r="C171" s="8">
        <v>40.11111208796501</v>
      </c>
      <c r="D171" s="8">
        <v>307.0</v>
      </c>
      <c r="E171" s="11">
        <f t="shared" si="1"/>
        <v>0.3648208469</v>
      </c>
      <c r="F171" s="11">
        <f t="shared" si="2"/>
        <v>0.3581349294</v>
      </c>
      <c r="G171" s="11">
        <f t="shared" si="3"/>
        <v>0.1306550882</v>
      </c>
      <c r="H171" s="8">
        <v>40202.0</v>
      </c>
      <c r="I171" s="8">
        <v>64.0</v>
      </c>
      <c r="J171" s="8">
        <v>23.444444954395294</v>
      </c>
      <c r="K171" s="8">
        <v>182.0</v>
      </c>
      <c r="L171" s="11">
        <f t="shared" si="4"/>
        <v>0.3516483516</v>
      </c>
      <c r="M171" s="11">
        <f t="shared" si="5"/>
        <v>0.3663194524</v>
      </c>
      <c r="N171" s="11">
        <f t="shared" si="6"/>
        <v>0.1288156316</v>
      </c>
      <c r="O171" s="18">
        <f t="shared" si="18"/>
        <v>0.9859212784</v>
      </c>
      <c r="U171" s="18"/>
      <c r="V171" s="18"/>
      <c r="W171" s="18"/>
      <c r="X171" s="18"/>
    </row>
    <row r="172" ht="15.75" customHeight="1">
      <c r="A172" s="8">
        <v>40301.0</v>
      </c>
      <c r="B172" s="8">
        <v>202.0</v>
      </c>
      <c r="C172" s="8">
        <v>78.88889050483704</v>
      </c>
      <c r="D172" s="8">
        <v>923.0</v>
      </c>
      <c r="E172" s="11">
        <f t="shared" si="1"/>
        <v>0.218851571</v>
      </c>
      <c r="F172" s="11">
        <f t="shared" si="2"/>
        <v>0.3905390619</v>
      </c>
      <c r="G172" s="11">
        <f t="shared" si="3"/>
        <v>0.08547008722</v>
      </c>
      <c r="H172" s="8">
        <v>40301.0</v>
      </c>
      <c r="I172" s="8">
        <v>160.0</v>
      </c>
      <c r="J172" s="8">
        <v>58.77777925133705</v>
      </c>
      <c r="K172" s="8">
        <v>510.0</v>
      </c>
      <c r="L172" s="11">
        <f t="shared" si="4"/>
        <v>0.3137254902</v>
      </c>
      <c r="M172" s="11">
        <f t="shared" si="5"/>
        <v>0.3673611203</v>
      </c>
      <c r="N172" s="11">
        <f t="shared" si="6"/>
        <v>0.1152505476</v>
      </c>
      <c r="O172" s="18">
        <f t="shared" si="18"/>
        <v>1.348431379</v>
      </c>
      <c r="U172" s="18"/>
      <c r="V172" s="18"/>
      <c r="W172" s="18"/>
      <c r="X172" s="18"/>
    </row>
    <row r="173" ht="15.75" customHeight="1">
      <c r="A173" s="8">
        <v>40302.0</v>
      </c>
      <c r="B173" s="8">
        <v>31.0</v>
      </c>
      <c r="C173" s="8">
        <v>11.222222566604614</v>
      </c>
      <c r="D173" s="8">
        <v>122.0</v>
      </c>
      <c r="E173" s="11">
        <f t="shared" si="1"/>
        <v>0.2540983607</v>
      </c>
      <c r="F173" s="11">
        <f t="shared" si="2"/>
        <v>0.3620071796</v>
      </c>
      <c r="G173" s="11">
        <f t="shared" si="3"/>
        <v>0.09198543087</v>
      </c>
      <c r="H173" s="8">
        <v>40302.0</v>
      </c>
      <c r="I173" s="8">
        <v>17.0</v>
      </c>
      <c r="J173" s="8">
        <v>6.111111253499985</v>
      </c>
      <c r="K173" s="8">
        <v>92.0</v>
      </c>
      <c r="L173" s="11">
        <f t="shared" si="4"/>
        <v>0.1847826087</v>
      </c>
      <c r="M173" s="11">
        <f t="shared" si="5"/>
        <v>0.3594771326</v>
      </c>
      <c r="N173" s="11">
        <f t="shared" si="6"/>
        <v>0.06642512232</v>
      </c>
      <c r="O173" s="18">
        <f t="shared" si="18"/>
        <v>0.7221265551</v>
      </c>
      <c r="U173" s="18"/>
      <c r="V173" s="18"/>
      <c r="W173" s="18"/>
      <c r="X173" s="18"/>
    </row>
    <row r="174" ht="15.75" customHeight="1">
      <c r="A174" s="8">
        <v>40401.0</v>
      </c>
      <c r="B174" s="8">
        <v>41.0</v>
      </c>
      <c r="C174" s="8">
        <v>15.000000387430191</v>
      </c>
      <c r="D174" s="8">
        <v>253.0</v>
      </c>
      <c r="E174" s="11">
        <f t="shared" si="1"/>
        <v>0.162055336</v>
      </c>
      <c r="F174" s="11">
        <f t="shared" si="2"/>
        <v>0.365853668</v>
      </c>
      <c r="G174" s="11">
        <f t="shared" si="3"/>
        <v>0.05928853908</v>
      </c>
      <c r="H174" s="8">
        <v>40401.0</v>
      </c>
      <c r="I174" s="8">
        <v>8.0</v>
      </c>
      <c r="J174" s="8">
        <v>3.4444445371627808</v>
      </c>
      <c r="K174" s="8">
        <v>88.0</v>
      </c>
      <c r="L174" s="11">
        <f t="shared" si="4"/>
        <v>0.09090909091</v>
      </c>
      <c r="M174" s="11">
        <f t="shared" si="5"/>
        <v>0.4305555671</v>
      </c>
      <c r="N174" s="11">
        <f t="shared" si="6"/>
        <v>0.0391414152</v>
      </c>
      <c r="O174" s="18">
        <f t="shared" si="18"/>
        <v>0.6601851859</v>
      </c>
      <c r="U174" s="18"/>
      <c r="V174" s="18"/>
      <c r="W174" s="18"/>
      <c r="X174" s="18"/>
    </row>
    <row r="175" ht="15.75" customHeight="1">
      <c r="A175" s="8">
        <v>40402.0</v>
      </c>
      <c r="B175" s="8">
        <v>59.0</v>
      </c>
      <c r="C175" s="8">
        <v>21.000000566244125</v>
      </c>
      <c r="D175" s="8">
        <v>258.0</v>
      </c>
      <c r="E175" s="11">
        <f t="shared" si="1"/>
        <v>0.2286821705</v>
      </c>
      <c r="F175" s="11">
        <f t="shared" si="2"/>
        <v>0.355932213</v>
      </c>
      <c r="G175" s="11">
        <f t="shared" si="3"/>
        <v>0.08139535103</v>
      </c>
      <c r="H175" s="8">
        <v>40402.0</v>
      </c>
      <c r="I175" s="8">
        <v>18.0</v>
      </c>
      <c r="J175" s="8">
        <v>6.4444445967674255</v>
      </c>
      <c r="K175" s="8">
        <v>62.0</v>
      </c>
      <c r="L175" s="11">
        <f t="shared" si="4"/>
        <v>0.2903225806</v>
      </c>
      <c r="M175" s="11">
        <f t="shared" si="5"/>
        <v>0.3580246998</v>
      </c>
      <c r="N175" s="11">
        <f t="shared" si="6"/>
        <v>0.1039426548</v>
      </c>
      <c r="O175" s="18">
        <f t="shared" si="18"/>
        <v>1.277009724</v>
      </c>
      <c r="U175" s="18"/>
      <c r="V175" s="18"/>
      <c r="W175" s="18"/>
      <c r="X175" s="18"/>
    </row>
    <row r="176" ht="15.75" customHeight="1">
      <c r="A176" s="8">
        <v>40501.0</v>
      </c>
      <c r="B176" s="8">
        <v>1.0</v>
      </c>
      <c r="C176" s="8">
        <v>0.3333333432674408</v>
      </c>
      <c r="D176" s="8">
        <v>366.0</v>
      </c>
      <c r="E176" s="11">
        <f t="shared" si="1"/>
        <v>0.002732240437</v>
      </c>
      <c r="F176" s="11">
        <f t="shared" si="2"/>
        <v>0.3333333433</v>
      </c>
      <c r="G176" s="11">
        <f t="shared" si="3"/>
        <v>0.0009107468395</v>
      </c>
      <c r="H176" s="8">
        <v>40501.0</v>
      </c>
      <c r="I176" s="8">
        <v>2.0</v>
      </c>
      <c r="J176" s="8">
        <v>0.8888888955116272</v>
      </c>
      <c r="K176" s="8">
        <v>93.0</v>
      </c>
      <c r="L176" s="11">
        <f t="shared" si="4"/>
        <v>0.02150537634</v>
      </c>
      <c r="M176" s="11">
        <f t="shared" si="5"/>
        <v>0.4444444478</v>
      </c>
      <c r="N176" s="11">
        <f t="shared" si="6"/>
        <v>0.009557945113</v>
      </c>
      <c r="O176" s="18">
        <f t="shared" si="18"/>
        <v>10.49462342</v>
      </c>
      <c r="U176" s="18"/>
      <c r="V176" s="18"/>
      <c r="W176" s="18"/>
      <c r="X176" s="18"/>
    </row>
    <row r="177" ht="15.75" customHeight="1">
      <c r="A177" s="8">
        <v>40502.0</v>
      </c>
      <c r="B177" s="8">
        <v>29.0</v>
      </c>
      <c r="C177" s="8">
        <v>11.555555820465088</v>
      </c>
      <c r="D177" s="8">
        <v>230.0</v>
      </c>
      <c r="E177" s="11">
        <f t="shared" si="1"/>
        <v>0.1260869565</v>
      </c>
      <c r="F177" s="11">
        <f t="shared" si="2"/>
        <v>0.3984674421</v>
      </c>
      <c r="G177" s="11">
        <f t="shared" si="3"/>
        <v>0.05024154705</v>
      </c>
      <c r="H177" s="8">
        <v>40502.0</v>
      </c>
      <c r="I177" s="8">
        <v>7.0</v>
      </c>
      <c r="J177" s="8">
        <v>2.5555556416511536</v>
      </c>
      <c r="K177" s="8">
        <v>81.0</v>
      </c>
      <c r="L177" s="11">
        <f t="shared" si="4"/>
        <v>0.08641975309</v>
      </c>
      <c r="M177" s="11">
        <f t="shared" si="5"/>
        <v>0.3650793774</v>
      </c>
      <c r="N177" s="11">
        <f t="shared" si="6"/>
        <v>0.03155006965</v>
      </c>
      <c r="O177" s="18">
        <f t="shared" si="18"/>
        <v>0.6279677181</v>
      </c>
      <c r="U177" s="18"/>
      <c r="V177" s="18"/>
      <c r="W177" s="18"/>
      <c r="X177" s="18"/>
    </row>
    <row r="178" ht="15.75" customHeight="1">
      <c r="A178" s="8">
        <v>40503.0</v>
      </c>
      <c r="B178" s="8">
        <v>11.0</v>
      </c>
      <c r="C178" s="8">
        <v>3.8888889849185944</v>
      </c>
      <c r="D178" s="8">
        <v>133.0</v>
      </c>
      <c r="E178" s="11">
        <f t="shared" si="1"/>
        <v>0.08270676692</v>
      </c>
      <c r="F178" s="11">
        <f t="shared" si="2"/>
        <v>0.3535353623</v>
      </c>
      <c r="G178" s="11">
        <f t="shared" si="3"/>
        <v>0.0292397668</v>
      </c>
      <c r="H178" s="8">
        <v>40503.0</v>
      </c>
      <c r="I178" s="8">
        <v>8.0</v>
      </c>
      <c r="J178" s="8">
        <v>2.6666667461395264</v>
      </c>
      <c r="K178" s="8">
        <v>26.0</v>
      </c>
      <c r="L178" s="11">
        <f t="shared" si="4"/>
        <v>0.3076923077</v>
      </c>
      <c r="M178" s="11">
        <f t="shared" si="5"/>
        <v>0.3333333433</v>
      </c>
      <c r="N178" s="11">
        <f t="shared" si="6"/>
        <v>0.1025641056</v>
      </c>
      <c r="O178" s="18">
        <f t="shared" si="18"/>
        <v>3.507692326</v>
      </c>
      <c r="U178" s="18"/>
      <c r="V178" s="18"/>
      <c r="W178" s="18"/>
      <c r="X178" s="18"/>
    </row>
    <row r="179" ht="15.75" customHeight="1">
      <c r="A179" s="8">
        <v>40504.0</v>
      </c>
      <c r="B179" s="8">
        <v>1.0</v>
      </c>
      <c r="C179" s="8">
        <v>0.3333333432674408</v>
      </c>
      <c r="D179" s="8">
        <v>95.0</v>
      </c>
      <c r="E179" s="11">
        <f t="shared" si="1"/>
        <v>0.01052631579</v>
      </c>
      <c r="F179" s="11">
        <f t="shared" si="2"/>
        <v>0.3333333433</v>
      </c>
      <c r="G179" s="11">
        <f t="shared" si="3"/>
        <v>0.003508772034</v>
      </c>
      <c r="H179" s="8">
        <v>40504.0</v>
      </c>
      <c r="I179" s="8">
        <v>0.0</v>
      </c>
      <c r="J179" s="8">
        <v>0.0</v>
      </c>
      <c r="K179" s="8">
        <v>15.0</v>
      </c>
      <c r="L179" s="11">
        <f t="shared" si="4"/>
        <v>0</v>
      </c>
      <c r="M179" s="11" t="str">
        <f t="shared" si="5"/>
        <v>#DIV/0!</v>
      </c>
      <c r="N179" s="11" t="str">
        <f t="shared" si="6"/>
        <v>#DIV/0!</v>
      </c>
      <c r="O179" s="18" t="s">
        <v>22</v>
      </c>
      <c r="U179" s="18"/>
      <c r="V179" s="18"/>
      <c r="W179" s="18"/>
      <c r="X179" s="18"/>
    </row>
    <row r="180" ht="15.75" customHeight="1">
      <c r="A180" s="8">
        <v>40505.0</v>
      </c>
      <c r="B180" s="8">
        <v>15.0</v>
      </c>
      <c r="C180" s="8">
        <v>5.22222238779068</v>
      </c>
      <c r="D180" s="8">
        <v>227.0</v>
      </c>
      <c r="E180" s="11">
        <f t="shared" si="1"/>
        <v>0.06607929515</v>
      </c>
      <c r="F180" s="11">
        <f t="shared" si="2"/>
        <v>0.3481481592</v>
      </c>
      <c r="G180" s="11">
        <f t="shared" si="3"/>
        <v>0.02300538497</v>
      </c>
      <c r="H180" s="8">
        <v>40505.0</v>
      </c>
      <c r="I180" s="8">
        <v>0.0</v>
      </c>
      <c r="J180" s="8">
        <v>0.0</v>
      </c>
      <c r="K180" s="8">
        <v>33.0</v>
      </c>
      <c r="L180" s="11">
        <f t="shared" si="4"/>
        <v>0</v>
      </c>
      <c r="M180" s="11" t="str">
        <f t="shared" si="5"/>
        <v>#DIV/0!</v>
      </c>
      <c r="N180" s="11" t="str">
        <f t="shared" si="6"/>
        <v>#DIV/0!</v>
      </c>
      <c r="O180" s="18" t="s">
        <v>22</v>
      </c>
      <c r="U180" s="18"/>
      <c r="V180" s="18"/>
      <c r="W180" s="18"/>
      <c r="X180" s="18"/>
    </row>
    <row r="181" ht="15.75" customHeight="1">
      <c r="A181" s="8">
        <v>40601.0</v>
      </c>
      <c r="B181" s="8">
        <v>62.0</v>
      </c>
      <c r="C181" s="8">
        <v>22.777778327465057</v>
      </c>
      <c r="D181" s="8">
        <v>718.0</v>
      </c>
      <c r="E181" s="11">
        <f t="shared" si="1"/>
        <v>0.08635097493</v>
      </c>
      <c r="F181" s="11">
        <f t="shared" si="2"/>
        <v>0.3673835214</v>
      </c>
      <c r="G181" s="11">
        <f t="shared" si="3"/>
        <v>0.03172392525</v>
      </c>
      <c r="H181" s="8">
        <v>40601.0</v>
      </c>
      <c r="I181" s="8">
        <v>51.0</v>
      </c>
      <c r="J181" s="8">
        <v>17.3333338201046</v>
      </c>
      <c r="K181" s="8">
        <v>277.0</v>
      </c>
      <c r="L181" s="11">
        <f t="shared" si="4"/>
        <v>0.1841155235</v>
      </c>
      <c r="M181" s="11">
        <f t="shared" si="5"/>
        <v>0.3398692906</v>
      </c>
      <c r="N181" s="11">
        <f t="shared" si="6"/>
        <v>0.06257521235</v>
      </c>
      <c r="O181" s="18">
        <f t="shared" ref="O181:O188" si="19">N181/G181</f>
        <v>1.972492744</v>
      </c>
      <c r="U181" s="18"/>
      <c r="V181" s="18"/>
      <c r="W181" s="18"/>
      <c r="X181" s="18"/>
    </row>
    <row r="182" ht="15.75" customHeight="1">
      <c r="A182" s="8">
        <v>40602.0</v>
      </c>
      <c r="B182" s="8">
        <v>23.0</v>
      </c>
      <c r="C182" s="8">
        <v>8.444444626569748</v>
      </c>
      <c r="D182" s="8">
        <v>268.0</v>
      </c>
      <c r="E182" s="11">
        <f t="shared" si="1"/>
        <v>0.08582089552</v>
      </c>
      <c r="F182" s="11">
        <f t="shared" si="2"/>
        <v>0.3671497664</v>
      </c>
      <c r="G182" s="11">
        <f t="shared" si="3"/>
        <v>0.03150912174</v>
      </c>
      <c r="H182" s="8">
        <v>40602.0</v>
      </c>
      <c r="I182" s="8">
        <v>13.0</v>
      </c>
      <c r="J182" s="8">
        <v>5.2222223579883575</v>
      </c>
      <c r="K182" s="8">
        <v>102.0</v>
      </c>
      <c r="L182" s="11">
        <f t="shared" si="4"/>
        <v>0.1274509804</v>
      </c>
      <c r="M182" s="11">
        <f t="shared" si="5"/>
        <v>0.4017094122</v>
      </c>
      <c r="N182" s="11">
        <f t="shared" si="6"/>
        <v>0.05119825841</v>
      </c>
      <c r="O182" s="18">
        <f t="shared" si="19"/>
        <v>1.624871008</v>
      </c>
      <c r="U182" s="18"/>
      <c r="V182" s="18"/>
      <c r="W182" s="18"/>
      <c r="X182" s="18"/>
    </row>
    <row r="183" ht="15.75" customHeight="1">
      <c r="A183" s="8">
        <v>40603.0</v>
      </c>
      <c r="B183" s="8">
        <v>16.0</v>
      </c>
      <c r="C183" s="8">
        <v>5.333333492279053</v>
      </c>
      <c r="D183" s="8">
        <v>303.0</v>
      </c>
      <c r="E183" s="11">
        <f t="shared" si="1"/>
        <v>0.05280528053</v>
      </c>
      <c r="F183" s="11">
        <f t="shared" si="2"/>
        <v>0.3333333433</v>
      </c>
      <c r="G183" s="11">
        <f t="shared" si="3"/>
        <v>0.0176017607</v>
      </c>
      <c r="H183" s="8">
        <v>40603.0</v>
      </c>
      <c r="I183" s="8">
        <v>15.0</v>
      </c>
      <c r="J183" s="8">
        <v>5.2222223579883575</v>
      </c>
      <c r="K183" s="8">
        <v>118.0</v>
      </c>
      <c r="L183" s="11">
        <f t="shared" si="4"/>
        <v>0.1271186441</v>
      </c>
      <c r="M183" s="11">
        <f t="shared" si="5"/>
        <v>0.3481481572</v>
      </c>
      <c r="N183" s="11">
        <f t="shared" si="6"/>
        <v>0.04425612168</v>
      </c>
      <c r="O183" s="18">
        <f t="shared" si="19"/>
        <v>2.514300838</v>
      </c>
      <c r="U183" s="18"/>
      <c r="V183" s="18"/>
      <c r="W183" s="18"/>
      <c r="X183" s="18"/>
    </row>
    <row r="184" ht="15.75" customHeight="1">
      <c r="A184" s="8">
        <v>40701.0</v>
      </c>
      <c r="B184" s="8">
        <v>26.0</v>
      </c>
      <c r="C184" s="8">
        <v>8.888889133930206</v>
      </c>
      <c r="D184" s="8">
        <v>770.0</v>
      </c>
      <c r="E184" s="11">
        <f t="shared" si="1"/>
        <v>0.03376623377</v>
      </c>
      <c r="F184" s="11">
        <f t="shared" si="2"/>
        <v>0.3418803513</v>
      </c>
      <c r="G184" s="11">
        <f t="shared" si="3"/>
        <v>0.01154401186</v>
      </c>
      <c r="H184" s="8">
        <v>40701.0</v>
      </c>
      <c r="I184" s="8">
        <v>3.0</v>
      </c>
      <c r="J184" s="8">
        <v>1.0000000298023224</v>
      </c>
      <c r="K184" s="8">
        <v>126.0</v>
      </c>
      <c r="L184" s="11">
        <f t="shared" si="4"/>
        <v>0.02380952381</v>
      </c>
      <c r="M184" s="11">
        <f t="shared" si="5"/>
        <v>0.3333333433</v>
      </c>
      <c r="N184" s="11">
        <f t="shared" si="6"/>
        <v>0.007936508173</v>
      </c>
      <c r="O184" s="18">
        <f t="shared" si="19"/>
        <v>0.6875000015</v>
      </c>
      <c r="U184" s="18"/>
      <c r="V184" s="18"/>
      <c r="W184" s="18"/>
      <c r="X184" s="18"/>
    </row>
    <row r="185" ht="15.75" customHeight="1">
      <c r="A185" s="8">
        <v>40702.0</v>
      </c>
      <c r="B185" s="8">
        <v>18.0</v>
      </c>
      <c r="C185" s="8">
        <v>6.888889014720917</v>
      </c>
      <c r="D185" s="8">
        <v>324.0</v>
      </c>
      <c r="E185" s="11">
        <f t="shared" si="1"/>
        <v>0.05555555556</v>
      </c>
      <c r="F185" s="11">
        <f t="shared" si="2"/>
        <v>0.3827160564</v>
      </c>
      <c r="G185" s="11">
        <f t="shared" si="3"/>
        <v>0.02126200313</v>
      </c>
      <c r="H185" s="8">
        <v>40702.0</v>
      </c>
      <c r="I185" s="8">
        <v>3.0</v>
      </c>
      <c r="J185" s="8">
        <v>1.0000000298023224</v>
      </c>
      <c r="K185" s="8">
        <v>68.0</v>
      </c>
      <c r="L185" s="11">
        <f t="shared" si="4"/>
        <v>0.04411764706</v>
      </c>
      <c r="M185" s="11">
        <f t="shared" si="5"/>
        <v>0.3333333433</v>
      </c>
      <c r="N185" s="11">
        <f t="shared" si="6"/>
        <v>0.01470588279</v>
      </c>
      <c r="O185" s="18">
        <f t="shared" si="19"/>
        <v>0.6916508619</v>
      </c>
      <c r="U185" s="18"/>
      <c r="V185" s="18"/>
      <c r="W185" s="18"/>
      <c r="X185" s="18"/>
    </row>
    <row r="186" ht="15.75" customHeight="1">
      <c r="A186" s="8">
        <v>40801.0</v>
      </c>
      <c r="B186" s="8">
        <v>147.0</v>
      </c>
      <c r="C186" s="8">
        <v>53.66666799783707</v>
      </c>
      <c r="D186" s="8">
        <v>1072.0</v>
      </c>
      <c r="E186" s="11">
        <f t="shared" si="1"/>
        <v>0.1371268657</v>
      </c>
      <c r="F186" s="11">
        <f t="shared" si="2"/>
        <v>0.3650793741</v>
      </c>
      <c r="G186" s="11">
        <f t="shared" si="3"/>
        <v>0.0500621903</v>
      </c>
      <c r="H186" s="8">
        <v>40801.0</v>
      </c>
      <c r="I186" s="8">
        <v>72.0</v>
      </c>
      <c r="J186" s="8">
        <v>25.333334028720856</v>
      </c>
      <c r="K186" s="8">
        <v>563.0</v>
      </c>
      <c r="L186" s="11">
        <f t="shared" si="4"/>
        <v>0.1278863233</v>
      </c>
      <c r="M186" s="11">
        <f t="shared" si="5"/>
        <v>0.3518518615</v>
      </c>
      <c r="N186" s="11">
        <f t="shared" si="6"/>
        <v>0.0449970409</v>
      </c>
      <c r="O186" s="18">
        <f t="shared" si="19"/>
        <v>0.8988228569</v>
      </c>
      <c r="U186" s="18"/>
      <c r="V186" s="18"/>
      <c r="W186" s="18"/>
      <c r="X186" s="18"/>
    </row>
    <row r="187" ht="15.75" customHeight="1">
      <c r="A187" s="8">
        <v>40802.0</v>
      </c>
      <c r="B187" s="8">
        <v>62.0</v>
      </c>
      <c r="C187" s="8">
        <v>22.22222277522087</v>
      </c>
      <c r="D187" s="8">
        <v>243.0</v>
      </c>
      <c r="E187" s="11">
        <f t="shared" si="1"/>
        <v>0.2551440329</v>
      </c>
      <c r="F187" s="11">
        <f t="shared" si="2"/>
        <v>0.358422948</v>
      </c>
      <c r="G187" s="11">
        <f t="shared" si="3"/>
        <v>0.09144947644</v>
      </c>
      <c r="H187" s="8">
        <v>40802.0</v>
      </c>
      <c r="I187" s="8">
        <v>30.0</v>
      </c>
      <c r="J187" s="8">
        <v>11.33333358168602</v>
      </c>
      <c r="K187" s="8">
        <v>136.0</v>
      </c>
      <c r="L187" s="11">
        <f t="shared" si="4"/>
        <v>0.2205882353</v>
      </c>
      <c r="M187" s="11">
        <f t="shared" si="5"/>
        <v>0.3777777861</v>
      </c>
      <c r="N187" s="11">
        <f t="shared" si="6"/>
        <v>0.08333333516</v>
      </c>
      <c r="O187" s="18">
        <f t="shared" si="19"/>
        <v>0.9112499973</v>
      </c>
      <c r="U187" s="18"/>
      <c r="V187" s="18"/>
      <c r="W187" s="18"/>
      <c r="X187" s="18"/>
    </row>
    <row r="188" ht="15.75" customHeight="1">
      <c r="A188" s="8">
        <v>40901.0</v>
      </c>
      <c r="B188" s="8">
        <v>93.0</v>
      </c>
      <c r="C188" s="8">
        <v>34.222223073244095</v>
      </c>
      <c r="D188" s="8">
        <v>1136.0</v>
      </c>
      <c r="E188" s="11">
        <f t="shared" si="1"/>
        <v>0.08186619718</v>
      </c>
      <c r="F188" s="11">
        <f t="shared" si="2"/>
        <v>0.3679808933</v>
      </c>
      <c r="G188" s="11">
        <f t="shared" si="3"/>
        <v>0.03012519637</v>
      </c>
      <c r="H188" s="8">
        <v>40901.0</v>
      </c>
      <c r="I188" s="8">
        <v>21.0</v>
      </c>
      <c r="J188" s="8">
        <v>9.222222417593002</v>
      </c>
      <c r="K188" s="8">
        <v>288.0</v>
      </c>
      <c r="L188" s="11">
        <f t="shared" si="4"/>
        <v>0.07291666667</v>
      </c>
      <c r="M188" s="11">
        <f t="shared" si="5"/>
        <v>0.4391534485</v>
      </c>
      <c r="N188" s="11">
        <f t="shared" si="6"/>
        <v>0.03202160562</v>
      </c>
      <c r="O188" s="18">
        <f t="shared" si="19"/>
        <v>1.062950934</v>
      </c>
      <c r="U188" s="18"/>
      <c r="V188" s="18"/>
      <c r="W188" s="18"/>
      <c r="X188" s="18"/>
    </row>
    <row r="189" ht="15.75" customHeight="1">
      <c r="A189" s="8">
        <v>40902.0</v>
      </c>
      <c r="B189" s="8">
        <v>2.0</v>
      </c>
      <c r="C189" s="8">
        <v>0.6666666865348816</v>
      </c>
      <c r="D189" s="8">
        <v>84.0</v>
      </c>
      <c r="E189" s="11">
        <f t="shared" si="1"/>
        <v>0.02380952381</v>
      </c>
      <c r="F189" s="11">
        <f t="shared" si="2"/>
        <v>0.3333333433</v>
      </c>
      <c r="G189" s="11">
        <f t="shared" si="3"/>
        <v>0.007936508173</v>
      </c>
      <c r="H189" s="8">
        <v>40902.0</v>
      </c>
      <c r="I189" s="8">
        <v>0.0</v>
      </c>
      <c r="J189" s="8">
        <v>0.0</v>
      </c>
      <c r="K189" s="8">
        <v>27.0</v>
      </c>
      <c r="L189" s="11">
        <f t="shared" si="4"/>
        <v>0</v>
      </c>
      <c r="M189" s="11" t="str">
        <f t="shared" si="5"/>
        <v>#DIV/0!</v>
      </c>
      <c r="N189" s="11" t="str">
        <f t="shared" si="6"/>
        <v>#DIV/0!</v>
      </c>
      <c r="O189" s="18" t="s">
        <v>22</v>
      </c>
      <c r="U189" s="18"/>
      <c r="V189" s="18"/>
      <c r="W189" s="18"/>
      <c r="X189" s="18"/>
    </row>
    <row r="190" ht="15.75" customHeight="1">
      <c r="A190" s="8">
        <v>40903.0</v>
      </c>
      <c r="B190" s="8">
        <v>5.0</v>
      </c>
      <c r="C190" s="8">
        <v>2.0000000596046448</v>
      </c>
      <c r="D190" s="8">
        <v>28.0</v>
      </c>
      <c r="E190" s="11">
        <f t="shared" si="1"/>
        <v>0.1785714286</v>
      </c>
      <c r="F190" s="11">
        <f t="shared" si="2"/>
        <v>0.4000000119</v>
      </c>
      <c r="G190" s="11">
        <f t="shared" si="3"/>
        <v>0.07142857356</v>
      </c>
      <c r="H190" s="8">
        <v>40903.0</v>
      </c>
      <c r="I190" s="8">
        <v>1.0</v>
      </c>
      <c r="J190" s="8">
        <v>0.3333333432674408</v>
      </c>
      <c r="K190" s="8">
        <v>8.0</v>
      </c>
      <c r="L190" s="11">
        <f t="shared" si="4"/>
        <v>0.125</v>
      </c>
      <c r="M190" s="11">
        <f t="shared" si="5"/>
        <v>0.3333333433</v>
      </c>
      <c r="N190" s="11">
        <f t="shared" si="6"/>
        <v>0.04166666791</v>
      </c>
      <c r="O190" s="18">
        <f t="shared" ref="O190:O197" si="20">N190/G190</f>
        <v>0.5833333333</v>
      </c>
      <c r="U190" s="18"/>
      <c r="V190" s="18"/>
      <c r="W190" s="18"/>
      <c r="X190" s="18"/>
    </row>
    <row r="191" ht="15.75" customHeight="1">
      <c r="A191" s="8">
        <v>41001.0</v>
      </c>
      <c r="B191" s="8">
        <v>155.0</v>
      </c>
      <c r="C191" s="8">
        <v>54.66666805744171</v>
      </c>
      <c r="D191" s="8">
        <v>618.0</v>
      </c>
      <c r="E191" s="11">
        <f t="shared" si="1"/>
        <v>0.2508090615</v>
      </c>
      <c r="F191" s="11">
        <f t="shared" si="2"/>
        <v>0.352688181</v>
      </c>
      <c r="G191" s="11">
        <f t="shared" si="3"/>
        <v>0.08845739168</v>
      </c>
      <c r="H191" s="8">
        <v>41001.0</v>
      </c>
      <c r="I191" s="8">
        <v>130.0</v>
      </c>
      <c r="J191" s="8">
        <v>46.444445580244064</v>
      </c>
      <c r="K191" s="8">
        <v>448.0</v>
      </c>
      <c r="L191" s="11">
        <f t="shared" si="4"/>
        <v>0.2901785714</v>
      </c>
      <c r="M191" s="11">
        <f t="shared" si="5"/>
        <v>0.357264966</v>
      </c>
      <c r="N191" s="11">
        <f t="shared" si="6"/>
        <v>0.1036706375</v>
      </c>
      <c r="O191" s="18">
        <f t="shared" si="20"/>
        <v>1.171983884</v>
      </c>
      <c r="U191" s="18"/>
      <c r="V191" s="18"/>
      <c r="W191" s="18"/>
      <c r="X191" s="18"/>
    </row>
    <row r="192" ht="15.75" customHeight="1">
      <c r="A192" s="8">
        <v>41101.0</v>
      </c>
      <c r="B192" s="8">
        <v>29.0</v>
      </c>
      <c r="C192" s="8">
        <v>10.444444686174393</v>
      </c>
      <c r="D192" s="8">
        <v>276.0</v>
      </c>
      <c r="E192" s="11">
        <f t="shared" si="1"/>
        <v>0.1050724638</v>
      </c>
      <c r="F192" s="11">
        <f t="shared" si="2"/>
        <v>0.360153265</v>
      </c>
      <c r="G192" s="11">
        <f t="shared" si="3"/>
        <v>0.03784219089</v>
      </c>
      <c r="H192" s="8">
        <v>41101.0</v>
      </c>
      <c r="I192" s="8">
        <v>18.0</v>
      </c>
      <c r="J192" s="8">
        <v>6.333333492279053</v>
      </c>
      <c r="K192" s="8">
        <v>131.0</v>
      </c>
      <c r="L192" s="11">
        <f t="shared" si="4"/>
        <v>0.1374045802</v>
      </c>
      <c r="M192" s="11">
        <f t="shared" si="5"/>
        <v>0.3518518607</v>
      </c>
      <c r="N192" s="11">
        <f t="shared" si="6"/>
        <v>0.04834605719</v>
      </c>
      <c r="O192" s="18">
        <f t="shared" si="20"/>
        <v>1.277570248</v>
      </c>
      <c r="U192" s="18"/>
      <c r="V192" s="18"/>
      <c r="W192" s="18"/>
      <c r="X192" s="18"/>
    </row>
    <row r="193" ht="15.75" customHeight="1">
      <c r="A193" s="8">
        <v>41201.0</v>
      </c>
      <c r="B193" s="8">
        <v>115.0</v>
      </c>
      <c r="C193" s="8">
        <v>42.22222325205803</v>
      </c>
      <c r="D193" s="8">
        <v>407.0</v>
      </c>
      <c r="E193" s="11">
        <f t="shared" si="1"/>
        <v>0.2825552826</v>
      </c>
      <c r="F193" s="11">
        <f t="shared" si="2"/>
        <v>0.3671497674</v>
      </c>
      <c r="G193" s="11">
        <f t="shared" si="3"/>
        <v>0.1037401063</v>
      </c>
      <c r="H193" s="8">
        <v>41201.0</v>
      </c>
      <c r="I193" s="8">
        <v>45.0</v>
      </c>
      <c r="J193" s="8">
        <v>16.444444835186005</v>
      </c>
      <c r="K193" s="8">
        <v>157.0</v>
      </c>
      <c r="L193" s="11">
        <f t="shared" si="4"/>
        <v>0.2866242038</v>
      </c>
      <c r="M193" s="11">
        <f t="shared" si="5"/>
        <v>0.3654321074</v>
      </c>
      <c r="N193" s="11">
        <f t="shared" si="6"/>
        <v>0.1047416868</v>
      </c>
      <c r="O193" s="18">
        <f t="shared" si="20"/>
        <v>1.009654709</v>
      </c>
      <c r="U193" s="18"/>
      <c r="V193" s="18"/>
      <c r="W193" s="18"/>
      <c r="X193" s="18"/>
    </row>
    <row r="194" ht="15.75" customHeight="1">
      <c r="A194" s="8">
        <v>41202.0</v>
      </c>
      <c r="B194" s="8">
        <v>20.0</v>
      </c>
      <c r="C194" s="8">
        <v>6.666666865348816</v>
      </c>
      <c r="D194" s="8">
        <v>183.0</v>
      </c>
      <c r="E194" s="11">
        <f t="shared" si="1"/>
        <v>0.1092896175</v>
      </c>
      <c r="F194" s="11">
        <f t="shared" si="2"/>
        <v>0.3333333433</v>
      </c>
      <c r="G194" s="11">
        <f t="shared" si="3"/>
        <v>0.03642987358</v>
      </c>
      <c r="H194" s="8">
        <v>41202.0</v>
      </c>
      <c r="I194" s="8">
        <v>4.0</v>
      </c>
      <c r="J194" s="8">
        <v>1.3333333730697632</v>
      </c>
      <c r="K194" s="8">
        <v>97.0</v>
      </c>
      <c r="L194" s="11">
        <f t="shared" si="4"/>
        <v>0.0412371134</v>
      </c>
      <c r="M194" s="11">
        <f t="shared" si="5"/>
        <v>0.3333333433</v>
      </c>
      <c r="N194" s="11">
        <f t="shared" si="6"/>
        <v>0.01374570488</v>
      </c>
      <c r="O194" s="18">
        <f t="shared" si="20"/>
        <v>0.3773195876</v>
      </c>
      <c r="U194" s="18"/>
      <c r="V194" s="18"/>
      <c r="W194" s="18"/>
      <c r="X194" s="18"/>
    </row>
    <row r="195" ht="15.75" customHeight="1">
      <c r="A195" s="8">
        <v>41301.0</v>
      </c>
      <c r="B195" s="8">
        <v>75.0</v>
      </c>
      <c r="C195" s="8">
        <v>28.000000655651093</v>
      </c>
      <c r="D195" s="8">
        <v>265.0</v>
      </c>
      <c r="E195" s="11">
        <f t="shared" si="1"/>
        <v>0.2830188679</v>
      </c>
      <c r="F195" s="11">
        <f t="shared" si="2"/>
        <v>0.3733333421</v>
      </c>
      <c r="G195" s="11">
        <f t="shared" si="3"/>
        <v>0.1056603798</v>
      </c>
      <c r="H195" s="8">
        <v>41301.0</v>
      </c>
      <c r="I195" s="8">
        <v>56.0</v>
      </c>
      <c r="J195" s="8">
        <v>19.66666716337204</v>
      </c>
      <c r="K195" s="8">
        <v>146.0</v>
      </c>
      <c r="L195" s="11">
        <f t="shared" si="4"/>
        <v>0.3835616438</v>
      </c>
      <c r="M195" s="11">
        <f t="shared" si="5"/>
        <v>0.3511904851</v>
      </c>
      <c r="N195" s="11">
        <f t="shared" si="6"/>
        <v>0.1347031997</v>
      </c>
      <c r="O195" s="18">
        <f t="shared" si="20"/>
        <v>1.274869539</v>
      </c>
      <c r="U195" s="18"/>
      <c r="V195" s="18"/>
      <c r="W195" s="18"/>
      <c r="X195" s="18"/>
    </row>
    <row r="196" ht="15.75" customHeight="1">
      <c r="A196" s="8">
        <v>41401.0</v>
      </c>
      <c r="B196" s="8">
        <v>90.0</v>
      </c>
      <c r="C196" s="8">
        <v>33.77777862548828</v>
      </c>
      <c r="D196" s="8">
        <v>570.0</v>
      </c>
      <c r="E196" s="11">
        <f t="shared" si="1"/>
        <v>0.1578947368</v>
      </c>
      <c r="F196" s="11">
        <f t="shared" si="2"/>
        <v>0.3753086514</v>
      </c>
      <c r="G196" s="11">
        <f t="shared" si="3"/>
        <v>0.05925926075</v>
      </c>
      <c r="H196" s="8">
        <v>41401.0</v>
      </c>
      <c r="I196" s="8">
        <v>80.0</v>
      </c>
      <c r="J196" s="8">
        <v>29.88888970017433</v>
      </c>
      <c r="K196" s="8">
        <v>405.0</v>
      </c>
      <c r="L196" s="11">
        <f t="shared" si="4"/>
        <v>0.1975308642</v>
      </c>
      <c r="M196" s="11">
        <f t="shared" si="5"/>
        <v>0.3736111213</v>
      </c>
      <c r="N196" s="11">
        <f t="shared" si="6"/>
        <v>0.07379972765</v>
      </c>
      <c r="O196" s="18">
        <f t="shared" si="20"/>
        <v>1.245370373</v>
      </c>
      <c r="U196" s="18"/>
      <c r="V196" s="18"/>
      <c r="W196" s="18"/>
      <c r="X196" s="18"/>
    </row>
    <row r="197" ht="15.75" customHeight="1">
      <c r="A197" s="8">
        <v>41501.0</v>
      </c>
      <c r="B197" s="8">
        <v>12.0</v>
      </c>
      <c r="C197" s="8">
        <v>4.222222328186035</v>
      </c>
      <c r="D197" s="8">
        <v>92.0</v>
      </c>
      <c r="E197" s="11">
        <f t="shared" si="1"/>
        <v>0.1304347826</v>
      </c>
      <c r="F197" s="11">
        <f t="shared" si="2"/>
        <v>0.3518518607</v>
      </c>
      <c r="G197" s="11">
        <f t="shared" si="3"/>
        <v>0.04589372096</v>
      </c>
      <c r="H197" s="8">
        <v>41501.0</v>
      </c>
      <c r="I197" s="8">
        <v>2.0</v>
      </c>
      <c r="J197" s="8">
        <v>0.6666666865348816</v>
      </c>
      <c r="K197" s="8">
        <v>24.0</v>
      </c>
      <c r="L197" s="11">
        <f t="shared" si="4"/>
        <v>0.08333333333</v>
      </c>
      <c r="M197" s="11">
        <f t="shared" si="5"/>
        <v>0.3333333433</v>
      </c>
      <c r="N197" s="11">
        <f t="shared" si="6"/>
        <v>0.02777777861</v>
      </c>
      <c r="O197" s="18">
        <f t="shared" si="20"/>
        <v>0.6052631607</v>
      </c>
      <c r="U197" s="18"/>
      <c r="V197" s="18"/>
      <c r="W197" s="18"/>
      <c r="X197" s="18"/>
    </row>
    <row r="198" ht="15.75" customHeight="1">
      <c r="A198" s="8">
        <v>41502.0</v>
      </c>
      <c r="B198" s="8">
        <v>5.0</v>
      </c>
      <c r="C198" s="8">
        <v>1.666666716337204</v>
      </c>
      <c r="D198" s="8">
        <v>48.0</v>
      </c>
      <c r="E198" s="11">
        <f t="shared" si="1"/>
        <v>0.1041666667</v>
      </c>
      <c r="F198" s="11">
        <f t="shared" si="2"/>
        <v>0.3333333433</v>
      </c>
      <c r="G198" s="11">
        <f t="shared" si="3"/>
        <v>0.03472222326</v>
      </c>
      <c r="H198" s="8">
        <v>41502.0</v>
      </c>
      <c r="I198" s="8">
        <v>0.0</v>
      </c>
      <c r="J198" s="8">
        <v>0.0</v>
      </c>
      <c r="K198" s="8">
        <v>11.0</v>
      </c>
      <c r="L198" s="11">
        <f t="shared" si="4"/>
        <v>0</v>
      </c>
      <c r="M198" s="11" t="str">
        <f t="shared" si="5"/>
        <v>#DIV/0!</v>
      </c>
      <c r="N198" s="11" t="str">
        <f t="shared" si="6"/>
        <v>#DIV/0!</v>
      </c>
      <c r="O198" s="18" t="s">
        <v>22</v>
      </c>
      <c r="U198" s="18"/>
      <c r="V198" s="18"/>
      <c r="W198" s="18"/>
      <c r="X198" s="18"/>
    </row>
    <row r="199" ht="15.75" customHeight="1">
      <c r="A199" s="8">
        <v>41503.0</v>
      </c>
      <c r="B199" s="8">
        <v>30.0</v>
      </c>
      <c r="C199" s="8">
        <v>11.333333551883698</v>
      </c>
      <c r="D199" s="8">
        <v>155.0</v>
      </c>
      <c r="E199" s="11">
        <f t="shared" si="1"/>
        <v>0.1935483871</v>
      </c>
      <c r="F199" s="11">
        <f t="shared" si="2"/>
        <v>0.3777777851</v>
      </c>
      <c r="G199" s="11">
        <f t="shared" si="3"/>
        <v>0.07311828098</v>
      </c>
      <c r="H199" s="8">
        <v>41503.0</v>
      </c>
      <c r="I199" s="8">
        <v>1.0</v>
      </c>
      <c r="J199" s="8">
        <v>0.3333333432674408</v>
      </c>
      <c r="K199" s="8">
        <v>31.0</v>
      </c>
      <c r="L199" s="11">
        <f t="shared" si="4"/>
        <v>0.03225806452</v>
      </c>
      <c r="M199" s="11">
        <f t="shared" si="5"/>
        <v>0.3333333433</v>
      </c>
      <c r="N199" s="11">
        <f t="shared" si="6"/>
        <v>0.01075268849</v>
      </c>
      <c r="O199" s="18">
        <f t="shared" ref="O199:O225" si="21">N199/G199</f>
        <v>0.1470588251</v>
      </c>
      <c r="U199" s="18"/>
      <c r="V199" s="18"/>
      <c r="W199" s="18"/>
      <c r="X199" s="18"/>
    </row>
    <row r="200" ht="15.75" customHeight="1">
      <c r="A200" s="8">
        <v>41601.0</v>
      </c>
      <c r="B200" s="8">
        <v>88.0</v>
      </c>
      <c r="C200" s="8">
        <v>30.000000834465027</v>
      </c>
      <c r="D200" s="8">
        <v>404.0</v>
      </c>
      <c r="E200" s="11">
        <f t="shared" si="1"/>
        <v>0.2178217822</v>
      </c>
      <c r="F200" s="11">
        <f t="shared" si="2"/>
        <v>0.3409091004</v>
      </c>
      <c r="G200" s="11">
        <f t="shared" si="3"/>
        <v>0.07425742781</v>
      </c>
      <c r="H200" s="8">
        <v>41601.0</v>
      </c>
      <c r="I200" s="8">
        <v>28.0</v>
      </c>
      <c r="J200" s="8">
        <v>9.66666692495346</v>
      </c>
      <c r="K200" s="8">
        <v>158.0</v>
      </c>
      <c r="L200" s="11">
        <f t="shared" si="4"/>
        <v>0.1772151899</v>
      </c>
      <c r="M200" s="11">
        <f t="shared" si="5"/>
        <v>0.3452381045</v>
      </c>
      <c r="N200" s="11">
        <f t="shared" si="6"/>
        <v>0.06118143623</v>
      </c>
      <c r="O200" s="18">
        <f t="shared" si="21"/>
        <v>0.823909985</v>
      </c>
      <c r="U200" s="18"/>
      <c r="V200" s="18"/>
      <c r="W200" s="18"/>
      <c r="X200" s="18"/>
    </row>
    <row r="201" ht="15.75" customHeight="1">
      <c r="A201" s="8">
        <v>50101.0</v>
      </c>
      <c r="B201" s="8">
        <v>336.0</v>
      </c>
      <c r="C201" s="8">
        <v>125.22222524881363</v>
      </c>
      <c r="D201" s="8">
        <v>7954.0</v>
      </c>
      <c r="E201" s="11">
        <f t="shared" si="1"/>
        <v>0.04224289666</v>
      </c>
      <c r="F201" s="11">
        <f t="shared" si="2"/>
        <v>0.3726851942</v>
      </c>
      <c r="G201" s="11">
        <f t="shared" si="3"/>
        <v>0.01574330214</v>
      </c>
      <c r="H201" s="8">
        <v>50101.0</v>
      </c>
      <c r="I201" s="8">
        <v>60.0</v>
      </c>
      <c r="J201" s="8">
        <v>21.77777835726738</v>
      </c>
      <c r="K201" s="8">
        <v>784.0</v>
      </c>
      <c r="L201" s="11">
        <f t="shared" si="4"/>
        <v>0.07653061224</v>
      </c>
      <c r="M201" s="11">
        <f t="shared" si="5"/>
        <v>0.3629629726</v>
      </c>
      <c r="N201" s="11">
        <f t="shared" si="6"/>
        <v>0.02777777852</v>
      </c>
      <c r="O201" s="18">
        <f t="shared" si="21"/>
        <v>1.764418815</v>
      </c>
      <c r="U201" s="18"/>
      <c r="V201" s="18"/>
      <c r="W201" s="18"/>
      <c r="X201" s="18"/>
    </row>
    <row r="202" ht="15.75" customHeight="1">
      <c r="A202" s="8">
        <v>50102.0</v>
      </c>
      <c r="B202" s="8">
        <v>207.0</v>
      </c>
      <c r="C202" s="8">
        <v>78.44444671273232</v>
      </c>
      <c r="D202" s="8">
        <v>906.0</v>
      </c>
      <c r="E202" s="11">
        <f t="shared" si="1"/>
        <v>0.2284768212</v>
      </c>
      <c r="F202" s="11">
        <f t="shared" si="2"/>
        <v>0.3789586798</v>
      </c>
      <c r="G202" s="11">
        <f t="shared" si="3"/>
        <v>0.08658327452</v>
      </c>
      <c r="H202" s="8">
        <v>50102.0</v>
      </c>
      <c r="I202" s="8">
        <v>151.0</v>
      </c>
      <c r="J202" s="8">
        <v>55.555556893348694</v>
      </c>
      <c r="K202" s="8">
        <v>681.0</v>
      </c>
      <c r="L202" s="11">
        <f t="shared" si="4"/>
        <v>0.221732746</v>
      </c>
      <c r="M202" s="11">
        <f t="shared" si="5"/>
        <v>0.3679175953</v>
      </c>
      <c r="N202" s="11">
        <f t="shared" si="6"/>
        <v>0.0815793787</v>
      </c>
      <c r="O202" s="18">
        <f t="shared" si="21"/>
        <v>0.9422071313</v>
      </c>
      <c r="U202" s="18"/>
      <c r="V202" s="18"/>
      <c r="W202" s="18"/>
      <c r="X202" s="18"/>
    </row>
    <row r="203" ht="15.75" customHeight="1">
      <c r="A203" s="8">
        <v>50103.0</v>
      </c>
      <c r="B203" s="8">
        <v>57.0</v>
      </c>
      <c r="C203" s="8">
        <v>20.555556058883667</v>
      </c>
      <c r="D203" s="8">
        <v>744.0</v>
      </c>
      <c r="E203" s="11">
        <f t="shared" si="1"/>
        <v>0.07661290323</v>
      </c>
      <c r="F203" s="11">
        <f t="shared" si="2"/>
        <v>0.3606237905</v>
      </c>
      <c r="G203" s="11">
        <f t="shared" si="3"/>
        <v>0.02762843556</v>
      </c>
      <c r="H203" s="8">
        <v>50103.0</v>
      </c>
      <c r="I203" s="8">
        <v>40.0</v>
      </c>
      <c r="J203" s="8">
        <v>14.666666984558105</v>
      </c>
      <c r="K203" s="8">
        <v>656.0</v>
      </c>
      <c r="L203" s="11">
        <f t="shared" si="4"/>
        <v>0.06097560976</v>
      </c>
      <c r="M203" s="11">
        <f t="shared" si="5"/>
        <v>0.3666666746</v>
      </c>
      <c r="N203" s="11">
        <f t="shared" si="6"/>
        <v>0.02235772406</v>
      </c>
      <c r="O203" s="18">
        <f t="shared" si="21"/>
        <v>0.8092287387</v>
      </c>
      <c r="U203" s="18"/>
      <c r="V203" s="18"/>
      <c r="W203" s="18"/>
      <c r="X203" s="18"/>
    </row>
    <row r="204" ht="15.75" customHeight="1">
      <c r="A204" s="8">
        <v>50104.0</v>
      </c>
      <c r="B204" s="8">
        <v>28.0</v>
      </c>
      <c r="C204" s="8">
        <v>11.111111372709274</v>
      </c>
      <c r="D204" s="8">
        <v>110.0</v>
      </c>
      <c r="E204" s="11">
        <f t="shared" si="1"/>
        <v>0.2545454545</v>
      </c>
      <c r="F204" s="11">
        <f t="shared" si="2"/>
        <v>0.3968254062</v>
      </c>
      <c r="G204" s="11">
        <f t="shared" si="3"/>
        <v>0.1010101034</v>
      </c>
      <c r="H204" s="8">
        <v>50104.0</v>
      </c>
      <c r="I204" s="8">
        <v>38.0</v>
      </c>
      <c r="J204" s="8">
        <v>13.333333671092987</v>
      </c>
      <c r="K204" s="8">
        <v>110.0</v>
      </c>
      <c r="L204" s="11">
        <f t="shared" si="4"/>
        <v>0.3454545455</v>
      </c>
      <c r="M204" s="11">
        <f t="shared" si="5"/>
        <v>0.3508772019</v>
      </c>
      <c r="N204" s="11">
        <f t="shared" si="6"/>
        <v>0.1212121243</v>
      </c>
      <c r="O204" s="18">
        <f t="shared" si="21"/>
        <v>1.200000002</v>
      </c>
      <c r="U204" s="18"/>
      <c r="V204" s="18"/>
      <c r="W204" s="18"/>
      <c r="X204" s="18"/>
    </row>
    <row r="205" ht="15.75" customHeight="1">
      <c r="A205" s="8">
        <v>50201.0</v>
      </c>
      <c r="B205" s="8">
        <v>125.0</v>
      </c>
      <c r="C205" s="8">
        <v>47.66666781902313</v>
      </c>
      <c r="D205" s="8">
        <v>1041.0</v>
      </c>
      <c r="E205" s="11">
        <f t="shared" si="1"/>
        <v>0.1200768492</v>
      </c>
      <c r="F205" s="11">
        <f t="shared" si="2"/>
        <v>0.3813333426</v>
      </c>
      <c r="G205" s="11">
        <f t="shared" si="3"/>
        <v>0.04578930626</v>
      </c>
      <c r="H205" s="8">
        <v>50201.0</v>
      </c>
      <c r="I205" s="8">
        <v>28.0</v>
      </c>
      <c r="J205" s="8">
        <v>10.333333611488342</v>
      </c>
      <c r="K205" s="8">
        <v>147.0</v>
      </c>
      <c r="L205" s="11">
        <f t="shared" si="4"/>
        <v>0.1904761905</v>
      </c>
      <c r="M205" s="11">
        <f t="shared" si="5"/>
        <v>0.369047629</v>
      </c>
      <c r="N205" s="11">
        <f t="shared" si="6"/>
        <v>0.07029478647</v>
      </c>
      <c r="O205" s="18">
        <f t="shared" si="21"/>
        <v>1.535179111</v>
      </c>
      <c r="U205" s="18"/>
      <c r="V205" s="18"/>
      <c r="W205" s="18"/>
      <c r="X205" s="18"/>
    </row>
    <row r="206" ht="15.75" customHeight="1">
      <c r="A206" s="8">
        <v>50202.0</v>
      </c>
      <c r="B206" s="8">
        <v>59.0</v>
      </c>
      <c r="C206" s="8">
        <v>22.3333338201046</v>
      </c>
      <c r="D206" s="8">
        <v>723.0</v>
      </c>
      <c r="E206" s="11">
        <f t="shared" si="1"/>
        <v>0.081604426</v>
      </c>
      <c r="F206" s="11">
        <f t="shared" si="2"/>
        <v>0.3785310817</v>
      </c>
      <c r="G206" s="11">
        <f t="shared" si="3"/>
        <v>0.03088981165</v>
      </c>
      <c r="H206" s="8">
        <v>50202.0</v>
      </c>
      <c r="I206" s="8">
        <v>28.0</v>
      </c>
      <c r="J206" s="8">
        <v>9.888889163732529</v>
      </c>
      <c r="K206" s="8">
        <v>200.0</v>
      </c>
      <c r="L206" s="11">
        <f t="shared" si="4"/>
        <v>0.14</v>
      </c>
      <c r="M206" s="11">
        <f t="shared" si="5"/>
        <v>0.353174613</v>
      </c>
      <c r="N206" s="11">
        <f t="shared" si="6"/>
        <v>0.04944444582</v>
      </c>
      <c r="O206" s="18">
        <f t="shared" si="21"/>
        <v>1.600671651</v>
      </c>
      <c r="U206" s="18"/>
      <c r="V206" s="18"/>
      <c r="W206" s="18"/>
      <c r="X206" s="18"/>
    </row>
    <row r="207" ht="15.75" customHeight="1">
      <c r="A207" s="8">
        <v>50203.0</v>
      </c>
      <c r="B207" s="8">
        <v>140.0</v>
      </c>
      <c r="C207" s="8">
        <v>52.00000128149986</v>
      </c>
      <c r="D207" s="8">
        <v>3376.0</v>
      </c>
      <c r="E207" s="11">
        <f t="shared" si="1"/>
        <v>0.04146919431</v>
      </c>
      <c r="F207" s="11">
        <f t="shared" si="2"/>
        <v>0.3714285806</v>
      </c>
      <c r="G207" s="11">
        <f t="shared" si="3"/>
        <v>0.01540284398</v>
      </c>
      <c r="H207" s="8">
        <v>50203.0</v>
      </c>
      <c r="I207" s="8">
        <v>40.0</v>
      </c>
      <c r="J207" s="8">
        <v>14.222222596406937</v>
      </c>
      <c r="K207" s="8">
        <v>332.0</v>
      </c>
      <c r="L207" s="11">
        <f t="shared" si="4"/>
        <v>0.1204819277</v>
      </c>
      <c r="M207" s="11">
        <f t="shared" si="5"/>
        <v>0.3555555649</v>
      </c>
      <c r="N207" s="11">
        <f t="shared" si="6"/>
        <v>0.04283801987</v>
      </c>
      <c r="O207" s="18">
        <f t="shared" si="21"/>
        <v>2.781175991</v>
      </c>
      <c r="U207" s="18"/>
      <c r="V207" s="18"/>
      <c r="W207" s="18"/>
      <c r="X207" s="18"/>
    </row>
    <row r="208" ht="15.75" customHeight="1">
      <c r="A208" s="8">
        <v>50204.0</v>
      </c>
      <c r="B208" s="8">
        <v>54.0</v>
      </c>
      <c r="C208" s="8">
        <v>18.55555608868599</v>
      </c>
      <c r="D208" s="8">
        <v>406.0</v>
      </c>
      <c r="E208" s="11">
        <f t="shared" si="1"/>
        <v>0.1330049261</v>
      </c>
      <c r="F208" s="11">
        <f t="shared" si="2"/>
        <v>0.343621409</v>
      </c>
      <c r="G208" s="11">
        <f t="shared" si="3"/>
        <v>0.04570334012</v>
      </c>
      <c r="H208" s="8">
        <v>50204.0</v>
      </c>
      <c r="I208" s="8">
        <v>48.0</v>
      </c>
      <c r="J208" s="8">
        <v>17.333333730697632</v>
      </c>
      <c r="K208" s="8">
        <v>161.0</v>
      </c>
      <c r="L208" s="11">
        <f t="shared" si="4"/>
        <v>0.298136646</v>
      </c>
      <c r="M208" s="11">
        <f t="shared" si="5"/>
        <v>0.3611111194</v>
      </c>
      <c r="N208" s="11">
        <f t="shared" si="6"/>
        <v>0.107660458</v>
      </c>
      <c r="O208" s="18">
        <f t="shared" si="21"/>
        <v>2.355636539</v>
      </c>
      <c r="U208" s="18"/>
      <c r="V208" s="18"/>
      <c r="W208" s="18"/>
      <c r="X208" s="18"/>
    </row>
    <row r="209" ht="15.75" customHeight="1">
      <c r="A209" s="8">
        <v>50301.0</v>
      </c>
      <c r="B209" s="8">
        <v>231.0</v>
      </c>
      <c r="C209" s="8">
        <v>87.5555576980114</v>
      </c>
      <c r="D209" s="8">
        <v>1324.0</v>
      </c>
      <c r="E209" s="11">
        <f t="shared" si="1"/>
        <v>0.1744712991</v>
      </c>
      <c r="F209" s="11">
        <f t="shared" si="2"/>
        <v>0.3790283883</v>
      </c>
      <c r="G209" s="11">
        <f t="shared" si="3"/>
        <v>0.0661295753</v>
      </c>
      <c r="H209" s="8">
        <v>50301.0</v>
      </c>
      <c r="I209" s="8">
        <v>107.0</v>
      </c>
      <c r="J209" s="8">
        <v>40.88888990879059</v>
      </c>
      <c r="K209" s="8">
        <v>502.0</v>
      </c>
      <c r="L209" s="11">
        <f t="shared" si="4"/>
        <v>0.2131474104</v>
      </c>
      <c r="M209" s="11">
        <f t="shared" si="5"/>
        <v>0.382139158</v>
      </c>
      <c r="N209" s="11">
        <f t="shared" si="6"/>
        <v>0.08145197193</v>
      </c>
      <c r="O209" s="18">
        <f t="shared" si="21"/>
        <v>1.231702632</v>
      </c>
      <c r="U209" s="18"/>
      <c r="V209" s="18"/>
      <c r="W209" s="18"/>
      <c r="X209" s="18"/>
    </row>
    <row r="210" ht="15.75" customHeight="1">
      <c r="A210" s="8">
        <v>50302.0</v>
      </c>
      <c r="B210" s="8">
        <v>102.0</v>
      </c>
      <c r="C210" s="8">
        <v>38.222223073244095</v>
      </c>
      <c r="D210" s="8">
        <v>498.0</v>
      </c>
      <c r="E210" s="11">
        <f t="shared" si="1"/>
        <v>0.2048192771</v>
      </c>
      <c r="F210" s="11">
        <f t="shared" si="2"/>
        <v>0.3747276772</v>
      </c>
      <c r="G210" s="11">
        <f t="shared" si="3"/>
        <v>0.07675145195</v>
      </c>
      <c r="H210" s="8">
        <v>50302.0</v>
      </c>
      <c r="I210" s="8">
        <v>89.0</v>
      </c>
      <c r="J210" s="8">
        <v>32.555556297302246</v>
      </c>
      <c r="K210" s="8">
        <v>381.0</v>
      </c>
      <c r="L210" s="11">
        <f t="shared" si="4"/>
        <v>0.2335958005</v>
      </c>
      <c r="M210" s="11">
        <f t="shared" si="5"/>
        <v>0.3657927674</v>
      </c>
      <c r="N210" s="11">
        <f t="shared" si="6"/>
        <v>0.08544765432</v>
      </c>
      <c r="O210" s="18">
        <f t="shared" si="21"/>
        <v>1.113303425</v>
      </c>
      <c r="U210" s="18"/>
      <c r="V210" s="18"/>
      <c r="W210" s="18"/>
      <c r="X210" s="18"/>
    </row>
    <row r="211" ht="15.75" customHeight="1">
      <c r="A211" s="8">
        <v>50303.0</v>
      </c>
      <c r="B211" s="8">
        <v>181.0</v>
      </c>
      <c r="C211" s="8">
        <v>68.22222396731377</v>
      </c>
      <c r="D211" s="8">
        <v>593.0</v>
      </c>
      <c r="E211" s="11">
        <f t="shared" si="1"/>
        <v>0.305227656</v>
      </c>
      <c r="F211" s="11">
        <f t="shared" si="2"/>
        <v>0.3769183645</v>
      </c>
      <c r="G211" s="11">
        <f t="shared" si="3"/>
        <v>0.1150459089</v>
      </c>
      <c r="H211" s="8">
        <v>50303.0</v>
      </c>
      <c r="I211" s="8">
        <v>220.0</v>
      </c>
      <c r="J211" s="8">
        <v>79.55555748939514</v>
      </c>
      <c r="K211" s="8">
        <v>565.0</v>
      </c>
      <c r="L211" s="11">
        <f t="shared" si="4"/>
        <v>0.389380531</v>
      </c>
      <c r="M211" s="11">
        <f t="shared" si="5"/>
        <v>0.3616161704</v>
      </c>
      <c r="N211" s="11">
        <f t="shared" si="6"/>
        <v>0.1408062964</v>
      </c>
      <c r="O211" s="18">
        <f t="shared" si="21"/>
        <v>1.223913982</v>
      </c>
      <c r="U211" s="18"/>
      <c r="V211" s="18"/>
      <c r="W211" s="18"/>
      <c r="X211" s="18"/>
    </row>
    <row r="212" ht="15.75" customHeight="1">
      <c r="A212" s="8">
        <v>50401.0</v>
      </c>
      <c r="B212" s="8">
        <v>121.0</v>
      </c>
      <c r="C212" s="8">
        <v>45.44444555044174</v>
      </c>
      <c r="D212" s="8">
        <v>832.0</v>
      </c>
      <c r="E212" s="11">
        <f t="shared" si="1"/>
        <v>0.1454326923</v>
      </c>
      <c r="F212" s="11">
        <f t="shared" si="2"/>
        <v>0.3755739302</v>
      </c>
      <c r="G212" s="11">
        <f t="shared" si="3"/>
        <v>0.05462072783</v>
      </c>
      <c r="H212" s="8">
        <v>50401.0</v>
      </c>
      <c r="I212" s="8">
        <v>90.0</v>
      </c>
      <c r="J212" s="8">
        <v>33.888889729976654</v>
      </c>
      <c r="K212" s="8">
        <v>240.0</v>
      </c>
      <c r="L212" s="11">
        <f t="shared" si="4"/>
        <v>0.375</v>
      </c>
      <c r="M212" s="11">
        <f t="shared" si="5"/>
        <v>0.3765432192</v>
      </c>
      <c r="N212" s="11">
        <f t="shared" si="6"/>
        <v>0.1412037072</v>
      </c>
      <c r="O212" s="18">
        <f t="shared" si="21"/>
        <v>2.585167075</v>
      </c>
      <c r="U212" s="18"/>
      <c r="V212" s="18"/>
      <c r="W212" s="18"/>
      <c r="X212" s="18"/>
    </row>
    <row r="213" ht="15.75" customHeight="1">
      <c r="A213" s="8">
        <v>50402.0</v>
      </c>
      <c r="B213" s="8">
        <v>221.0</v>
      </c>
      <c r="C213" s="8">
        <v>84.2222244143486</v>
      </c>
      <c r="D213" s="8">
        <v>750.0</v>
      </c>
      <c r="E213" s="11">
        <f t="shared" si="1"/>
        <v>0.2946666667</v>
      </c>
      <c r="F213" s="11">
        <f t="shared" si="2"/>
        <v>0.3810960381</v>
      </c>
      <c r="G213" s="11">
        <f t="shared" si="3"/>
        <v>0.1122962992</v>
      </c>
      <c r="H213" s="8">
        <v>50402.0</v>
      </c>
      <c r="I213" s="8">
        <v>175.0</v>
      </c>
      <c r="J213" s="8">
        <v>69.00000169873238</v>
      </c>
      <c r="K213" s="8">
        <v>674.0</v>
      </c>
      <c r="L213" s="11">
        <f t="shared" si="4"/>
        <v>0.2596439169</v>
      </c>
      <c r="M213" s="11">
        <f t="shared" si="5"/>
        <v>0.394285724</v>
      </c>
      <c r="N213" s="11">
        <f t="shared" si="6"/>
        <v>0.1023738898</v>
      </c>
      <c r="O213" s="18">
        <f t="shared" si="21"/>
        <v>0.9116408152</v>
      </c>
      <c r="U213" s="18"/>
      <c r="V213" s="18"/>
      <c r="W213" s="18"/>
      <c r="X213" s="18"/>
    </row>
    <row r="214" ht="15.75" customHeight="1">
      <c r="A214" s="8">
        <v>50403.0</v>
      </c>
      <c r="B214" s="8">
        <v>441.0</v>
      </c>
      <c r="C214" s="8">
        <v>163.66667079925537</v>
      </c>
      <c r="D214" s="8">
        <v>1697.0</v>
      </c>
      <c r="E214" s="11">
        <f t="shared" si="1"/>
        <v>0.2598703595</v>
      </c>
      <c r="F214" s="11">
        <f t="shared" si="2"/>
        <v>0.3711262376</v>
      </c>
      <c r="G214" s="11">
        <f t="shared" si="3"/>
        <v>0.09644470878</v>
      </c>
      <c r="H214" s="8">
        <v>50403.0</v>
      </c>
      <c r="I214" s="8">
        <v>257.0</v>
      </c>
      <c r="J214" s="8">
        <v>94.22222447395325</v>
      </c>
      <c r="K214" s="8">
        <v>899.0</v>
      </c>
      <c r="L214" s="11">
        <f t="shared" si="4"/>
        <v>0.2858731924</v>
      </c>
      <c r="M214" s="11">
        <f t="shared" si="5"/>
        <v>0.3666234415</v>
      </c>
      <c r="N214" s="11">
        <f t="shared" si="6"/>
        <v>0.1048078137</v>
      </c>
      <c r="O214" s="18">
        <f t="shared" si="21"/>
        <v>1.086713983</v>
      </c>
      <c r="U214" s="18"/>
      <c r="V214" s="18"/>
      <c r="W214" s="18"/>
      <c r="X214" s="18"/>
    </row>
    <row r="215" ht="15.75" customHeight="1">
      <c r="A215" s="8">
        <v>50404.0</v>
      </c>
      <c r="B215" s="8">
        <v>220.0</v>
      </c>
      <c r="C215" s="8">
        <v>85.77778005599976</v>
      </c>
      <c r="D215" s="8">
        <v>632.0</v>
      </c>
      <c r="E215" s="11">
        <f t="shared" si="1"/>
        <v>0.3481012658</v>
      </c>
      <c r="F215" s="11">
        <f t="shared" si="2"/>
        <v>0.3898990003</v>
      </c>
      <c r="G215" s="11">
        <f t="shared" si="3"/>
        <v>0.1357243355</v>
      </c>
      <c r="H215" s="8">
        <v>50404.0</v>
      </c>
      <c r="I215" s="8">
        <v>114.0</v>
      </c>
      <c r="J215" s="8">
        <v>41.6666676402092</v>
      </c>
      <c r="K215" s="8">
        <v>339.0</v>
      </c>
      <c r="L215" s="11">
        <f t="shared" si="4"/>
        <v>0.3362831858</v>
      </c>
      <c r="M215" s="11">
        <f t="shared" si="5"/>
        <v>0.3654970846</v>
      </c>
      <c r="N215" s="11">
        <f t="shared" si="6"/>
        <v>0.122910524</v>
      </c>
      <c r="O215" s="18">
        <f t="shared" si="21"/>
        <v>0.9055894327</v>
      </c>
      <c r="U215" s="18"/>
      <c r="V215" s="18"/>
      <c r="W215" s="18"/>
      <c r="X215" s="18"/>
    </row>
    <row r="216" ht="15.75" customHeight="1">
      <c r="A216" s="8">
        <v>50405.0</v>
      </c>
      <c r="B216" s="8">
        <v>176.0</v>
      </c>
      <c r="C216" s="8">
        <v>65.44444596767426</v>
      </c>
      <c r="D216" s="8">
        <v>637.0</v>
      </c>
      <c r="E216" s="11">
        <f t="shared" si="1"/>
        <v>0.2762951334</v>
      </c>
      <c r="F216" s="11">
        <f t="shared" si="2"/>
        <v>0.371843443</v>
      </c>
      <c r="G216" s="11">
        <f t="shared" si="3"/>
        <v>0.1027385337</v>
      </c>
      <c r="H216" s="8">
        <v>50405.0</v>
      </c>
      <c r="I216" s="8">
        <v>103.0</v>
      </c>
      <c r="J216" s="8">
        <v>39.77777874469757</v>
      </c>
      <c r="K216" s="8">
        <v>350.0</v>
      </c>
      <c r="L216" s="11">
        <f t="shared" si="4"/>
        <v>0.2942857143</v>
      </c>
      <c r="M216" s="11">
        <f t="shared" si="5"/>
        <v>0.3861920266</v>
      </c>
      <c r="N216" s="11">
        <f t="shared" si="6"/>
        <v>0.1136507964</v>
      </c>
      <c r="O216" s="18">
        <f t="shared" si="21"/>
        <v>1.106213923</v>
      </c>
      <c r="U216" s="18"/>
      <c r="V216" s="18"/>
      <c r="W216" s="18"/>
      <c r="X216" s="18"/>
    </row>
    <row r="217" ht="15.75" customHeight="1">
      <c r="A217" s="8">
        <v>50501.0</v>
      </c>
      <c r="B217" s="8">
        <v>240.0</v>
      </c>
      <c r="C217" s="8">
        <v>93.44444668292999</v>
      </c>
      <c r="D217" s="8">
        <v>699.0</v>
      </c>
      <c r="E217" s="11">
        <f t="shared" si="1"/>
        <v>0.3433476395</v>
      </c>
      <c r="F217" s="11">
        <f t="shared" si="2"/>
        <v>0.3893518612</v>
      </c>
      <c r="G217" s="11">
        <f t="shared" si="3"/>
        <v>0.1336830425</v>
      </c>
      <c r="H217" s="8">
        <v>50501.0</v>
      </c>
      <c r="I217" s="8">
        <v>123.0</v>
      </c>
      <c r="J217" s="8">
        <v>46.333334535360336</v>
      </c>
      <c r="K217" s="8">
        <v>322.0</v>
      </c>
      <c r="L217" s="11">
        <f t="shared" si="4"/>
        <v>0.3819875776</v>
      </c>
      <c r="M217" s="11">
        <f t="shared" si="5"/>
        <v>0.3766937767</v>
      </c>
      <c r="N217" s="11">
        <f t="shared" si="6"/>
        <v>0.1438923433</v>
      </c>
      <c r="O217" s="18">
        <f t="shared" si="21"/>
        <v>1.076369453</v>
      </c>
      <c r="U217" s="18"/>
      <c r="V217" s="18"/>
      <c r="W217" s="18"/>
      <c r="X217" s="18"/>
    </row>
    <row r="218" ht="15.75" customHeight="1">
      <c r="A218" s="8">
        <v>50502.0</v>
      </c>
      <c r="B218" s="8">
        <v>152.0</v>
      </c>
      <c r="C218" s="8">
        <v>57.00000137090683</v>
      </c>
      <c r="D218" s="8">
        <v>596.0</v>
      </c>
      <c r="E218" s="11">
        <f t="shared" si="1"/>
        <v>0.255033557</v>
      </c>
      <c r="F218" s="11">
        <f t="shared" si="2"/>
        <v>0.375000009</v>
      </c>
      <c r="G218" s="11">
        <f t="shared" si="3"/>
        <v>0.09563758619</v>
      </c>
      <c r="H218" s="8">
        <v>50502.0</v>
      </c>
      <c r="I218" s="8">
        <v>98.0</v>
      </c>
      <c r="J218" s="8">
        <v>38.55555644631386</v>
      </c>
      <c r="K218" s="8">
        <v>333.0</v>
      </c>
      <c r="L218" s="11">
        <f t="shared" si="4"/>
        <v>0.2942942943</v>
      </c>
      <c r="M218" s="11">
        <f t="shared" si="5"/>
        <v>0.3934240454</v>
      </c>
      <c r="N218" s="11">
        <f t="shared" si="6"/>
        <v>0.1157824518</v>
      </c>
      <c r="O218" s="18">
        <f t="shared" si="21"/>
        <v>1.210637537</v>
      </c>
      <c r="U218" s="18"/>
      <c r="V218" s="18"/>
      <c r="W218" s="18"/>
      <c r="X218" s="18"/>
    </row>
    <row r="219" ht="15.75" customHeight="1">
      <c r="A219" s="8">
        <v>50601.0</v>
      </c>
      <c r="B219" s="8">
        <v>193.0</v>
      </c>
      <c r="C219" s="8">
        <v>69.44444620609283</v>
      </c>
      <c r="D219" s="8">
        <v>1509.0</v>
      </c>
      <c r="E219" s="11">
        <f t="shared" si="1"/>
        <v>0.127899271</v>
      </c>
      <c r="F219" s="11">
        <f t="shared" si="2"/>
        <v>0.3598157835</v>
      </c>
      <c r="G219" s="11">
        <f t="shared" si="3"/>
        <v>0.04602017641</v>
      </c>
      <c r="H219" s="8">
        <v>50601.0</v>
      </c>
      <c r="I219" s="8">
        <v>128.0</v>
      </c>
      <c r="J219" s="8">
        <v>47.000001072883606</v>
      </c>
      <c r="K219" s="8">
        <v>439.0</v>
      </c>
      <c r="L219" s="11">
        <f t="shared" si="4"/>
        <v>0.291571754</v>
      </c>
      <c r="M219" s="11">
        <f t="shared" si="5"/>
        <v>0.3671875084</v>
      </c>
      <c r="N219" s="11">
        <f t="shared" si="6"/>
        <v>0.1070615059</v>
      </c>
      <c r="O219" s="18">
        <f t="shared" si="21"/>
        <v>2.326403639</v>
      </c>
      <c r="U219" s="18"/>
      <c r="V219" s="18"/>
      <c r="W219" s="18"/>
      <c r="X219" s="18"/>
    </row>
    <row r="220" ht="15.75" customHeight="1">
      <c r="A220" s="8">
        <v>50602.0</v>
      </c>
      <c r="B220" s="8">
        <v>46.0</v>
      </c>
      <c r="C220" s="8">
        <v>16.777778178453445</v>
      </c>
      <c r="D220" s="8">
        <v>422.0</v>
      </c>
      <c r="E220" s="11">
        <f t="shared" si="1"/>
        <v>0.1090047393</v>
      </c>
      <c r="F220" s="11">
        <f t="shared" si="2"/>
        <v>0.3647343082</v>
      </c>
      <c r="G220" s="11">
        <f t="shared" si="3"/>
        <v>0.0397577682</v>
      </c>
      <c r="H220" s="8">
        <v>50602.0</v>
      </c>
      <c r="I220" s="8">
        <v>39.0</v>
      </c>
      <c r="J220" s="8">
        <v>14.44444477558136</v>
      </c>
      <c r="K220" s="8">
        <v>162.0</v>
      </c>
      <c r="L220" s="11">
        <f t="shared" si="4"/>
        <v>0.2407407407</v>
      </c>
      <c r="M220" s="11">
        <f t="shared" si="5"/>
        <v>0.3703703789</v>
      </c>
      <c r="N220" s="11">
        <f t="shared" si="6"/>
        <v>0.08916323936</v>
      </c>
      <c r="O220" s="18">
        <f t="shared" si="21"/>
        <v>2.242662086</v>
      </c>
      <c r="U220" s="18"/>
      <c r="V220" s="18"/>
      <c r="W220" s="18"/>
      <c r="X220" s="18"/>
    </row>
    <row r="221" ht="15.75" customHeight="1">
      <c r="A221" s="8">
        <v>50701.0</v>
      </c>
      <c r="B221" s="8">
        <v>100.0</v>
      </c>
      <c r="C221" s="8">
        <v>38.00000086426735</v>
      </c>
      <c r="D221" s="8">
        <v>586.0</v>
      </c>
      <c r="E221" s="11">
        <f t="shared" si="1"/>
        <v>0.1706484642</v>
      </c>
      <c r="F221" s="11">
        <f t="shared" si="2"/>
        <v>0.3800000086</v>
      </c>
      <c r="G221" s="11">
        <f t="shared" si="3"/>
        <v>0.06484641786</v>
      </c>
      <c r="H221" s="8">
        <v>50701.0</v>
      </c>
      <c r="I221" s="8">
        <v>102.0</v>
      </c>
      <c r="J221" s="8">
        <v>37.000000953674316</v>
      </c>
      <c r="K221" s="8">
        <v>498.0</v>
      </c>
      <c r="L221" s="11">
        <f t="shared" si="4"/>
        <v>0.2048192771</v>
      </c>
      <c r="M221" s="11">
        <f t="shared" si="5"/>
        <v>0.3627451074</v>
      </c>
      <c r="N221" s="11">
        <f t="shared" si="6"/>
        <v>0.07429719067</v>
      </c>
      <c r="O221" s="18">
        <f t="shared" si="21"/>
        <v>1.145740862</v>
      </c>
      <c r="U221" s="18"/>
      <c r="V221" s="18"/>
      <c r="W221" s="18"/>
      <c r="X221" s="18"/>
    </row>
    <row r="222" ht="15.75" customHeight="1">
      <c r="A222" s="8">
        <v>50702.0</v>
      </c>
      <c r="B222" s="8">
        <v>68.0</v>
      </c>
      <c r="C222" s="8">
        <v>25.000000536441803</v>
      </c>
      <c r="D222" s="8">
        <v>325.0</v>
      </c>
      <c r="E222" s="11">
        <f t="shared" si="1"/>
        <v>0.2092307692</v>
      </c>
      <c r="F222" s="11">
        <f t="shared" si="2"/>
        <v>0.3676470667</v>
      </c>
      <c r="G222" s="11">
        <f t="shared" si="3"/>
        <v>0.07692307857</v>
      </c>
      <c r="H222" s="8">
        <v>50702.0</v>
      </c>
      <c r="I222" s="8">
        <v>71.0</v>
      </c>
      <c r="J222" s="8">
        <v>26.222222834825516</v>
      </c>
      <c r="K222" s="8">
        <v>274.0</v>
      </c>
      <c r="L222" s="11">
        <f t="shared" si="4"/>
        <v>0.2591240876</v>
      </c>
      <c r="M222" s="11">
        <f t="shared" si="5"/>
        <v>0.3693270822</v>
      </c>
      <c r="N222" s="11">
        <f t="shared" si="6"/>
        <v>0.09570154319</v>
      </c>
      <c r="O222" s="18">
        <f t="shared" si="21"/>
        <v>1.244120035</v>
      </c>
      <c r="U222" s="18"/>
      <c r="V222" s="18"/>
      <c r="W222" s="18"/>
      <c r="X222" s="18"/>
    </row>
    <row r="223" ht="15.75" customHeight="1">
      <c r="A223" s="8">
        <v>50801.0</v>
      </c>
      <c r="B223" s="8">
        <v>132.0</v>
      </c>
      <c r="C223" s="8">
        <v>47.55555668473244</v>
      </c>
      <c r="D223" s="8">
        <v>2943.0</v>
      </c>
      <c r="E223" s="11">
        <f t="shared" si="1"/>
        <v>0.04485219164</v>
      </c>
      <c r="F223" s="11">
        <f t="shared" si="2"/>
        <v>0.3602693688</v>
      </c>
      <c r="G223" s="11">
        <f t="shared" si="3"/>
        <v>0.01615887077</v>
      </c>
      <c r="H223" s="8">
        <v>50801.0</v>
      </c>
      <c r="I223" s="8">
        <v>48.0</v>
      </c>
      <c r="J223" s="8">
        <v>17.77777823805809</v>
      </c>
      <c r="K223" s="8">
        <v>365.0</v>
      </c>
      <c r="L223" s="11">
        <f t="shared" si="4"/>
        <v>0.1315068493</v>
      </c>
      <c r="M223" s="11">
        <f t="shared" si="5"/>
        <v>0.37037038</v>
      </c>
      <c r="N223" s="11">
        <f t="shared" si="6"/>
        <v>0.04870624175</v>
      </c>
      <c r="O223" s="18">
        <f t="shared" si="21"/>
        <v>3.014210735</v>
      </c>
      <c r="U223" s="18"/>
      <c r="V223" s="18"/>
      <c r="W223" s="18"/>
      <c r="X223" s="18"/>
    </row>
    <row r="224" ht="15.75" customHeight="1">
      <c r="A224" s="8">
        <v>50802.0</v>
      </c>
      <c r="B224" s="8">
        <v>48.0</v>
      </c>
      <c r="C224" s="8">
        <v>16.666667103767395</v>
      </c>
      <c r="D224" s="8">
        <v>1262.0</v>
      </c>
      <c r="E224" s="11">
        <f t="shared" si="1"/>
        <v>0.03803486529</v>
      </c>
      <c r="F224" s="11">
        <f t="shared" si="2"/>
        <v>0.3472222313</v>
      </c>
      <c r="G224" s="11">
        <f t="shared" si="3"/>
        <v>0.0132065508</v>
      </c>
      <c r="H224" s="8">
        <v>50802.0</v>
      </c>
      <c r="I224" s="8">
        <v>20.0</v>
      </c>
      <c r="J224" s="8">
        <v>7.555555731058121</v>
      </c>
      <c r="K224" s="8">
        <v>119.0</v>
      </c>
      <c r="L224" s="11">
        <f t="shared" si="4"/>
        <v>0.1680672269</v>
      </c>
      <c r="M224" s="11">
        <f t="shared" si="5"/>
        <v>0.3777777866</v>
      </c>
      <c r="N224" s="11">
        <f t="shared" si="6"/>
        <v>0.06349206497</v>
      </c>
      <c r="O224" s="18">
        <f t="shared" si="21"/>
        <v>4.807619033</v>
      </c>
      <c r="U224" s="18"/>
      <c r="V224" s="18"/>
      <c r="W224" s="18"/>
      <c r="X224" s="18"/>
    </row>
    <row r="225" ht="15.75" customHeight="1">
      <c r="A225" s="8">
        <v>50901.0</v>
      </c>
      <c r="B225" s="8">
        <v>55.0</v>
      </c>
      <c r="C225" s="8">
        <v>20.11111155152321</v>
      </c>
      <c r="D225" s="8">
        <v>958.0</v>
      </c>
      <c r="E225" s="11">
        <f t="shared" si="1"/>
        <v>0.05741127349</v>
      </c>
      <c r="F225" s="11">
        <f t="shared" si="2"/>
        <v>0.3656565737</v>
      </c>
      <c r="G225" s="11">
        <f t="shared" si="3"/>
        <v>0.02099280955</v>
      </c>
      <c r="H225" s="8">
        <v>50901.0</v>
      </c>
      <c r="I225" s="8">
        <v>14.0</v>
      </c>
      <c r="J225" s="8">
        <v>4.777777910232544</v>
      </c>
      <c r="K225" s="8">
        <v>195.0</v>
      </c>
      <c r="L225" s="11">
        <f t="shared" si="4"/>
        <v>0.07179487179</v>
      </c>
      <c r="M225" s="11">
        <f t="shared" si="5"/>
        <v>0.3412698507</v>
      </c>
      <c r="N225" s="11">
        <f t="shared" si="6"/>
        <v>0.02450142518</v>
      </c>
      <c r="O225" s="18">
        <f t="shared" si="21"/>
        <v>1.167134162</v>
      </c>
      <c r="U225" s="18"/>
      <c r="V225" s="18"/>
      <c r="W225" s="18"/>
      <c r="X225" s="18"/>
    </row>
    <row r="226" ht="15.75" customHeight="1">
      <c r="A226" s="8">
        <v>50902.0</v>
      </c>
      <c r="B226" s="8">
        <v>5.0</v>
      </c>
      <c r="C226" s="8">
        <v>1.7777778208255768</v>
      </c>
      <c r="D226" s="8">
        <v>78.0</v>
      </c>
      <c r="E226" s="11">
        <f t="shared" si="1"/>
        <v>0.0641025641</v>
      </c>
      <c r="F226" s="11">
        <f t="shared" si="2"/>
        <v>0.3555555642</v>
      </c>
      <c r="G226" s="11">
        <f t="shared" si="3"/>
        <v>0.02279202334</v>
      </c>
      <c r="H226" s="8">
        <v>50902.0</v>
      </c>
      <c r="I226" s="8">
        <v>0.0</v>
      </c>
      <c r="J226" s="8">
        <v>0.0</v>
      </c>
      <c r="K226" s="8">
        <v>30.0</v>
      </c>
      <c r="L226" s="11">
        <f t="shared" si="4"/>
        <v>0</v>
      </c>
      <c r="M226" s="11" t="str">
        <f t="shared" si="5"/>
        <v>#DIV/0!</v>
      </c>
      <c r="N226" s="11" t="str">
        <f t="shared" si="6"/>
        <v>#DIV/0!</v>
      </c>
      <c r="O226" s="18" t="s">
        <v>22</v>
      </c>
      <c r="U226" s="18"/>
      <c r="V226" s="18"/>
      <c r="W226" s="18"/>
      <c r="X226" s="18"/>
    </row>
    <row r="227" ht="15.75" customHeight="1">
      <c r="A227" s="8">
        <v>51001.0</v>
      </c>
      <c r="B227" s="8">
        <v>25.0</v>
      </c>
      <c r="C227" s="8">
        <v>9.33333358168602</v>
      </c>
      <c r="D227" s="8">
        <v>194.0</v>
      </c>
      <c r="E227" s="11">
        <f t="shared" si="1"/>
        <v>0.1288659794</v>
      </c>
      <c r="F227" s="11">
        <f t="shared" si="2"/>
        <v>0.3733333433</v>
      </c>
      <c r="G227" s="11">
        <f t="shared" si="3"/>
        <v>0.04810996692</v>
      </c>
      <c r="H227" s="8">
        <v>51001.0</v>
      </c>
      <c r="I227" s="8">
        <v>5.0</v>
      </c>
      <c r="J227" s="8">
        <v>1.888888955116272</v>
      </c>
      <c r="K227" s="8">
        <v>75.0</v>
      </c>
      <c r="L227" s="11">
        <f t="shared" si="4"/>
        <v>0.06666666667</v>
      </c>
      <c r="M227" s="11">
        <f t="shared" si="5"/>
        <v>0.377777791</v>
      </c>
      <c r="N227" s="11">
        <f t="shared" si="6"/>
        <v>0.02518518607</v>
      </c>
      <c r="O227" s="18">
        <f>N227/G227</f>
        <v>0.5234920679</v>
      </c>
      <c r="U227" s="18"/>
      <c r="V227" s="18"/>
      <c r="W227" s="18"/>
      <c r="X227" s="18"/>
    </row>
    <row r="228" ht="15.75" customHeight="1">
      <c r="A228" s="8">
        <v>51002.0</v>
      </c>
      <c r="B228" s="8">
        <v>0.0</v>
      </c>
      <c r="C228" s="8">
        <v>0.0</v>
      </c>
      <c r="D228" s="8">
        <v>2.0</v>
      </c>
      <c r="E228" s="11">
        <f t="shared" si="1"/>
        <v>0</v>
      </c>
      <c r="F228" s="11" t="str">
        <f t="shared" si="2"/>
        <v>#DIV/0!</v>
      </c>
      <c r="G228" s="11" t="str">
        <f t="shared" si="3"/>
        <v>#DIV/0!</v>
      </c>
      <c r="H228" s="8">
        <v>51002.0</v>
      </c>
      <c r="I228" s="8">
        <v>0.0</v>
      </c>
      <c r="J228" s="8">
        <v>0.0</v>
      </c>
      <c r="K228" s="8">
        <v>1.0</v>
      </c>
      <c r="L228" s="11">
        <f t="shared" si="4"/>
        <v>0</v>
      </c>
      <c r="M228" s="11" t="str">
        <f t="shared" si="5"/>
        <v>#DIV/0!</v>
      </c>
      <c r="N228" s="11" t="str">
        <f t="shared" si="6"/>
        <v>#DIV/0!</v>
      </c>
      <c r="O228" s="18" t="s">
        <v>22</v>
      </c>
      <c r="U228" s="18"/>
      <c r="V228" s="18"/>
      <c r="W228" s="18"/>
      <c r="X228" s="18"/>
    </row>
    <row r="229" ht="15.75" customHeight="1">
      <c r="A229" s="8">
        <v>51003.0</v>
      </c>
      <c r="B229" s="8">
        <v>2.0</v>
      </c>
      <c r="C229" s="8">
        <v>0.6666666865348816</v>
      </c>
      <c r="D229" s="8">
        <v>71.0</v>
      </c>
      <c r="E229" s="11">
        <f t="shared" si="1"/>
        <v>0.02816901408</v>
      </c>
      <c r="F229" s="11">
        <f t="shared" si="2"/>
        <v>0.3333333433</v>
      </c>
      <c r="G229" s="11">
        <f t="shared" si="3"/>
        <v>0.009389671641</v>
      </c>
      <c r="H229" s="8">
        <v>51003.0</v>
      </c>
      <c r="I229" s="8">
        <v>0.0</v>
      </c>
      <c r="J229" s="8">
        <v>0.0</v>
      </c>
      <c r="K229" s="8">
        <v>6.0</v>
      </c>
      <c r="L229" s="11">
        <f t="shared" si="4"/>
        <v>0</v>
      </c>
      <c r="M229" s="11" t="str">
        <f t="shared" si="5"/>
        <v>#DIV/0!</v>
      </c>
      <c r="N229" s="11" t="str">
        <f t="shared" si="6"/>
        <v>#DIV/0!</v>
      </c>
      <c r="O229" s="18" t="s">
        <v>22</v>
      </c>
      <c r="U229" s="18"/>
      <c r="V229" s="18"/>
      <c r="W229" s="18"/>
      <c r="X229" s="18"/>
    </row>
    <row r="230" ht="15.75" customHeight="1">
      <c r="A230" s="8">
        <v>51101.0</v>
      </c>
      <c r="B230" s="8">
        <v>80.0</v>
      </c>
      <c r="C230" s="8">
        <v>30.000000655651093</v>
      </c>
      <c r="D230" s="8">
        <v>663.0</v>
      </c>
      <c r="E230" s="11">
        <f t="shared" si="1"/>
        <v>0.1206636501</v>
      </c>
      <c r="F230" s="11">
        <f t="shared" si="2"/>
        <v>0.3750000082</v>
      </c>
      <c r="G230" s="11">
        <f t="shared" si="3"/>
        <v>0.04524886977</v>
      </c>
      <c r="H230" s="8">
        <v>51101.0</v>
      </c>
      <c r="I230" s="8">
        <v>30.0</v>
      </c>
      <c r="J230" s="8">
        <v>10.444444745779037</v>
      </c>
      <c r="K230" s="8">
        <v>277.0</v>
      </c>
      <c r="L230" s="11">
        <f t="shared" si="4"/>
        <v>0.1083032491</v>
      </c>
      <c r="M230" s="11">
        <f t="shared" si="5"/>
        <v>0.3481481582</v>
      </c>
      <c r="N230" s="11">
        <f t="shared" si="6"/>
        <v>0.0377055767</v>
      </c>
      <c r="O230" s="18">
        <f t="shared" ref="O230:O241" si="22">N230/G230</f>
        <v>0.8332932268</v>
      </c>
      <c r="U230" s="18"/>
      <c r="V230" s="18"/>
      <c r="W230" s="18"/>
      <c r="X230" s="18"/>
    </row>
    <row r="231" ht="15.75" customHeight="1">
      <c r="A231" s="8">
        <v>51102.0</v>
      </c>
      <c r="B231" s="8">
        <v>133.0</v>
      </c>
      <c r="C231" s="8">
        <v>47.222223460674286</v>
      </c>
      <c r="D231" s="8">
        <v>882.0</v>
      </c>
      <c r="E231" s="11">
        <f t="shared" si="1"/>
        <v>0.1507936508</v>
      </c>
      <c r="F231" s="11">
        <f t="shared" si="2"/>
        <v>0.3550543117</v>
      </c>
      <c r="G231" s="11">
        <f t="shared" si="3"/>
        <v>0.0535399359</v>
      </c>
      <c r="H231" s="8">
        <v>51102.0</v>
      </c>
      <c r="I231" s="8">
        <v>40.0</v>
      </c>
      <c r="J231" s="8">
        <v>14.000000357627869</v>
      </c>
      <c r="K231" s="8">
        <v>253.0</v>
      </c>
      <c r="L231" s="11">
        <f t="shared" si="4"/>
        <v>0.1581027668</v>
      </c>
      <c r="M231" s="11">
        <f t="shared" si="5"/>
        <v>0.3500000089</v>
      </c>
      <c r="N231" s="11">
        <f t="shared" si="6"/>
        <v>0.05533596979</v>
      </c>
      <c r="O231" s="18">
        <f t="shared" si="22"/>
        <v>1.033545686</v>
      </c>
      <c r="U231" s="18"/>
      <c r="V231" s="18"/>
      <c r="W231" s="18"/>
      <c r="X231" s="18"/>
    </row>
    <row r="232" ht="15.75" customHeight="1">
      <c r="A232" s="8">
        <v>51103.0</v>
      </c>
      <c r="B232" s="8">
        <v>226.0</v>
      </c>
      <c r="C232" s="8">
        <v>86.77778005599976</v>
      </c>
      <c r="D232" s="8">
        <v>550.0</v>
      </c>
      <c r="E232" s="11">
        <f t="shared" si="1"/>
        <v>0.4109090909</v>
      </c>
      <c r="F232" s="11">
        <f t="shared" si="2"/>
        <v>0.3839724781</v>
      </c>
      <c r="G232" s="11">
        <f t="shared" si="3"/>
        <v>0.1577777819</v>
      </c>
      <c r="H232" s="8">
        <v>51103.0</v>
      </c>
      <c r="I232" s="8">
        <v>104.0</v>
      </c>
      <c r="J232" s="8">
        <v>39.44444525241852</v>
      </c>
      <c r="K232" s="8">
        <v>305.0</v>
      </c>
      <c r="L232" s="11">
        <f t="shared" si="4"/>
        <v>0.3409836066</v>
      </c>
      <c r="M232" s="11">
        <f t="shared" si="5"/>
        <v>0.379273512</v>
      </c>
      <c r="N232" s="11">
        <f t="shared" si="6"/>
        <v>0.12932605</v>
      </c>
      <c r="O232" s="18">
        <f t="shared" si="22"/>
        <v>0.8196721264</v>
      </c>
      <c r="U232" s="18"/>
      <c r="V232" s="18"/>
      <c r="W232" s="18"/>
      <c r="X232" s="18"/>
    </row>
    <row r="233" ht="15.75" customHeight="1">
      <c r="A233" s="8">
        <v>51201.0</v>
      </c>
      <c r="B233" s="8">
        <v>191.0</v>
      </c>
      <c r="C233" s="8">
        <v>68.44444617629051</v>
      </c>
      <c r="D233" s="8">
        <v>2736.0</v>
      </c>
      <c r="E233" s="11">
        <f t="shared" si="1"/>
        <v>0.06980994152</v>
      </c>
      <c r="F233" s="11">
        <f t="shared" si="2"/>
        <v>0.3583478857</v>
      </c>
      <c r="G233" s="11">
        <f t="shared" si="3"/>
        <v>0.02501624495</v>
      </c>
      <c r="H233" s="8">
        <v>51201.0</v>
      </c>
      <c r="I233" s="8">
        <v>103.0</v>
      </c>
      <c r="J233" s="8">
        <v>36.55555644631386</v>
      </c>
      <c r="K233" s="8">
        <v>608.0</v>
      </c>
      <c r="L233" s="11">
        <f t="shared" si="4"/>
        <v>0.1694078947</v>
      </c>
      <c r="M233" s="11">
        <f t="shared" si="5"/>
        <v>0.354908315</v>
      </c>
      <c r="N233" s="11">
        <f t="shared" si="6"/>
        <v>0.06012427047</v>
      </c>
      <c r="O233" s="18">
        <f t="shared" si="22"/>
        <v>2.403409089</v>
      </c>
      <c r="U233" s="18"/>
      <c r="V233" s="18"/>
      <c r="W233" s="18"/>
      <c r="X233" s="18"/>
    </row>
    <row r="234" ht="15.75" customHeight="1">
      <c r="A234" s="8">
        <v>51202.0</v>
      </c>
      <c r="B234" s="8">
        <v>111.0</v>
      </c>
      <c r="C234" s="8">
        <v>39.33333429694176</v>
      </c>
      <c r="D234" s="8">
        <v>601.0</v>
      </c>
      <c r="E234" s="11">
        <f t="shared" si="1"/>
        <v>0.1846921797</v>
      </c>
      <c r="F234" s="11">
        <f t="shared" si="2"/>
        <v>0.354354363</v>
      </c>
      <c r="G234" s="11">
        <f t="shared" si="3"/>
        <v>0.0654464797</v>
      </c>
      <c r="H234" s="8">
        <v>51202.0</v>
      </c>
      <c r="I234" s="8">
        <v>66.0</v>
      </c>
      <c r="J234" s="8">
        <v>22.888889491558075</v>
      </c>
      <c r="K234" s="8">
        <v>322.0</v>
      </c>
      <c r="L234" s="11">
        <f t="shared" si="4"/>
        <v>0.2049689441</v>
      </c>
      <c r="M234" s="11">
        <f t="shared" si="5"/>
        <v>0.3468013559</v>
      </c>
      <c r="N234" s="11">
        <f t="shared" si="6"/>
        <v>0.07108350774</v>
      </c>
      <c r="O234" s="18">
        <f t="shared" si="22"/>
        <v>1.086131876</v>
      </c>
      <c r="U234" s="18"/>
      <c r="V234" s="18"/>
      <c r="W234" s="18"/>
      <c r="X234" s="18"/>
    </row>
    <row r="235" ht="15.75" customHeight="1">
      <c r="A235" s="8">
        <v>51203.0</v>
      </c>
      <c r="B235" s="8">
        <v>97.0</v>
      </c>
      <c r="C235" s="8">
        <v>35.44444543123245</v>
      </c>
      <c r="D235" s="8">
        <v>1983.0</v>
      </c>
      <c r="E235" s="11">
        <f t="shared" si="1"/>
        <v>0.04891578417</v>
      </c>
      <c r="F235" s="11">
        <f t="shared" si="2"/>
        <v>0.3654066539</v>
      </c>
      <c r="G235" s="11">
        <f t="shared" si="3"/>
        <v>0.01787415302</v>
      </c>
      <c r="H235" s="8">
        <v>51203.0</v>
      </c>
      <c r="I235" s="8">
        <v>53.0</v>
      </c>
      <c r="J235" s="8">
        <v>19.22222277522087</v>
      </c>
      <c r="K235" s="8">
        <v>437.0</v>
      </c>
      <c r="L235" s="11">
        <f t="shared" si="4"/>
        <v>0.1212814645</v>
      </c>
      <c r="M235" s="11">
        <f t="shared" si="5"/>
        <v>0.3626834486</v>
      </c>
      <c r="N235" s="11">
        <f t="shared" si="6"/>
        <v>0.04398677981</v>
      </c>
      <c r="O235" s="18">
        <f t="shared" si="22"/>
        <v>2.460915478</v>
      </c>
      <c r="U235" s="18"/>
      <c r="V235" s="18"/>
      <c r="W235" s="18"/>
      <c r="X235" s="18"/>
    </row>
    <row r="236" ht="15.75" customHeight="1">
      <c r="A236" s="8">
        <v>51204.0</v>
      </c>
      <c r="B236" s="8">
        <v>80.0</v>
      </c>
      <c r="C236" s="8">
        <v>29.111111789941788</v>
      </c>
      <c r="D236" s="8">
        <v>408.0</v>
      </c>
      <c r="E236" s="11">
        <f t="shared" si="1"/>
        <v>0.1960784314</v>
      </c>
      <c r="F236" s="11">
        <f t="shared" si="2"/>
        <v>0.3638888974</v>
      </c>
      <c r="G236" s="11">
        <f t="shared" si="3"/>
        <v>0.07135076419</v>
      </c>
      <c r="H236" s="8">
        <v>51204.0</v>
      </c>
      <c r="I236" s="8">
        <v>57.0</v>
      </c>
      <c r="J236" s="8">
        <v>20.888889342546463</v>
      </c>
      <c r="K236" s="8">
        <v>221.0</v>
      </c>
      <c r="L236" s="11">
        <f t="shared" si="4"/>
        <v>0.257918552</v>
      </c>
      <c r="M236" s="11">
        <f t="shared" si="5"/>
        <v>0.3664717429</v>
      </c>
      <c r="N236" s="11">
        <f t="shared" si="6"/>
        <v>0.09451986128</v>
      </c>
      <c r="O236" s="18">
        <f t="shared" si="22"/>
        <v>1.324721078</v>
      </c>
      <c r="U236" s="18"/>
      <c r="V236" s="18"/>
      <c r="W236" s="18"/>
      <c r="X236" s="18"/>
    </row>
    <row r="237" ht="15.75" customHeight="1">
      <c r="A237" s="8">
        <v>51301.0</v>
      </c>
      <c r="B237" s="8">
        <v>21.0</v>
      </c>
      <c r="C237" s="8">
        <v>7.44444465637207</v>
      </c>
      <c r="D237" s="8">
        <v>125.0</v>
      </c>
      <c r="E237" s="11">
        <f t="shared" si="1"/>
        <v>0.168</v>
      </c>
      <c r="F237" s="11">
        <f t="shared" si="2"/>
        <v>0.3544973646</v>
      </c>
      <c r="G237" s="11">
        <f t="shared" si="3"/>
        <v>0.05955555725</v>
      </c>
      <c r="H237" s="8">
        <v>51301.0</v>
      </c>
      <c r="I237" s="8">
        <v>20.0</v>
      </c>
      <c r="J237" s="8">
        <v>7.333333492279053</v>
      </c>
      <c r="K237" s="8">
        <v>79.0</v>
      </c>
      <c r="L237" s="11">
        <f t="shared" si="4"/>
        <v>0.253164557</v>
      </c>
      <c r="M237" s="11">
        <f t="shared" si="5"/>
        <v>0.3666666746</v>
      </c>
      <c r="N237" s="11">
        <f t="shared" si="6"/>
        <v>0.09282700623</v>
      </c>
      <c r="O237" s="18">
        <f t="shared" si="22"/>
        <v>1.558662374</v>
      </c>
      <c r="U237" s="18"/>
      <c r="V237" s="18"/>
      <c r="W237" s="18"/>
      <c r="X237" s="18"/>
    </row>
    <row r="238" ht="15.75" customHeight="1">
      <c r="A238" s="8">
        <v>51302.0</v>
      </c>
      <c r="B238" s="8">
        <v>21.0</v>
      </c>
      <c r="C238" s="8">
        <v>7.555555731058121</v>
      </c>
      <c r="D238" s="8">
        <v>221.0</v>
      </c>
      <c r="E238" s="11">
        <f t="shared" si="1"/>
        <v>0.09502262443</v>
      </c>
      <c r="F238" s="11">
        <f t="shared" si="2"/>
        <v>0.3597883681</v>
      </c>
      <c r="G238" s="11">
        <f t="shared" si="3"/>
        <v>0.03418803498</v>
      </c>
      <c r="H238" s="8">
        <v>51302.0</v>
      </c>
      <c r="I238" s="8">
        <v>20.0</v>
      </c>
      <c r="J238" s="8">
        <v>6.8888890743255615</v>
      </c>
      <c r="K238" s="8">
        <v>95.0</v>
      </c>
      <c r="L238" s="11">
        <f t="shared" si="4"/>
        <v>0.2105263158</v>
      </c>
      <c r="M238" s="11">
        <f t="shared" si="5"/>
        <v>0.3444444537</v>
      </c>
      <c r="N238" s="11">
        <f t="shared" si="6"/>
        <v>0.07251462184</v>
      </c>
      <c r="O238" s="18">
        <f t="shared" si="22"/>
        <v>2.121052639</v>
      </c>
      <c r="U238" s="18"/>
      <c r="V238" s="18"/>
      <c r="W238" s="18"/>
      <c r="X238" s="18"/>
    </row>
    <row r="239" ht="15.75" customHeight="1">
      <c r="A239" s="8">
        <v>51401.0</v>
      </c>
      <c r="B239" s="8">
        <v>12.0</v>
      </c>
      <c r="C239" s="8">
        <v>4.0000001192092896</v>
      </c>
      <c r="D239" s="8">
        <v>366.0</v>
      </c>
      <c r="E239" s="11">
        <f t="shared" si="1"/>
        <v>0.03278688525</v>
      </c>
      <c r="F239" s="11">
        <f t="shared" si="2"/>
        <v>0.3333333433</v>
      </c>
      <c r="G239" s="11">
        <f t="shared" si="3"/>
        <v>0.01092896207</v>
      </c>
      <c r="H239" s="8">
        <v>51401.0</v>
      </c>
      <c r="I239" s="8">
        <v>1.0</v>
      </c>
      <c r="J239" s="8">
        <v>0.3333333432674408</v>
      </c>
      <c r="K239" s="8">
        <v>76.0</v>
      </c>
      <c r="L239" s="11">
        <f t="shared" si="4"/>
        <v>0.01315789474</v>
      </c>
      <c r="M239" s="11">
        <f t="shared" si="5"/>
        <v>0.3333333433</v>
      </c>
      <c r="N239" s="11">
        <f t="shared" si="6"/>
        <v>0.004385965043</v>
      </c>
      <c r="O239" s="18">
        <f t="shared" si="22"/>
        <v>0.4013157895</v>
      </c>
      <c r="U239" s="18"/>
      <c r="V239" s="18"/>
      <c r="W239" s="18"/>
      <c r="X239" s="18"/>
    </row>
    <row r="240" ht="15.75" customHeight="1">
      <c r="A240" s="8">
        <v>51402.0</v>
      </c>
      <c r="B240" s="8">
        <v>20.0</v>
      </c>
      <c r="C240" s="8">
        <v>7.666666805744171</v>
      </c>
      <c r="D240" s="8">
        <v>109.0</v>
      </c>
      <c r="E240" s="11">
        <f t="shared" si="1"/>
        <v>0.1834862385</v>
      </c>
      <c r="F240" s="11">
        <f t="shared" si="2"/>
        <v>0.3833333403</v>
      </c>
      <c r="G240" s="11">
        <f t="shared" si="3"/>
        <v>0.07033639271</v>
      </c>
      <c r="H240" s="8">
        <v>51402.0</v>
      </c>
      <c r="I240" s="8">
        <v>15.0</v>
      </c>
      <c r="J240" s="8">
        <v>5.2222223579883575</v>
      </c>
      <c r="K240" s="8">
        <v>53.0</v>
      </c>
      <c r="L240" s="11">
        <f t="shared" si="4"/>
        <v>0.2830188679</v>
      </c>
      <c r="M240" s="11">
        <f t="shared" si="5"/>
        <v>0.3481481572</v>
      </c>
      <c r="N240" s="11">
        <f t="shared" si="6"/>
        <v>0.09853249732</v>
      </c>
      <c r="O240" s="18">
        <f t="shared" si="22"/>
        <v>1.400875045</v>
      </c>
      <c r="U240" s="18"/>
      <c r="V240" s="18"/>
      <c r="W240" s="18"/>
      <c r="X240" s="18"/>
    </row>
    <row r="241" ht="15.75" customHeight="1">
      <c r="A241" s="8">
        <v>51501.0</v>
      </c>
      <c r="B241" s="8">
        <v>105.0</v>
      </c>
      <c r="C241" s="8">
        <v>38.77777883410454</v>
      </c>
      <c r="D241" s="8">
        <v>2494.0</v>
      </c>
      <c r="E241" s="11">
        <f t="shared" si="1"/>
        <v>0.0421010425</v>
      </c>
      <c r="F241" s="11">
        <f t="shared" si="2"/>
        <v>0.3693121794</v>
      </c>
      <c r="G241" s="11">
        <f t="shared" si="3"/>
        <v>0.01554842776</v>
      </c>
      <c r="H241" s="8">
        <v>51501.0</v>
      </c>
      <c r="I241" s="8">
        <v>11.0</v>
      </c>
      <c r="J241" s="8">
        <v>4.000000089406967</v>
      </c>
      <c r="K241" s="8">
        <v>250.0</v>
      </c>
      <c r="L241" s="11">
        <f t="shared" si="4"/>
        <v>0.044</v>
      </c>
      <c r="M241" s="11">
        <f t="shared" si="5"/>
        <v>0.3636363718</v>
      </c>
      <c r="N241" s="11">
        <f t="shared" si="6"/>
        <v>0.01600000036</v>
      </c>
      <c r="O241" s="18">
        <f t="shared" si="22"/>
        <v>1.029042975</v>
      </c>
      <c r="U241" s="18"/>
      <c r="V241" s="18"/>
      <c r="W241" s="18"/>
      <c r="X241" s="18"/>
    </row>
    <row r="242" ht="15.75" customHeight="1">
      <c r="A242" s="8">
        <v>51601.0</v>
      </c>
      <c r="B242" s="8">
        <v>1.0</v>
      </c>
      <c r="C242" s="8">
        <v>0.3333333432674408</v>
      </c>
      <c r="D242" s="8">
        <v>130.0</v>
      </c>
      <c r="E242" s="11">
        <f t="shared" si="1"/>
        <v>0.007692307692</v>
      </c>
      <c r="F242" s="11">
        <f t="shared" si="2"/>
        <v>0.3333333433</v>
      </c>
      <c r="G242" s="11">
        <f t="shared" si="3"/>
        <v>0.002564102641</v>
      </c>
      <c r="H242" s="8">
        <v>51601.0</v>
      </c>
      <c r="I242" s="8">
        <v>0.0</v>
      </c>
      <c r="J242" s="8">
        <v>0.0</v>
      </c>
      <c r="K242" s="8">
        <v>47.0</v>
      </c>
      <c r="L242" s="11">
        <f t="shared" si="4"/>
        <v>0</v>
      </c>
      <c r="M242" s="11" t="str">
        <f t="shared" si="5"/>
        <v>#DIV/0!</v>
      </c>
      <c r="N242" s="11" t="str">
        <f t="shared" si="6"/>
        <v>#DIV/0!</v>
      </c>
      <c r="O242" s="18" t="s">
        <v>22</v>
      </c>
      <c r="U242" s="18"/>
      <c r="V242" s="18"/>
      <c r="W242" s="18"/>
      <c r="X242" s="18"/>
    </row>
    <row r="243" ht="15.75" customHeight="1">
      <c r="A243" s="8">
        <v>60101.0</v>
      </c>
      <c r="B243" s="8">
        <v>277.0</v>
      </c>
      <c r="C243" s="8">
        <v>98.33333590626717</v>
      </c>
      <c r="D243" s="8">
        <v>10162.0</v>
      </c>
      <c r="E243" s="11">
        <f t="shared" si="1"/>
        <v>0.0272584137</v>
      </c>
      <c r="F243" s="11">
        <f t="shared" si="2"/>
        <v>0.3549939924</v>
      </c>
      <c r="G243" s="11">
        <f t="shared" si="3"/>
        <v>0.009676573106</v>
      </c>
      <c r="H243" s="8">
        <v>60101.0</v>
      </c>
      <c r="I243" s="8">
        <v>31.0</v>
      </c>
      <c r="J243" s="8">
        <v>11.111111372709274</v>
      </c>
      <c r="K243" s="8">
        <v>833.0</v>
      </c>
      <c r="L243" s="11">
        <f t="shared" si="4"/>
        <v>0.03721488595</v>
      </c>
      <c r="M243" s="11">
        <f t="shared" si="5"/>
        <v>0.3584229475</v>
      </c>
      <c r="N243" s="11">
        <f t="shared" si="6"/>
        <v>0.01333866911</v>
      </c>
      <c r="O243" s="18">
        <f t="shared" ref="O243:O263" si="23">N243/G243</f>
        <v>1.378449681</v>
      </c>
      <c r="U243" s="18"/>
      <c r="V243" s="18"/>
      <c r="W243" s="18"/>
      <c r="X243" s="18"/>
    </row>
    <row r="244" ht="15.75" customHeight="1">
      <c r="A244" s="8">
        <v>60201.0</v>
      </c>
      <c r="B244" s="8">
        <v>51.0</v>
      </c>
      <c r="C244" s="8">
        <v>17.888889402151108</v>
      </c>
      <c r="D244" s="8">
        <v>612.0</v>
      </c>
      <c r="E244" s="11">
        <f t="shared" si="1"/>
        <v>0.08333333333</v>
      </c>
      <c r="F244" s="11">
        <f t="shared" si="2"/>
        <v>0.3507625373</v>
      </c>
      <c r="G244" s="11">
        <f t="shared" si="3"/>
        <v>0.02923021144</v>
      </c>
      <c r="H244" s="8">
        <v>60201.0</v>
      </c>
      <c r="I244" s="8">
        <v>6.0</v>
      </c>
      <c r="J244" s="8">
        <v>2.0000000596046448</v>
      </c>
      <c r="K244" s="8">
        <v>179.0</v>
      </c>
      <c r="L244" s="11">
        <f t="shared" si="4"/>
        <v>0.03351955307</v>
      </c>
      <c r="M244" s="11">
        <f t="shared" si="5"/>
        <v>0.3333333433</v>
      </c>
      <c r="N244" s="11">
        <f t="shared" si="6"/>
        <v>0.01117318469</v>
      </c>
      <c r="O244" s="18">
        <f t="shared" si="23"/>
        <v>0.382247823</v>
      </c>
      <c r="U244" s="18"/>
      <c r="V244" s="18"/>
      <c r="W244" s="18"/>
      <c r="X244" s="18"/>
    </row>
    <row r="245" ht="15.75" customHeight="1">
      <c r="A245" s="8">
        <v>60202.0</v>
      </c>
      <c r="B245" s="8">
        <v>33.0</v>
      </c>
      <c r="C245" s="8">
        <v>12.333333671092987</v>
      </c>
      <c r="D245" s="8">
        <v>1473.0</v>
      </c>
      <c r="E245" s="11">
        <f t="shared" si="1"/>
        <v>0.02240325866</v>
      </c>
      <c r="F245" s="11">
        <f t="shared" si="2"/>
        <v>0.373737384</v>
      </c>
      <c r="G245" s="11">
        <f t="shared" si="3"/>
        <v>0.008372935282</v>
      </c>
      <c r="H245" s="8">
        <v>60202.0</v>
      </c>
      <c r="I245" s="8">
        <v>3.0</v>
      </c>
      <c r="J245" s="8">
        <v>1.1111111342906952</v>
      </c>
      <c r="K245" s="8">
        <v>154.0</v>
      </c>
      <c r="L245" s="11">
        <f t="shared" si="4"/>
        <v>0.01948051948</v>
      </c>
      <c r="M245" s="11">
        <f t="shared" si="5"/>
        <v>0.3703703781</v>
      </c>
      <c r="N245" s="11">
        <f t="shared" si="6"/>
        <v>0.007215007366</v>
      </c>
      <c r="O245" s="18">
        <f t="shared" si="23"/>
        <v>0.8617058561</v>
      </c>
      <c r="U245" s="18"/>
      <c r="V245" s="18"/>
      <c r="W245" s="18"/>
      <c r="X245" s="18"/>
    </row>
    <row r="246" ht="15.75" customHeight="1">
      <c r="A246" s="8">
        <v>60301.0</v>
      </c>
      <c r="B246" s="8">
        <v>136.0</v>
      </c>
      <c r="C246" s="8">
        <v>49.00000122189522</v>
      </c>
      <c r="D246" s="8">
        <v>4040.0</v>
      </c>
      <c r="E246" s="11">
        <f t="shared" si="1"/>
        <v>0.03366336634</v>
      </c>
      <c r="F246" s="11">
        <f t="shared" si="2"/>
        <v>0.3602941266</v>
      </c>
      <c r="G246" s="11">
        <f t="shared" si="3"/>
        <v>0.01212871317</v>
      </c>
      <c r="H246" s="8">
        <v>60301.0</v>
      </c>
      <c r="I246" s="8">
        <v>11.0</v>
      </c>
      <c r="J246" s="8">
        <v>3.8888889849185944</v>
      </c>
      <c r="K246" s="8">
        <v>332.0</v>
      </c>
      <c r="L246" s="11">
        <f t="shared" si="4"/>
        <v>0.03313253012</v>
      </c>
      <c r="M246" s="11">
        <f t="shared" si="5"/>
        <v>0.3535353623</v>
      </c>
      <c r="N246" s="11">
        <f t="shared" si="6"/>
        <v>0.01171352104</v>
      </c>
      <c r="O246" s="18">
        <f t="shared" si="23"/>
        <v>0.965767833</v>
      </c>
      <c r="U246" s="18"/>
      <c r="V246" s="18"/>
      <c r="W246" s="18"/>
      <c r="X246" s="18"/>
    </row>
    <row r="247" ht="15.75" customHeight="1">
      <c r="A247" s="8">
        <v>60302.0</v>
      </c>
      <c r="B247" s="8">
        <v>56.0</v>
      </c>
      <c r="C247" s="8">
        <v>19.777778297662735</v>
      </c>
      <c r="D247" s="8">
        <v>955.0</v>
      </c>
      <c r="E247" s="11">
        <f t="shared" si="1"/>
        <v>0.05863874346</v>
      </c>
      <c r="F247" s="11">
        <f t="shared" si="2"/>
        <v>0.3531746125</v>
      </c>
      <c r="G247" s="11">
        <f t="shared" si="3"/>
        <v>0.02070971549</v>
      </c>
      <c r="H247" s="8">
        <v>60302.0</v>
      </c>
      <c r="I247" s="8">
        <v>5.0</v>
      </c>
      <c r="J247" s="8">
        <v>1.666666716337204</v>
      </c>
      <c r="K247" s="8">
        <v>88.0</v>
      </c>
      <c r="L247" s="11">
        <f t="shared" si="4"/>
        <v>0.05681818182</v>
      </c>
      <c r="M247" s="11">
        <f t="shared" si="5"/>
        <v>0.3333333433</v>
      </c>
      <c r="N247" s="11">
        <f t="shared" si="6"/>
        <v>0.0189393945</v>
      </c>
      <c r="O247" s="18">
        <f t="shared" si="23"/>
        <v>0.9145173679</v>
      </c>
      <c r="U247" s="18"/>
      <c r="V247" s="18"/>
      <c r="W247" s="18"/>
      <c r="X247" s="18"/>
    </row>
    <row r="248" ht="15.75" customHeight="1">
      <c r="A248" s="8">
        <v>60303.0</v>
      </c>
      <c r="B248" s="8">
        <v>89.0</v>
      </c>
      <c r="C248" s="8">
        <v>31.222223073244095</v>
      </c>
      <c r="D248" s="8">
        <v>2398.0</v>
      </c>
      <c r="E248" s="11">
        <f t="shared" si="1"/>
        <v>0.03711426188</v>
      </c>
      <c r="F248" s="11">
        <f t="shared" si="2"/>
        <v>0.3508114952</v>
      </c>
      <c r="G248" s="11">
        <f t="shared" si="3"/>
        <v>0.01302010971</v>
      </c>
      <c r="H248" s="8">
        <v>60303.0</v>
      </c>
      <c r="I248" s="8">
        <v>23.0</v>
      </c>
      <c r="J248" s="8">
        <v>8.111111372709274</v>
      </c>
      <c r="K248" s="8">
        <v>297.0</v>
      </c>
      <c r="L248" s="11">
        <f t="shared" si="4"/>
        <v>0.07744107744</v>
      </c>
      <c r="M248" s="11">
        <f t="shared" si="5"/>
        <v>0.3526570162</v>
      </c>
      <c r="N248" s="11">
        <f t="shared" si="6"/>
        <v>0.0273101393</v>
      </c>
      <c r="O248" s="18">
        <f t="shared" si="23"/>
        <v>2.097535268</v>
      </c>
      <c r="U248" s="18"/>
      <c r="V248" s="18"/>
      <c r="W248" s="18"/>
      <c r="X248" s="18"/>
    </row>
    <row r="249" ht="15.75" customHeight="1">
      <c r="A249" s="8">
        <v>60401.0</v>
      </c>
      <c r="B249" s="8">
        <v>25.0</v>
      </c>
      <c r="C249" s="8">
        <v>8.777777999639511</v>
      </c>
      <c r="D249" s="8">
        <v>570.0</v>
      </c>
      <c r="E249" s="11">
        <f t="shared" si="1"/>
        <v>0.04385964912</v>
      </c>
      <c r="F249" s="11">
        <f t="shared" si="2"/>
        <v>0.35111112</v>
      </c>
      <c r="G249" s="11">
        <f t="shared" si="3"/>
        <v>0.01539961053</v>
      </c>
      <c r="H249" s="8">
        <v>60401.0</v>
      </c>
      <c r="I249" s="8">
        <v>11.0</v>
      </c>
      <c r="J249" s="8">
        <v>3.8888890147209167</v>
      </c>
      <c r="K249" s="8">
        <v>102.0</v>
      </c>
      <c r="L249" s="11">
        <f t="shared" si="4"/>
        <v>0.1078431373</v>
      </c>
      <c r="M249" s="11">
        <f t="shared" si="5"/>
        <v>0.353535365</v>
      </c>
      <c r="N249" s="11">
        <f t="shared" si="6"/>
        <v>0.03812636289</v>
      </c>
      <c r="O249" s="18">
        <f t="shared" si="23"/>
        <v>2.475800464</v>
      </c>
      <c r="U249" s="18"/>
      <c r="V249" s="18"/>
      <c r="W249" s="18"/>
      <c r="X249" s="18"/>
    </row>
    <row r="250" ht="15.75" customHeight="1">
      <c r="A250" s="8">
        <v>60402.0</v>
      </c>
      <c r="B250" s="8">
        <v>6.0</v>
      </c>
      <c r="C250" s="8">
        <v>2.333333373069763</v>
      </c>
      <c r="D250" s="8">
        <v>159.0</v>
      </c>
      <c r="E250" s="11">
        <f t="shared" si="1"/>
        <v>0.03773584906</v>
      </c>
      <c r="F250" s="11">
        <f t="shared" si="2"/>
        <v>0.3888888955</v>
      </c>
      <c r="G250" s="11">
        <f t="shared" si="3"/>
        <v>0.01467505266</v>
      </c>
      <c r="H250" s="8">
        <v>60402.0</v>
      </c>
      <c r="I250" s="8">
        <v>3.0</v>
      </c>
      <c r="J250" s="8">
        <v>1.1111111342906952</v>
      </c>
      <c r="K250" s="8">
        <v>55.0</v>
      </c>
      <c r="L250" s="11">
        <f t="shared" si="4"/>
        <v>0.05454545455</v>
      </c>
      <c r="M250" s="11">
        <f t="shared" si="5"/>
        <v>0.3703703781</v>
      </c>
      <c r="N250" s="11">
        <f t="shared" si="6"/>
        <v>0.02020202062</v>
      </c>
      <c r="O250" s="18">
        <f t="shared" si="23"/>
        <v>1.376623382</v>
      </c>
      <c r="U250" s="18"/>
      <c r="V250" s="18"/>
      <c r="W250" s="18"/>
      <c r="X250" s="18"/>
    </row>
    <row r="251" ht="15.75" customHeight="1">
      <c r="A251" s="8">
        <v>60501.0</v>
      </c>
      <c r="B251" s="8">
        <v>224.0</v>
      </c>
      <c r="C251" s="8">
        <v>83.88889089226723</v>
      </c>
      <c r="D251" s="8">
        <v>2340.0</v>
      </c>
      <c r="E251" s="11">
        <f t="shared" si="1"/>
        <v>0.09572649573</v>
      </c>
      <c r="F251" s="11">
        <f t="shared" si="2"/>
        <v>0.3745039772</v>
      </c>
      <c r="G251" s="11">
        <f t="shared" si="3"/>
        <v>0.03584995337</v>
      </c>
      <c r="H251" s="8">
        <v>60501.0</v>
      </c>
      <c r="I251" s="8">
        <v>47.0</v>
      </c>
      <c r="J251" s="8">
        <v>17.333333730697632</v>
      </c>
      <c r="K251" s="8">
        <v>279.0</v>
      </c>
      <c r="L251" s="11">
        <f t="shared" si="4"/>
        <v>0.1684587814</v>
      </c>
      <c r="M251" s="11">
        <f t="shared" si="5"/>
        <v>0.3687943347</v>
      </c>
      <c r="N251" s="11">
        <f t="shared" si="6"/>
        <v>0.0621266442</v>
      </c>
      <c r="O251" s="18">
        <f t="shared" si="23"/>
        <v>1.73296304</v>
      </c>
      <c r="U251" s="18"/>
      <c r="V251" s="18"/>
      <c r="W251" s="18"/>
      <c r="X251" s="18"/>
    </row>
    <row r="252" ht="15.75" customHeight="1">
      <c r="A252" s="8">
        <v>60502.0</v>
      </c>
      <c r="B252" s="8">
        <v>26.0</v>
      </c>
      <c r="C252" s="8">
        <v>10.555555880069733</v>
      </c>
      <c r="D252" s="8">
        <v>443.0</v>
      </c>
      <c r="E252" s="11">
        <f t="shared" si="1"/>
        <v>0.05869074492</v>
      </c>
      <c r="F252" s="11">
        <f t="shared" si="2"/>
        <v>0.4059829185</v>
      </c>
      <c r="G252" s="11">
        <f t="shared" si="3"/>
        <v>0.02382743991</v>
      </c>
      <c r="H252" s="8">
        <v>60502.0</v>
      </c>
      <c r="I252" s="8">
        <v>5.0</v>
      </c>
      <c r="J252" s="8">
        <v>2.111111134290695</v>
      </c>
      <c r="K252" s="8">
        <v>132.0</v>
      </c>
      <c r="L252" s="11">
        <f t="shared" si="4"/>
        <v>0.03787878788</v>
      </c>
      <c r="M252" s="11">
        <f t="shared" si="5"/>
        <v>0.4222222269</v>
      </c>
      <c r="N252" s="11">
        <f t="shared" si="6"/>
        <v>0.01599326617</v>
      </c>
      <c r="O252" s="18">
        <f t="shared" si="23"/>
        <v>0.6712121079</v>
      </c>
      <c r="U252" s="18"/>
      <c r="V252" s="18"/>
      <c r="W252" s="18"/>
      <c r="X252" s="18"/>
    </row>
    <row r="253" ht="15.75" customHeight="1">
      <c r="A253" s="8">
        <v>60601.0</v>
      </c>
      <c r="B253" s="8">
        <v>59.0</v>
      </c>
      <c r="C253" s="8">
        <v>23.111111640930176</v>
      </c>
      <c r="D253" s="8">
        <v>851.0</v>
      </c>
      <c r="E253" s="11">
        <f t="shared" si="1"/>
        <v>0.06933019976</v>
      </c>
      <c r="F253" s="11">
        <f t="shared" si="2"/>
        <v>0.3917137566</v>
      </c>
      <c r="G253" s="11">
        <f t="shared" si="3"/>
        <v>0.027157593</v>
      </c>
      <c r="H253" s="8">
        <v>60601.0</v>
      </c>
      <c r="I253" s="8">
        <v>19.0</v>
      </c>
      <c r="J253" s="8">
        <v>6.8888890743255615</v>
      </c>
      <c r="K253" s="8">
        <v>213.0</v>
      </c>
      <c r="L253" s="11">
        <f t="shared" si="4"/>
        <v>0.08920187793</v>
      </c>
      <c r="M253" s="11">
        <f t="shared" si="5"/>
        <v>0.3625731092</v>
      </c>
      <c r="N253" s="11">
        <f t="shared" si="6"/>
        <v>0.03234220223</v>
      </c>
      <c r="O253" s="18">
        <f t="shared" si="23"/>
        <v>1.190908275</v>
      </c>
      <c r="U253" s="18"/>
      <c r="V253" s="18"/>
      <c r="W253" s="18"/>
      <c r="X253" s="18"/>
    </row>
    <row r="254" ht="15.75" customHeight="1">
      <c r="A254" s="8">
        <v>70101.0</v>
      </c>
      <c r="B254" s="8">
        <v>1081.0</v>
      </c>
      <c r="C254" s="8">
        <v>383.5555656552315</v>
      </c>
      <c r="D254" s="8">
        <v>53144.0</v>
      </c>
      <c r="E254" s="11">
        <f t="shared" si="1"/>
        <v>0.02034096041</v>
      </c>
      <c r="F254" s="11">
        <f t="shared" si="2"/>
        <v>0.3548155094</v>
      </c>
      <c r="G254" s="11">
        <f t="shared" si="3"/>
        <v>0.007217288229</v>
      </c>
      <c r="H254" s="8">
        <v>70101.0</v>
      </c>
      <c r="I254" s="8">
        <v>118.0</v>
      </c>
      <c r="J254" s="8">
        <v>42.222223311662674</v>
      </c>
      <c r="K254" s="8">
        <v>4272.0</v>
      </c>
      <c r="L254" s="11">
        <f t="shared" si="4"/>
        <v>0.02762172285</v>
      </c>
      <c r="M254" s="11">
        <f t="shared" si="5"/>
        <v>0.3578154518</v>
      </c>
      <c r="N254" s="11">
        <f t="shared" si="6"/>
        <v>0.00988347924</v>
      </c>
      <c r="O254" s="18">
        <f t="shared" si="23"/>
        <v>1.369417283</v>
      </c>
      <c r="U254" s="18"/>
      <c r="V254" s="18"/>
      <c r="W254" s="18"/>
      <c r="X254" s="18"/>
    </row>
    <row r="255" ht="15.75" customHeight="1">
      <c r="A255" s="8">
        <v>70102.0</v>
      </c>
      <c r="B255" s="8">
        <v>649.0</v>
      </c>
      <c r="C255" s="8">
        <v>227.22222831845284</v>
      </c>
      <c r="D255" s="8">
        <v>10858.0</v>
      </c>
      <c r="E255" s="11">
        <f t="shared" si="1"/>
        <v>0.05977159698</v>
      </c>
      <c r="F255" s="11">
        <f t="shared" si="2"/>
        <v>0.3501112917</v>
      </c>
      <c r="G255" s="11">
        <f t="shared" si="3"/>
        <v>0.02092671103</v>
      </c>
      <c r="H255" s="8">
        <v>70102.0</v>
      </c>
      <c r="I255" s="8">
        <v>38.0</v>
      </c>
      <c r="J255" s="8">
        <v>13.222222566604614</v>
      </c>
      <c r="K255" s="8">
        <v>675.0</v>
      </c>
      <c r="L255" s="11">
        <f t="shared" si="4"/>
        <v>0.0562962963</v>
      </c>
      <c r="M255" s="11">
        <f t="shared" si="5"/>
        <v>0.3479532254</v>
      </c>
      <c r="N255" s="11">
        <f t="shared" si="6"/>
        <v>0.01958847788</v>
      </c>
      <c r="O255" s="18">
        <f t="shared" si="23"/>
        <v>0.9360514346</v>
      </c>
      <c r="U255" s="18"/>
      <c r="V255" s="18"/>
      <c r="W255" s="18"/>
      <c r="X255" s="18"/>
    </row>
    <row r="256" ht="15.75" customHeight="1">
      <c r="A256" s="8">
        <v>70103.0</v>
      </c>
      <c r="B256" s="8">
        <v>94.0</v>
      </c>
      <c r="C256" s="8">
        <v>38.444445461034775</v>
      </c>
      <c r="D256" s="8">
        <v>3796.0</v>
      </c>
      <c r="E256" s="11">
        <f t="shared" si="1"/>
        <v>0.02476290832</v>
      </c>
      <c r="F256" s="11">
        <f t="shared" si="2"/>
        <v>0.4089834624</v>
      </c>
      <c r="G256" s="11">
        <f t="shared" si="3"/>
        <v>0.01012761998</v>
      </c>
      <c r="H256" s="8">
        <v>70103.0</v>
      </c>
      <c r="I256" s="8">
        <v>11.0</v>
      </c>
      <c r="J256" s="8">
        <v>4.33333346247673</v>
      </c>
      <c r="K256" s="8">
        <v>326.0</v>
      </c>
      <c r="L256" s="11">
        <f t="shared" si="4"/>
        <v>0.03374233129</v>
      </c>
      <c r="M256" s="11">
        <f t="shared" si="5"/>
        <v>0.3939394057</v>
      </c>
      <c r="N256" s="11">
        <f t="shared" si="6"/>
        <v>0.01329243393</v>
      </c>
      <c r="O256" s="18">
        <f t="shared" si="23"/>
        <v>1.312493355</v>
      </c>
      <c r="U256" s="18"/>
      <c r="V256" s="18"/>
      <c r="W256" s="18"/>
      <c r="X256" s="18"/>
    </row>
    <row r="257" ht="15.75" customHeight="1">
      <c r="A257" s="8">
        <v>70104.0</v>
      </c>
      <c r="B257" s="8">
        <v>575.0</v>
      </c>
      <c r="C257" s="8">
        <v>202.5555610358715</v>
      </c>
      <c r="D257" s="8">
        <v>14801.0</v>
      </c>
      <c r="E257" s="11">
        <f t="shared" si="1"/>
        <v>0.03884872644</v>
      </c>
      <c r="F257" s="11">
        <f t="shared" si="2"/>
        <v>0.3522705409</v>
      </c>
      <c r="G257" s="11">
        <f t="shared" si="3"/>
        <v>0.01368526188</v>
      </c>
      <c r="H257" s="8">
        <v>70104.0</v>
      </c>
      <c r="I257" s="8">
        <v>42.0</v>
      </c>
      <c r="J257" s="8">
        <v>15.666667103767395</v>
      </c>
      <c r="K257" s="8">
        <v>1120.0</v>
      </c>
      <c r="L257" s="11">
        <f t="shared" si="4"/>
        <v>0.0375</v>
      </c>
      <c r="M257" s="11">
        <f t="shared" si="5"/>
        <v>0.3730158834</v>
      </c>
      <c r="N257" s="11">
        <f t="shared" si="6"/>
        <v>0.01398809563</v>
      </c>
      <c r="O257" s="18">
        <f t="shared" si="23"/>
        <v>1.022128459</v>
      </c>
      <c r="U257" s="18"/>
      <c r="V257" s="18"/>
      <c r="W257" s="18"/>
      <c r="X257" s="18"/>
    </row>
    <row r="258" ht="15.75" customHeight="1">
      <c r="A258" s="8">
        <v>70105.0</v>
      </c>
      <c r="B258" s="8">
        <v>173.0</v>
      </c>
      <c r="C258" s="8">
        <v>61.55555731058121</v>
      </c>
      <c r="D258" s="8">
        <v>3085.0</v>
      </c>
      <c r="E258" s="11">
        <f t="shared" si="1"/>
        <v>0.05607779579</v>
      </c>
      <c r="F258" s="11">
        <f t="shared" si="2"/>
        <v>0.35581247</v>
      </c>
      <c r="G258" s="11">
        <f t="shared" si="3"/>
        <v>0.01995317903</v>
      </c>
      <c r="H258" s="8">
        <v>70105.0</v>
      </c>
      <c r="I258" s="8">
        <v>21.0</v>
      </c>
      <c r="J258" s="8">
        <v>7.44444465637207</v>
      </c>
      <c r="K258" s="8">
        <v>297.0</v>
      </c>
      <c r="L258" s="11">
        <f t="shared" si="4"/>
        <v>0.07070707071</v>
      </c>
      <c r="M258" s="11">
        <f t="shared" si="5"/>
        <v>0.3544973646</v>
      </c>
      <c r="N258" s="11">
        <f t="shared" si="6"/>
        <v>0.02506547022</v>
      </c>
      <c r="O258" s="18">
        <f t="shared" si="23"/>
        <v>1.25621437</v>
      </c>
      <c r="U258" s="18"/>
      <c r="V258" s="18"/>
      <c r="W258" s="18"/>
      <c r="X258" s="18"/>
    </row>
    <row r="259" ht="15.75" customHeight="1">
      <c r="A259" s="8">
        <v>70201.0</v>
      </c>
      <c r="B259" s="8">
        <v>653.0</v>
      </c>
      <c r="C259" s="8">
        <v>234.44445011019707</v>
      </c>
      <c r="D259" s="8">
        <v>12331.0</v>
      </c>
      <c r="E259" s="11">
        <f t="shared" si="1"/>
        <v>0.05295596464</v>
      </c>
      <c r="F259" s="11">
        <f t="shared" si="2"/>
        <v>0.359026723</v>
      </c>
      <c r="G259" s="11">
        <f t="shared" si="3"/>
        <v>0.01901260645</v>
      </c>
      <c r="H259" s="8">
        <v>70201.0</v>
      </c>
      <c r="I259" s="8">
        <v>82.0</v>
      </c>
      <c r="J259" s="8">
        <v>29.77777847647667</v>
      </c>
      <c r="K259" s="8">
        <v>1216.0</v>
      </c>
      <c r="L259" s="11">
        <f t="shared" si="4"/>
        <v>0.06743421053</v>
      </c>
      <c r="M259" s="11">
        <f t="shared" si="5"/>
        <v>0.36314364</v>
      </c>
      <c r="N259" s="11">
        <f t="shared" si="6"/>
        <v>0.02448830467</v>
      </c>
      <c r="O259" s="18">
        <f t="shared" si="23"/>
        <v>1.288003554</v>
      </c>
      <c r="U259" s="18"/>
      <c r="V259" s="18"/>
      <c r="W259" s="18"/>
      <c r="X259" s="18"/>
    </row>
    <row r="260" ht="15.75" customHeight="1">
      <c r="A260" s="8">
        <v>70202.0</v>
      </c>
      <c r="B260" s="8">
        <v>19.0</v>
      </c>
      <c r="C260" s="8">
        <v>7.000000149011612</v>
      </c>
      <c r="D260" s="8">
        <v>689.0</v>
      </c>
      <c r="E260" s="11">
        <f t="shared" si="1"/>
        <v>0.02757619739</v>
      </c>
      <c r="F260" s="11">
        <f t="shared" si="2"/>
        <v>0.3684210605</v>
      </c>
      <c r="G260" s="11">
        <f t="shared" si="3"/>
        <v>0.01015965189</v>
      </c>
      <c r="H260" s="8">
        <v>70202.0</v>
      </c>
      <c r="I260" s="8">
        <v>3.0</v>
      </c>
      <c r="J260" s="8">
        <v>1.0000000298023224</v>
      </c>
      <c r="K260" s="8">
        <v>99.0</v>
      </c>
      <c r="L260" s="11">
        <f t="shared" si="4"/>
        <v>0.0303030303</v>
      </c>
      <c r="M260" s="11">
        <f t="shared" si="5"/>
        <v>0.3333333433</v>
      </c>
      <c r="N260" s="11">
        <f t="shared" si="6"/>
        <v>0.0101010104</v>
      </c>
      <c r="O260" s="18">
        <f t="shared" si="23"/>
        <v>0.9942280027</v>
      </c>
      <c r="U260" s="18"/>
      <c r="V260" s="18"/>
      <c r="W260" s="18"/>
      <c r="X260" s="18"/>
    </row>
    <row r="261" ht="15.75" customHeight="1">
      <c r="A261" s="8">
        <v>70301.0</v>
      </c>
      <c r="B261" s="8">
        <v>677.0</v>
      </c>
      <c r="C261" s="8">
        <v>256.22222849726677</v>
      </c>
      <c r="D261" s="8">
        <v>3738.0</v>
      </c>
      <c r="E261" s="11">
        <f t="shared" si="1"/>
        <v>0.1811128946</v>
      </c>
      <c r="F261" s="11">
        <f t="shared" si="2"/>
        <v>0.3784671027</v>
      </c>
      <c r="G261" s="11">
        <f t="shared" si="3"/>
        <v>0.06854527247</v>
      </c>
      <c r="H261" s="8">
        <v>70301.0</v>
      </c>
      <c r="I261" s="8">
        <v>127.0</v>
      </c>
      <c r="J261" s="8">
        <v>49.333334535360336</v>
      </c>
      <c r="K261" s="8">
        <v>520.0</v>
      </c>
      <c r="L261" s="11">
        <f t="shared" si="4"/>
        <v>0.2442307692</v>
      </c>
      <c r="M261" s="11">
        <f t="shared" si="5"/>
        <v>0.388451453</v>
      </c>
      <c r="N261" s="11">
        <f t="shared" si="6"/>
        <v>0.09487179718</v>
      </c>
      <c r="O261" s="18">
        <f t="shared" si="23"/>
        <v>1.384074988</v>
      </c>
      <c r="U261" s="18"/>
      <c r="V261" s="18"/>
      <c r="W261" s="18"/>
      <c r="X261" s="18"/>
    </row>
    <row r="262" ht="15.75" customHeight="1">
      <c r="A262" s="8">
        <v>70302.0</v>
      </c>
      <c r="B262" s="8">
        <v>317.0</v>
      </c>
      <c r="C262" s="8">
        <v>122.77778089046478</v>
      </c>
      <c r="D262" s="8">
        <v>1309.0</v>
      </c>
      <c r="E262" s="11">
        <f t="shared" si="1"/>
        <v>0.2421695951</v>
      </c>
      <c r="F262" s="11">
        <f t="shared" si="2"/>
        <v>0.3873116116</v>
      </c>
      <c r="G262" s="11">
        <f t="shared" si="3"/>
        <v>0.09379509617</v>
      </c>
      <c r="H262" s="8">
        <v>70302.0</v>
      </c>
      <c r="I262" s="8">
        <v>15.0</v>
      </c>
      <c r="J262" s="8">
        <v>5.2222223579883575</v>
      </c>
      <c r="K262" s="8">
        <v>154.0</v>
      </c>
      <c r="L262" s="11">
        <f t="shared" si="4"/>
        <v>0.0974025974</v>
      </c>
      <c r="M262" s="11">
        <f t="shared" si="5"/>
        <v>0.3481481572</v>
      </c>
      <c r="N262" s="11">
        <f t="shared" si="6"/>
        <v>0.03391053479</v>
      </c>
      <c r="O262" s="18">
        <f t="shared" si="23"/>
        <v>0.3615384618</v>
      </c>
      <c r="U262" s="18"/>
      <c r="V262" s="18"/>
      <c r="W262" s="18"/>
      <c r="X262" s="18"/>
    </row>
    <row r="263" ht="15.75" customHeight="1">
      <c r="A263" s="8">
        <v>70303.0</v>
      </c>
      <c r="B263" s="8">
        <v>357.0</v>
      </c>
      <c r="C263" s="8">
        <v>127.7777809202671</v>
      </c>
      <c r="D263" s="8">
        <v>1348.0</v>
      </c>
      <c r="E263" s="11">
        <f t="shared" si="1"/>
        <v>0.2648367953</v>
      </c>
      <c r="F263" s="11">
        <f t="shared" si="2"/>
        <v>0.357920955</v>
      </c>
      <c r="G263" s="11">
        <f t="shared" si="3"/>
        <v>0.09479063866</v>
      </c>
      <c r="H263" s="8">
        <v>70303.0</v>
      </c>
      <c r="I263" s="8">
        <v>12.0</v>
      </c>
      <c r="J263" s="8">
        <v>4.111111223697662</v>
      </c>
      <c r="K263" s="8">
        <v>70.0</v>
      </c>
      <c r="L263" s="11">
        <f t="shared" si="4"/>
        <v>0.1714285714</v>
      </c>
      <c r="M263" s="11">
        <f t="shared" si="5"/>
        <v>0.342592602</v>
      </c>
      <c r="N263" s="11">
        <f t="shared" si="6"/>
        <v>0.05873016034</v>
      </c>
      <c r="O263" s="18">
        <f t="shared" si="23"/>
        <v>0.6195776415</v>
      </c>
      <c r="U263" s="18"/>
      <c r="V263" s="18"/>
      <c r="W263" s="18"/>
      <c r="X263" s="18"/>
    </row>
    <row r="264" ht="15.75" customHeight="1">
      <c r="A264" s="8">
        <v>70401.0</v>
      </c>
      <c r="B264" s="8">
        <v>43.0</v>
      </c>
      <c r="C264" s="8">
        <v>15.5555559694767</v>
      </c>
      <c r="D264" s="8">
        <v>911.0</v>
      </c>
      <c r="E264" s="11">
        <f t="shared" si="1"/>
        <v>0.04720087816</v>
      </c>
      <c r="F264" s="11">
        <f t="shared" si="2"/>
        <v>0.3617571156</v>
      </c>
      <c r="G264" s="11">
        <f t="shared" si="3"/>
        <v>0.01707525353</v>
      </c>
      <c r="H264" s="8">
        <v>70401.0</v>
      </c>
      <c r="I264" s="8">
        <v>0.0</v>
      </c>
      <c r="J264" s="8">
        <v>0.0</v>
      </c>
      <c r="K264" s="8">
        <v>164.0</v>
      </c>
      <c r="L264" s="11">
        <f t="shared" si="4"/>
        <v>0</v>
      </c>
      <c r="M264" s="11" t="str">
        <f t="shared" si="5"/>
        <v>#DIV/0!</v>
      </c>
      <c r="N264" s="11" t="str">
        <f t="shared" si="6"/>
        <v>#DIV/0!</v>
      </c>
      <c r="O264" s="18" t="s">
        <v>22</v>
      </c>
      <c r="U264" s="18"/>
      <c r="V264" s="18"/>
      <c r="W264" s="18"/>
      <c r="X264" s="18"/>
    </row>
    <row r="265" ht="15.75" customHeight="1">
      <c r="A265" s="8">
        <v>70402.0</v>
      </c>
      <c r="B265" s="8">
        <v>104.0</v>
      </c>
      <c r="C265" s="8">
        <v>37.33333432674408</v>
      </c>
      <c r="D265" s="8">
        <v>1309.0</v>
      </c>
      <c r="E265" s="11">
        <f t="shared" si="1"/>
        <v>0.0794499618</v>
      </c>
      <c r="F265" s="11">
        <f t="shared" si="2"/>
        <v>0.3589743685</v>
      </c>
      <c r="G265" s="11">
        <f t="shared" si="3"/>
        <v>0.02852049987</v>
      </c>
      <c r="H265" s="8">
        <v>70402.0</v>
      </c>
      <c r="I265" s="8">
        <v>14.0</v>
      </c>
      <c r="J265" s="8">
        <v>5.0000001192092896</v>
      </c>
      <c r="K265" s="8">
        <v>125.0</v>
      </c>
      <c r="L265" s="11">
        <f t="shared" si="4"/>
        <v>0.112</v>
      </c>
      <c r="M265" s="11">
        <f t="shared" si="5"/>
        <v>0.3571428657</v>
      </c>
      <c r="N265" s="11">
        <f t="shared" si="6"/>
        <v>0.04000000095</v>
      </c>
      <c r="O265" s="18">
        <f t="shared" ref="O265:O272" si="24">N265/G265</f>
        <v>1.402499996</v>
      </c>
      <c r="U265" s="18"/>
      <c r="V265" s="18"/>
      <c r="W265" s="18"/>
      <c r="X265" s="18"/>
    </row>
    <row r="266" ht="15.75" customHeight="1">
      <c r="A266" s="8">
        <v>70403.0</v>
      </c>
      <c r="B266" s="8">
        <v>849.0</v>
      </c>
      <c r="C266" s="8">
        <v>314.6666738688946</v>
      </c>
      <c r="D266" s="8">
        <v>3947.0</v>
      </c>
      <c r="E266" s="11">
        <f t="shared" si="1"/>
        <v>0.215100076</v>
      </c>
      <c r="F266" s="11">
        <f t="shared" si="2"/>
        <v>0.3706321247</v>
      </c>
      <c r="G266" s="11">
        <f t="shared" si="3"/>
        <v>0.07972299819</v>
      </c>
      <c r="H266" s="8">
        <v>70403.0</v>
      </c>
      <c r="I266" s="8">
        <v>127.0</v>
      </c>
      <c r="J266" s="8">
        <v>48.55555656552315</v>
      </c>
      <c r="K266" s="8">
        <v>440.0</v>
      </c>
      <c r="L266" s="11">
        <f t="shared" si="4"/>
        <v>0.2886363636</v>
      </c>
      <c r="M266" s="11">
        <f t="shared" si="5"/>
        <v>0.3823272171</v>
      </c>
      <c r="N266" s="11">
        <f t="shared" si="6"/>
        <v>0.1103535376</v>
      </c>
      <c r="O266" s="18">
        <f t="shared" si="24"/>
        <v>1.384212086</v>
      </c>
      <c r="U266" s="18"/>
      <c r="V266" s="18"/>
      <c r="W266" s="18"/>
      <c r="X266" s="18"/>
    </row>
    <row r="267" ht="15.75" customHeight="1">
      <c r="A267" s="8">
        <v>70404.0</v>
      </c>
      <c r="B267" s="8">
        <v>49.0</v>
      </c>
      <c r="C267" s="8">
        <v>18.111111611127853</v>
      </c>
      <c r="D267" s="8">
        <v>619.0</v>
      </c>
      <c r="E267" s="11">
        <f t="shared" si="1"/>
        <v>0.07915993538</v>
      </c>
      <c r="F267" s="11">
        <f t="shared" si="2"/>
        <v>0.3696145227</v>
      </c>
      <c r="G267" s="11">
        <f t="shared" si="3"/>
        <v>0.02925866173</v>
      </c>
      <c r="H267" s="8">
        <v>70404.0</v>
      </c>
      <c r="I267" s="8">
        <v>15.0</v>
      </c>
      <c r="J267" s="8">
        <v>5.444444566965103</v>
      </c>
      <c r="K267" s="8">
        <v>68.0</v>
      </c>
      <c r="L267" s="11">
        <f t="shared" si="4"/>
        <v>0.2205882353</v>
      </c>
      <c r="M267" s="11">
        <f t="shared" si="5"/>
        <v>0.3629629711</v>
      </c>
      <c r="N267" s="11">
        <f t="shared" si="6"/>
        <v>0.08006536128</v>
      </c>
      <c r="O267" s="18">
        <f t="shared" si="24"/>
        <v>2.736466965</v>
      </c>
      <c r="U267" s="18"/>
      <c r="V267" s="18"/>
      <c r="W267" s="18"/>
      <c r="X267" s="18"/>
    </row>
    <row r="268" ht="15.75" customHeight="1">
      <c r="A268" s="8">
        <v>70501.0</v>
      </c>
      <c r="B268" s="8">
        <v>595.0</v>
      </c>
      <c r="C268" s="8">
        <v>221.11111643910408</v>
      </c>
      <c r="D268" s="8">
        <v>3384.0</v>
      </c>
      <c r="E268" s="11">
        <f t="shared" si="1"/>
        <v>0.1758274232</v>
      </c>
      <c r="F268" s="11">
        <f t="shared" si="2"/>
        <v>0.3716153217</v>
      </c>
      <c r="G268" s="11">
        <f t="shared" si="3"/>
        <v>0.06534016443</v>
      </c>
      <c r="H268" s="8">
        <v>70501.0</v>
      </c>
      <c r="I268" s="8">
        <v>62.0</v>
      </c>
      <c r="J268" s="8">
        <v>22.444444954395294</v>
      </c>
      <c r="K268" s="8">
        <v>282.0</v>
      </c>
      <c r="L268" s="11">
        <f t="shared" si="4"/>
        <v>0.219858156</v>
      </c>
      <c r="M268" s="11">
        <f t="shared" si="5"/>
        <v>0.3620071767</v>
      </c>
      <c r="N268" s="11">
        <f t="shared" si="6"/>
        <v>0.07959023033</v>
      </c>
      <c r="O268" s="18">
        <f t="shared" si="24"/>
        <v>1.218090451</v>
      </c>
      <c r="U268" s="18"/>
      <c r="V268" s="18"/>
      <c r="W268" s="18"/>
      <c r="X268" s="18"/>
    </row>
    <row r="269" ht="15.75" customHeight="1">
      <c r="A269" s="8">
        <v>70502.0</v>
      </c>
      <c r="B269" s="8">
        <v>195.0</v>
      </c>
      <c r="C269" s="8">
        <v>71.11111289262772</v>
      </c>
      <c r="D269" s="8">
        <v>2464.0</v>
      </c>
      <c r="E269" s="11">
        <f t="shared" si="1"/>
        <v>0.07913961039</v>
      </c>
      <c r="F269" s="11">
        <f t="shared" si="2"/>
        <v>0.3646723738</v>
      </c>
      <c r="G269" s="11">
        <f t="shared" si="3"/>
        <v>0.02886002958</v>
      </c>
      <c r="H269" s="8">
        <v>70502.0</v>
      </c>
      <c r="I269" s="8">
        <v>19.0</v>
      </c>
      <c r="J269" s="8">
        <v>6.777777940034866</v>
      </c>
      <c r="K269" s="8">
        <v>229.0</v>
      </c>
      <c r="L269" s="11">
        <f t="shared" si="4"/>
        <v>0.08296943231</v>
      </c>
      <c r="M269" s="11">
        <f t="shared" si="5"/>
        <v>0.3567251547</v>
      </c>
      <c r="N269" s="11">
        <f t="shared" si="6"/>
        <v>0.02959728358</v>
      </c>
      <c r="O269" s="18">
        <f t="shared" si="24"/>
        <v>1.02554585</v>
      </c>
      <c r="U269" s="18"/>
      <c r="V269" s="18"/>
      <c r="W269" s="18"/>
      <c r="X269" s="18"/>
    </row>
    <row r="270" ht="15.75" customHeight="1">
      <c r="A270" s="8">
        <v>70503.0</v>
      </c>
      <c r="B270" s="8">
        <v>74.0</v>
      </c>
      <c r="C270" s="8">
        <v>26.111111789941788</v>
      </c>
      <c r="D270" s="8">
        <v>1267.0</v>
      </c>
      <c r="E270" s="11">
        <f t="shared" si="1"/>
        <v>0.05840568272</v>
      </c>
      <c r="F270" s="11">
        <f t="shared" si="2"/>
        <v>0.352852862</v>
      </c>
      <c r="G270" s="11">
        <f t="shared" si="3"/>
        <v>0.0206086123</v>
      </c>
      <c r="H270" s="8">
        <v>70503.0</v>
      </c>
      <c r="I270" s="8">
        <v>2.0</v>
      </c>
      <c r="J270" s="8">
        <v>0.6666666865348816</v>
      </c>
      <c r="K270" s="8">
        <v>95.0</v>
      </c>
      <c r="L270" s="11">
        <f t="shared" si="4"/>
        <v>0.02105263158</v>
      </c>
      <c r="M270" s="11">
        <f t="shared" si="5"/>
        <v>0.3333333433</v>
      </c>
      <c r="N270" s="11">
        <f t="shared" si="6"/>
        <v>0.007017544069</v>
      </c>
      <c r="O270" s="18">
        <f t="shared" si="24"/>
        <v>0.3405151189</v>
      </c>
      <c r="U270" s="18"/>
      <c r="V270" s="18"/>
      <c r="W270" s="18"/>
      <c r="X270" s="18"/>
    </row>
    <row r="271" ht="15.75" customHeight="1">
      <c r="A271" s="8">
        <v>70601.0</v>
      </c>
      <c r="B271" s="8">
        <v>55.0</v>
      </c>
      <c r="C271" s="8">
        <v>19.000000536441803</v>
      </c>
      <c r="D271" s="8">
        <v>986.0</v>
      </c>
      <c r="E271" s="11">
        <f t="shared" si="1"/>
        <v>0.05578093306</v>
      </c>
      <c r="F271" s="11">
        <f t="shared" si="2"/>
        <v>0.3454545552</v>
      </c>
      <c r="G271" s="11">
        <f t="shared" si="3"/>
        <v>0.01926977742</v>
      </c>
      <c r="H271" s="8">
        <v>70601.0</v>
      </c>
      <c r="I271" s="8">
        <v>3.0</v>
      </c>
      <c r="J271" s="8">
        <v>1.1111111342906952</v>
      </c>
      <c r="K271" s="8">
        <v>102.0</v>
      </c>
      <c r="L271" s="11">
        <f t="shared" si="4"/>
        <v>0.02941176471</v>
      </c>
      <c r="M271" s="11">
        <f t="shared" si="5"/>
        <v>0.3703703781</v>
      </c>
      <c r="N271" s="11">
        <f t="shared" si="6"/>
        <v>0.01089324641</v>
      </c>
      <c r="O271" s="18">
        <f t="shared" si="24"/>
        <v>0.5653021401</v>
      </c>
      <c r="U271" s="18"/>
      <c r="V271" s="18"/>
      <c r="W271" s="18"/>
      <c r="X271" s="18"/>
    </row>
    <row r="272" ht="15.75" customHeight="1">
      <c r="A272" s="8">
        <v>70602.0</v>
      </c>
      <c r="B272" s="8">
        <v>187.0</v>
      </c>
      <c r="C272" s="8">
        <v>67.44444614648819</v>
      </c>
      <c r="D272" s="8">
        <v>1552.0</v>
      </c>
      <c r="E272" s="11">
        <f t="shared" si="1"/>
        <v>0.1204896907</v>
      </c>
      <c r="F272" s="11">
        <f t="shared" si="2"/>
        <v>0.3606654874</v>
      </c>
      <c r="G272" s="11">
        <f t="shared" si="3"/>
        <v>0.04345647303</v>
      </c>
      <c r="H272" s="8">
        <v>70602.0</v>
      </c>
      <c r="I272" s="8">
        <v>12.0</v>
      </c>
      <c r="J272" s="8">
        <v>4.333333432674408</v>
      </c>
      <c r="K272" s="8">
        <v>231.0</v>
      </c>
      <c r="L272" s="11">
        <f t="shared" si="4"/>
        <v>0.05194805195</v>
      </c>
      <c r="M272" s="11">
        <f t="shared" si="5"/>
        <v>0.3611111194</v>
      </c>
      <c r="N272" s="11">
        <f t="shared" si="6"/>
        <v>0.01875901919</v>
      </c>
      <c r="O272" s="18">
        <f t="shared" si="24"/>
        <v>0.4316737618</v>
      </c>
      <c r="U272" s="18"/>
      <c r="V272" s="18"/>
      <c r="W272" s="18"/>
      <c r="X272" s="18"/>
    </row>
    <row r="273" ht="15.75" customHeight="1">
      <c r="A273" s="8">
        <v>70603.0</v>
      </c>
      <c r="B273" s="8">
        <v>32.0</v>
      </c>
      <c r="C273" s="8">
        <v>11.444444715976715</v>
      </c>
      <c r="D273" s="8">
        <v>400.0</v>
      </c>
      <c r="E273" s="11">
        <f t="shared" si="1"/>
        <v>0.08</v>
      </c>
      <c r="F273" s="11">
        <f t="shared" si="2"/>
        <v>0.3576388974</v>
      </c>
      <c r="G273" s="11">
        <f t="shared" si="3"/>
        <v>0.02861111179</v>
      </c>
      <c r="H273" s="8">
        <v>70603.0</v>
      </c>
      <c r="I273" s="8">
        <v>0.0</v>
      </c>
      <c r="J273" s="8">
        <v>0.0</v>
      </c>
      <c r="K273" s="8">
        <v>32.0</v>
      </c>
      <c r="L273" s="11">
        <f t="shared" si="4"/>
        <v>0</v>
      </c>
      <c r="M273" s="11" t="str">
        <f t="shared" si="5"/>
        <v>#DIV/0!</v>
      </c>
      <c r="N273" s="11" t="str">
        <f t="shared" si="6"/>
        <v>#DIV/0!</v>
      </c>
      <c r="O273" s="18" t="s">
        <v>22</v>
      </c>
      <c r="U273" s="18"/>
      <c r="V273" s="18"/>
      <c r="W273" s="18"/>
      <c r="X273" s="18"/>
    </row>
    <row r="274" ht="15.75" customHeight="1">
      <c r="A274" s="8">
        <v>70701.0</v>
      </c>
      <c r="B274" s="8">
        <v>17.0</v>
      </c>
      <c r="C274" s="8">
        <v>6.555555731058121</v>
      </c>
      <c r="D274" s="8">
        <v>302.0</v>
      </c>
      <c r="E274" s="11">
        <f t="shared" si="1"/>
        <v>0.05629139073</v>
      </c>
      <c r="F274" s="11">
        <f t="shared" si="2"/>
        <v>0.3856209254</v>
      </c>
      <c r="G274" s="11">
        <f t="shared" si="3"/>
        <v>0.02170713818</v>
      </c>
      <c r="H274" s="8">
        <v>70701.0</v>
      </c>
      <c r="I274" s="8">
        <v>6.0</v>
      </c>
      <c r="J274" s="8">
        <v>2.0000000596046448</v>
      </c>
      <c r="K274" s="8">
        <v>72.0</v>
      </c>
      <c r="L274" s="11">
        <f t="shared" si="4"/>
        <v>0.08333333333</v>
      </c>
      <c r="M274" s="11">
        <f t="shared" si="5"/>
        <v>0.3333333433</v>
      </c>
      <c r="N274" s="11">
        <f t="shared" si="6"/>
        <v>0.02777777861</v>
      </c>
      <c r="O274" s="18">
        <f t="shared" ref="O274:O346" si="25">N274/G274</f>
        <v>1.279661021</v>
      </c>
      <c r="U274" s="18"/>
      <c r="V274" s="18"/>
      <c r="W274" s="18"/>
      <c r="X274" s="18"/>
    </row>
    <row r="275" ht="15.75" customHeight="1">
      <c r="A275" s="8">
        <v>70702.0</v>
      </c>
      <c r="B275" s="8">
        <v>75.0</v>
      </c>
      <c r="C275" s="8">
        <v>27.333333998918533</v>
      </c>
      <c r="D275" s="8">
        <v>1170.0</v>
      </c>
      <c r="E275" s="11">
        <f t="shared" si="1"/>
        <v>0.0641025641</v>
      </c>
      <c r="F275" s="11">
        <f t="shared" si="2"/>
        <v>0.3644444533</v>
      </c>
      <c r="G275" s="11">
        <f t="shared" si="3"/>
        <v>0.02336182393</v>
      </c>
      <c r="H275" s="8">
        <v>70702.0</v>
      </c>
      <c r="I275" s="8">
        <v>33.0</v>
      </c>
      <c r="J275" s="8">
        <v>13.44444477558136</v>
      </c>
      <c r="K275" s="8">
        <v>220.0</v>
      </c>
      <c r="L275" s="11">
        <f t="shared" si="4"/>
        <v>0.15</v>
      </c>
      <c r="M275" s="11">
        <f t="shared" si="5"/>
        <v>0.4074074174</v>
      </c>
      <c r="N275" s="11">
        <f t="shared" si="6"/>
        <v>0.06111111262</v>
      </c>
      <c r="O275" s="18">
        <f t="shared" si="25"/>
        <v>2.615853659</v>
      </c>
      <c r="U275" s="18"/>
      <c r="V275" s="18"/>
      <c r="W275" s="18"/>
      <c r="X275" s="18"/>
    </row>
    <row r="276" ht="15.75" customHeight="1">
      <c r="A276" s="8">
        <v>70703.0</v>
      </c>
      <c r="B276" s="8">
        <v>188.0</v>
      </c>
      <c r="C276" s="8">
        <v>67.77777948975563</v>
      </c>
      <c r="D276" s="8">
        <v>1849.0</v>
      </c>
      <c r="E276" s="11">
        <f t="shared" si="1"/>
        <v>0.1016765819</v>
      </c>
      <c r="F276" s="11">
        <f t="shared" si="2"/>
        <v>0.3605201037</v>
      </c>
      <c r="G276" s="11">
        <f t="shared" si="3"/>
        <v>0.03665645186</v>
      </c>
      <c r="H276" s="8">
        <v>70703.0</v>
      </c>
      <c r="I276" s="8">
        <v>28.0</v>
      </c>
      <c r="J276" s="8">
        <v>9.777778029441833</v>
      </c>
      <c r="K276" s="8">
        <v>278.0</v>
      </c>
      <c r="L276" s="11">
        <f t="shared" si="4"/>
        <v>0.1007194245</v>
      </c>
      <c r="M276" s="11">
        <f t="shared" si="5"/>
        <v>0.3492063582</v>
      </c>
      <c r="N276" s="11">
        <f t="shared" si="6"/>
        <v>0.03517186342</v>
      </c>
      <c r="O276" s="18">
        <f t="shared" si="25"/>
        <v>0.9594999415</v>
      </c>
      <c r="U276" s="18"/>
      <c r="V276" s="18"/>
      <c r="W276" s="18"/>
      <c r="X276" s="18"/>
    </row>
    <row r="277" ht="15.75" customHeight="1">
      <c r="A277" s="8">
        <v>70704.0</v>
      </c>
      <c r="B277" s="8">
        <v>18.0</v>
      </c>
      <c r="C277" s="8">
        <v>7.000000208616257</v>
      </c>
      <c r="D277" s="8">
        <v>399.0</v>
      </c>
      <c r="E277" s="11">
        <f t="shared" si="1"/>
        <v>0.04511278195</v>
      </c>
      <c r="F277" s="11">
        <f t="shared" si="2"/>
        <v>0.3888889005</v>
      </c>
      <c r="G277" s="11">
        <f t="shared" si="3"/>
        <v>0.01754386017</v>
      </c>
      <c r="H277" s="8">
        <v>70704.0</v>
      </c>
      <c r="I277" s="8">
        <v>5.0</v>
      </c>
      <c r="J277" s="8">
        <v>1.7777778208255768</v>
      </c>
      <c r="K277" s="8">
        <v>90.0</v>
      </c>
      <c r="L277" s="11">
        <f t="shared" si="4"/>
        <v>0.05555555556</v>
      </c>
      <c r="M277" s="11">
        <f t="shared" si="5"/>
        <v>0.3555555642</v>
      </c>
      <c r="N277" s="11">
        <f t="shared" si="6"/>
        <v>0.0197530869</v>
      </c>
      <c r="O277" s="18">
        <f t="shared" si="25"/>
        <v>1.12592592</v>
      </c>
      <c r="U277" s="18"/>
      <c r="V277" s="18"/>
      <c r="W277" s="18"/>
      <c r="X277" s="18"/>
    </row>
    <row r="278" ht="15.75" customHeight="1">
      <c r="A278" s="8">
        <v>70705.0</v>
      </c>
      <c r="B278" s="8">
        <v>35.0</v>
      </c>
      <c r="C278" s="8">
        <v>13.000000327825546</v>
      </c>
      <c r="D278" s="8">
        <v>497.0</v>
      </c>
      <c r="E278" s="11">
        <f t="shared" si="1"/>
        <v>0.07042253521</v>
      </c>
      <c r="F278" s="11">
        <f t="shared" si="2"/>
        <v>0.3714285808</v>
      </c>
      <c r="G278" s="11">
        <f t="shared" si="3"/>
        <v>0.02615694231</v>
      </c>
      <c r="H278" s="8">
        <v>70705.0</v>
      </c>
      <c r="I278" s="8">
        <v>8.0</v>
      </c>
      <c r="J278" s="8">
        <v>2.777777850627899</v>
      </c>
      <c r="K278" s="8">
        <v>105.0</v>
      </c>
      <c r="L278" s="11">
        <f t="shared" si="4"/>
        <v>0.07619047619</v>
      </c>
      <c r="M278" s="11">
        <f t="shared" si="5"/>
        <v>0.3472222313</v>
      </c>
      <c r="N278" s="11">
        <f t="shared" si="6"/>
        <v>0.02645502715</v>
      </c>
      <c r="O278" s="18">
        <f t="shared" si="25"/>
        <v>1.011396012</v>
      </c>
      <c r="U278" s="18"/>
      <c r="V278" s="18"/>
      <c r="W278" s="18"/>
      <c r="X278" s="18"/>
    </row>
    <row r="279" ht="15.75" customHeight="1">
      <c r="A279" s="8">
        <v>70706.0</v>
      </c>
      <c r="B279" s="8">
        <v>56.0</v>
      </c>
      <c r="C279" s="8">
        <v>20.66666731238365</v>
      </c>
      <c r="D279" s="8">
        <v>1663.0</v>
      </c>
      <c r="E279" s="11">
        <f t="shared" si="1"/>
        <v>0.03367408298</v>
      </c>
      <c r="F279" s="11">
        <f t="shared" si="2"/>
        <v>0.3690476306</v>
      </c>
      <c r="G279" s="11">
        <f t="shared" si="3"/>
        <v>0.01242734054</v>
      </c>
      <c r="H279" s="8">
        <v>70706.0</v>
      </c>
      <c r="I279" s="8">
        <v>14.0</v>
      </c>
      <c r="J279" s="8">
        <v>5.444444566965103</v>
      </c>
      <c r="K279" s="8">
        <v>128.0</v>
      </c>
      <c r="L279" s="11">
        <f t="shared" si="4"/>
        <v>0.109375</v>
      </c>
      <c r="M279" s="11">
        <f t="shared" si="5"/>
        <v>0.3888888976</v>
      </c>
      <c r="N279" s="11">
        <f t="shared" si="6"/>
        <v>0.04253472318</v>
      </c>
      <c r="O279" s="18">
        <f t="shared" si="25"/>
        <v>3.422673021</v>
      </c>
      <c r="U279" s="18"/>
      <c r="V279" s="18"/>
      <c r="W279" s="18"/>
      <c r="X279" s="18"/>
    </row>
    <row r="280" ht="15.75" customHeight="1">
      <c r="A280" s="8">
        <v>70707.0</v>
      </c>
      <c r="B280" s="8">
        <v>217.0</v>
      </c>
      <c r="C280" s="8">
        <v>80.44444641470909</v>
      </c>
      <c r="D280" s="8">
        <v>721.0</v>
      </c>
      <c r="E280" s="11">
        <f t="shared" si="1"/>
        <v>0.3009708738</v>
      </c>
      <c r="F280" s="11">
        <f t="shared" si="2"/>
        <v>0.3707117346</v>
      </c>
      <c r="G280" s="11">
        <f t="shared" si="3"/>
        <v>0.1115734347</v>
      </c>
      <c r="H280" s="8">
        <v>70707.0</v>
      </c>
      <c r="I280" s="8">
        <v>5.0</v>
      </c>
      <c r="J280" s="8">
        <v>1.8888889253139496</v>
      </c>
      <c r="K280" s="8">
        <v>42.0</v>
      </c>
      <c r="L280" s="11">
        <f t="shared" si="4"/>
        <v>0.119047619</v>
      </c>
      <c r="M280" s="11">
        <f t="shared" si="5"/>
        <v>0.3777777851</v>
      </c>
      <c r="N280" s="11">
        <f t="shared" si="6"/>
        <v>0.04497354584</v>
      </c>
      <c r="O280" s="18">
        <f t="shared" si="25"/>
        <v>0.4030847124</v>
      </c>
      <c r="U280" s="18"/>
      <c r="V280" s="18"/>
      <c r="W280" s="18"/>
      <c r="X280" s="18"/>
    </row>
    <row r="281" ht="15.75" customHeight="1">
      <c r="A281" s="8">
        <v>70801.0</v>
      </c>
      <c r="B281" s="8">
        <v>14.0</v>
      </c>
      <c r="C281" s="8">
        <v>4.666666805744171</v>
      </c>
      <c r="D281" s="8">
        <v>888.0</v>
      </c>
      <c r="E281" s="11">
        <f t="shared" si="1"/>
        <v>0.01576576577</v>
      </c>
      <c r="F281" s="11">
        <f t="shared" si="2"/>
        <v>0.3333333433</v>
      </c>
      <c r="G281" s="11">
        <f t="shared" si="3"/>
        <v>0.005255255412</v>
      </c>
      <c r="H281" s="8">
        <v>70801.0</v>
      </c>
      <c r="I281" s="8">
        <v>2.0</v>
      </c>
      <c r="J281" s="8">
        <v>0.7777777910232544</v>
      </c>
      <c r="K281" s="8">
        <v>87.0</v>
      </c>
      <c r="L281" s="11">
        <f t="shared" si="4"/>
        <v>0.02298850575</v>
      </c>
      <c r="M281" s="11">
        <f t="shared" si="5"/>
        <v>0.3888888955</v>
      </c>
      <c r="N281" s="11">
        <f t="shared" si="6"/>
        <v>0.008939974609</v>
      </c>
      <c r="O281" s="18">
        <f t="shared" si="25"/>
        <v>1.701149404</v>
      </c>
      <c r="U281" s="18"/>
      <c r="V281" s="18"/>
      <c r="W281" s="18"/>
      <c r="X281" s="18"/>
    </row>
    <row r="282" ht="15.75" customHeight="1">
      <c r="A282" s="8">
        <v>70802.0</v>
      </c>
      <c r="B282" s="8">
        <v>4.0</v>
      </c>
      <c r="C282" s="8">
        <v>1.444444477558136</v>
      </c>
      <c r="D282" s="8">
        <v>162.0</v>
      </c>
      <c r="E282" s="11">
        <f t="shared" si="1"/>
        <v>0.02469135802</v>
      </c>
      <c r="F282" s="11">
        <f t="shared" si="2"/>
        <v>0.3611111194</v>
      </c>
      <c r="G282" s="11">
        <f t="shared" si="3"/>
        <v>0.008916323936</v>
      </c>
      <c r="H282" s="8">
        <v>70802.0</v>
      </c>
      <c r="I282" s="8">
        <v>2.0</v>
      </c>
      <c r="J282" s="8">
        <v>0.8888888955116272</v>
      </c>
      <c r="K282" s="8">
        <v>21.0</v>
      </c>
      <c r="L282" s="11">
        <f t="shared" si="4"/>
        <v>0.09523809524</v>
      </c>
      <c r="M282" s="11">
        <f t="shared" si="5"/>
        <v>0.4444444478</v>
      </c>
      <c r="N282" s="11">
        <f t="shared" si="6"/>
        <v>0.04232804264</v>
      </c>
      <c r="O282" s="18">
        <f t="shared" si="25"/>
        <v>4.747252674</v>
      </c>
      <c r="U282" s="18"/>
      <c r="V282" s="18"/>
      <c r="W282" s="18"/>
      <c r="X282" s="18"/>
    </row>
    <row r="283" ht="15.75" customHeight="1">
      <c r="A283" s="8">
        <v>70803.0</v>
      </c>
      <c r="B283" s="8">
        <v>19.0</v>
      </c>
      <c r="C283" s="8">
        <v>6.6666668355464935</v>
      </c>
      <c r="D283" s="8">
        <v>146.0</v>
      </c>
      <c r="E283" s="11">
        <f t="shared" si="1"/>
        <v>0.1301369863</v>
      </c>
      <c r="F283" s="11">
        <f t="shared" si="2"/>
        <v>0.3508772019</v>
      </c>
      <c r="G283" s="11">
        <f t="shared" si="3"/>
        <v>0.04566210161</v>
      </c>
      <c r="H283" s="8">
        <v>70803.0</v>
      </c>
      <c r="I283" s="8">
        <v>2.0</v>
      </c>
      <c r="J283" s="8">
        <v>0.7777777910232544</v>
      </c>
      <c r="K283" s="8">
        <v>19.0</v>
      </c>
      <c r="L283" s="11">
        <f t="shared" si="4"/>
        <v>0.1052631579</v>
      </c>
      <c r="M283" s="11">
        <f t="shared" si="5"/>
        <v>0.3888888955</v>
      </c>
      <c r="N283" s="11">
        <f t="shared" si="6"/>
        <v>0.04093567321</v>
      </c>
      <c r="O283" s="18">
        <f t="shared" si="25"/>
        <v>0.8964912206</v>
      </c>
      <c r="U283" s="18"/>
      <c r="V283" s="18"/>
      <c r="W283" s="18"/>
      <c r="X283" s="18"/>
    </row>
    <row r="284" ht="15.75" customHeight="1">
      <c r="A284" s="8">
        <v>70804.0</v>
      </c>
      <c r="B284" s="8">
        <v>13.0</v>
      </c>
      <c r="C284" s="8">
        <v>6.000000178813934</v>
      </c>
      <c r="D284" s="8">
        <v>110.0</v>
      </c>
      <c r="E284" s="11">
        <f t="shared" si="1"/>
        <v>0.1181818182</v>
      </c>
      <c r="F284" s="11">
        <f t="shared" si="2"/>
        <v>0.4615384753</v>
      </c>
      <c r="G284" s="11">
        <f t="shared" si="3"/>
        <v>0.05454545617</v>
      </c>
      <c r="H284" s="8">
        <v>70804.0</v>
      </c>
      <c r="I284" s="8">
        <v>7.0</v>
      </c>
      <c r="J284" s="8">
        <v>2.666666716337204</v>
      </c>
      <c r="K284" s="8">
        <v>34.0</v>
      </c>
      <c r="L284" s="11">
        <f t="shared" si="4"/>
        <v>0.2058823529</v>
      </c>
      <c r="M284" s="11">
        <f t="shared" si="5"/>
        <v>0.380952388</v>
      </c>
      <c r="N284" s="11">
        <f t="shared" si="6"/>
        <v>0.07843137401</v>
      </c>
      <c r="O284" s="18">
        <f t="shared" si="25"/>
        <v>1.437908481</v>
      </c>
      <c r="U284" s="18"/>
      <c r="V284" s="18"/>
      <c r="W284" s="18"/>
      <c r="X284" s="18"/>
    </row>
    <row r="285" ht="15.75" customHeight="1">
      <c r="A285" s="8">
        <v>70805.0</v>
      </c>
      <c r="B285" s="8">
        <v>7.0</v>
      </c>
      <c r="C285" s="8">
        <v>2.4444445073604584</v>
      </c>
      <c r="D285" s="8">
        <v>71.0</v>
      </c>
      <c r="E285" s="11">
        <f t="shared" si="1"/>
        <v>0.0985915493</v>
      </c>
      <c r="F285" s="11">
        <f t="shared" si="2"/>
        <v>0.3492063582</v>
      </c>
      <c r="G285" s="11">
        <f t="shared" si="3"/>
        <v>0.03442879588</v>
      </c>
      <c r="H285" s="8">
        <v>70805.0</v>
      </c>
      <c r="I285" s="8">
        <v>3.0</v>
      </c>
      <c r="J285" s="8">
        <v>1.0000000298023224</v>
      </c>
      <c r="K285" s="8">
        <v>25.0</v>
      </c>
      <c r="L285" s="11">
        <f t="shared" si="4"/>
        <v>0.12</v>
      </c>
      <c r="M285" s="11">
        <f t="shared" si="5"/>
        <v>0.3333333433</v>
      </c>
      <c r="N285" s="11">
        <f t="shared" si="6"/>
        <v>0.04000000119</v>
      </c>
      <c r="O285" s="18">
        <f t="shared" si="25"/>
        <v>1.161818187</v>
      </c>
      <c r="U285" s="18"/>
      <c r="V285" s="18"/>
      <c r="W285" s="18"/>
      <c r="X285" s="18"/>
    </row>
    <row r="286" ht="15.75" customHeight="1">
      <c r="A286" s="8">
        <v>70901.0</v>
      </c>
      <c r="B286" s="8">
        <v>57.0</v>
      </c>
      <c r="C286" s="8">
        <v>20.77777823805809</v>
      </c>
      <c r="D286" s="8">
        <v>1027.0</v>
      </c>
      <c r="E286" s="11">
        <f t="shared" si="1"/>
        <v>0.05550146056</v>
      </c>
      <c r="F286" s="11">
        <f t="shared" si="2"/>
        <v>0.3645224252</v>
      </c>
      <c r="G286" s="11">
        <f t="shared" si="3"/>
        <v>0.02023152701</v>
      </c>
      <c r="H286" s="8">
        <v>70901.0</v>
      </c>
      <c r="I286" s="8">
        <v>15.0</v>
      </c>
      <c r="J286" s="8">
        <v>5.666666775941849</v>
      </c>
      <c r="K286" s="8">
        <v>163.0</v>
      </c>
      <c r="L286" s="11">
        <f t="shared" si="4"/>
        <v>0.09202453988</v>
      </c>
      <c r="M286" s="11">
        <f t="shared" si="5"/>
        <v>0.3777777851</v>
      </c>
      <c r="N286" s="11">
        <f t="shared" si="6"/>
        <v>0.03476482685</v>
      </c>
      <c r="O286" s="18">
        <f t="shared" si="25"/>
        <v>1.718349131</v>
      </c>
      <c r="U286" s="18"/>
      <c r="V286" s="18"/>
      <c r="W286" s="18"/>
      <c r="X286" s="18"/>
    </row>
    <row r="287" ht="15.75" customHeight="1">
      <c r="A287" s="8">
        <v>70902.0</v>
      </c>
      <c r="B287" s="8">
        <v>51.0</v>
      </c>
      <c r="C287" s="8">
        <v>18.555555999279022</v>
      </c>
      <c r="D287" s="8">
        <v>813.0</v>
      </c>
      <c r="E287" s="11">
        <f t="shared" si="1"/>
        <v>0.06273062731</v>
      </c>
      <c r="F287" s="11">
        <f t="shared" si="2"/>
        <v>0.3638344314</v>
      </c>
      <c r="G287" s="11">
        <f t="shared" si="3"/>
        <v>0.02282356211</v>
      </c>
      <c r="H287" s="8">
        <v>70902.0</v>
      </c>
      <c r="I287" s="8">
        <v>5.0</v>
      </c>
      <c r="J287" s="8">
        <v>1.888888955116272</v>
      </c>
      <c r="K287" s="8">
        <v>93.0</v>
      </c>
      <c r="L287" s="11">
        <f t="shared" si="4"/>
        <v>0.05376344086</v>
      </c>
      <c r="M287" s="11">
        <f t="shared" si="5"/>
        <v>0.377777791</v>
      </c>
      <c r="N287" s="11">
        <f t="shared" si="6"/>
        <v>0.02031063393</v>
      </c>
      <c r="O287" s="18">
        <f t="shared" si="25"/>
        <v>0.889897634</v>
      </c>
      <c r="U287" s="18"/>
      <c r="V287" s="18"/>
      <c r="W287" s="18"/>
      <c r="X287" s="18"/>
    </row>
    <row r="288" ht="15.75" customHeight="1">
      <c r="A288" s="8">
        <v>70903.0</v>
      </c>
      <c r="B288" s="8">
        <v>125.0</v>
      </c>
      <c r="C288" s="8">
        <v>48.555556923151016</v>
      </c>
      <c r="D288" s="8">
        <v>1093.0</v>
      </c>
      <c r="E288" s="11">
        <f t="shared" si="1"/>
        <v>0.1143641354</v>
      </c>
      <c r="F288" s="11">
        <f t="shared" si="2"/>
        <v>0.3884444554</v>
      </c>
      <c r="G288" s="11">
        <f t="shared" si="3"/>
        <v>0.04442411429</v>
      </c>
      <c r="H288" s="8">
        <v>70903.0</v>
      </c>
      <c r="I288" s="8">
        <v>4.0</v>
      </c>
      <c r="J288" s="8">
        <v>1.444444477558136</v>
      </c>
      <c r="K288" s="8">
        <v>92.0</v>
      </c>
      <c r="L288" s="11">
        <f t="shared" si="4"/>
        <v>0.04347826087</v>
      </c>
      <c r="M288" s="11">
        <f t="shared" si="5"/>
        <v>0.3611111194</v>
      </c>
      <c r="N288" s="11">
        <f t="shared" si="6"/>
        <v>0.01570048345</v>
      </c>
      <c r="O288" s="18">
        <f t="shared" si="25"/>
        <v>0.3534225432</v>
      </c>
      <c r="U288" s="18"/>
      <c r="V288" s="18"/>
      <c r="W288" s="18"/>
      <c r="X288" s="18"/>
    </row>
    <row r="289" ht="15.75" customHeight="1">
      <c r="A289" s="8">
        <v>70904.0</v>
      </c>
      <c r="B289" s="8">
        <v>36.0</v>
      </c>
      <c r="C289" s="8">
        <v>13.777778178453445</v>
      </c>
      <c r="D289" s="8">
        <v>343.0</v>
      </c>
      <c r="E289" s="11">
        <f t="shared" si="1"/>
        <v>0.1049562682</v>
      </c>
      <c r="F289" s="11">
        <f t="shared" si="2"/>
        <v>0.3827160605</v>
      </c>
      <c r="G289" s="11">
        <f t="shared" si="3"/>
        <v>0.0401684495</v>
      </c>
      <c r="H289" s="8">
        <v>70904.0</v>
      </c>
      <c r="I289" s="8">
        <v>2.0</v>
      </c>
      <c r="J289" s="8">
        <v>0.6666666865348816</v>
      </c>
      <c r="K289" s="8">
        <v>24.0</v>
      </c>
      <c r="L289" s="11">
        <f t="shared" si="4"/>
        <v>0.08333333333</v>
      </c>
      <c r="M289" s="11">
        <f t="shared" si="5"/>
        <v>0.3333333433</v>
      </c>
      <c r="N289" s="11">
        <f t="shared" si="6"/>
        <v>0.02777777861</v>
      </c>
      <c r="O289" s="18">
        <f t="shared" si="25"/>
        <v>0.6915322586</v>
      </c>
      <c r="U289" s="18"/>
      <c r="V289" s="18"/>
      <c r="W289" s="18"/>
      <c r="X289" s="18"/>
    </row>
    <row r="290" ht="15.75" customHeight="1">
      <c r="A290" s="8">
        <v>71001.0</v>
      </c>
      <c r="B290" s="8">
        <v>287.0</v>
      </c>
      <c r="C290" s="8">
        <v>106.44444692134857</v>
      </c>
      <c r="D290" s="8">
        <v>4887.0</v>
      </c>
      <c r="E290" s="11">
        <f t="shared" si="1"/>
        <v>0.05872723552</v>
      </c>
      <c r="F290" s="11">
        <f t="shared" si="2"/>
        <v>0.3708865746</v>
      </c>
      <c r="G290" s="11">
        <f t="shared" si="3"/>
        <v>0.02178114322</v>
      </c>
      <c r="H290" s="8">
        <v>71001.0</v>
      </c>
      <c r="I290" s="8">
        <v>23.0</v>
      </c>
      <c r="J290" s="8">
        <v>8.000000208616257</v>
      </c>
      <c r="K290" s="8">
        <v>364.0</v>
      </c>
      <c r="L290" s="11">
        <f t="shared" si="4"/>
        <v>0.06318681319</v>
      </c>
      <c r="M290" s="11">
        <f t="shared" si="5"/>
        <v>0.347826096</v>
      </c>
      <c r="N290" s="11">
        <f t="shared" si="6"/>
        <v>0.02197802255</v>
      </c>
      <c r="O290" s="18">
        <f t="shared" si="25"/>
        <v>1.009038981</v>
      </c>
      <c r="U290" s="18"/>
      <c r="V290" s="18"/>
      <c r="W290" s="18"/>
      <c r="X290" s="18"/>
    </row>
    <row r="291" ht="15.75" customHeight="1">
      <c r="A291" s="8">
        <v>71002.0</v>
      </c>
      <c r="B291" s="8">
        <v>89.0</v>
      </c>
      <c r="C291" s="8">
        <v>32.000000804662704</v>
      </c>
      <c r="D291" s="8">
        <v>1190.0</v>
      </c>
      <c r="E291" s="11">
        <f t="shared" si="1"/>
        <v>0.07478991597</v>
      </c>
      <c r="F291" s="11">
        <f t="shared" si="2"/>
        <v>0.3595505708</v>
      </c>
      <c r="G291" s="11">
        <f t="shared" si="3"/>
        <v>0.02689075698</v>
      </c>
      <c r="H291" s="8">
        <v>71002.0</v>
      </c>
      <c r="I291" s="8">
        <v>25.0</v>
      </c>
      <c r="J291" s="8">
        <v>8.666666895151138</v>
      </c>
      <c r="K291" s="8">
        <v>202.0</v>
      </c>
      <c r="L291" s="11">
        <f t="shared" si="4"/>
        <v>0.1237623762</v>
      </c>
      <c r="M291" s="11">
        <f t="shared" si="5"/>
        <v>0.3466666758</v>
      </c>
      <c r="N291" s="11">
        <f t="shared" si="6"/>
        <v>0.04290429156</v>
      </c>
      <c r="O291" s="18">
        <f t="shared" si="25"/>
        <v>1.595503302</v>
      </c>
      <c r="U291" s="18"/>
      <c r="V291" s="18"/>
      <c r="W291" s="18"/>
      <c r="X291" s="18"/>
    </row>
    <row r="292" ht="15.75" customHeight="1">
      <c r="A292" s="8">
        <v>71003.0</v>
      </c>
      <c r="B292" s="8">
        <v>81.0</v>
      </c>
      <c r="C292" s="8">
        <v>31.22222313284874</v>
      </c>
      <c r="D292" s="8">
        <v>1026.0</v>
      </c>
      <c r="E292" s="11">
        <f t="shared" si="1"/>
        <v>0.07894736842</v>
      </c>
      <c r="F292" s="11">
        <f t="shared" si="2"/>
        <v>0.3854595448</v>
      </c>
      <c r="G292" s="11">
        <f t="shared" si="3"/>
        <v>0.0304310167</v>
      </c>
      <c r="H292" s="8">
        <v>71003.0</v>
      </c>
      <c r="I292" s="8">
        <v>15.0</v>
      </c>
      <c r="J292" s="8">
        <v>5.111111253499985</v>
      </c>
      <c r="K292" s="8">
        <v>71.0</v>
      </c>
      <c r="L292" s="11">
        <f t="shared" si="4"/>
        <v>0.2112676056</v>
      </c>
      <c r="M292" s="11">
        <f t="shared" si="5"/>
        <v>0.3407407502</v>
      </c>
      <c r="N292" s="11">
        <f t="shared" si="6"/>
        <v>0.07198748244</v>
      </c>
      <c r="O292" s="18">
        <f t="shared" si="25"/>
        <v>2.365595706</v>
      </c>
      <c r="U292" s="18"/>
      <c r="V292" s="18"/>
      <c r="W292" s="18"/>
      <c r="X292" s="18"/>
    </row>
    <row r="293" ht="15.75" customHeight="1">
      <c r="A293" s="8">
        <v>71004.0</v>
      </c>
      <c r="B293" s="8">
        <v>86.0</v>
      </c>
      <c r="C293" s="8">
        <v>33.22222316265106</v>
      </c>
      <c r="D293" s="8">
        <v>815.0</v>
      </c>
      <c r="E293" s="11">
        <f t="shared" si="1"/>
        <v>0.1055214724</v>
      </c>
      <c r="F293" s="11">
        <f t="shared" si="2"/>
        <v>0.3863049205</v>
      </c>
      <c r="G293" s="11">
        <f t="shared" si="3"/>
        <v>0.040763464</v>
      </c>
      <c r="H293" s="8">
        <v>71004.0</v>
      </c>
      <c r="I293" s="8">
        <v>2.0</v>
      </c>
      <c r="J293" s="8">
        <v>0.6666666865348816</v>
      </c>
      <c r="K293" s="8">
        <v>102.0</v>
      </c>
      <c r="L293" s="11">
        <f t="shared" si="4"/>
        <v>0.01960784314</v>
      </c>
      <c r="M293" s="11">
        <f t="shared" si="5"/>
        <v>0.3333333433</v>
      </c>
      <c r="N293" s="11">
        <f t="shared" si="6"/>
        <v>0.006535947907</v>
      </c>
      <c r="O293" s="18">
        <f t="shared" si="25"/>
        <v>0.1603383831</v>
      </c>
      <c r="U293" s="18"/>
      <c r="V293" s="18"/>
      <c r="W293" s="18"/>
      <c r="X293" s="18"/>
    </row>
    <row r="294" ht="15.75" customHeight="1">
      <c r="A294" s="8">
        <v>71005.0</v>
      </c>
      <c r="B294" s="8">
        <v>57.0</v>
      </c>
      <c r="C294" s="8">
        <v>20.666667193174362</v>
      </c>
      <c r="D294" s="8">
        <v>824.0</v>
      </c>
      <c r="E294" s="11">
        <f t="shared" si="1"/>
        <v>0.06917475728</v>
      </c>
      <c r="F294" s="11">
        <f t="shared" si="2"/>
        <v>0.3625731087</v>
      </c>
      <c r="G294" s="11">
        <f t="shared" si="3"/>
        <v>0.02508090679</v>
      </c>
      <c r="H294" s="8">
        <v>71005.0</v>
      </c>
      <c r="I294" s="8">
        <v>9.0</v>
      </c>
      <c r="J294" s="8">
        <v>3.555555611848831</v>
      </c>
      <c r="K294" s="8">
        <v>184.0</v>
      </c>
      <c r="L294" s="11">
        <f t="shared" si="4"/>
        <v>0.04891304348</v>
      </c>
      <c r="M294" s="11">
        <f t="shared" si="5"/>
        <v>0.3950617346</v>
      </c>
      <c r="N294" s="11">
        <f t="shared" si="6"/>
        <v>0.0193236718</v>
      </c>
      <c r="O294" s="18">
        <f t="shared" si="25"/>
        <v>0.7704534755</v>
      </c>
      <c r="U294" s="18"/>
      <c r="V294" s="18"/>
      <c r="W294" s="18"/>
      <c r="X294" s="18"/>
    </row>
    <row r="295" ht="15.75" customHeight="1">
      <c r="A295" s="8">
        <v>71101.0</v>
      </c>
      <c r="B295" s="8">
        <v>383.0</v>
      </c>
      <c r="C295" s="8">
        <v>141.44444799423218</v>
      </c>
      <c r="D295" s="8">
        <v>2913.0</v>
      </c>
      <c r="E295" s="11">
        <f t="shared" si="1"/>
        <v>0.1314795743</v>
      </c>
      <c r="F295" s="11">
        <f t="shared" si="2"/>
        <v>0.3693066527</v>
      </c>
      <c r="G295" s="11">
        <f t="shared" si="3"/>
        <v>0.04855628149</v>
      </c>
      <c r="H295" s="8">
        <v>71101.0</v>
      </c>
      <c r="I295" s="8">
        <v>69.0</v>
      </c>
      <c r="J295" s="8">
        <v>25.44444501399994</v>
      </c>
      <c r="K295" s="8">
        <v>349.0</v>
      </c>
      <c r="L295" s="11">
        <f t="shared" si="4"/>
        <v>0.1977077364</v>
      </c>
      <c r="M295" s="11">
        <f t="shared" si="5"/>
        <v>0.3687600727</v>
      </c>
      <c r="N295" s="11">
        <f t="shared" si="6"/>
        <v>0.07290671924</v>
      </c>
      <c r="O295" s="18">
        <f t="shared" si="25"/>
        <v>1.501488932</v>
      </c>
      <c r="U295" s="18"/>
      <c r="V295" s="18"/>
      <c r="W295" s="18"/>
      <c r="X295" s="18"/>
    </row>
    <row r="296" ht="15.75" customHeight="1">
      <c r="A296" s="8">
        <v>71102.0</v>
      </c>
      <c r="B296" s="8">
        <v>56.0</v>
      </c>
      <c r="C296" s="8">
        <v>20.555556178092957</v>
      </c>
      <c r="D296" s="8">
        <v>762.0</v>
      </c>
      <c r="E296" s="11">
        <f t="shared" si="1"/>
        <v>0.07349081365</v>
      </c>
      <c r="F296" s="11">
        <f t="shared" si="2"/>
        <v>0.3670635032</v>
      </c>
      <c r="G296" s="11">
        <f t="shared" si="3"/>
        <v>0.02697579551</v>
      </c>
      <c r="H296" s="8">
        <v>71102.0</v>
      </c>
      <c r="I296" s="8">
        <v>6.0</v>
      </c>
      <c r="J296" s="8">
        <v>2.3333334028720856</v>
      </c>
      <c r="K296" s="8">
        <v>63.0</v>
      </c>
      <c r="L296" s="11">
        <f t="shared" si="4"/>
        <v>0.09523809524</v>
      </c>
      <c r="M296" s="11">
        <f t="shared" si="5"/>
        <v>0.3888889005</v>
      </c>
      <c r="N296" s="11">
        <f t="shared" si="6"/>
        <v>0.03703703814</v>
      </c>
      <c r="O296" s="18">
        <f t="shared" si="25"/>
        <v>1.372972972</v>
      </c>
      <c r="U296" s="18"/>
      <c r="V296" s="18"/>
      <c r="W296" s="18"/>
      <c r="X296" s="18"/>
    </row>
    <row r="297" ht="15.75" customHeight="1">
      <c r="A297" s="8">
        <v>71103.0</v>
      </c>
      <c r="B297" s="8">
        <v>67.0</v>
      </c>
      <c r="C297" s="8">
        <v>24.555556297302246</v>
      </c>
      <c r="D297" s="8">
        <v>719.0</v>
      </c>
      <c r="E297" s="11">
        <f t="shared" si="1"/>
        <v>0.09318497914</v>
      </c>
      <c r="F297" s="11">
        <f t="shared" si="2"/>
        <v>0.3665008403</v>
      </c>
      <c r="G297" s="11">
        <f t="shared" si="3"/>
        <v>0.03415237315</v>
      </c>
      <c r="H297" s="8">
        <v>71103.0</v>
      </c>
      <c r="I297" s="8">
        <v>11.0</v>
      </c>
      <c r="J297" s="8">
        <v>3.7777778804302216</v>
      </c>
      <c r="K297" s="8">
        <v>63.0</v>
      </c>
      <c r="L297" s="11">
        <f t="shared" si="4"/>
        <v>0.1746031746</v>
      </c>
      <c r="M297" s="11">
        <f t="shared" si="5"/>
        <v>0.3434343528</v>
      </c>
      <c r="N297" s="11">
        <f t="shared" si="6"/>
        <v>0.05996472826</v>
      </c>
      <c r="O297" s="18">
        <f t="shared" si="25"/>
        <v>1.75579975</v>
      </c>
      <c r="U297" s="18"/>
      <c r="V297" s="18"/>
      <c r="W297" s="18"/>
      <c r="X297" s="18"/>
    </row>
    <row r="298" ht="15.75" customHeight="1">
      <c r="A298" s="8">
        <v>71104.0</v>
      </c>
      <c r="B298" s="8">
        <v>135.0</v>
      </c>
      <c r="C298" s="8">
        <v>49.55555686354637</v>
      </c>
      <c r="D298" s="8">
        <v>2962.0</v>
      </c>
      <c r="E298" s="11">
        <f t="shared" si="1"/>
        <v>0.04557731263</v>
      </c>
      <c r="F298" s="11">
        <f t="shared" si="2"/>
        <v>0.367078199</v>
      </c>
      <c r="G298" s="11">
        <f t="shared" si="3"/>
        <v>0.01673043783</v>
      </c>
      <c r="H298" s="8">
        <v>71104.0</v>
      </c>
      <c r="I298" s="8">
        <v>30.0</v>
      </c>
      <c r="J298" s="8">
        <v>11.000000238418579</v>
      </c>
      <c r="K298" s="8">
        <v>340.0</v>
      </c>
      <c r="L298" s="11">
        <f t="shared" si="4"/>
        <v>0.08823529412</v>
      </c>
      <c r="M298" s="11">
        <f t="shared" si="5"/>
        <v>0.3666666746</v>
      </c>
      <c r="N298" s="11">
        <f t="shared" si="6"/>
        <v>0.03235294188</v>
      </c>
      <c r="O298" s="18">
        <f t="shared" si="25"/>
        <v>1.933777358</v>
      </c>
      <c r="U298" s="18"/>
      <c r="V298" s="18"/>
      <c r="W298" s="18"/>
      <c r="X298" s="18"/>
    </row>
    <row r="299" ht="15.75" customHeight="1">
      <c r="A299" s="8">
        <v>71105.0</v>
      </c>
      <c r="B299" s="8">
        <v>28.0</v>
      </c>
      <c r="C299" s="8">
        <v>9.444444715976715</v>
      </c>
      <c r="D299" s="8">
        <v>310.0</v>
      </c>
      <c r="E299" s="11">
        <f t="shared" si="1"/>
        <v>0.09032258065</v>
      </c>
      <c r="F299" s="11">
        <f t="shared" si="2"/>
        <v>0.337301597</v>
      </c>
      <c r="G299" s="11">
        <f t="shared" si="3"/>
        <v>0.0304659507</v>
      </c>
      <c r="H299" s="8">
        <v>71105.0</v>
      </c>
      <c r="I299" s="8">
        <v>11.0</v>
      </c>
      <c r="J299" s="8">
        <v>3.6666667759418488</v>
      </c>
      <c r="K299" s="8">
        <v>59.0</v>
      </c>
      <c r="L299" s="11">
        <f t="shared" si="4"/>
        <v>0.186440678</v>
      </c>
      <c r="M299" s="11">
        <f t="shared" si="5"/>
        <v>0.3333333433</v>
      </c>
      <c r="N299" s="11">
        <f t="shared" si="6"/>
        <v>0.06214689451</v>
      </c>
      <c r="O299" s="18">
        <f t="shared" si="25"/>
        <v>2.039880361</v>
      </c>
      <c r="U299" s="18"/>
      <c r="V299" s="18"/>
      <c r="W299" s="18"/>
      <c r="X299" s="18"/>
    </row>
    <row r="300" ht="15.75" customHeight="1">
      <c r="A300" s="8">
        <v>71106.0</v>
      </c>
      <c r="B300" s="8">
        <v>64.0</v>
      </c>
      <c r="C300" s="8">
        <v>24.00000062584877</v>
      </c>
      <c r="D300" s="8">
        <v>1440.0</v>
      </c>
      <c r="E300" s="11">
        <f t="shared" si="1"/>
        <v>0.04444444444</v>
      </c>
      <c r="F300" s="11">
        <f t="shared" si="2"/>
        <v>0.3750000098</v>
      </c>
      <c r="G300" s="11">
        <f t="shared" si="3"/>
        <v>0.0166666671</v>
      </c>
      <c r="H300" s="8">
        <v>71106.0</v>
      </c>
      <c r="I300" s="8">
        <v>12.0</v>
      </c>
      <c r="J300" s="8">
        <v>4.888889014720917</v>
      </c>
      <c r="K300" s="8">
        <v>163.0</v>
      </c>
      <c r="L300" s="11">
        <f t="shared" si="4"/>
        <v>0.0736196319</v>
      </c>
      <c r="M300" s="11">
        <f t="shared" si="5"/>
        <v>0.4074074179</v>
      </c>
      <c r="N300" s="11">
        <f t="shared" si="6"/>
        <v>0.02999318414</v>
      </c>
      <c r="O300" s="18">
        <f t="shared" si="25"/>
        <v>1.799591001</v>
      </c>
      <c r="U300" s="18"/>
      <c r="V300" s="18"/>
      <c r="W300" s="18"/>
      <c r="X300" s="18"/>
    </row>
    <row r="301" ht="15.75" customHeight="1">
      <c r="A301" s="8">
        <v>71201.0</v>
      </c>
      <c r="B301" s="8">
        <v>48.0</v>
      </c>
      <c r="C301" s="8">
        <v>17.111111521720886</v>
      </c>
      <c r="D301" s="8">
        <v>572.0</v>
      </c>
      <c r="E301" s="11">
        <f t="shared" si="1"/>
        <v>0.08391608392</v>
      </c>
      <c r="F301" s="11">
        <f t="shared" si="2"/>
        <v>0.35648149</v>
      </c>
      <c r="G301" s="11">
        <f t="shared" si="3"/>
        <v>0.02991453063</v>
      </c>
      <c r="H301" s="8">
        <v>71201.0</v>
      </c>
      <c r="I301" s="8">
        <v>5.0</v>
      </c>
      <c r="J301" s="8">
        <v>1.7777778208255768</v>
      </c>
      <c r="K301" s="8">
        <v>92.0</v>
      </c>
      <c r="L301" s="11">
        <f t="shared" si="4"/>
        <v>0.05434782609</v>
      </c>
      <c r="M301" s="11">
        <f t="shared" si="5"/>
        <v>0.3555555642</v>
      </c>
      <c r="N301" s="11">
        <f t="shared" si="6"/>
        <v>0.01932367197</v>
      </c>
      <c r="O301" s="18">
        <f t="shared" si="25"/>
        <v>0.6459627331</v>
      </c>
      <c r="U301" s="18"/>
      <c r="V301" s="18"/>
      <c r="W301" s="18"/>
      <c r="X301" s="18"/>
    </row>
    <row r="302" ht="15.75" customHeight="1">
      <c r="A302" s="8">
        <v>71301.0</v>
      </c>
      <c r="B302" s="8">
        <v>73.0</v>
      </c>
      <c r="C302" s="8">
        <v>27.222223073244095</v>
      </c>
      <c r="D302" s="8">
        <v>950.0</v>
      </c>
      <c r="E302" s="11">
        <f t="shared" si="1"/>
        <v>0.07684210526</v>
      </c>
      <c r="F302" s="11">
        <f t="shared" si="2"/>
        <v>0.3729071654</v>
      </c>
      <c r="G302" s="11">
        <f t="shared" si="3"/>
        <v>0.02865497166</v>
      </c>
      <c r="H302" s="8">
        <v>71301.0</v>
      </c>
      <c r="I302" s="8">
        <v>6.0</v>
      </c>
      <c r="J302" s="8">
        <v>2.2222222685813904</v>
      </c>
      <c r="K302" s="8">
        <v>105.0</v>
      </c>
      <c r="L302" s="11">
        <f t="shared" si="4"/>
        <v>0.05714285714</v>
      </c>
      <c r="M302" s="11">
        <f t="shared" si="5"/>
        <v>0.3703703781</v>
      </c>
      <c r="N302" s="11">
        <f t="shared" si="6"/>
        <v>0.02116402161</v>
      </c>
      <c r="O302" s="18">
        <f t="shared" si="25"/>
        <v>0.7385811391</v>
      </c>
      <c r="U302" s="18"/>
      <c r="V302" s="18"/>
      <c r="W302" s="18"/>
      <c r="X302" s="18"/>
    </row>
    <row r="303" ht="15.75" customHeight="1">
      <c r="A303" s="8">
        <v>71302.0</v>
      </c>
      <c r="B303" s="8">
        <v>21.0</v>
      </c>
      <c r="C303" s="8">
        <v>7.444444626569748</v>
      </c>
      <c r="D303" s="8">
        <v>478.0</v>
      </c>
      <c r="E303" s="11">
        <f t="shared" si="1"/>
        <v>0.04393305439</v>
      </c>
      <c r="F303" s="11">
        <f t="shared" si="2"/>
        <v>0.3544973632</v>
      </c>
      <c r="G303" s="11">
        <f t="shared" si="3"/>
        <v>0.01557415194</v>
      </c>
      <c r="H303" s="8">
        <v>71302.0</v>
      </c>
      <c r="I303" s="8">
        <v>8.0</v>
      </c>
      <c r="J303" s="8">
        <v>2.777777850627899</v>
      </c>
      <c r="K303" s="8">
        <v>73.0</v>
      </c>
      <c r="L303" s="11">
        <f t="shared" si="4"/>
        <v>0.1095890411</v>
      </c>
      <c r="M303" s="11">
        <f t="shared" si="5"/>
        <v>0.3472222313</v>
      </c>
      <c r="N303" s="11">
        <f t="shared" si="6"/>
        <v>0.03805175138</v>
      </c>
      <c r="O303" s="18">
        <f t="shared" si="25"/>
        <v>2.443263141</v>
      </c>
      <c r="U303" s="18"/>
      <c r="V303" s="18"/>
      <c r="W303" s="18"/>
      <c r="X303" s="18"/>
    </row>
    <row r="304" ht="15.75" customHeight="1">
      <c r="A304" s="8">
        <v>71401.0</v>
      </c>
      <c r="B304" s="8">
        <v>63.0</v>
      </c>
      <c r="C304" s="8">
        <v>23.333333879709244</v>
      </c>
      <c r="D304" s="8">
        <v>866.0</v>
      </c>
      <c r="E304" s="11">
        <f t="shared" si="1"/>
        <v>0.0727482679</v>
      </c>
      <c r="F304" s="11">
        <f t="shared" si="2"/>
        <v>0.370370379</v>
      </c>
      <c r="G304" s="11">
        <f t="shared" si="3"/>
        <v>0.02694380356</v>
      </c>
      <c r="H304" s="8">
        <v>71401.0</v>
      </c>
      <c r="I304" s="8">
        <v>3.0</v>
      </c>
      <c r="J304" s="8">
        <v>1.0000000298023224</v>
      </c>
      <c r="K304" s="8">
        <v>86.0</v>
      </c>
      <c r="L304" s="11">
        <f t="shared" si="4"/>
        <v>0.03488372093</v>
      </c>
      <c r="M304" s="11">
        <f t="shared" si="5"/>
        <v>0.3333333433</v>
      </c>
      <c r="N304" s="11">
        <f t="shared" si="6"/>
        <v>0.01162790732</v>
      </c>
      <c r="O304" s="18">
        <f t="shared" si="25"/>
        <v>0.4315614646</v>
      </c>
      <c r="U304" s="18"/>
      <c r="V304" s="18"/>
      <c r="W304" s="18"/>
      <c r="X304" s="18"/>
    </row>
    <row r="305" ht="15.75" customHeight="1">
      <c r="A305" s="8">
        <v>71402.0</v>
      </c>
      <c r="B305" s="8">
        <v>63.0</v>
      </c>
      <c r="C305" s="8">
        <v>22.11111170053482</v>
      </c>
      <c r="D305" s="8">
        <v>1102.0</v>
      </c>
      <c r="E305" s="11">
        <f t="shared" si="1"/>
        <v>0.05716878403</v>
      </c>
      <c r="F305" s="11">
        <f t="shared" si="2"/>
        <v>0.350970027</v>
      </c>
      <c r="G305" s="11">
        <f t="shared" si="3"/>
        <v>0.02006452967</v>
      </c>
      <c r="H305" s="8">
        <v>71402.0</v>
      </c>
      <c r="I305" s="8">
        <v>11.0</v>
      </c>
      <c r="J305" s="8">
        <v>3.6666667759418488</v>
      </c>
      <c r="K305" s="8">
        <v>87.0</v>
      </c>
      <c r="L305" s="11">
        <f t="shared" si="4"/>
        <v>0.1264367816</v>
      </c>
      <c r="M305" s="11">
        <f t="shared" si="5"/>
        <v>0.3333333433</v>
      </c>
      <c r="N305" s="11">
        <f t="shared" si="6"/>
        <v>0.04214559513</v>
      </c>
      <c r="O305" s="18">
        <f t="shared" si="25"/>
        <v>2.100502519</v>
      </c>
      <c r="U305" s="18"/>
      <c r="V305" s="18"/>
      <c r="W305" s="18"/>
      <c r="X305" s="18"/>
    </row>
    <row r="306" ht="15.75" customHeight="1">
      <c r="A306" s="8">
        <v>71403.0</v>
      </c>
      <c r="B306" s="8">
        <v>63.0</v>
      </c>
      <c r="C306" s="8">
        <v>22.66666731238365</v>
      </c>
      <c r="D306" s="8">
        <v>988.0</v>
      </c>
      <c r="E306" s="11">
        <f t="shared" si="1"/>
        <v>0.06376518219</v>
      </c>
      <c r="F306" s="11">
        <f t="shared" si="2"/>
        <v>0.35978837</v>
      </c>
      <c r="G306" s="11">
        <f t="shared" si="3"/>
        <v>0.02294197096</v>
      </c>
      <c r="H306" s="8">
        <v>71403.0</v>
      </c>
      <c r="I306" s="8">
        <v>9.0</v>
      </c>
      <c r="J306" s="8">
        <v>3.000000089406967</v>
      </c>
      <c r="K306" s="8">
        <v>88.0</v>
      </c>
      <c r="L306" s="11">
        <f t="shared" si="4"/>
        <v>0.1022727273</v>
      </c>
      <c r="M306" s="11">
        <f t="shared" si="5"/>
        <v>0.3333333433</v>
      </c>
      <c r="N306" s="11">
        <f t="shared" si="6"/>
        <v>0.03409091011</v>
      </c>
      <c r="O306" s="18">
        <f t="shared" si="25"/>
        <v>1.485962569</v>
      </c>
      <c r="U306" s="18"/>
      <c r="V306" s="18"/>
      <c r="W306" s="18"/>
      <c r="X306" s="18"/>
    </row>
    <row r="307" ht="15.75" customHeight="1">
      <c r="A307" s="8">
        <v>71501.0</v>
      </c>
      <c r="B307" s="8">
        <v>604.0</v>
      </c>
      <c r="C307" s="8">
        <v>233.66667258739471</v>
      </c>
      <c r="D307" s="8">
        <v>2939.0</v>
      </c>
      <c r="E307" s="11">
        <f t="shared" si="1"/>
        <v>0.2055120789</v>
      </c>
      <c r="F307" s="11">
        <f t="shared" si="2"/>
        <v>0.386865352</v>
      </c>
      <c r="G307" s="11">
        <f t="shared" si="3"/>
        <v>0.07950550275</v>
      </c>
      <c r="H307" s="8">
        <v>71501.0</v>
      </c>
      <c r="I307" s="8">
        <v>34.0</v>
      </c>
      <c r="J307" s="8">
        <v>13.111111462116241</v>
      </c>
      <c r="K307" s="8">
        <v>205.0</v>
      </c>
      <c r="L307" s="11">
        <f t="shared" si="4"/>
        <v>0.1658536585</v>
      </c>
      <c r="M307" s="11">
        <f t="shared" si="5"/>
        <v>0.3856209254</v>
      </c>
      <c r="N307" s="11">
        <f t="shared" si="6"/>
        <v>0.06395664128</v>
      </c>
      <c r="O307" s="18">
        <f t="shared" si="25"/>
        <v>0.8044303736</v>
      </c>
      <c r="U307" s="18"/>
      <c r="V307" s="18"/>
      <c r="W307" s="18"/>
      <c r="X307" s="18"/>
    </row>
    <row r="308" ht="15.75" customHeight="1">
      <c r="A308" s="8">
        <v>71502.0</v>
      </c>
      <c r="B308" s="8">
        <v>65.0</v>
      </c>
      <c r="C308" s="8">
        <v>23.888889402151108</v>
      </c>
      <c r="D308" s="8">
        <v>330.0</v>
      </c>
      <c r="E308" s="11">
        <f t="shared" si="1"/>
        <v>0.196969697</v>
      </c>
      <c r="F308" s="11">
        <f t="shared" si="2"/>
        <v>0.3675213754</v>
      </c>
      <c r="G308" s="11">
        <f t="shared" si="3"/>
        <v>0.07239057395</v>
      </c>
      <c r="H308" s="8">
        <v>71502.0</v>
      </c>
      <c r="I308" s="8">
        <v>6.0</v>
      </c>
      <c r="J308" s="8">
        <v>2.444444477558136</v>
      </c>
      <c r="K308" s="8">
        <v>31.0</v>
      </c>
      <c r="L308" s="11">
        <f t="shared" si="4"/>
        <v>0.1935483871</v>
      </c>
      <c r="M308" s="11">
        <f t="shared" si="5"/>
        <v>0.4074074129</v>
      </c>
      <c r="N308" s="11">
        <f t="shared" si="6"/>
        <v>0.07885304766</v>
      </c>
      <c r="O308" s="18">
        <f t="shared" si="25"/>
        <v>1.089272309</v>
      </c>
      <c r="U308" s="18"/>
      <c r="V308" s="18"/>
      <c r="W308" s="18"/>
      <c r="X308" s="18"/>
    </row>
    <row r="309" ht="15.75" customHeight="1">
      <c r="A309" s="8">
        <v>71503.0</v>
      </c>
      <c r="B309" s="8">
        <v>234.0</v>
      </c>
      <c r="C309" s="8">
        <v>87.4444465637207</v>
      </c>
      <c r="D309" s="8">
        <v>1580.0</v>
      </c>
      <c r="E309" s="11">
        <f t="shared" si="1"/>
        <v>0.1481012658</v>
      </c>
      <c r="F309" s="11">
        <f t="shared" si="2"/>
        <v>0.3736942161</v>
      </c>
      <c r="G309" s="11">
        <f t="shared" si="3"/>
        <v>0.05534458643</v>
      </c>
      <c r="H309" s="8">
        <v>71503.0</v>
      </c>
      <c r="I309" s="8">
        <v>32.0</v>
      </c>
      <c r="J309" s="8">
        <v>11.888889133930206</v>
      </c>
      <c r="K309" s="8">
        <v>278.0</v>
      </c>
      <c r="L309" s="11">
        <f t="shared" si="4"/>
        <v>0.1151079137</v>
      </c>
      <c r="M309" s="11">
        <f t="shared" si="5"/>
        <v>0.3715277854</v>
      </c>
      <c r="N309" s="11">
        <f t="shared" si="6"/>
        <v>0.04276578825</v>
      </c>
      <c r="O309" s="18">
        <f t="shared" si="25"/>
        <v>0.7727185441</v>
      </c>
      <c r="U309" s="18"/>
      <c r="V309" s="18"/>
      <c r="W309" s="18"/>
      <c r="X309" s="18"/>
    </row>
    <row r="310" ht="15.75" customHeight="1">
      <c r="A310" s="8">
        <v>80101.0</v>
      </c>
      <c r="B310" s="8">
        <v>715.0</v>
      </c>
      <c r="C310" s="8">
        <v>257.5555621981621</v>
      </c>
      <c r="D310" s="8">
        <v>7403.0</v>
      </c>
      <c r="E310" s="11">
        <f t="shared" si="1"/>
        <v>0.09658246657</v>
      </c>
      <c r="F310" s="11">
        <f t="shared" si="2"/>
        <v>0.3602175695</v>
      </c>
      <c r="G310" s="11">
        <f t="shared" si="3"/>
        <v>0.03479070136</v>
      </c>
      <c r="H310" s="8">
        <v>80101.0</v>
      </c>
      <c r="I310" s="8">
        <v>58.0</v>
      </c>
      <c r="J310" s="8">
        <v>21.77777823805809</v>
      </c>
      <c r="K310" s="8">
        <v>550.0</v>
      </c>
      <c r="L310" s="11">
        <f t="shared" si="4"/>
        <v>0.1054545455</v>
      </c>
      <c r="M310" s="11">
        <f t="shared" si="5"/>
        <v>0.3754789351</v>
      </c>
      <c r="N310" s="11">
        <f t="shared" si="6"/>
        <v>0.03959596043</v>
      </c>
      <c r="O310" s="18">
        <f t="shared" si="25"/>
        <v>1.138119063</v>
      </c>
      <c r="U310" s="18"/>
      <c r="V310" s="18"/>
      <c r="W310" s="18"/>
      <c r="X310" s="18"/>
    </row>
    <row r="311" ht="15.75" customHeight="1">
      <c r="A311" s="8">
        <v>80102.0</v>
      </c>
      <c r="B311" s="8">
        <v>506.0</v>
      </c>
      <c r="C311" s="8">
        <v>191.22222650051117</v>
      </c>
      <c r="D311" s="8">
        <v>1538.0</v>
      </c>
      <c r="E311" s="11">
        <f t="shared" si="1"/>
        <v>0.3289986996</v>
      </c>
      <c r="F311" s="11">
        <f t="shared" si="2"/>
        <v>0.3779095385</v>
      </c>
      <c r="G311" s="11">
        <f t="shared" si="3"/>
        <v>0.1243317467</v>
      </c>
      <c r="H311" s="8">
        <v>80102.0</v>
      </c>
      <c r="I311" s="8">
        <v>12.0</v>
      </c>
      <c r="J311" s="8">
        <v>4.666666746139526</v>
      </c>
      <c r="K311" s="8">
        <v>94.0</v>
      </c>
      <c r="L311" s="11">
        <f t="shared" si="4"/>
        <v>0.1276595745</v>
      </c>
      <c r="M311" s="11">
        <f t="shared" si="5"/>
        <v>0.3888888955</v>
      </c>
      <c r="N311" s="11">
        <f t="shared" si="6"/>
        <v>0.04964539092</v>
      </c>
      <c r="O311" s="18">
        <f t="shared" si="25"/>
        <v>0.3992977837</v>
      </c>
      <c r="U311" s="18"/>
      <c r="V311" s="18"/>
      <c r="W311" s="18"/>
      <c r="X311" s="18"/>
    </row>
    <row r="312" ht="15.75" customHeight="1">
      <c r="A312" s="8">
        <v>80201.0</v>
      </c>
      <c r="B312" s="8">
        <v>848.0</v>
      </c>
      <c r="C312" s="8">
        <v>311.666674554348</v>
      </c>
      <c r="D312" s="8">
        <v>4283.0</v>
      </c>
      <c r="E312" s="11">
        <f t="shared" si="1"/>
        <v>0.1979920616</v>
      </c>
      <c r="F312" s="11">
        <f t="shared" si="2"/>
        <v>0.3675314558</v>
      </c>
      <c r="G312" s="11">
        <f t="shared" si="3"/>
        <v>0.07276831066</v>
      </c>
      <c r="H312" s="8">
        <v>80201.0</v>
      </c>
      <c r="I312" s="8">
        <v>85.0</v>
      </c>
      <c r="J312" s="8">
        <v>30.44444528222084</v>
      </c>
      <c r="K312" s="8">
        <v>412.0</v>
      </c>
      <c r="L312" s="11">
        <f t="shared" si="4"/>
        <v>0.2063106796</v>
      </c>
      <c r="M312" s="11">
        <f t="shared" si="5"/>
        <v>0.3581699445</v>
      </c>
      <c r="N312" s="11">
        <f t="shared" si="6"/>
        <v>0.07389428467</v>
      </c>
      <c r="O312" s="18">
        <f t="shared" si="25"/>
        <v>1.015473411</v>
      </c>
      <c r="U312" s="18"/>
      <c r="V312" s="18"/>
      <c r="W312" s="18"/>
      <c r="X312" s="18"/>
    </row>
    <row r="313" ht="15.75" customHeight="1">
      <c r="A313" s="8">
        <v>80202.0</v>
      </c>
      <c r="B313" s="8">
        <v>214.0</v>
      </c>
      <c r="C313" s="8">
        <v>77.22222417593002</v>
      </c>
      <c r="D313" s="8">
        <v>2212.0</v>
      </c>
      <c r="E313" s="11">
        <f t="shared" si="1"/>
        <v>0.09674502712</v>
      </c>
      <c r="F313" s="11">
        <f t="shared" si="2"/>
        <v>0.3608515148</v>
      </c>
      <c r="G313" s="11">
        <f t="shared" si="3"/>
        <v>0.03491058959</v>
      </c>
      <c r="H313" s="8">
        <v>80202.0</v>
      </c>
      <c r="I313" s="8">
        <v>6.0</v>
      </c>
      <c r="J313" s="8">
        <v>2.333333373069763</v>
      </c>
      <c r="K313" s="8">
        <v>148.0</v>
      </c>
      <c r="L313" s="11">
        <f t="shared" si="4"/>
        <v>0.04054054054</v>
      </c>
      <c r="M313" s="11">
        <f t="shared" si="5"/>
        <v>0.3888888955</v>
      </c>
      <c r="N313" s="11">
        <f t="shared" si="6"/>
        <v>0.01576576603</v>
      </c>
      <c r="O313" s="18">
        <f t="shared" si="25"/>
        <v>0.4516041184</v>
      </c>
      <c r="U313" s="18"/>
      <c r="V313" s="18"/>
      <c r="W313" s="18"/>
      <c r="X313" s="18"/>
    </row>
    <row r="314" ht="15.75" customHeight="1">
      <c r="A314" s="8">
        <v>80301.0</v>
      </c>
      <c r="B314" s="8">
        <v>161.0</v>
      </c>
      <c r="C314" s="8">
        <v>60.222223818302155</v>
      </c>
      <c r="D314" s="8">
        <v>952.0</v>
      </c>
      <c r="E314" s="11">
        <f t="shared" si="1"/>
        <v>0.1691176471</v>
      </c>
      <c r="F314" s="11">
        <f t="shared" si="2"/>
        <v>0.3740510796</v>
      </c>
      <c r="G314" s="11">
        <f t="shared" si="3"/>
        <v>0.06325863846</v>
      </c>
      <c r="H314" s="8">
        <v>80301.0</v>
      </c>
      <c r="I314" s="8">
        <v>18.0</v>
      </c>
      <c r="J314" s="8">
        <v>6.333333492279053</v>
      </c>
      <c r="K314" s="8">
        <v>82.0</v>
      </c>
      <c r="L314" s="11">
        <f t="shared" si="4"/>
        <v>0.2195121951</v>
      </c>
      <c r="M314" s="11">
        <f t="shared" si="5"/>
        <v>0.3518518607</v>
      </c>
      <c r="N314" s="11">
        <f t="shared" si="6"/>
        <v>0.0772357743</v>
      </c>
      <c r="O314" s="18">
        <f t="shared" si="25"/>
        <v>1.220952208</v>
      </c>
      <c r="U314" s="18"/>
      <c r="V314" s="18"/>
      <c r="W314" s="18"/>
      <c r="X314" s="18"/>
    </row>
    <row r="315" ht="15.75" customHeight="1">
      <c r="A315" s="8">
        <v>80302.0</v>
      </c>
      <c r="B315" s="8">
        <v>369.0</v>
      </c>
      <c r="C315" s="8">
        <v>134.44444778561592</v>
      </c>
      <c r="D315" s="8">
        <v>2239.0</v>
      </c>
      <c r="E315" s="11">
        <f t="shared" si="1"/>
        <v>0.1648057168</v>
      </c>
      <c r="F315" s="11">
        <f t="shared" si="2"/>
        <v>0.364348097</v>
      </c>
      <c r="G315" s="11">
        <f t="shared" si="3"/>
        <v>0.0600466493</v>
      </c>
      <c r="H315" s="8">
        <v>80302.0</v>
      </c>
      <c r="I315" s="8">
        <v>18.0</v>
      </c>
      <c r="J315" s="8">
        <v>7.1111113131046295</v>
      </c>
      <c r="K315" s="8">
        <v>130.0</v>
      </c>
      <c r="L315" s="11">
        <f t="shared" si="4"/>
        <v>0.1384615385</v>
      </c>
      <c r="M315" s="11">
        <f t="shared" si="5"/>
        <v>0.3950617396</v>
      </c>
      <c r="N315" s="11">
        <f t="shared" si="6"/>
        <v>0.05470085625</v>
      </c>
      <c r="O315" s="18">
        <f t="shared" si="25"/>
        <v>0.9109726669</v>
      </c>
      <c r="U315" s="18"/>
      <c r="V315" s="18"/>
      <c r="W315" s="18"/>
      <c r="X315" s="18"/>
    </row>
    <row r="316" ht="15.75" customHeight="1">
      <c r="A316" s="8">
        <v>80303.0</v>
      </c>
      <c r="B316" s="8">
        <v>65.0</v>
      </c>
      <c r="C316" s="8">
        <v>25.333333909511566</v>
      </c>
      <c r="D316" s="8">
        <v>845.0</v>
      </c>
      <c r="E316" s="11">
        <f t="shared" si="1"/>
        <v>0.07692307692</v>
      </c>
      <c r="F316" s="11">
        <f t="shared" si="2"/>
        <v>0.3897435986</v>
      </c>
      <c r="G316" s="11">
        <f t="shared" si="3"/>
        <v>0.02998027682</v>
      </c>
      <c r="H316" s="8">
        <v>80303.0</v>
      </c>
      <c r="I316" s="8">
        <v>14.0</v>
      </c>
      <c r="J316" s="8">
        <v>5.111111223697662</v>
      </c>
      <c r="K316" s="8">
        <v>71.0</v>
      </c>
      <c r="L316" s="11">
        <f t="shared" si="4"/>
        <v>0.1971830986</v>
      </c>
      <c r="M316" s="11">
        <f t="shared" si="5"/>
        <v>0.3650793731</v>
      </c>
      <c r="N316" s="11">
        <f t="shared" si="6"/>
        <v>0.07198748202</v>
      </c>
      <c r="O316" s="18">
        <f t="shared" si="25"/>
        <v>2.401161352</v>
      </c>
      <c r="U316" s="18"/>
      <c r="V316" s="18"/>
      <c r="W316" s="18"/>
      <c r="X316" s="18"/>
    </row>
    <row r="317" ht="15.75" customHeight="1">
      <c r="A317" s="8">
        <v>80304.0</v>
      </c>
      <c r="B317" s="8">
        <v>211.0</v>
      </c>
      <c r="C317" s="8">
        <v>87.8888909816742</v>
      </c>
      <c r="D317" s="8">
        <v>1683.0</v>
      </c>
      <c r="E317" s="11">
        <f t="shared" si="1"/>
        <v>0.1253713607</v>
      </c>
      <c r="F317" s="11">
        <f t="shared" si="2"/>
        <v>0.4165350283</v>
      </c>
      <c r="G317" s="11">
        <f t="shared" si="3"/>
        <v>0.05222156327</v>
      </c>
      <c r="H317" s="8">
        <v>80304.0</v>
      </c>
      <c r="I317" s="8">
        <v>17.0</v>
      </c>
      <c r="J317" s="8">
        <v>7.333333492279053</v>
      </c>
      <c r="K317" s="8">
        <v>96.0</v>
      </c>
      <c r="L317" s="11">
        <f t="shared" si="4"/>
        <v>0.1770833333</v>
      </c>
      <c r="M317" s="11">
        <f t="shared" si="5"/>
        <v>0.4313725584</v>
      </c>
      <c r="N317" s="11">
        <f t="shared" si="6"/>
        <v>0.07638889054</v>
      </c>
      <c r="O317" s="18">
        <f t="shared" si="25"/>
        <v>1.462784447</v>
      </c>
      <c r="U317" s="18"/>
      <c r="V317" s="18"/>
      <c r="W317" s="18"/>
      <c r="X317" s="18"/>
    </row>
    <row r="318" ht="15.75" customHeight="1">
      <c r="A318" s="8">
        <v>80401.0</v>
      </c>
      <c r="B318" s="8">
        <v>213.0</v>
      </c>
      <c r="C318" s="8">
        <v>83.88889077305794</v>
      </c>
      <c r="D318" s="8">
        <v>1170.0</v>
      </c>
      <c r="E318" s="11">
        <f t="shared" si="1"/>
        <v>0.1820512821</v>
      </c>
      <c r="F318" s="11">
        <f t="shared" si="2"/>
        <v>0.3938445576</v>
      </c>
      <c r="G318" s="11">
        <f t="shared" si="3"/>
        <v>0.07169990664</v>
      </c>
      <c r="H318" s="8">
        <v>80401.0</v>
      </c>
      <c r="I318" s="8">
        <v>9.0</v>
      </c>
      <c r="J318" s="8">
        <v>3.11111119389534</v>
      </c>
      <c r="K318" s="8">
        <v>108.0</v>
      </c>
      <c r="L318" s="11">
        <f t="shared" si="4"/>
        <v>0.08333333333</v>
      </c>
      <c r="M318" s="11">
        <f t="shared" si="5"/>
        <v>0.3456790215</v>
      </c>
      <c r="N318" s="11">
        <f t="shared" si="6"/>
        <v>0.02880658513</v>
      </c>
      <c r="O318" s="18">
        <f t="shared" si="25"/>
        <v>0.4017660061</v>
      </c>
      <c r="U318" s="18"/>
      <c r="V318" s="18"/>
      <c r="W318" s="18"/>
      <c r="X318" s="18"/>
    </row>
    <row r="319" ht="15.75" customHeight="1">
      <c r="A319" s="8">
        <v>80402.0</v>
      </c>
      <c r="B319" s="8">
        <v>380.0</v>
      </c>
      <c r="C319" s="8">
        <v>143.11111479997635</v>
      </c>
      <c r="D319" s="8">
        <v>1684.0</v>
      </c>
      <c r="E319" s="11">
        <f t="shared" si="1"/>
        <v>0.2256532067</v>
      </c>
      <c r="F319" s="11">
        <f t="shared" si="2"/>
        <v>0.3766081968</v>
      </c>
      <c r="G319" s="11">
        <f t="shared" si="3"/>
        <v>0.08498284727</v>
      </c>
      <c r="H319" s="8">
        <v>80402.0</v>
      </c>
      <c r="I319" s="8">
        <v>28.0</v>
      </c>
      <c r="J319" s="8">
        <v>10.333333641290665</v>
      </c>
      <c r="K319" s="8">
        <v>150.0</v>
      </c>
      <c r="L319" s="11">
        <f t="shared" si="4"/>
        <v>0.1866666667</v>
      </c>
      <c r="M319" s="11">
        <f t="shared" si="5"/>
        <v>0.36904763</v>
      </c>
      <c r="N319" s="11">
        <f t="shared" si="6"/>
        <v>0.06888889094</v>
      </c>
      <c r="O319" s="18">
        <f t="shared" si="25"/>
        <v>0.8106211213</v>
      </c>
      <c r="U319" s="18"/>
      <c r="V319" s="18"/>
      <c r="W319" s="18"/>
      <c r="X319" s="18"/>
    </row>
    <row r="320" ht="15.75" customHeight="1">
      <c r="A320" s="8">
        <v>80501.0</v>
      </c>
      <c r="B320" s="8">
        <v>137.0</v>
      </c>
      <c r="C320" s="8">
        <v>53.666667968034744</v>
      </c>
      <c r="D320" s="8">
        <v>1354.0</v>
      </c>
      <c r="E320" s="11">
        <f t="shared" si="1"/>
        <v>0.1011816839</v>
      </c>
      <c r="F320" s="11">
        <f t="shared" si="2"/>
        <v>0.3917275034</v>
      </c>
      <c r="G320" s="11">
        <f t="shared" si="3"/>
        <v>0.03963564843</v>
      </c>
      <c r="H320" s="8">
        <v>80501.0</v>
      </c>
      <c r="I320" s="8">
        <v>18.0</v>
      </c>
      <c r="J320" s="8">
        <v>6.8888890743255615</v>
      </c>
      <c r="K320" s="8">
        <v>123.0</v>
      </c>
      <c r="L320" s="11">
        <f t="shared" si="4"/>
        <v>0.1463414634</v>
      </c>
      <c r="M320" s="11">
        <f t="shared" si="5"/>
        <v>0.3827160597</v>
      </c>
      <c r="N320" s="11">
        <f t="shared" si="6"/>
        <v>0.05600722825</v>
      </c>
      <c r="O320" s="18">
        <f t="shared" si="25"/>
        <v>1.413051898</v>
      </c>
      <c r="U320" s="18"/>
      <c r="V320" s="18"/>
      <c r="W320" s="18"/>
      <c r="X320" s="18"/>
    </row>
    <row r="321" ht="15.75" customHeight="1">
      <c r="A321" s="8">
        <v>80601.0</v>
      </c>
      <c r="B321" s="8">
        <v>35.0</v>
      </c>
      <c r="C321" s="8">
        <v>15.222222685813904</v>
      </c>
      <c r="D321" s="8">
        <v>385.0</v>
      </c>
      <c r="E321" s="11">
        <f t="shared" si="1"/>
        <v>0.09090909091</v>
      </c>
      <c r="F321" s="11">
        <f t="shared" si="2"/>
        <v>0.4349206482</v>
      </c>
      <c r="G321" s="11">
        <f t="shared" si="3"/>
        <v>0.03953824074</v>
      </c>
      <c r="H321" s="8">
        <v>80601.0</v>
      </c>
      <c r="I321" s="8">
        <v>3.0</v>
      </c>
      <c r="J321" s="8">
        <v>1.0000000298023224</v>
      </c>
      <c r="K321" s="8">
        <v>49.0</v>
      </c>
      <c r="L321" s="11">
        <f t="shared" si="4"/>
        <v>0.0612244898</v>
      </c>
      <c r="M321" s="11">
        <f t="shared" si="5"/>
        <v>0.3333333433</v>
      </c>
      <c r="N321" s="11">
        <f t="shared" si="6"/>
        <v>0.02040816387</v>
      </c>
      <c r="O321" s="18">
        <f t="shared" si="25"/>
        <v>0.5161626691</v>
      </c>
      <c r="U321" s="18"/>
      <c r="V321" s="18"/>
      <c r="W321" s="18"/>
      <c r="X321" s="18"/>
    </row>
    <row r="322" ht="15.75" customHeight="1">
      <c r="A322" s="8">
        <v>80602.0</v>
      </c>
      <c r="B322" s="8">
        <v>214.0</v>
      </c>
      <c r="C322" s="8">
        <v>77.3333352804184</v>
      </c>
      <c r="D322" s="8">
        <v>1547.0</v>
      </c>
      <c r="E322" s="11">
        <f t="shared" si="1"/>
        <v>0.138332256</v>
      </c>
      <c r="F322" s="11">
        <f t="shared" si="2"/>
        <v>0.3613707256</v>
      </c>
      <c r="G322" s="11">
        <f t="shared" si="3"/>
        <v>0.04998922772</v>
      </c>
      <c r="H322" s="8">
        <v>80602.0</v>
      </c>
      <c r="I322" s="8">
        <v>24.0</v>
      </c>
      <c r="J322" s="8">
        <v>8.888889104127884</v>
      </c>
      <c r="K322" s="8">
        <v>144.0</v>
      </c>
      <c r="L322" s="11">
        <f t="shared" si="4"/>
        <v>0.1666666667</v>
      </c>
      <c r="M322" s="11">
        <f t="shared" si="5"/>
        <v>0.3703703793</v>
      </c>
      <c r="N322" s="11">
        <f t="shared" si="6"/>
        <v>0.06172839656</v>
      </c>
      <c r="O322" s="18">
        <f t="shared" si="25"/>
        <v>1.234833971</v>
      </c>
      <c r="U322" s="18"/>
      <c r="V322" s="18"/>
      <c r="W322" s="18"/>
      <c r="X322" s="18"/>
    </row>
    <row r="323" ht="15.75" customHeight="1">
      <c r="A323" s="8">
        <v>80701.0</v>
      </c>
      <c r="B323" s="8">
        <v>86.0</v>
      </c>
      <c r="C323" s="8">
        <v>34.1111119389534</v>
      </c>
      <c r="D323" s="8">
        <v>649.0</v>
      </c>
      <c r="E323" s="11">
        <f t="shared" si="1"/>
        <v>0.1325115562</v>
      </c>
      <c r="F323" s="11">
        <f t="shared" si="2"/>
        <v>0.3966408365</v>
      </c>
      <c r="G323" s="11">
        <f t="shared" si="3"/>
        <v>0.05255949451</v>
      </c>
      <c r="H323" s="8">
        <v>80701.0</v>
      </c>
      <c r="I323" s="8">
        <v>2.0</v>
      </c>
      <c r="J323" s="8">
        <v>0.6666666865348816</v>
      </c>
      <c r="K323" s="8">
        <v>44.0</v>
      </c>
      <c r="L323" s="11">
        <f t="shared" si="4"/>
        <v>0.04545454545</v>
      </c>
      <c r="M323" s="11">
        <f t="shared" si="5"/>
        <v>0.3333333433</v>
      </c>
      <c r="N323" s="11">
        <f t="shared" si="6"/>
        <v>0.0151515156</v>
      </c>
      <c r="O323" s="18">
        <f t="shared" si="25"/>
        <v>0.2882736172</v>
      </c>
      <c r="U323" s="18"/>
      <c r="V323" s="18"/>
      <c r="W323" s="18"/>
      <c r="X323" s="18"/>
    </row>
    <row r="324" ht="15.75" customHeight="1">
      <c r="A324" s="8">
        <v>80702.0</v>
      </c>
      <c r="B324" s="8">
        <v>148.0</v>
      </c>
      <c r="C324" s="8">
        <v>56.1111124753952</v>
      </c>
      <c r="D324" s="8">
        <v>755.0</v>
      </c>
      <c r="E324" s="11">
        <f t="shared" si="1"/>
        <v>0.1960264901</v>
      </c>
      <c r="F324" s="11">
        <f t="shared" si="2"/>
        <v>0.3791291383</v>
      </c>
      <c r="G324" s="11">
        <f t="shared" si="3"/>
        <v>0.07431935427</v>
      </c>
      <c r="H324" s="8">
        <v>80702.0</v>
      </c>
      <c r="I324" s="8">
        <v>5.0</v>
      </c>
      <c r="J324" s="8">
        <v>1.7777778208255768</v>
      </c>
      <c r="K324" s="8">
        <v>41.0</v>
      </c>
      <c r="L324" s="11">
        <f t="shared" si="4"/>
        <v>0.1219512195</v>
      </c>
      <c r="M324" s="11">
        <f t="shared" si="5"/>
        <v>0.3555555642</v>
      </c>
      <c r="N324" s="11">
        <f t="shared" si="6"/>
        <v>0.04336043465</v>
      </c>
      <c r="O324" s="18">
        <f t="shared" si="25"/>
        <v>0.5834339531</v>
      </c>
      <c r="U324" s="18"/>
      <c r="V324" s="18"/>
      <c r="W324" s="18"/>
      <c r="X324" s="18"/>
    </row>
    <row r="325" ht="15.75" customHeight="1">
      <c r="A325" s="8">
        <v>80703.0</v>
      </c>
      <c r="B325" s="8">
        <v>26.0</v>
      </c>
      <c r="C325" s="8">
        <v>9.333333551883698</v>
      </c>
      <c r="D325" s="8">
        <v>228.0</v>
      </c>
      <c r="E325" s="11">
        <f t="shared" si="1"/>
        <v>0.1140350877</v>
      </c>
      <c r="F325" s="11">
        <f t="shared" si="2"/>
        <v>0.3589743674</v>
      </c>
      <c r="G325" s="11">
        <f t="shared" si="3"/>
        <v>0.04093567347</v>
      </c>
      <c r="H325" s="8">
        <v>80703.0</v>
      </c>
      <c r="I325" s="8">
        <v>4.0</v>
      </c>
      <c r="J325" s="8">
        <v>2.222222328186035</v>
      </c>
      <c r="K325" s="8">
        <v>13.0</v>
      </c>
      <c r="L325" s="11">
        <f t="shared" si="4"/>
        <v>0.3076923077</v>
      </c>
      <c r="M325" s="11">
        <f t="shared" si="5"/>
        <v>0.555555582</v>
      </c>
      <c r="N325" s="11">
        <f t="shared" si="6"/>
        <v>0.1709401791</v>
      </c>
      <c r="O325" s="18">
        <f t="shared" si="25"/>
        <v>4.175824277</v>
      </c>
      <c r="U325" s="18"/>
      <c r="V325" s="18"/>
      <c r="W325" s="18"/>
      <c r="X325" s="18"/>
    </row>
    <row r="326" ht="15.75" customHeight="1">
      <c r="A326" s="8">
        <v>80801.0</v>
      </c>
      <c r="B326" s="8">
        <v>80.0</v>
      </c>
      <c r="C326" s="8">
        <v>28.777778446674347</v>
      </c>
      <c r="D326" s="8">
        <v>607.0</v>
      </c>
      <c r="E326" s="11">
        <f t="shared" si="1"/>
        <v>0.1317957166</v>
      </c>
      <c r="F326" s="11">
        <f t="shared" si="2"/>
        <v>0.3597222306</v>
      </c>
      <c r="G326" s="11">
        <f t="shared" si="3"/>
        <v>0.04740984917</v>
      </c>
      <c r="H326" s="8">
        <v>80801.0</v>
      </c>
      <c r="I326" s="8">
        <v>2.0</v>
      </c>
      <c r="J326" s="8">
        <v>0.6666666865348816</v>
      </c>
      <c r="K326" s="8">
        <v>52.0</v>
      </c>
      <c r="L326" s="11">
        <f t="shared" si="4"/>
        <v>0.03846153846</v>
      </c>
      <c r="M326" s="11">
        <f t="shared" si="5"/>
        <v>0.3333333433</v>
      </c>
      <c r="N326" s="11">
        <f t="shared" si="6"/>
        <v>0.0128205132</v>
      </c>
      <c r="O326" s="18">
        <f t="shared" si="25"/>
        <v>0.2704187722</v>
      </c>
      <c r="U326" s="18"/>
      <c r="V326" s="18"/>
      <c r="W326" s="18"/>
      <c r="X326" s="18"/>
    </row>
    <row r="327" ht="15.75" customHeight="1">
      <c r="A327" s="8">
        <v>80802.0</v>
      </c>
      <c r="B327" s="8">
        <v>219.0</v>
      </c>
      <c r="C327" s="8">
        <v>81.22222423553467</v>
      </c>
      <c r="D327" s="8">
        <v>853.0</v>
      </c>
      <c r="E327" s="11">
        <f t="shared" si="1"/>
        <v>0.2567409144</v>
      </c>
      <c r="F327" s="11">
        <f t="shared" si="2"/>
        <v>0.3708777362</v>
      </c>
      <c r="G327" s="11">
        <f t="shared" si="3"/>
        <v>0.09521948914</v>
      </c>
      <c r="H327" s="8">
        <v>80802.0</v>
      </c>
      <c r="I327" s="8">
        <v>14.0</v>
      </c>
      <c r="J327" s="8">
        <v>5.0000001192092896</v>
      </c>
      <c r="K327" s="8">
        <v>77.0</v>
      </c>
      <c r="L327" s="11">
        <f t="shared" si="4"/>
        <v>0.1818181818</v>
      </c>
      <c r="M327" s="11">
        <f t="shared" si="5"/>
        <v>0.3571428657</v>
      </c>
      <c r="N327" s="11">
        <f t="shared" si="6"/>
        <v>0.06493506648</v>
      </c>
      <c r="O327" s="18">
        <f t="shared" si="25"/>
        <v>0.6819514269</v>
      </c>
      <c r="U327" s="18"/>
      <c r="V327" s="18"/>
      <c r="W327" s="18"/>
      <c r="X327" s="18"/>
    </row>
    <row r="328" ht="15.75" customHeight="1">
      <c r="A328" s="8">
        <v>80803.0</v>
      </c>
      <c r="B328" s="8">
        <v>53.0</v>
      </c>
      <c r="C328" s="8">
        <v>19.111111611127853</v>
      </c>
      <c r="D328" s="8">
        <v>314.0</v>
      </c>
      <c r="E328" s="11">
        <f t="shared" si="1"/>
        <v>0.1687898089</v>
      </c>
      <c r="F328" s="11">
        <f t="shared" si="2"/>
        <v>0.3605870115</v>
      </c>
      <c r="G328" s="11">
        <f t="shared" si="3"/>
        <v>0.06086341277</v>
      </c>
      <c r="H328" s="8">
        <v>80803.0</v>
      </c>
      <c r="I328" s="8">
        <v>6.0</v>
      </c>
      <c r="J328" s="8">
        <v>2.2222222685813904</v>
      </c>
      <c r="K328" s="8">
        <v>47.0</v>
      </c>
      <c r="L328" s="11">
        <f t="shared" si="4"/>
        <v>0.1276595745</v>
      </c>
      <c r="M328" s="11">
        <f t="shared" si="5"/>
        <v>0.3703703781</v>
      </c>
      <c r="N328" s="11">
        <f t="shared" si="6"/>
        <v>0.04728132486</v>
      </c>
      <c r="O328" s="18">
        <f t="shared" si="25"/>
        <v>0.7768431428</v>
      </c>
      <c r="U328" s="18"/>
      <c r="V328" s="18"/>
      <c r="W328" s="18"/>
      <c r="X328" s="18"/>
    </row>
    <row r="329" ht="15.75" customHeight="1">
      <c r="A329" s="8">
        <v>80901.0</v>
      </c>
      <c r="B329" s="8">
        <v>48.0</v>
      </c>
      <c r="C329" s="8">
        <v>23.66666731238365</v>
      </c>
      <c r="D329" s="8">
        <v>216.0</v>
      </c>
      <c r="E329" s="11">
        <f t="shared" si="1"/>
        <v>0.2222222222</v>
      </c>
      <c r="F329" s="11">
        <f t="shared" si="2"/>
        <v>0.493055569</v>
      </c>
      <c r="G329" s="11">
        <f t="shared" si="3"/>
        <v>0.1095679042</v>
      </c>
      <c r="H329" s="8">
        <v>80901.0</v>
      </c>
      <c r="I329" s="8">
        <v>25.0</v>
      </c>
      <c r="J329" s="8">
        <v>9.666666895151138</v>
      </c>
      <c r="K329" s="8">
        <v>162.0</v>
      </c>
      <c r="L329" s="11">
        <f t="shared" si="4"/>
        <v>0.1543209877</v>
      </c>
      <c r="M329" s="11">
        <f t="shared" si="5"/>
        <v>0.3866666758</v>
      </c>
      <c r="N329" s="11">
        <f t="shared" si="6"/>
        <v>0.0596707833</v>
      </c>
      <c r="O329" s="18">
        <f t="shared" si="25"/>
        <v>0.544600937</v>
      </c>
      <c r="U329" s="18"/>
      <c r="V329" s="18"/>
      <c r="W329" s="18"/>
      <c r="X329" s="18"/>
    </row>
    <row r="330" ht="15.75" customHeight="1">
      <c r="A330" s="8">
        <v>90101.0</v>
      </c>
      <c r="B330" s="8">
        <v>176.0</v>
      </c>
      <c r="C330" s="8">
        <v>63.33333495259285</v>
      </c>
      <c r="D330" s="8">
        <v>3445.0</v>
      </c>
      <c r="E330" s="11">
        <f t="shared" si="1"/>
        <v>0.05108853411</v>
      </c>
      <c r="F330" s="11">
        <f t="shared" si="2"/>
        <v>0.359848494</v>
      </c>
      <c r="G330" s="11">
        <f t="shared" si="3"/>
        <v>0.01838413206</v>
      </c>
      <c r="H330" s="8">
        <v>90101.0</v>
      </c>
      <c r="I330" s="8">
        <v>27.0</v>
      </c>
      <c r="J330" s="8">
        <v>9.333333611488342</v>
      </c>
      <c r="K330" s="8">
        <v>236.0</v>
      </c>
      <c r="L330" s="11">
        <f t="shared" si="4"/>
        <v>0.1144067797</v>
      </c>
      <c r="M330" s="11">
        <f t="shared" si="5"/>
        <v>0.3456790226</v>
      </c>
      <c r="N330" s="11">
        <f t="shared" si="6"/>
        <v>0.03954802378</v>
      </c>
      <c r="O330" s="18">
        <f t="shared" si="25"/>
        <v>2.151204291</v>
      </c>
      <c r="U330" s="18"/>
      <c r="V330" s="18"/>
      <c r="W330" s="18"/>
      <c r="X330" s="18"/>
    </row>
    <row r="331" ht="15.75" customHeight="1">
      <c r="A331" s="8">
        <v>90102.0</v>
      </c>
      <c r="B331" s="8">
        <v>70.0</v>
      </c>
      <c r="C331" s="8">
        <v>26.888889521360397</v>
      </c>
      <c r="D331" s="8">
        <v>710.0</v>
      </c>
      <c r="E331" s="11">
        <f t="shared" si="1"/>
        <v>0.0985915493</v>
      </c>
      <c r="F331" s="11">
        <f t="shared" si="2"/>
        <v>0.3841269932</v>
      </c>
      <c r="G331" s="11">
        <f t="shared" si="3"/>
        <v>0.03787167538</v>
      </c>
      <c r="H331" s="8">
        <v>90102.0</v>
      </c>
      <c r="I331" s="8">
        <v>7.0</v>
      </c>
      <c r="J331" s="8">
        <v>2.555555611848831</v>
      </c>
      <c r="K331" s="8">
        <v>55.0</v>
      </c>
      <c r="L331" s="11">
        <f t="shared" si="4"/>
        <v>0.1272727273</v>
      </c>
      <c r="M331" s="11">
        <f t="shared" si="5"/>
        <v>0.3650793731</v>
      </c>
      <c r="N331" s="11">
        <f t="shared" si="6"/>
        <v>0.04646464749</v>
      </c>
      <c r="O331" s="18">
        <f t="shared" si="25"/>
        <v>1.226897068</v>
      </c>
      <c r="U331" s="18"/>
      <c r="V331" s="18"/>
      <c r="W331" s="18"/>
      <c r="X331" s="18"/>
    </row>
    <row r="332" ht="15.75" customHeight="1">
      <c r="A332" s="8">
        <v>90103.0</v>
      </c>
      <c r="B332" s="8">
        <v>45.0</v>
      </c>
      <c r="C332" s="8">
        <v>16.555555939674377</v>
      </c>
      <c r="D332" s="8">
        <v>316.0</v>
      </c>
      <c r="E332" s="11">
        <f t="shared" si="1"/>
        <v>0.1424050633</v>
      </c>
      <c r="F332" s="11">
        <f t="shared" si="2"/>
        <v>0.3679012431</v>
      </c>
      <c r="G332" s="11">
        <f t="shared" si="3"/>
        <v>0.05239099981</v>
      </c>
      <c r="H332" s="8">
        <v>90103.0</v>
      </c>
      <c r="I332" s="8">
        <v>21.0</v>
      </c>
      <c r="J332" s="8">
        <v>7.444444626569748</v>
      </c>
      <c r="K332" s="8">
        <v>67.0</v>
      </c>
      <c r="L332" s="11">
        <f t="shared" si="4"/>
        <v>0.3134328358</v>
      </c>
      <c r="M332" s="11">
        <f t="shared" si="5"/>
        <v>0.3544973632</v>
      </c>
      <c r="N332" s="11">
        <f t="shared" si="6"/>
        <v>0.1111111138</v>
      </c>
      <c r="O332" s="18">
        <f t="shared" si="25"/>
        <v>2.120805372</v>
      </c>
      <c r="U332" s="18"/>
      <c r="V332" s="18"/>
      <c r="W332" s="18"/>
      <c r="X332" s="18"/>
    </row>
    <row r="333" ht="15.75" customHeight="1">
      <c r="A333" s="8">
        <v>90104.0</v>
      </c>
      <c r="B333" s="8">
        <v>65.0</v>
      </c>
      <c r="C333" s="8">
        <v>24.444444984197617</v>
      </c>
      <c r="D333" s="8">
        <v>494.0</v>
      </c>
      <c r="E333" s="11">
        <f t="shared" si="1"/>
        <v>0.1315789474</v>
      </c>
      <c r="F333" s="11">
        <f t="shared" si="2"/>
        <v>0.3760683844</v>
      </c>
      <c r="G333" s="11">
        <f t="shared" si="3"/>
        <v>0.04948268215</v>
      </c>
      <c r="H333" s="8">
        <v>90104.0</v>
      </c>
      <c r="I333" s="8">
        <v>14.0</v>
      </c>
      <c r="J333" s="8">
        <v>5.444444537162781</v>
      </c>
      <c r="K333" s="8">
        <v>73.0</v>
      </c>
      <c r="L333" s="11">
        <f t="shared" si="4"/>
        <v>0.1917808219</v>
      </c>
      <c r="M333" s="11">
        <f t="shared" si="5"/>
        <v>0.3888888955</v>
      </c>
      <c r="N333" s="11">
        <f t="shared" si="6"/>
        <v>0.07458143202</v>
      </c>
      <c r="O333" s="18">
        <f t="shared" si="25"/>
        <v>1.507222906</v>
      </c>
      <c r="U333" s="18"/>
      <c r="V333" s="18"/>
      <c r="W333" s="18"/>
      <c r="X333" s="18"/>
    </row>
    <row r="334" ht="15.75" customHeight="1">
      <c r="A334" s="8">
        <v>90201.0</v>
      </c>
      <c r="B334" s="8">
        <v>99.0</v>
      </c>
      <c r="C334" s="8">
        <v>35.33333423733711</v>
      </c>
      <c r="D334" s="8">
        <v>815.0</v>
      </c>
      <c r="E334" s="11">
        <f t="shared" si="1"/>
        <v>0.1214723926</v>
      </c>
      <c r="F334" s="11">
        <f t="shared" si="2"/>
        <v>0.356902366</v>
      </c>
      <c r="G334" s="11">
        <f t="shared" si="3"/>
        <v>0.04335378434</v>
      </c>
      <c r="H334" s="8">
        <v>90201.0</v>
      </c>
      <c r="I334" s="8">
        <v>52.0</v>
      </c>
      <c r="J334" s="8">
        <v>18.222222685813904</v>
      </c>
      <c r="K334" s="8">
        <v>269.0</v>
      </c>
      <c r="L334" s="11">
        <f t="shared" si="4"/>
        <v>0.1933085502</v>
      </c>
      <c r="M334" s="11">
        <f t="shared" si="5"/>
        <v>0.3504273593</v>
      </c>
      <c r="N334" s="11">
        <f t="shared" si="6"/>
        <v>0.06774060478</v>
      </c>
      <c r="O334" s="18">
        <f t="shared" si="25"/>
        <v>1.562507306</v>
      </c>
      <c r="U334" s="18"/>
      <c r="V334" s="18"/>
      <c r="W334" s="18"/>
      <c r="X334" s="18"/>
    </row>
    <row r="335" ht="15.75" customHeight="1">
      <c r="A335" s="8">
        <v>90202.0</v>
      </c>
      <c r="B335" s="8">
        <v>86.0</v>
      </c>
      <c r="C335" s="8">
        <v>33.88888964056969</v>
      </c>
      <c r="D335" s="8">
        <v>258.0</v>
      </c>
      <c r="E335" s="11">
        <f t="shared" si="1"/>
        <v>0.3333333333</v>
      </c>
      <c r="F335" s="11">
        <f t="shared" si="2"/>
        <v>0.3940568563</v>
      </c>
      <c r="G335" s="11">
        <f t="shared" si="3"/>
        <v>0.1313522854</v>
      </c>
      <c r="H335" s="8">
        <v>90202.0</v>
      </c>
      <c r="I335" s="8">
        <v>9.0</v>
      </c>
      <c r="J335" s="8">
        <v>4.111111164093018</v>
      </c>
      <c r="K335" s="8">
        <v>23.0</v>
      </c>
      <c r="L335" s="11">
        <f t="shared" si="4"/>
        <v>0.3913043478</v>
      </c>
      <c r="M335" s="11">
        <f t="shared" si="5"/>
        <v>0.4567901293</v>
      </c>
      <c r="N335" s="11">
        <f t="shared" si="6"/>
        <v>0.1787439637</v>
      </c>
      <c r="O335" s="18">
        <f t="shared" si="25"/>
        <v>1.360798277</v>
      </c>
      <c r="U335" s="18"/>
      <c r="V335" s="18"/>
      <c r="W335" s="18"/>
      <c r="X335" s="18"/>
    </row>
    <row r="336" ht="15.75" customHeight="1">
      <c r="A336" s="8">
        <v>90203.0</v>
      </c>
      <c r="B336" s="8">
        <v>175.0</v>
      </c>
      <c r="C336" s="8">
        <v>64.5555571615696</v>
      </c>
      <c r="D336" s="8">
        <v>1056.0</v>
      </c>
      <c r="E336" s="11">
        <f t="shared" si="1"/>
        <v>0.165719697</v>
      </c>
      <c r="F336" s="11">
        <f t="shared" si="2"/>
        <v>0.3688888981</v>
      </c>
      <c r="G336" s="11">
        <f t="shared" si="3"/>
        <v>0.0611321564</v>
      </c>
      <c r="H336" s="8">
        <v>90203.0</v>
      </c>
      <c r="I336" s="8">
        <v>5.0</v>
      </c>
      <c r="J336" s="8">
        <v>2.0000000298023224</v>
      </c>
      <c r="K336" s="8">
        <v>132.0</v>
      </c>
      <c r="L336" s="11">
        <f t="shared" si="4"/>
        <v>0.03787878788</v>
      </c>
      <c r="M336" s="11">
        <f t="shared" si="5"/>
        <v>0.400000006</v>
      </c>
      <c r="N336" s="11">
        <f t="shared" si="6"/>
        <v>0.01515151538</v>
      </c>
      <c r="O336" s="18">
        <f t="shared" si="25"/>
        <v>0.2478485345</v>
      </c>
      <c r="U336" s="18"/>
      <c r="V336" s="18"/>
      <c r="W336" s="18"/>
      <c r="X336" s="18"/>
    </row>
    <row r="337" ht="15.75" customHeight="1">
      <c r="A337" s="8">
        <v>90301.0</v>
      </c>
      <c r="B337" s="8">
        <v>171.0</v>
      </c>
      <c r="C337" s="8">
        <v>61.000001668930054</v>
      </c>
      <c r="D337" s="8">
        <v>678.0</v>
      </c>
      <c r="E337" s="11">
        <f t="shared" si="1"/>
        <v>0.2522123894</v>
      </c>
      <c r="F337" s="11">
        <f t="shared" si="2"/>
        <v>0.356725156</v>
      </c>
      <c r="G337" s="11">
        <f t="shared" si="3"/>
        <v>0.08997050394</v>
      </c>
      <c r="H337" s="8">
        <v>90301.0</v>
      </c>
      <c r="I337" s="8">
        <v>49.0</v>
      </c>
      <c r="J337" s="8">
        <v>17.444444864988327</v>
      </c>
      <c r="K337" s="8">
        <v>120.0</v>
      </c>
      <c r="L337" s="11">
        <f t="shared" si="4"/>
        <v>0.4083333333</v>
      </c>
      <c r="M337" s="11">
        <f t="shared" si="5"/>
        <v>0.3560090789</v>
      </c>
      <c r="N337" s="11">
        <f t="shared" si="6"/>
        <v>0.1453703739</v>
      </c>
      <c r="O337" s="18">
        <f t="shared" si="25"/>
        <v>1.615755915</v>
      </c>
      <c r="U337" s="18"/>
      <c r="V337" s="18"/>
      <c r="W337" s="18"/>
      <c r="X337" s="18"/>
    </row>
    <row r="338" ht="15.75" customHeight="1">
      <c r="A338" s="8">
        <v>90302.0</v>
      </c>
      <c r="B338" s="8">
        <v>182.0</v>
      </c>
      <c r="C338" s="8">
        <v>71.11111283302307</v>
      </c>
      <c r="D338" s="8">
        <v>978.0</v>
      </c>
      <c r="E338" s="11">
        <f t="shared" si="1"/>
        <v>0.1860940695</v>
      </c>
      <c r="F338" s="11">
        <f t="shared" si="2"/>
        <v>0.3907204002</v>
      </c>
      <c r="G338" s="11">
        <f t="shared" si="3"/>
        <v>0.07271074932</v>
      </c>
      <c r="H338" s="8">
        <v>90302.0</v>
      </c>
      <c r="I338" s="8">
        <v>21.0</v>
      </c>
      <c r="J338" s="8">
        <v>8.000000238418579</v>
      </c>
      <c r="K338" s="8">
        <v>116.0</v>
      </c>
      <c r="L338" s="11">
        <f t="shared" si="4"/>
        <v>0.1810344828</v>
      </c>
      <c r="M338" s="11">
        <f t="shared" si="5"/>
        <v>0.3809523923</v>
      </c>
      <c r="N338" s="11">
        <f t="shared" si="6"/>
        <v>0.0689655193</v>
      </c>
      <c r="O338" s="18">
        <f t="shared" si="25"/>
        <v>0.9484913846</v>
      </c>
      <c r="U338" s="18"/>
      <c r="V338" s="18"/>
      <c r="W338" s="18"/>
      <c r="X338" s="18"/>
    </row>
    <row r="339" ht="15.75" customHeight="1">
      <c r="A339" s="8">
        <v>90303.0</v>
      </c>
      <c r="B339" s="8">
        <v>413.0</v>
      </c>
      <c r="C339" s="8">
        <v>158.77778187394142</v>
      </c>
      <c r="D339" s="8">
        <v>1559.0</v>
      </c>
      <c r="E339" s="11">
        <f t="shared" si="1"/>
        <v>0.264913406</v>
      </c>
      <c r="F339" s="11">
        <f t="shared" si="2"/>
        <v>0.384449835</v>
      </c>
      <c r="G339" s="11">
        <f t="shared" si="3"/>
        <v>0.1018459152</v>
      </c>
      <c r="H339" s="8">
        <v>90303.0</v>
      </c>
      <c r="I339" s="8">
        <v>43.0</v>
      </c>
      <c r="J339" s="8">
        <v>17.666667103767395</v>
      </c>
      <c r="K339" s="8">
        <v>178.0</v>
      </c>
      <c r="L339" s="11">
        <f t="shared" si="4"/>
        <v>0.2415730337</v>
      </c>
      <c r="M339" s="11">
        <f t="shared" si="5"/>
        <v>0.4108527233</v>
      </c>
      <c r="N339" s="11">
        <f t="shared" si="6"/>
        <v>0.09925093879</v>
      </c>
      <c r="O339" s="18">
        <f t="shared" si="25"/>
        <v>0.9745205641</v>
      </c>
      <c r="U339" s="18"/>
      <c r="V339" s="18"/>
      <c r="W339" s="18"/>
      <c r="X339" s="18"/>
    </row>
    <row r="340" ht="15.75" customHeight="1">
      <c r="A340" s="8">
        <v>90401.0</v>
      </c>
      <c r="B340" s="8">
        <v>50.0</v>
      </c>
      <c r="C340" s="8">
        <v>19.666667103767395</v>
      </c>
      <c r="D340" s="8">
        <v>385.0</v>
      </c>
      <c r="E340" s="11">
        <f t="shared" si="1"/>
        <v>0.1298701299</v>
      </c>
      <c r="F340" s="11">
        <f t="shared" si="2"/>
        <v>0.3933333421</v>
      </c>
      <c r="G340" s="11">
        <f t="shared" si="3"/>
        <v>0.05108225222</v>
      </c>
      <c r="H340" s="8">
        <v>90401.0</v>
      </c>
      <c r="I340" s="8">
        <v>8.0</v>
      </c>
      <c r="J340" s="8">
        <v>3.333333373069763</v>
      </c>
      <c r="K340" s="8">
        <v>38.0</v>
      </c>
      <c r="L340" s="11">
        <f t="shared" si="4"/>
        <v>0.2105263158</v>
      </c>
      <c r="M340" s="11">
        <f t="shared" si="5"/>
        <v>0.4166666716</v>
      </c>
      <c r="N340" s="11">
        <f t="shared" si="6"/>
        <v>0.08771929929</v>
      </c>
      <c r="O340" s="18">
        <f t="shared" si="25"/>
        <v>1.717216753</v>
      </c>
      <c r="U340" s="18"/>
      <c r="V340" s="18"/>
      <c r="W340" s="18"/>
      <c r="X340" s="18"/>
    </row>
    <row r="341" ht="15.75" customHeight="1">
      <c r="A341" s="8">
        <v>90402.0</v>
      </c>
      <c r="B341" s="8">
        <v>118.0</v>
      </c>
      <c r="C341" s="8">
        <v>44.55555644631386</v>
      </c>
      <c r="D341" s="8">
        <v>432.0</v>
      </c>
      <c r="E341" s="11">
        <f t="shared" si="1"/>
        <v>0.2731481481</v>
      </c>
      <c r="F341" s="11">
        <f t="shared" si="2"/>
        <v>0.3775894614</v>
      </c>
      <c r="G341" s="11">
        <f t="shared" si="3"/>
        <v>0.1031378621</v>
      </c>
      <c r="H341" s="8">
        <v>90402.0</v>
      </c>
      <c r="I341" s="8">
        <v>54.0</v>
      </c>
      <c r="J341" s="8">
        <v>19.88888931274414</v>
      </c>
      <c r="K341" s="8">
        <v>124.0</v>
      </c>
      <c r="L341" s="11">
        <f t="shared" si="4"/>
        <v>0.435483871</v>
      </c>
      <c r="M341" s="11">
        <f t="shared" si="5"/>
        <v>0.3683127651</v>
      </c>
      <c r="N341" s="11">
        <f t="shared" si="6"/>
        <v>0.1603942687</v>
      </c>
      <c r="O341" s="18">
        <f t="shared" si="25"/>
        <v>1.555144399</v>
      </c>
      <c r="U341" s="18"/>
      <c r="V341" s="18"/>
      <c r="W341" s="18"/>
      <c r="X341" s="18"/>
    </row>
    <row r="342" ht="15.75" customHeight="1">
      <c r="A342" s="8">
        <v>90501.0</v>
      </c>
      <c r="B342" s="8">
        <v>61.0</v>
      </c>
      <c r="C342" s="8">
        <v>23.555556178092957</v>
      </c>
      <c r="D342" s="8">
        <v>243.0</v>
      </c>
      <c r="E342" s="11">
        <f t="shared" si="1"/>
        <v>0.2510288066</v>
      </c>
      <c r="F342" s="11">
        <f t="shared" si="2"/>
        <v>0.3861566587</v>
      </c>
      <c r="G342" s="11">
        <f t="shared" si="3"/>
        <v>0.09693644518</v>
      </c>
      <c r="H342" s="8">
        <v>90501.0</v>
      </c>
      <c r="I342" s="8">
        <v>3.0</v>
      </c>
      <c r="J342" s="8">
        <v>1.0000000298023224</v>
      </c>
      <c r="K342" s="8">
        <v>11.0</v>
      </c>
      <c r="L342" s="11">
        <f t="shared" si="4"/>
        <v>0.2727272727</v>
      </c>
      <c r="M342" s="11">
        <f t="shared" si="5"/>
        <v>0.3333333433</v>
      </c>
      <c r="N342" s="11">
        <f t="shared" si="6"/>
        <v>0.09090909362</v>
      </c>
      <c r="O342" s="18">
        <f t="shared" si="25"/>
        <v>0.9378216155</v>
      </c>
      <c r="U342" s="18"/>
      <c r="V342" s="18"/>
      <c r="W342" s="18"/>
      <c r="X342" s="18"/>
    </row>
    <row r="343" ht="15.75" customHeight="1">
      <c r="A343" s="8">
        <v>90502.0</v>
      </c>
      <c r="B343" s="8">
        <v>51.0</v>
      </c>
      <c r="C343" s="8">
        <v>18.44444489479065</v>
      </c>
      <c r="D343" s="8">
        <v>467.0</v>
      </c>
      <c r="E343" s="11">
        <f t="shared" si="1"/>
        <v>0.1092077088</v>
      </c>
      <c r="F343" s="11">
        <f t="shared" si="2"/>
        <v>0.3616557823</v>
      </c>
      <c r="G343" s="11">
        <f t="shared" si="3"/>
        <v>0.03949559935</v>
      </c>
      <c r="H343" s="8">
        <v>90502.0</v>
      </c>
      <c r="I343" s="8">
        <v>19.0</v>
      </c>
      <c r="J343" s="8">
        <v>6.333333522081375</v>
      </c>
      <c r="K343" s="8">
        <v>137.0</v>
      </c>
      <c r="L343" s="11">
        <f t="shared" si="4"/>
        <v>0.1386861314</v>
      </c>
      <c r="M343" s="11">
        <f t="shared" si="5"/>
        <v>0.3333333433</v>
      </c>
      <c r="N343" s="11">
        <f t="shared" si="6"/>
        <v>0.04622871184</v>
      </c>
      <c r="O343" s="18">
        <f t="shared" si="25"/>
        <v>1.170477537</v>
      </c>
      <c r="U343" s="18"/>
      <c r="V343" s="18"/>
      <c r="W343" s="18"/>
      <c r="X343" s="18"/>
    </row>
    <row r="344" ht="15.75" customHeight="1">
      <c r="A344" s="8">
        <v>90503.0</v>
      </c>
      <c r="B344" s="8">
        <v>80.0</v>
      </c>
      <c r="C344" s="8">
        <v>30.000000655651093</v>
      </c>
      <c r="D344" s="8">
        <v>311.0</v>
      </c>
      <c r="E344" s="11">
        <f t="shared" si="1"/>
        <v>0.2572347267</v>
      </c>
      <c r="F344" s="11">
        <f t="shared" si="2"/>
        <v>0.3750000082</v>
      </c>
      <c r="G344" s="11">
        <f t="shared" si="3"/>
        <v>0.09646302462</v>
      </c>
      <c r="H344" s="8">
        <v>90503.0</v>
      </c>
      <c r="I344" s="8">
        <v>10.0</v>
      </c>
      <c r="J344" s="8">
        <v>3.333333432674408</v>
      </c>
      <c r="K344" s="8">
        <v>50.0</v>
      </c>
      <c r="L344" s="11">
        <f t="shared" si="4"/>
        <v>0.2</v>
      </c>
      <c r="M344" s="11">
        <f t="shared" si="5"/>
        <v>0.3333333433</v>
      </c>
      <c r="N344" s="11">
        <f t="shared" si="6"/>
        <v>0.06666666865</v>
      </c>
      <c r="O344" s="18">
        <f t="shared" si="25"/>
        <v>0.6911111166</v>
      </c>
      <c r="U344" s="18"/>
      <c r="V344" s="18"/>
      <c r="W344" s="18"/>
      <c r="X344" s="18"/>
    </row>
    <row r="345" ht="15.75" customHeight="1">
      <c r="A345" s="19">
        <v>10.0</v>
      </c>
      <c r="B345" s="15">
        <f t="shared" ref="B345:D345" si="26">SUM(B246:B248)</f>
        <v>281</v>
      </c>
      <c r="C345" s="15">
        <f t="shared" si="26"/>
        <v>100.0000026</v>
      </c>
      <c r="D345" s="15">
        <f t="shared" si="26"/>
        <v>7393</v>
      </c>
      <c r="E345" s="11">
        <f t="shared" si="1"/>
        <v>0.03800892736</v>
      </c>
      <c r="F345" s="11">
        <f t="shared" si="2"/>
        <v>0.3558718953</v>
      </c>
      <c r="G345" s="11">
        <f t="shared" si="3"/>
        <v>0.01352630902</v>
      </c>
      <c r="I345" s="15">
        <f t="shared" ref="I345:K345" si="27">SUM(I246:I248)</f>
        <v>39</v>
      </c>
      <c r="J345" s="15">
        <f t="shared" si="27"/>
        <v>13.66666707</v>
      </c>
      <c r="K345" s="15">
        <f t="shared" si="27"/>
        <v>717</v>
      </c>
      <c r="L345" s="11">
        <f t="shared" si="4"/>
        <v>0.05439330544</v>
      </c>
      <c r="M345" s="11">
        <f t="shared" si="5"/>
        <v>0.3504273609</v>
      </c>
      <c r="N345" s="11">
        <f t="shared" si="6"/>
        <v>0.01906090247</v>
      </c>
      <c r="O345" s="18">
        <f t="shared" si="25"/>
        <v>1.409172483</v>
      </c>
      <c r="U345" s="18"/>
      <c r="V345" s="18"/>
      <c r="W345" s="18"/>
      <c r="X345" s="18"/>
    </row>
    <row r="346" ht="15.75" customHeight="1">
      <c r="A346" s="19">
        <v>11.0</v>
      </c>
      <c r="B346" s="15">
        <f t="shared" ref="B346:D346" si="28">SUM(B2:B344)</f>
        <v>54919</v>
      </c>
      <c r="C346" s="15">
        <f t="shared" si="28"/>
        <v>20284.55607</v>
      </c>
      <c r="D346" s="15">
        <f t="shared" si="28"/>
        <v>609949</v>
      </c>
      <c r="E346" s="11">
        <f t="shared" si="1"/>
        <v>0.09003867536</v>
      </c>
      <c r="F346" s="11">
        <f t="shared" si="2"/>
        <v>0.3693540681</v>
      </c>
      <c r="G346" s="11">
        <f t="shared" si="3"/>
        <v>0.03325615103</v>
      </c>
      <c r="I346" s="15">
        <f t="shared" ref="I346:K346" si="29">SUM(I2:I344)</f>
        <v>15121</v>
      </c>
      <c r="J346" s="15">
        <f t="shared" si="29"/>
        <v>5548.777916</v>
      </c>
      <c r="K346" s="15">
        <f t="shared" si="29"/>
        <v>98135</v>
      </c>
      <c r="L346" s="11">
        <f t="shared" si="4"/>
        <v>0.1540836603</v>
      </c>
      <c r="M346" s="11">
        <f t="shared" si="5"/>
        <v>0.3669583966</v>
      </c>
      <c r="N346" s="11">
        <f t="shared" si="6"/>
        <v>0.05654229292</v>
      </c>
      <c r="O346" s="18">
        <f t="shared" si="25"/>
        <v>1.700205561</v>
      </c>
      <c r="U346" s="18"/>
      <c r="V346" s="18"/>
      <c r="W346" s="18"/>
      <c r="X346" s="18"/>
    </row>
    <row r="347" ht="15.75" customHeight="1">
      <c r="E347" s="11"/>
      <c r="F347" s="11"/>
      <c r="G347" s="11"/>
      <c r="L347" s="11"/>
      <c r="M347" s="11"/>
      <c r="N347" s="11"/>
      <c r="O347" s="18"/>
      <c r="U347" s="18"/>
      <c r="V347" s="18"/>
      <c r="W347" s="18"/>
      <c r="X347" s="18"/>
    </row>
    <row r="348" ht="15.75" customHeight="1">
      <c r="E348" s="11"/>
      <c r="F348" s="11"/>
      <c r="G348" s="11"/>
      <c r="L348" s="11"/>
      <c r="M348" s="11"/>
      <c r="N348" s="11"/>
      <c r="O348" s="18"/>
      <c r="U348" s="18"/>
      <c r="V348" s="18"/>
      <c r="W348" s="18"/>
      <c r="X348" s="18"/>
    </row>
    <row r="349" ht="15.75" customHeight="1">
      <c r="E349" s="11"/>
      <c r="F349" s="11"/>
      <c r="G349" s="11"/>
      <c r="L349" s="11"/>
      <c r="M349" s="11"/>
      <c r="N349" s="11"/>
      <c r="O349" s="18"/>
      <c r="U349" s="18"/>
      <c r="V349" s="18"/>
      <c r="W349" s="18"/>
      <c r="X349" s="18"/>
    </row>
    <row r="350" ht="15.75" customHeight="1">
      <c r="E350" s="11"/>
      <c r="F350" s="11"/>
      <c r="G350" s="11"/>
      <c r="L350" s="11"/>
      <c r="M350" s="11"/>
      <c r="N350" s="11"/>
      <c r="O350" s="18"/>
      <c r="U350" s="18"/>
      <c r="V350" s="18"/>
      <c r="W350" s="18"/>
      <c r="X350" s="18"/>
    </row>
    <row r="351" ht="15.75" customHeight="1">
      <c r="E351" s="11"/>
      <c r="F351" s="11"/>
      <c r="G351" s="11"/>
      <c r="L351" s="11"/>
      <c r="M351" s="11"/>
      <c r="N351" s="11"/>
      <c r="O351" s="18"/>
      <c r="U351" s="18"/>
      <c r="V351" s="18"/>
      <c r="W351" s="18"/>
      <c r="X351" s="18"/>
    </row>
    <row r="352" ht="15.75" customHeight="1">
      <c r="E352" s="11"/>
      <c r="F352" s="11"/>
      <c r="G352" s="11"/>
      <c r="L352" s="11"/>
      <c r="M352" s="11"/>
      <c r="N352" s="11"/>
      <c r="O352" s="18"/>
      <c r="U352" s="18"/>
      <c r="V352" s="18"/>
      <c r="W352" s="18"/>
      <c r="X352" s="18"/>
    </row>
    <row r="353" ht="15.75" customHeight="1">
      <c r="E353" s="11"/>
      <c r="F353" s="11"/>
      <c r="G353" s="11"/>
      <c r="L353" s="11"/>
      <c r="M353" s="11"/>
      <c r="N353" s="11"/>
      <c r="O353" s="18"/>
      <c r="U353" s="18"/>
      <c r="V353" s="18"/>
      <c r="W353" s="18"/>
      <c r="X353" s="18"/>
    </row>
    <row r="354" ht="15.75" customHeight="1">
      <c r="E354" s="11"/>
      <c r="F354" s="11"/>
      <c r="G354" s="11"/>
      <c r="L354" s="11"/>
      <c r="M354" s="11"/>
      <c r="N354" s="11"/>
      <c r="O354" s="18"/>
      <c r="U354" s="18"/>
      <c r="V354" s="18"/>
      <c r="W354" s="18"/>
      <c r="X354" s="18"/>
    </row>
    <row r="355" ht="15.75" customHeight="1">
      <c r="E355" s="11"/>
      <c r="F355" s="11"/>
      <c r="G355" s="11"/>
      <c r="L355" s="11"/>
      <c r="M355" s="11"/>
      <c r="N355" s="11"/>
      <c r="O355" s="18"/>
      <c r="U355" s="18"/>
      <c r="V355" s="18"/>
      <c r="W355" s="18"/>
      <c r="X355" s="18"/>
    </row>
    <row r="356" ht="15.75" customHeight="1">
      <c r="E356" s="11"/>
      <c r="F356" s="11"/>
      <c r="G356" s="11"/>
      <c r="L356" s="11"/>
      <c r="M356" s="11"/>
      <c r="N356" s="11"/>
      <c r="O356" s="18"/>
      <c r="U356" s="18"/>
      <c r="V356" s="18"/>
      <c r="W356" s="18"/>
      <c r="X356" s="18"/>
    </row>
    <row r="357" ht="15.75" customHeight="1">
      <c r="E357" s="11"/>
      <c r="F357" s="11"/>
      <c r="G357" s="11"/>
      <c r="L357" s="11"/>
      <c r="M357" s="11"/>
      <c r="N357" s="11"/>
      <c r="O357" s="18"/>
      <c r="U357" s="18"/>
      <c r="V357" s="18"/>
      <c r="W357" s="18"/>
      <c r="X357" s="18"/>
    </row>
    <row r="358" ht="15.75" customHeight="1">
      <c r="E358" s="11"/>
      <c r="F358" s="11"/>
      <c r="G358" s="11"/>
      <c r="L358" s="11"/>
      <c r="M358" s="11"/>
      <c r="N358" s="11"/>
      <c r="O358" s="18"/>
      <c r="U358" s="18"/>
      <c r="V358" s="18"/>
      <c r="W358" s="18"/>
      <c r="X358" s="18"/>
    </row>
    <row r="359" ht="15.75" customHeight="1">
      <c r="E359" s="11"/>
      <c r="F359" s="11"/>
      <c r="G359" s="11"/>
      <c r="L359" s="11"/>
      <c r="M359" s="11"/>
      <c r="N359" s="11"/>
      <c r="O359" s="18"/>
      <c r="U359" s="18"/>
      <c r="V359" s="18"/>
      <c r="W359" s="18"/>
      <c r="X359" s="18"/>
    </row>
    <row r="360" ht="15.75" customHeight="1">
      <c r="E360" s="11"/>
      <c r="F360" s="11"/>
      <c r="G360" s="11"/>
      <c r="L360" s="11"/>
      <c r="M360" s="11"/>
      <c r="N360" s="11"/>
      <c r="O360" s="18"/>
      <c r="U360" s="18"/>
      <c r="V360" s="18"/>
      <c r="W360" s="18"/>
      <c r="X360" s="18"/>
    </row>
    <row r="361" ht="15.75" customHeight="1">
      <c r="E361" s="11"/>
      <c r="F361" s="11"/>
      <c r="G361" s="11"/>
      <c r="L361" s="11"/>
      <c r="M361" s="11"/>
      <c r="N361" s="11"/>
      <c r="O361" s="18"/>
      <c r="U361" s="18"/>
      <c r="V361" s="18"/>
      <c r="W361" s="18"/>
      <c r="X361" s="18"/>
    </row>
    <row r="362" ht="15.75" customHeight="1">
      <c r="E362" s="11"/>
      <c r="F362" s="11"/>
      <c r="G362" s="11"/>
      <c r="L362" s="11"/>
      <c r="M362" s="11"/>
      <c r="N362" s="11"/>
      <c r="O362" s="18"/>
      <c r="U362" s="18"/>
      <c r="V362" s="18"/>
      <c r="W362" s="18"/>
      <c r="X362" s="18"/>
    </row>
    <row r="363" ht="15.75" customHeight="1">
      <c r="E363" s="11"/>
      <c r="F363" s="11"/>
      <c r="G363" s="11"/>
      <c r="L363" s="11"/>
      <c r="M363" s="11"/>
      <c r="N363" s="11"/>
      <c r="O363" s="18"/>
      <c r="U363" s="18"/>
      <c r="V363" s="18"/>
      <c r="W363" s="18"/>
      <c r="X363" s="18"/>
    </row>
    <row r="364" ht="15.75" customHeight="1">
      <c r="E364" s="11"/>
      <c r="F364" s="11"/>
      <c r="G364" s="11"/>
      <c r="L364" s="11"/>
      <c r="M364" s="11"/>
      <c r="N364" s="11"/>
      <c r="O364" s="18"/>
      <c r="U364" s="18"/>
      <c r="V364" s="18"/>
      <c r="W364" s="18"/>
      <c r="X364" s="18"/>
    </row>
    <row r="365" ht="15.75" customHeight="1">
      <c r="E365" s="11"/>
      <c r="F365" s="11"/>
      <c r="G365" s="11"/>
      <c r="L365" s="11"/>
      <c r="M365" s="11"/>
      <c r="N365" s="11"/>
      <c r="O365" s="18"/>
      <c r="U365" s="18"/>
      <c r="V365" s="18"/>
      <c r="W365" s="18"/>
      <c r="X365" s="18"/>
    </row>
    <row r="366" ht="15.75" customHeight="1">
      <c r="E366" s="11"/>
      <c r="F366" s="11"/>
      <c r="G366" s="11"/>
      <c r="L366" s="11"/>
      <c r="M366" s="11"/>
      <c r="N366" s="11"/>
      <c r="O366" s="18"/>
      <c r="U366" s="18"/>
      <c r="V366" s="18"/>
      <c r="W366" s="18"/>
      <c r="X366" s="18"/>
    </row>
    <row r="367" ht="15.75" customHeight="1">
      <c r="E367" s="11"/>
      <c r="F367" s="11"/>
      <c r="G367" s="11"/>
      <c r="L367" s="11"/>
      <c r="M367" s="11"/>
      <c r="N367" s="11"/>
      <c r="O367" s="18"/>
      <c r="U367" s="18"/>
      <c r="V367" s="18"/>
      <c r="W367" s="18"/>
      <c r="X367" s="18"/>
    </row>
    <row r="368" ht="15.75" customHeight="1">
      <c r="E368" s="11"/>
      <c r="F368" s="11"/>
      <c r="G368" s="11"/>
      <c r="L368" s="11"/>
      <c r="M368" s="11"/>
      <c r="N368" s="11"/>
      <c r="O368" s="18"/>
      <c r="U368" s="18"/>
      <c r="V368" s="18"/>
      <c r="W368" s="18"/>
      <c r="X368" s="18"/>
    </row>
    <row r="369" ht="15.75" customHeight="1">
      <c r="E369" s="11"/>
      <c r="F369" s="11"/>
      <c r="G369" s="11"/>
      <c r="L369" s="11"/>
      <c r="M369" s="11"/>
      <c r="N369" s="11"/>
      <c r="O369" s="18"/>
      <c r="U369" s="18"/>
      <c r="V369" s="18"/>
      <c r="W369" s="18"/>
      <c r="X369" s="18"/>
    </row>
    <row r="370" ht="15.75" customHeight="1">
      <c r="E370" s="11"/>
      <c r="F370" s="11"/>
      <c r="G370" s="11"/>
      <c r="L370" s="11"/>
      <c r="M370" s="11"/>
      <c r="N370" s="11"/>
      <c r="O370" s="18"/>
      <c r="U370" s="18"/>
      <c r="V370" s="18"/>
      <c r="W370" s="18"/>
      <c r="X370" s="18"/>
    </row>
    <row r="371" ht="15.75" customHeight="1">
      <c r="E371" s="11"/>
      <c r="F371" s="11"/>
      <c r="G371" s="11"/>
      <c r="L371" s="11"/>
      <c r="M371" s="11"/>
      <c r="N371" s="11"/>
      <c r="O371" s="18"/>
      <c r="U371" s="18"/>
      <c r="V371" s="18"/>
      <c r="W371" s="18"/>
      <c r="X371" s="18"/>
    </row>
    <row r="372" ht="15.75" customHeight="1">
      <c r="E372" s="11"/>
      <c r="F372" s="11"/>
      <c r="G372" s="11"/>
      <c r="L372" s="11"/>
      <c r="M372" s="11"/>
      <c r="N372" s="11"/>
      <c r="O372" s="18"/>
      <c r="U372" s="18"/>
      <c r="V372" s="18"/>
      <c r="W372" s="18"/>
      <c r="X372" s="18"/>
    </row>
    <row r="373" ht="15.75" customHeight="1">
      <c r="E373" s="11"/>
      <c r="F373" s="11"/>
      <c r="G373" s="11"/>
      <c r="L373" s="11"/>
      <c r="M373" s="11"/>
      <c r="N373" s="11"/>
      <c r="O373" s="18"/>
      <c r="U373" s="18"/>
      <c r="V373" s="18"/>
      <c r="W373" s="18"/>
      <c r="X373" s="18"/>
    </row>
    <row r="374" ht="15.75" customHeight="1">
      <c r="E374" s="11"/>
      <c r="F374" s="11"/>
      <c r="G374" s="11"/>
      <c r="L374" s="11"/>
      <c r="M374" s="11"/>
      <c r="N374" s="11"/>
      <c r="O374" s="18"/>
      <c r="U374" s="18"/>
      <c r="V374" s="18"/>
      <c r="W374" s="18"/>
      <c r="X374" s="18"/>
    </row>
    <row r="375" ht="15.75" customHeight="1">
      <c r="E375" s="11"/>
      <c r="F375" s="11"/>
      <c r="G375" s="11"/>
      <c r="L375" s="11"/>
      <c r="M375" s="11"/>
      <c r="N375" s="11"/>
      <c r="O375" s="18"/>
      <c r="U375" s="18"/>
      <c r="V375" s="18"/>
      <c r="W375" s="18"/>
      <c r="X375" s="18"/>
    </row>
    <row r="376" ht="15.75" customHeight="1">
      <c r="E376" s="11"/>
      <c r="F376" s="11"/>
      <c r="G376" s="11"/>
      <c r="L376" s="11"/>
      <c r="M376" s="11"/>
      <c r="N376" s="11"/>
      <c r="O376" s="18"/>
      <c r="U376" s="18"/>
      <c r="V376" s="18"/>
      <c r="W376" s="18"/>
      <c r="X376" s="18"/>
    </row>
    <row r="377" ht="15.75" customHeight="1">
      <c r="E377" s="11"/>
      <c r="F377" s="11"/>
      <c r="G377" s="11"/>
      <c r="L377" s="11"/>
      <c r="M377" s="11"/>
      <c r="N377" s="11"/>
      <c r="O377" s="18"/>
      <c r="U377" s="18"/>
      <c r="V377" s="18"/>
      <c r="W377" s="18"/>
      <c r="X377" s="18"/>
    </row>
    <row r="378" ht="15.75" customHeight="1">
      <c r="E378" s="11"/>
      <c r="F378" s="11"/>
      <c r="G378" s="11"/>
      <c r="L378" s="11"/>
      <c r="M378" s="11"/>
      <c r="N378" s="11"/>
      <c r="O378" s="18"/>
      <c r="U378" s="18"/>
      <c r="V378" s="18"/>
      <c r="W378" s="18"/>
      <c r="X378" s="18"/>
    </row>
    <row r="379" ht="15.75" customHeight="1">
      <c r="E379" s="11"/>
      <c r="F379" s="11"/>
      <c r="G379" s="11"/>
      <c r="L379" s="11"/>
      <c r="M379" s="11"/>
      <c r="N379" s="11"/>
      <c r="O379" s="18"/>
      <c r="U379" s="18"/>
      <c r="V379" s="18"/>
      <c r="W379" s="18"/>
      <c r="X379" s="18"/>
    </row>
    <row r="380" ht="15.75" customHeight="1">
      <c r="E380" s="11"/>
      <c r="F380" s="11"/>
      <c r="G380" s="11"/>
      <c r="L380" s="11"/>
      <c r="M380" s="11"/>
      <c r="N380" s="11"/>
      <c r="O380" s="18"/>
      <c r="U380" s="18"/>
      <c r="V380" s="18"/>
      <c r="W380" s="18"/>
      <c r="X380" s="18"/>
    </row>
    <row r="381" ht="15.75" customHeight="1">
      <c r="E381" s="11"/>
      <c r="F381" s="11"/>
      <c r="G381" s="11"/>
      <c r="L381" s="11"/>
      <c r="M381" s="11"/>
      <c r="N381" s="11"/>
      <c r="O381" s="18"/>
      <c r="U381" s="18"/>
      <c r="V381" s="18"/>
      <c r="W381" s="18"/>
      <c r="X381" s="18"/>
    </row>
    <row r="382" ht="15.75" customHeight="1">
      <c r="E382" s="11"/>
      <c r="F382" s="11"/>
      <c r="G382" s="11"/>
      <c r="L382" s="11"/>
      <c r="M382" s="11"/>
      <c r="N382" s="11"/>
      <c r="O382" s="18"/>
      <c r="U382" s="18"/>
      <c r="V382" s="18"/>
      <c r="W382" s="18"/>
      <c r="X382" s="18"/>
    </row>
    <row r="383" ht="15.75" customHeight="1">
      <c r="E383" s="11"/>
      <c r="F383" s="11"/>
      <c r="G383" s="11"/>
      <c r="L383" s="11"/>
      <c r="M383" s="11"/>
      <c r="N383" s="11"/>
      <c r="O383" s="18"/>
      <c r="U383" s="18"/>
      <c r="V383" s="18"/>
      <c r="W383" s="18"/>
      <c r="X383" s="18"/>
    </row>
    <row r="384" ht="15.75" customHeight="1">
      <c r="E384" s="11"/>
      <c r="F384" s="11"/>
      <c r="G384" s="11"/>
      <c r="L384" s="11"/>
      <c r="M384" s="11"/>
      <c r="N384" s="11"/>
      <c r="O384" s="18"/>
      <c r="U384" s="18"/>
      <c r="V384" s="18"/>
      <c r="W384" s="18"/>
      <c r="X384" s="18"/>
    </row>
    <row r="385" ht="15.75" customHeight="1">
      <c r="E385" s="11"/>
      <c r="F385" s="11"/>
      <c r="G385" s="11"/>
      <c r="L385" s="11"/>
      <c r="M385" s="11"/>
      <c r="N385" s="11"/>
      <c r="O385" s="18"/>
      <c r="U385" s="18"/>
      <c r="V385" s="18"/>
      <c r="W385" s="18"/>
      <c r="X385" s="18"/>
    </row>
    <row r="386" ht="15.75" customHeight="1">
      <c r="E386" s="11"/>
      <c r="F386" s="11"/>
      <c r="G386" s="11"/>
      <c r="L386" s="11"/>
      <c r="M386" s="11"/>
      <c r="N386" s="11"/>
      <c r="O386" s="18"/>
      <c r="U386" s="18"/>
      <c r="V386" s="18"/>
      <c r="W386" s="18"/>
      <c r="X386" s="18"/>
    </row>
    <row r="387" ht="15.75" customHeight="1">
      <c r="E387" s="11"/>
      <c r="F387" s="11"/>
      <c r="G387" s="11"/>
      <c r="L387" s="11"/>
      <c r="M387" s="11"/>
      <c r="N387" s="11"/>
      <c r="O387" s="18"/>
      <c r="U387" s="18"/>
      <c r="V387" s="18"/>
      <c r="W387" s="18"/>
      <c r="X387" s="18"/>
    </row>
    <row r="388" ht="15.75" customHeight="1">
      <c r="E388" s="11"/>
      <c r="F388" s="11"/>
      <c r="G388" s="11"/>
      <c r="L388" s="11"/>
      <c r="M388" s="11"/>
      <c r="N388" s="11"/>
      <c r="O388" s="18"/>
      <c r="U388" s="18"/>
      <c r="V388" s="18"/>
      <c r="W388" s="18"/>
      <c r="X388" s="18"/>
    </row>
    <row r="389" ht="15.75" customHeight="1">
      <c r="E389" s="11"/>
      <c r="F389" s="11"/>
      <c r="G389" s="11"/>
      <c r="L389" s="11"/>
      <c r="M389" s="11"/>
      <c r="N389" s="11"/>
      <c r="O389" s="18"/>
      <c r="U389" s="18"/>
      <c r="V389" s="18"/>
      <c r="W389" s="18"/>
      <c r="X389" s="18"/>
    </row>
    <row r="390" ht="15.75" customHeight="1">
      <c r="E390" s="11"/>
      <c r="F390" s="11"/>
      <c r="G390" s="11"/>
      <c r="L390" s="11"/>
      <c r="M390" s="11"/>
      <c r="N390" s="11"/>
      <c r="O390" s="18"/>
      <c r="U390" s="18"/>
      <c r="V390" s="18"/>
      <c r="W390" s="18"/>
      <c r="X390" s="18"/>
    </row>
    <row r="391" ht="15.75" customHeight="1">
      <c r="E391" s="11"/>
      <c r="F391" s="11"/>
      <c r="G391" s="11"/>
      <c r="L391" s="11"/>
      <c r="M391" s="11"/>
      <c r="N391" s="11"/>
      <c r="O391" s="18"/>
      <c r="U391" s="18"/>
      <c r="V391" s="18"/>
      <c r="W391" s="18"/>
      <c r="X391" s="18"/>
    </row>
    <row r="392" ht="15.75" customHeight="1">
      <c r="E392" s="11"/>
      <c r="F392" s="11"/>
      <c r="G392" s="11"/>
      <c r="L392" s="11"/>
      <c r="M392" s="11"/>
      <c r="N392" s="11"/>
      <c r="O392" s="18"/>
      <c r="U392" s="18"/>
      <c r="V392" s="18"/>
      <c r="W392" s="18"/>
      <c r="X392" s="18"/>
    </row>
    <row r="393" ht="15.75" customHeight="1">
      <c r="E393" s="11"/>
      <c r="F393" s="11"/>
      <c r="G393" s="11"/>
      <c r="L393" s="11"/>
      <c r="M393" s="11"/>
      <c r="N393" s="11"/>
      <c r="O393" s="18"/>
      <c r="U393" s="18"/>
      <c r="V393" s="18"/>
      <c r="W393" s="18"/>
      <c r="X393" s="18"/>
    </row>
    <row r="394" ht="15.75" customHeight="1">
      <c r="E394" s="11"/>
      <c r="F394" s="11"/>
      <c r="G394" s="11"/>
      <c r="L394" s="11"/>
      <c r="M394" s="11"/>
      <c r="N394" s="11"/>
      <c r="O394" s="18"/>
      <c r="U394" s="18"/>
      <c r="V394" s="18"/>
      <c r="W394" s="18"/>
      <c r="X394" s="18"/>
    </row>
    <row r="395" ht="15.75" customHeight="1">
      <c r="E395" s="11"/>
      <c r="F395" s="11"/>
      <c r="G395" s="11"/>
      <c r="L395" s="11"/>
      <c r="M395" s="11"/>
      <c r="N395" s="11"/>
      <c r="O395" s="18"/>
      <c r="U395" s="18"/>
      <c r="V395" s="18"/>
      <c r="W395" s="18"/>
      <c r="X395" s="18"/>
    </row>
    <row r="396" ht="15.75" customHeight="1">
      <c r="E396" s="11"/>
      <c r="F396" s="11"/>
      <c r="G396" s="11"/>
      <c r="L396" s="11"/>
      <c r="M396" s="11"/>
      <c r="N396" s="11"/>
      <c r="O396" s="18"/>
      <c r="U396" s="18"/>
      <c r="V396" s="18"/>
      <c r="W396" s="18"/>
      <c r="X396" s="18"/>
    </row>
    <row r="397" ht="15.75" customHeight="1">
      <c r="E397" s="11"/>
      <c r="F397" s="11"/>
      <c r="G397" s="11"/>
      <c r="L397" s="11"/>
      <c r="M397" s="11"/>
      <c r="N397" s="11"/>
      <c r="O397" s="18"/>
      <c r="U397" s="18"/>
      <c r="V397" s="18"/>
      <c r="W397" s="18"/>
      <c r="X397" s="18"/>
    </row>
    <row r="398" ht="15.75" customHeight="1">
      <c r="E398" s="11"/>
      <c r="F398" s="11"/>
      <c r="G398" s="11"/>
      <c r="L398" s="11"/>
      <c r="M398" s="11"/>
      <c r="N398" s="11"/>
      <c r="O398" s="18"/>
      <c r="U398" s="18"/>
      <c r="V398" s="18"/>
      <c r="W398" s="18"/>
      <c r="X398" s="18"/>
    </row>
    <row r="399" ht="15.75" customHeight="1">
      <c r="E399" s="11"/>
      <c r="F399" s="11"/>
      <c r="G399" s="11"/>
      <c r="L399" s="11"/>
      <c r="M399" s="11"/>
      <c r="N399" s="11"/>
      <c r="O399" s="18"/>
      <c r="U399" s="18"/>
      <c r="V399" s="18"/>
      <c r="W399" s="18"/>
      <c r="X399" s="18"/>
    </row>
    <row r="400" ht="15.75" customHeight="1">
      <c r="E400" s="11"/>
      <c r="F400" s="11"/>
      <c r="G400" s="11"/>
      <c r="L400" s="11"/>
      <c r="M400" s="11"/>
      <c r="N400" s="11"/>
      <c r="O400" s="18"/>
      <c r="U400" s="18"/>
      <c r="V400" s="18"/>
      <c r="W400" s="18"/>
      <c r="X400" s="18"/>
    </row>
    <row r="401" ht="15.75" customHeight="1">
      <c r="E401" s="11"/>
      <c r="F401" s="11"/>
      <c r="G401" s="11"/>
      <c r="L401" s="11"/>
      <c r="M401" s="11"/>
      <c r="N401" s="11"/>
      <c r="O401" s="18"/>
      <c r="U401" s="18"/>
      <c r="V401" s="18"/>
      <c r="W401" s="18"/>
      <c r="X401" s="18"/>
    </row>
    <row r="402" ht="15.75" customHeight="1">
      <c r="E402" s="11"/>
      <c r="F402" s="11"/>
      <c r="G402" s="11"/>
      <c r="L402" s="11"/>
      <c r="M402" s="11"/>
      <c r="N402" s="11"/>
      <c r="O402" s="18"/>
      <c r="U402" s="18"/>
      <c r="V402" s="18"/>
      <c r="W402" s="18"/>
      <c r="X402" s="18"/>
    </row>
    <row r="403" ht="15.75" customHeight="1">
      <c r="E403" s="11"/>
      <c r="F403" s="11"/>
      <c r="G403" s="11"/>
      <c r="L403" s="11"/>
      <c r="M403" s="11"/>
      <c r="N403" s="11"/>
      <c r="O403" s="18"/>
      <c r="U403" s="18"/>
      <c r="V403" s="18"/>
      <c r="W403" s="18"/>
      <c r="X403" s="18"/>
    </row>
    <row r="404" ht="15.75" customHeight="1">
      <c r="E404" s="11"/>
      <c r="F404" s="11"/>
      <c r="G404" s="11"/>
      <c r="L404" s="11"/>
      <c r="M404" s="11"/>
      <c r="N404" s="11"/>
      <c r="O404" s="18"/>
      <c r="U404" s="18"/>
      <c r="V404" s="18"/>
      <c r="W404" s="18"/>
      <c r="X404" s="18"/>
    </row>
    <row r="405" ht="15.75" customHeight="1">
      <c r="E405" s="11"/>
      <c r="F405" s="11"/>
      <c r="G405" s="11"/>
      <c r="L405" s="11"/>
      <c r="M405" s="11"/>
      <c r="N405" s="11"/>
      <c r="O405" s="18"/>
      <c r="U405" s="18"/>
      <c r="V405" s="18"/>
      <c r="W405" s="18"/>
      <c r="X405" s="18"/>
    </row>
    <row r="406" ht="15.75" customHeight="1">
      <c r="E406" s="11"/>
      <c r="F406" s="11"/>
      <c r="G406" s="11"/>
      <c r="L406" s="11"/>
      <c r="M406" s="11"/>
      <c r="N406" s="11"/>
      <c r="O406" s="18"/>
      <c r="U406" s="18"/>
      <c r="V406" s="18"/>
      <c r="W406" s="18"/>
      <c r="X406" s="18"/>
    </row>
    <row r="407" ht="15.75" customHeight="1">
      <c r="E407" s="11"/>
      <c r="F407" s="11"/>
      <c r="G407" s="11"/>
      <c r="L407" s="11"/>
      <c r="M407" s="11"/>
      <c r="N407" s="11"/>
      <c r="O407" s="18"/>
      <c r="U407" s="18"/>
      <c r="V407" s="18"/>
      <c r="W407" s="18"/>
      <c r="X407" s="18"/>
    </row>
    <row r="408" ht="15.75" customHeight="1">
      <c r="E408" s="11"/>
      <c r="F408" s="11"/>
      <c r="G408" s="11"/>
      <c r="L408" s="11"/>
      <c r="M408" s="11"/>
      <c r="N408" s="11"/>
      <c r="O408" s="18"/>
      <c r="U408" s="18"/>
      <c r="V408" s="18"/>
      <c r="W408" s="18"/>
      <c r="X408" s="18"/>
    </row>
    <row r="409" ht="15.75" customHeight="1">
      <c r="E409" s="11"/>
      <c r="F409" s="11"/>
      <c r="G409" s="11"/>
      <c r="L409" s="11"/>
      <c r="M409" s="11"/>
      <c r="N409" s="11"/>
      <c r="O409" s="18"/>
      <c r="U409" s="18"/>
      <c r="V409" s="18"/>
      <c r="W409" s="18"/>
      <c r="X409" s="18"/>
    </row>
    <row r="410" ht="15.75" customHeight="1">
      <c r="E410" s="11"/>
      <c r="F410" s="11"/>
      <c r="G410" s="11"/>
      <c r="L410" s="11"/>
      <c r="M410" s="11"/>
      <c r="N410" s="11"/>
      <c r="O410" s="18"/>
      <c r="U410" s="18"/>
      <c r="V410" s="18"/>
      <c r="W410" s="18"/>
      <c r="X410" s="18"/>
    </row>
    <row r="411" ht="15.75" customHeight="1">
      <c r="E411" s="11"/>
      <c r="F411" s="11"/>
      <c r="G411" s="11"/>
      <c r="L411" s="11"/>
      <c r="M411" s="11"/>
      <c r="N411" s="11"/>
      <c r="O411" s="18"/>
      <c r="U411" s="18"/>
      <c r="V411" s="18"/>
      <c r="W411" s="18"/>
      <c r="X411" s="18"/>
    </row>
    <row r="412" ht="15.75" customHeight="1">
      <c r="E412" s="11"/>
      <c r="F412" s="11"/>
      <c r="G412" s="11"/>
      <c r="L412" s="11"/>
      <c r="M412" s="11"/>
      <c r="N412" s="11"/>
      <c r="O412" s="18"/>
      <c r="U412" s="18"/>
      <c r="V412" s="18"/>
      <c r="W412" s="18"/>
      <c r="X412" s="18"/>
    </row>
    <row r="413" ht="15.75" customHeight="1">
      <c r="E413" s="11"/>
      <c r="F413" s="11"/>
      <c r="G413" s="11"/>
      <c r="L413" s="11"/>
      <c r="M413" s="11"/>
      <c r="N413" s="11"/>
      <c r="O413" s="18"/>
      <c r="U413" s="18"/>
      <c r="V413" s="18"/>
      <c r="W413" s="18"/>
      <c r="X413" s="18"/>
    </row>
    <row r="414" ht="15.75" customHeight="1">
      <c r="E414" s="11"/>
      <c r="F414" s="11"/>
      <c r="G414" s="11"/>
      <c r="L414" s="11"/>
      <c r="M414" s="11"/>
      <c r="N414" s="11"/>
      <c r="O414" s="18"/>
      <c r="U414" s="18"/>
      <c r="V414" s="18"/>
      <c r="W414" s="18"/>
      <c r="X414" s="18"/>
    </row>
    <row r="415" ht="15.75" customHeight="1">
      <c r="E415" s="11"/>
      <c r="F415" s="11"/>
      <c r="G415" s="11"/>
      <c r="L415" s="11"/>
      <c r="M415" s="11"/>
      <c r="N415" s="11"/>
      <c r="O415" s="18"/>
      <c r="U415" s="18"/>
      <c r="V415" s="18"/>
      <c r="W415" s="18"/>
      <c r="X415" s="18"/>
    </row>
    <row r="416" ht="15.75" customHeight="1">
      <c r="E416" s="11"/>
      <c r="F416" s="11"/>
      <c r="G416" s="11"/>
      <c r="L416" s="11"/>
      <c r="M416" s="11"/>
      <c r="N416" s="11"/>
      <c r="O416" s="18"/>
      <c r="U416" s="18"/>
      <c r="V416" s="18"/>
      <c r="W416" s="18"/>
      <c r="X416" s="18"/>
    </row>
    <row r="417" ht="15.75" customHeight="1">
      <c r="E417" s="11"/>
      <c r="F417" s="11"/>
      <c r="G417" s="11"/>
      <c r="L417" s="11"/>
      <c r="M417" s="11"/>
      <c r="N417" s="11"/>
      <c r="O417" s="18"/>
      <c r="U417" s="18"/>
      <c r="V417" s="18"/>
      <c r="W417" s="18"/>
      <c r="X417" s="18"/>
    </row>
    <row r="418" ht="15.75" customHeight="1">
      <c r="E418" s="11"/>
      <c r="F418" s="11"/>
      <c r="G418" s="11"/>
      <c r="L418" s="11"/>
      <c r="M418" s="11"/>
      <c r="N418" s="11"/>
      <c r="O418" s="18"/>
      <c r="U418" s="18"/>
      <c r="V418" s="18"/>
      <c r="W418" s="18"/>
      <c r="X418" s="18"/>
    </row>
    <row r="419" ht="15.75" customHeight="1">
      <c r="E419" s="11"/>
      <c r="F419" s="11"/>
      <c r="G419" s="11"/>
      <c r="L419" s="11"/>
      <c r="M419" s="11"/>
      <c r="N419" s="11"/>
      <c r="O419" s="18"/>
      <c r="U419" s="18"/>
      <c r="V419" s="18"/>
      <c r="W419" s="18"/>
      <c r="X419" s="18"/>
    </row>
    <row r="420" ht="15.75" customHeight="1">
      <c r="E420" s="11"/>
      <c r="F420" s="11"/>
      <c r="G420" s="11"/>
      <c r="L420" s="11"/>
      <c r="M420" s="11"/>
      <c r="N420" s="11"/>
      <c r="O420" s="18"/>
      <c r="U420" s="18"/>
      <c r="V420" s="18"/>
      <c r="W420" s="18"/>
      <c r="X420" s="18"/>
    </row>
    <row r="421" ht="15.75" customHeight="1">
      <c r="E421" s="11"/>
      <c r="F421" s="11"/>
      <c r="G421" s="11"/>
      <c r="L421" s="11"/>
      <c r="M421" s="11"/>
      <c r="N421" s="11"/>
      <c r="O421" s="18"/>
      <c r="U421" s="18"/>
      <c r="V421" s="18"/>
      <c r="W421" s="18"/>
      <c r="X421" s="18"/>
    </row>
    <row r="422" ht="15.75" customHeight="1">
      <c r="E422" s="11"/>
      <c r="F422" s="11"/>
      <c r="G422" s="11"/>
      <c r="L422" s="11"/>
      <c r="M422" s="11"/>
      <c r="N422" s="11"/>
      <c r="O422" s="18"/>
      <c r="U422" s="18"/>
      <c r="V422" s="18"/>
      <c r="W422" s="18"/>
      <c r="X422" s="18"/>
    </row>
    <row r="423" ht="15.75" customHeight="1">
      <c r="E423" s="11"/>
      <c r="F423" s="11"/>
      <c r="G423" s="11"/>
      <c r="L423" s="11"/>
      <c r="M423" s="11"/>
      <c r="N423" s="11"/>
      <c r="O423" s="18"/>
      <c r="U423" s="18"/>
      <c r="V423" s="18"/>
      <c r="W423" s="18"/>
      <c r="X423" s="18"/>
    </row>
    <row r="424" ht="15.75" customHeight="1">
      <c r="E424" s="11"/>
      <c r="F424" s="11"/>
      <c r="G424" s="11"/>
      <c r="L424" s="11"/>
      <c r="M424" s="11"/>
      <c r="N424" s="11"/>
      <c r="O424" s="18"/>
      <c r="U424" s="18"/>
      <c r="V424" s="18"/>
      <c r="W424" s="18"/>
      <c r="X424" s="18"/>
    </row>
    <row r="425" ht="15.75" customHeight="1">
      <c r="E425" s="11"/>
      <c r="F425" s="11"/>
      <c r="G425" s="11"/>
      <c r="L425" s="11"/>
      <c r="M425" s="11"/>
      <c r="N425" s="11"/>
      <c r="O425" s="18"/>
      <c r="U425" s="18"/>
      <c r="V425" s="18"/>
      <c r="W425" s="18"/>
      <c r="X425" s="18"/>
    </row>
    <row r="426" ht="15.75" customHeight="1">
      <c r="E426" s="11"/>
      <c r="F426" s="11"/>
      <c r="G426" s="11"/>
      <c r="L426" s="11"/>
      <c r="M426" s="11"/>
      <c r="N426" s="11"/>
      <c r="O426" s="18"/>
      <c r="U426" s="18"/>
      <c r="V426" s="18"/>
      <c r="W426" s="18"/>
      <c r="X426" s="18"/>
    </row>
    <row r="427" ht="15.75" customHeight="1">
      <c r="E427" s="11"/>
      <c r="F427" s="11"/>
      <c r="G427" s="11"/>
      <c r="L427" s="11"/>
      <c r="M427" s="11"/>
      <c r="N427" s="11"/>
      <c r="O427" s="18"/>
      <c r="U427" s="18"/>
      <c r="V427" s="18"/>
      <c r="W427" s="18"/>
      <c r="X427" s="18"/>
    </row>
    <row r="428" ht="15.75" customHeight="1">
      <c r="E428" s="11"/>
      <c r="F428" s="11"/>
      <c r="G428" s="11"/>
      <c r="L428" s="11"/>
      <c r="M428" s="11"/>
      <c r="N428" s="11"/>
      <c r="O428" s="18"/>
      <c r="U428" s="18"/>
      <c r="V428" s="18"/>
      <c r="W428" s="18"/>
      <c r="X428" s="18"/>
    </row>
    <row r="429" ht="15.75" customHeight="1">
      <c r="E429" s="11"/>
      <c r="F429" s="11"/>
      <c r="G429" s="11"/>
      <c r="L429" s="11"/>
      <c r="M429" s="11"/>
      <c r="N429" s="11"/>
      <c r="O429" s="18"/>
      <c r="U429" s="18"/>
      <c r="V429" s="18"/>
      <c r="W429" s="18"/>
      <c r="X429" s="18"/>
    </row>
    <row r="430" ht="15.75" customHeight="1">
      <c r="E430" s="11"/>
      <c r="F430" s="11"/>
      <c r="G430" s="11"/>
      <c r="L430" s="11"/>
      <c r="M430" s="11"/>
      <c r="N430" s="11"/>
      <c r="O430" s="18"/>
      <c r="U430" s="18"/>
      <c r="V430" s="18"/>
      <c r="W430" s="18"/>
      <c r="X430" s="18"/>
    </row>
    <row r="431" ht="15.75" customHeight="1">
      <c r="E431" s="11"/>
      <c r="F431" s="11"/>
      <c r="G431" s="11"/>
      <c r="L431" s="11"/>
      <c r="M431" s="11"/>
      <c r="N431" s="11"/>
      <c r="O431" s="18"/>
      <c r="U431" s="18"/>
      <c r="V431" s="18"/>
      <c r="W431" s="18"/>
      <c r="X431" s="18"/>
    </row>
    <row r="432" ht="15.75" customHeight="1">
      <c r="E432" s="11"/>
      <c r="F432" s="11"/>
      <c r="G432" s="11"/>
      <c r="L432" s="11"/>
      <c r="M432" s="11"/>
      <c r="N432" s="11"/>
      <c r="O432" s="18"/>
      <c r="U432" s="18"/>
      <c r="V432" s="18"/>
      <c r="W432" s="18"/>
      <c r="X432" s="18"/>
    </row>
    <row r="433" ht="15.75" customHeight="1">
      <c r="E433" s="11"/>
      <c r="F433" s="11"/>
      <c r="G433" s="11"/>
      <c r="L433" s="11"/>
      <c r="M433" s="11"/>
      <c r="N433" s="11"/>
      <c r="O433" s="18"/>
      <c r="U433" s="18"/>
      <c r="V433" s="18"/>
      <c r="W433" s="18"/>
      <c r="X433" s="18"/>
    </row>
    <row r="434" ht="15.75" customHeight="1">
      <c r="E434" s="11"/>
      <c r="F434" s="11"/>
      <c r="G434" s="11"/>
      <c r="L434" s="11"/>
      <c r="M434" s="11"/>
      <c r="N434" s="11"/>
      <c r="O434" s="18"/>
      <c r="U434" s="18"/>
      <c r="V434" s="18"/>
      <c r="W434" s="18"/>
      <c r="X434" s="18"/>
    </row>
    <row r="435" ht="15.75" customHeight="1">
      <c r="E435" s="11"/>
      <c r="F435" s="11"/>
      <c r="G435" s="11"/>
      <c r="L435" s="11"/>
      <c r="M435" s="11"/>
      <c r="N435" s="11"/>
      <c r="O435" s="18"/>
      <c r="U435" s="18"/>
      <c r="V435" s="18"/>
      <c r="W435" s="18"/>
      <c r="X435" s="18"/>
    </row>
    <row r="436" ht="15.75" customHeight="1">
      <c r="E436" s="11"/>
      <c r="F436" s="11"/>
      <c r="G436" s="11"/>
      <c r="L436" s="11"/>
      <c r="M436" s="11"/>
      <c r="N436" s="11"/>
      <c r="O436" s="18"/>
      <c r="U436" s="18"/>
      <c r="V436" s="18"/>
      <c r="W436" s="18"/>
      <c r="X436" s="18"/>
    </row>
    <row r="437" ht="15.75" customHeight="1">
      <c r="E437" s="11"/>
      <c r="F437" s="11"/>
      <c r="G437" s="11"/>
      <c r="L437" s="11"/>
      <c r="M437" s="11"/>
      <c r="N437" s="11"/>
      <c r="O437" s="18"/>
      <c r="U437" s="18"/>
      <c r="V437" s="18"/>
      <c r="W437" s="18"/>
      <c r="X437" s="18"/>
    </row>
    <row r="438" ht="15.75" customHeight="1">
      <c r="E438" s="11"/>
      <c r="F438" s="11"/>
      <c r="G438" s="11"/>
      <c r="L438" s="11"/>
      <c r="M438" s="11"/>
      <c r="N438" s="11"/>
      <c r="O438" s="18"/>
      <c r="U438" s="18"/>
      <c r="V438" s="18"/>
      <c r="W438" s="18"/>
      <c r="X438" s="18"/>
    </row>
    <row r="439" ht="15.75" customHeight="1">
      <c r="E439" s="11"/>
      <c r="F439" s="11"/>
      <c r="G439" s="11"/>
      <c r="L439" s="11"/>
      <c r="M439" s="11"/>
      <c r="N439" s="11"/>
      <c r="O439" s="18"/>
      <c r="U439" s="18"/>
      <c r="V439" s="18"/>
      <c r="W439" s="18"/>
      <c r="X439" s="18"/>
    </row>
    <row r="440" ht="15.75" customHeight="1">
      <c r="E440" s="11"/>
      <c r="F440" s="11"/>
      <c r="G440" s="11"/>
      <c r="L440" s="11"/>
      <c r="M440" s="11"/>
      <c r="N440" s="11"/>
      <c r="O440" s="18"/>
      <c r="U440" s="18"/>
      <c r="V440" s="18"/>
      <c r="W440" s="18"/>
      <c r="X440" s="18"/>
    </row>
    <row r="441" ht="15.75" customHeight="1">
      <c r="E441" s="11"/>
      <c r="F441" s="11"/>
      <c r="G441" s="11"/>
      <c r="L441" s="11"/>
      <c r="M441" s="11"/>
      <c r="N441" s="11"/>
      <c r="O441" s="18"/>
      <c r="U441" s="18"/>
      <c r="V441" s="18"/>
      <c r="W441" s="18"/>
      <c r="X441" s="18"/>
    </row>
    <row r="442" ht="15.75" customHeight="1">
      <c r="E442" s="11"/>
      <c r="F442" s="11"/>
      <c r="G442" s="11"/>
      <c r="L442" s="11"/>
      <c r="M442" s="11"/>
      <c r="N442" s="11"/>
      <c r="O442" s="18"/>
      <c r="U442" s="18"/>
      <c r="V442" s="18"/>
      <c r="W442" s="18"/>
      <c r="X442" s="18"/>
    </row>
    <row r="443" ht="15.75" customHeight="1">
      <c r="E443" s="11"/>
      <c r="F443" s="11"/>
      <c r="G443" s="11"/>
      <c r="L443" s="11"/>
      <c r="M443" s="11"/>
      <c r="N443" s="11"/>
      <c r="O443" s="18"/>
      <c r="U443" s="18"/>
      <c r="V443" s="18"/>
      <c r="W443" s="18"/>
      <c r="X443" s="18"/>
    </row>
    <row r="444" ht="15.75" customHeight="1">
      <c r="E444" s="11"/>
      <c r="F444" s="11"/>
      <c r="G444" s="11"/>
      <c r="L444" s="11"/>
      <c r="M444" s="11"/>
      <c r="N444" s="11"/>
      <c r="O444" s="18"/>
      <c r="U444" s="18"/>
      <c r="V444" s="18"/>
      <c r="W444" s="18"/>
      <c r="X444" s="18"/>
    </row>
    <row r="445" ht="15.75" customHeight="1">
      <c r="E445" s="11"/>
      <c r="F445" s="11"/>
      <c r="G445" s="11"/>
      <c r="L445" s="11"/>
      <c r="M445" s="11"/>
      <c r="N445" s="11"/>
      <c r="O445" s="18"/>
      <c r="U445" s="18"/>
      <c r="V445" s="18"/>
      <c r="W445" s="18"/>
      <c r="X445" s="18"/>
    </row>
    <row r="446" ht="15.75" customHeight="1">
      <c r="E446" s="11"/>
      <c r="F446" s="11"/>
      <c r="G446" s="11"/>
      <c r="L446" s="11"/>
      <c r="M446" s="11"/>
      <c r="N446" s="11"/>
      <c r="O446" s="18"/>
      <c r="U446" s="18"/>
      <c r="V446" s="18"/>
      <c r="W446" s="18"/>
      <c r="X446" s="18"/>
    </row>
    <row r="447" ht="15.75" customHeight="1">
      <c r="E447" s="11"/>
      <c r="F447" s="11"/>
      <c r="G447" s="11"/>
      <c r="L447" s="11"/>
      <c r="M447" s="11"/>
      <c r="N447" s="11"/>
      <c r="O447" s="18"/>
      <c r="U447" s="18"/>
      <c r="V447" s="18"/>
      <c r="W447" s="18"/>
      <c r="X447" s="18"/>
    </row>
    <row r="448" ht="15.75" customHeight="1">
      <c r="E448" s="11"/>
      <c r="F448" s="11"/>
      <c r="G448" s="11"/>
      <c r="L448" s="11"/>
      <c r="M448" s="11"/>
      <c r="N448" s="11"/>
      <c r="O448" s="18"/>
      <c r="U448" s="18"/>
      <c r="V448" s="18"/>
      <c r="W448" s="18"/>
      <c r="X448" s="18"/>
    </row>
    <row r="449" ht="15.75" customHeight="1">
      <c r="E449" s="11"/>
      <c r="F449" s="11"/>
      <c r="G449" s="11"/>
      <c r="L449" s="11"/>
      <c r="M449" s="11"/>
      <c r="N449" s="11"/>
      <c r="O449" s="18"/>
      <c r="U449" s="18"/>
      <c r="V449" s="18"/>
      <c r="W449" s="18"/>
      <c r="X449" s="18"/>
    </row>
    <row r="450" ht="15.75" customHeight="1">
      <c r="E450" s="11"/>
      <c r="F450" s="11"/>
      <c r="G450" s="11"/>
      <c r="L450" s="11"/>
      <c r="M450" s="11"/>
      <c r="N450" s="11"/>
      <c r="O450" s="18"/>
      <c r="U450" s="18"/>
      <c r="V450" s="18"/>
      <c r="W450" s="18"/>
      <c r="X450" s="18"/>
    </row>
    <row r="451" ht="15.75" customHeight="1">
      <c r="E451" s="11"/>
      <c r="F451" s="11"/>
      <c r="G451" s="11"/>
      <c r="L451" s="11"/>
      <c r="M451" s="11"/>
      <c r="N451" s="11"/>
      <c r="O451" s="18"/>
      <c r="U451" s="18"/>
      <c r="V451" s="18"/>
      <c r="W451" s="18"/>
      <c r="X451" s="18"/>
    </row>
    <row r="452" ht="15.75" customHeight="1">
      <c r="E452" s="11"/>
      <c r="F452" s="11"/>
      <c r="G452" s="11"/>
      <c r="L452" s="11"/>
      <c r="M452" s="11"/>
      <c r="N452" s="11"/>
      <c r="O452" s="18"/>
      <c r="U452" s="18"/>
      <c r="V452" s="18"/>
      <c r="W452" s="18"/>
      <c r="X452" s="18"/>
    </row>
    <row r="453" ht="15.75" customHeight="1">
      <c r="E453" s="11"/>
      <c r="F453" s="11"/>
      <c r="G453" s="11"/>
      <c r="L453" s="11"/>
      <c r="M453" s="11"/>
      <c r="N453" s="11"/>
      <c r="O453" s="18"/>
      <c r="U453" s="18"/>
      <c r="V453" s="18"/>
      <c r="W453" s="18"/>
      <c r="X453" s="18"/>
    </row>
    <row r="454" ht="15.75" customHeight="1">
      <c r="E454" s="11"/>
      <c r="F454" s="11"/>
      <c r="G454" s="11"/>
      <c r="L454" s="11"/>
      <c r="M454" s="11"/>
      <c r="N454" s="11"/>
      <c r="O454" s="18"/>
      <c r="U454" s="18"/>
      <c r="V454" s="18"/>
      <c r="W454" s="18"/>
      <c r="X454" s="18"/>
    </row>
    <row r="455" ht="15.75" customHeight="1">
      <c r="E455" s="11"/>
      <c r="F455" s="11"/>
      <c r="G455" s="11"/>
      <c r="L455" s="11"/>
      <c r="M455" s="11"/>
      <c r="N455" s="11"/>
      <c r="O455" s="18"/>
      <c r="U455" s="18"/>
      <c r="V455" s="18"/>
      <c r="W455" s="18"/>
      <c r="X455" s="18"/>
    </row>
    <row r="456" ht="15.75" customHeight="1">
      <c r="E456" s="11"/>
      <c r="F456" s="11"/>
      <c r="G456" s="11"/>
      <c r="L456" s="11"/>
      <c r="M456" s="11"/>
      <c r="N456" s="11"/>
      <c r="O456" s="18"/>
      <c r="U456" s="18"/>
      <c r="V456" s="18"/>
      <c r="W456" s="18"/>
      <c r="X456" s="18"/>
    </row>
    <row r="457" ht="15.75" customHeight="1">
      <c r="E457" s="11"/>
      <c r="F457" s="11"/>
      <c r="G457" s="11"/>
      <c r="L457" s="11"/>
      <c r="M457" s="11"/>
      <c r="N457" s="11"/>
      <c r="O457" s="18"/>
      <c r="U457" s="18"/>
      <c r="V457" s="18"/>
      <c r="W457" s="18"/>
      <c r="X457" s="18"/>
    </row>
    <row r="458" ht="15.75" customHeight="1">
      <c r="E458" s="11"/>
      <c r="F458" s="11"/>
      <c r="G458" s="11"/>
      <c r="L458" s="11"/>
      <c r="M458" s="11"/>
      <c r="N458" s="11"/>
      <c r="O458" s="18"/>
      <c r="U458" s="18"/>
      <c r="V458" s="18"/>
      <c r="W458" s="18"/>
      <c r="X458" s="18"/>
    </row>
    <row r="459" ht="15.75" customHeight="1">
      <c r="E459" s="11"/>
      <c r="F459" s="11"/>
      <c r="G459" s="11"/>
      <c r="L459" s="11"/>
      <c r="M459" s="11"/>
      <c r="N459" s="11"/>
      <c r="O459" s="18"/>
      <c r="U459" s="18"/>
      <c r="V459" s="18"/>
      <c r="W459" s="18"/>
      <c r="X459" s="18"/>
    </row>
    <row r="460" ht="15.75" customHeight="1">
      <c r="E460" s="11"/>
      <c r="F460" s="11"/>
      <c r="G460" s="11"/>
      <c r="L460" s="11"/>
      <c r="M460" s="11"/>
      <c r="N460" s="11"/>
      <c r="O460" s="18"/>
      <c r="U460" s="18"/>
      <c r="V460" s="18"/>
      <c r="W460" s="18"/>
      <c r="X460" s="18"/>
    </row>
    <row r="461" ht="15.75" customHeight="1">
      <c r="E461" s="11"/>
      <c r="F461" s="11"/>
      <c r="G461" s="11"/>
      <c r="L461" s="11"/>
      <c r="M461" s="11"/>
      <c r="N461" s="11"/>
      <c r="O461" s="18"/>
      <c r="U461" s="18"/>
      <c r="V461" s="18"/>
      <c r="W461" s="18"/>
      <c r="X461" s="18"/>
    </row>
    <row r="462" ht="15.75" customHeight="1">
      <c r="E462" s="11"/>
      <c r="F462" s="11"/>
      <c r="G462" s="11"/>
      <c r="L462" s="11"/>
      <c r="M462" s="11"/>
      <c r="N462" s="11"/>
      <c r="O462" s="18"/>
      <c r="U462" s="18"/>
      <c r="V462" s="18"/>
      <c r="W462" s="18"/>
      <c r="X462" s="18"/>
    </row>
    <row r="463" ht="15.75" customHeight="1">
      <c r="E463" s="11"/>
      <c r="F463" s="11"/>
      <c r="G463" s="11"/>
      <c r="L463" s="11"/>
      <c r="M463" s="11"/>
      <c r="N463" s="11"/>
      <c r="O463" s="18"/>
      <c r="U463" s="18"/>
      <c r="V463" s="18"/>
      <c r="W463" s="18"/>
      <c r="X463" s="18"/>
    </row>
    <row r="464" ht="15.75" customHeight="1">
      <c r="E464" s="11"/>
      <c r="F464" s="11"/>
      <c r="G464" s="11"/>
      <c r="L464" s="11"/>
      <c r="M464" s="11"/>
      <c r="N464" s="11"/>
      <c r="O464" s="18"/>
      <c r="U464" s="18"/>
      <c r="V464" s="18"/>
      <c r="W464" s="18"/>
      <c r="X464" s="18"/>
    </row>
    <row r="465" ht="15.75" customHeight="1">
      <c r="E465" s="11"/>
      <c r="F465" s="11"/>
      <c r="G465" s="11"/>
      <c r="L465" s="11"/>
      <c r="M465" s="11"/>
      <c r="N465" s="11"/>
      <c r="O465" s="18"/>
      <c r="U465" s="18"/>
      <c r="V465" s="18"/>
      <c r="W465" s="18"/>
      <c r="X465" s="18"/>
    </row>
    <row r="466" ht="15.75" customHeight="1">
      <c r="E466" s="11"/>
      <c r="F466" s="11"/>
      <c r="G466" s="11"/>
      <c r="L466" s="11"/>
      <c r="M466" s="11"/>
      <c r="N466" s="11"/>
      <c r="O466" s="18"/>
      <c r="U466" s="18"/>
      <c r="V466" s="18"/>
      <c r="W466" s="18"/>
      <c r="X466" s="18"/>
    </row>
    <row r="467" ht="15.75" customHeight="1">
      <c r="E467" s="11"/>
      <c r="F467" s="11"/>
      <c r="G467" s="11"/>
      <c r="L467" s="11"/>
      <c r="M467" s="11"/>
      <c r="N467" s="11"/>
      <c r="O467" s="18"/>
      <c r="U467" s="18"/>
      <c r="V467" s="18"/>
      <c r="W467" s="18"/>
      <c r="X467" s="18"/>
    </row>
    <row r="468" ht="15.75" customHeight="1">
      <c r="E468" s="11"/>
      <c r="F468" s="11"/>
      <c r="G468" s="11"/>
      <c r="L468" s="11"/>
      <c r="M468" s="11"/>
      <c r="N468" s="11"/>
      <c r="O468" s="18"/>
      <c r="U468" s="18"/>
      <c r="V468" s="18"/>
      <c r="W468" s="18"/>
      <c r="X468" s="18"/>
    </row>
    <row r="469" ht="15.75" customHeight="1">
      <c r="E469" s="11"/>
      <c r="F469" s="11"/>
      <c r="G469" s="11"/>
      <c r="L469" s="11"/>
      <c r="M469" s="11"/>
      <c r="N469" s="11"/>
      <c r="O469" s="18"/>
      <c r="U469" s="18"/>
      <c r="V469" s="18"/>
      <c r="W469" s="18"/>
      <c r="X469" s="18"/>
    </row>
    <row r="470" ht="15.75" customHeight="1">
      <c r="E470" s="11"/>
      <c r="F470" s="11"/>
      <c r="G470" s="11"/>
      <c r="L470" s="11"/>
      <c r="M470" s="11"/>
      <c r="N470" s="11"/>
      <c r="O470" s="18"/>
      <c r="U470" s="18"/>
      <c r="V470" s="18"/>
      <c r="W470" s="18"/>
      <c r="X470" s="18"/>
    </row>
    <row r="471" ht="15.75" customHeight="1">
      <c r="E471" s="11"/>
      <c r="F471" s="11"/>
      <c r="G471" s="11"/>
      <c r="L471" s="11"/>
      <c r="M471" s="11"/>
      <c r="N471" s="11"/>
      <c r="O471" s="18"/>
      <c r="U471" s="18"/>
      <c r="V471" s="18"/>
      <c r="W471" s="18"/>
      <c r="X471" s="18"/>
    </row>
    <row r="472" ht="15.75" customHeight="1">
      <c r="E472" s="11"/>
      <c r="F472" s="11"/>
      <c r="G472" s="11"/>
      <c r="L472" s="11"/>
      <c r="M472" s="11"/>
      <c r="N472" s="11"/>
      <c r="O472" s="18"/>
      <c r="U472" s="18"/>
      <c r="V472" s="18"/>
      <c r="W472" s="18"/>
      <c r="X472" s="18"/>
    </row>
    <row r="473" ht="15.75" customHeight="1">
      <c r="E473" s="11"/>
      <c r="F473" s="11"/>
      <c r="G473" s="11"/>
      <c r="L473" s="11"/>
      <c r="M473" s="11"/>
      <c r="N473" s="11"/>
      <c r="O473" s="18"/>
      <c r="U473" s="18"/>
      <c r="V473" s="18"/>
      <c r="W473" s="18"/>
      <c r="X473" s="18"/>
    </row>
    <row r="474" ht="15.75" customHeight="1">
      <c r="E474" s="11"/>
      <c r="F474" s="11"/>
      <c r="G474" s="11"/>
      <c r="L474" s="11"/>
      <c r="M474" s="11"/>
      <c r="N474" s="11"/>
      <c r="O474" s="18"/>
      <c r="U474" s="18"/>
      <c r="V474" s="18"/>
      <c r="W474" s="18"/>
      <c r="X474" s="18"/>
    </row>
    <row r="475" ht="15.75" customHeight="1">
      <c r="E475" s="11"/>
      <c r="F475" s="11"/>
      <c r="G475" s="11"/>
      <c r="L475" s="11"/>
      <c r="M475" s="11"/>
      <c r="N475" s="11"/>
      <c r="O475" s="18"/>
      <c r="U475" s="18"/>
      <c r="V475" s="18"/>
      <c r="W475" s="18"/>
      <c r="X475" s="18"/>
    </row>
    <row r="476" ht="15.75" customHeight="1">
      <c r="E476" s="11"/>
      <c r="F476" s="11"/>
      <c r="G476" s="11"/>
      <c r="L476" s="11"/>
      <c r="M476" s="11"/>
      <c r="N476" s="11"/>
      <c r="O476" s="18"/>
      <c r="U476" s="18"/>
      <c r="V476" s="18"/>
      <c r="W476" s="18"/>
      <c r="X476" s="18"/>
    </row>
    <row r="477" ht="15.75" customHeight="1">
      <c r="E477" s="11"/>
      <c r="F477" s="11"/>
      <c r="G477" s="11"/>
      <c r="L477" s="11"/>
      <c r="M477" s="11"/>
      <c r="N477" s="11"/>
      <c r="O477" s="18"/>
      <c r="U477" s="18"/>
      <c r="V477" s="18"/>
      <c r="W477" s="18"/>
      <c r="X477" s="18"/>
    </row>
    <row r="478" ht="15.75" customHeight="1">
      <c r="E478" s="11"/>
      <c r="F478" s="11"/>
      <c r="G478" s="11"/>
      <c r="L478" s="11"/>
      <c r="M478" s="11"/>
      <c r="N478" s="11"/>
      <c r="O478" s="18"/>
      <c r="U478" s="18"/>
      <c r="V478" s="18"/>
      <c r="W478" s="18"/>
      <c r="X478" s="18"/>
    </row>
    <row r="479" ht="15.75" customHeight="1">
      <c r="E479" s="11"/>
      <c r="F479" s="11"/>
      <c r="G479" s="11"/>
      <c r="L479" s="11"/>
      <c r="M479" s="11"/>
      <c r="N479" s="11"/>
      <c r="O479" s="18"/>
      <c r="U479" s="18"/>
      <c r="V479" s="18"/>
      <c r="W479" s="18"/>
      <c r="X479" s="18"/>
    </row>
    <row r="480" ht="15.75" customHeight="1">
      <c r="E480" s="11"/>
      <c r="F480" s="11"/>
      <c r="G480" s="11"/>
      <c r="L480" s="11"/>
      <c r="M480" s="11"/>
      <c r="N480" s="11"/>
      <c r="O480" s="18"/>
      <c r="U480" s="18"/>
      <c r="V480" s="18"/>
      <c r="W480" s="18"/>
      <c r="X480" s="18"/>
    </row>
    <row r="481" ht="15.75" customHeight="1">
      <c r="E481" s="11"/>
      <c r="F481" s="11"/>
      <c r="G481" s="11"/>
      <c r="L481" s="11"/>
      <c r="M481" s="11"/>
      <c r="N481" s="11"/>
      <c r="O481" s="18"/>
      <c r="U481" s="18"/>
      <c r="V481" s="18"/>
      <c r="W481" s="18"/>
      <c r="X481" s="18"/>
    </row>
    <row r="482" ht="15.75" customHeight="1">
      <c r="E482" s="11"/>
      <c r="F482" s="11"/>
      <c r="G482" s="11"/>
      <c r="L482" s="11"/>
      <c r="M482" s="11"/>
      <c r="N482" s="11"/>
      <c r="O482" s="18"/>
      <c r="U482" s="18"/>
      <c r="V482" s="18"/>
      <c r="W482" s="18"/>
      <c r="X482" s="18"/>
    </row>
    <row r="483" ht="15.75" customHeight="1">
      <c r="E483" s="11"/>
      <c r="F483" s="11"/>
      <c r="G483" s="11"/>
      <c r="L483" s="11"/>
      <c r="M483" s="11"/>
      <c r="N483" s="11"/>
      <c r="O483" s="18"/>
      <c r="U483" s="18"/>
      <c r="V483" s="18"/>
      <c r="W483" s="18"/>
      <c r="X483" s="18"/>
    </row>
    <row r="484" ht="15.75" customHeight="1">
      <c r="E484" s="11"/>
      <c r="F484" s="11"/>
      <c r="G484" s="11"/>
      <c r="L484" s="11"/>
      <c r="M484" s="11"/>
      <c r="N484" s="11"/>
      <c r="O484" s="18"/>
      <c r="U484" s="18"/>
      <c r="V484" s="18"/>
      <c r="W484" s="18"/>
      <c r="X484" s="18"/>
    </row>
    <row r="485" ht="15.75" customHeight="1">
      <c r="E485" s="11"/>
      <c r="F485" s="11"/>
      <c r="G485" s="11"/>
      <c r="L485" s="11"/>
      <c r="M485" s="11"/>
      <c r="N485" s="11"/>
      <c r="O485" s="18"/>
      <c r="U485" s="18"/>
      <c r="V485" s="18"/>
      <c r="W485" s="18"/>
      <c r="X485" s="18"/>
    </row>
    <row r="486" ht="15.75" customHeight="1">
      <c r="E486" s="11"/>
      <c r="F486" s="11"/>
      <c r="G486" s="11"/>
      <c r="L486" s="11"/>
      <c r="M486" s="11"/>
      <c r="N486" s="11"/>
      <c r="O486" s="18"/>
      <c r="U486" s="18"/>
      <c r="V486" s="18"/>
      <c r="W486" s="18"/>
      <c r="X486" s="18"/>
    </row>
    <row r="487" ht="15.75" customHeight="1">
      <c r="E487" s="11"/>
      <c r="F487" s="11"/>
      <c r="G487" s="11"/>
      <c r="L487" s="11"/>
      <c r="M487" s="11"/>
      <c r="N487" s="11"/>
      <c r="O487" s="18"/>
      <c r="U487" s="18"/>
      <c r="V487" s="18"/>
      <c r="W487" s="18"/>
      <c r="X487" s="18"/>
    </row>
    <row r="488" ht="15.75" customHeight="1">
      <c r="E488" s="11"/>
      <c r="F488" s="11"/>
      <c r="G488" s="11"/>
      <c r="L488" s="11"/>
      <c r="M488" s="11"/>
      <c r="N488" s="11"/>
      <c r="O488" s="18"/>
      <c r="U488" s="18"/>
      <c r="V488" s="18"/>
      <c r="W488" s="18"/>
      <c r="X488" s="18"/>
    </row>
    <row r="489" ht="15.75" customHeight="1">
      <c r="E489" s="11"/>
      <c r="F489" s="11"/>
      <c r="G489" s="11"/>
      <c r="L489" s="11"/>
      <c r="M489" s="11"/>
      <c r="N489" s="11"/>
      <c r="O489" s="18"/>
      <c r="U489" s="18"/>
      <c r="V489" s="18"/>
      <c r="W489" s="18"/>
      <c r="X489" s="18"/>
    </row>
    <row r="490" ht="15.75" customHeight="1">
      <c r="E490" s="11"/>
      <c r="F490" s="11"/>
      <c r="G490" s="11"/>
      <c r="L490" s="11"/>
      <c r="M490" s="11"/>
      <c r="N490" s="11"/>
      <c r="O490" s="18"/>
      <c r="U490" s="18"/>
      <c r="V490" s="18"/>
      <c r="W490" s="18"/>
      <c r="X490" s="18"/>
    </row>
    <row r="491" ht="15.75" customHeight="1">
      <c r="E491" s="11"/>
      <c r="F491" s="11"/>
      <c r="G491" s="11"/>
      <c r="L491" s="11"/>
      <c r="M491" s="11"/>
      <c r="N491" s="11"/>
      <c r="O491" s="18"/>
      <c r="U491" s="18"/>
      <c r="V491" s="18"/>
      <c r="W491" s="18"/>
      <c r="X491" s="18"/>
    </row>
    <row r="492" ht="15.75" customHeight="1">
      <c r="E492" s="11"/>
      <c r="F492" s="11"/>
      <c r="G492" s="11"/>
      <c r="L492" s="11"/>
      <c r="M492" s="11"/>
      <c r="N492" s="11"/>
      <c r="O492" s="18"/>
      <c r="U492" s="18"/>
      <c r="V492" s="18"/>
      <c r="W492" s="18"/>
      <c r="X492" s="18"/>
    </row>
    <row r="493" ht="15.75" customHeight="1">
      <c r="E493" s="11"/>
      <c r="F493" s="11"/>
      <c r="G493" s="11"/>
      <c r="L493" s="11"/>
      <c r="M493" s="11"/>
      <c r="N493" s="11"/>
      <c r="O493" s="18"/>
      <c r="U493" s="18"/>
      <c r="V493" s="18"/>
      <c r="W493" s="18"/>
      <c r="X493" s="18"/>
    </row>
    <row r="494" ht="15.75" customHeight="1">
      <c r="E494" s="11"/>
      <c r="F494" s="11"/>
      <c r="G494" s="11"/>
      <c r="L494" s="11"/>
      <c r="M494" s="11"/>
      <c r="N494" s="11"/>
      <c r="O494" s="18"/>
      <c r="U494" s="18"/>
      <c r="V494" s="18"/>
      <c r="W494" s="18"/>
      <c r="X494" s="18"/>
    </row>
    <row r="495" ht="15.75" customHeight="1">
      <c r="E495" s="11"/>
      <c r="F495" s="11"/>
      <c r="G495" s="11"/>
      <c r="L495" s="11"/>
      <c r="M495" s="11"/>
      <c r="N495" s="11"/>
      <c r="O495" s="18"/>
      <c r="U495" s="18"/>
      <c r="V495" s="18"/>
      <c r="W495" s="18"/>
      <c r="X495" s="18"/>
    </row>
    <row r="496" ht="15.75" customHeight="1">
      <c r="E496" s="11"/>
      <c r="F496" s="11"/>
      <c r="G496" s="11"/>
      <c r="L496" s="11"/>
      <c r="M496" s="11"/>
      <c r="N496" s="11"/>
      <c r="O496" s="18"/>
      <c r="U496" s="18"/>
      <c r="V496" s="18"/>
      <c r="W496" s="18"/>
      <c r="X496" s="18"/>
    </row>
    <row r="497" ht="15.75" customHeight="1">
      <c r="E497" s="11"/>
      <c r="F497" s="11"/>
      <c r="G497" s="11"/>
      <c r="L497" s="11"/>
      <c r="M497" s="11"/>
      <c r="N497" s="11"/>
      <c r="O497" s="18"/>
      <c r="U497" s="18"/>
      <c r="V497" s="18"/>
      <c r="W497" s="18"/>
      <c r="X497" s="18"/>
    </row>
    <row r="498" ht="15.75" customHeight="1">
      <c r="E498" s="11"/>
      <c r="F498" s="11"/>
      <c r="G498" s="11"/>
      <c r="L498" s="11"/>
      <c r="M498" s="11"/>
      <c r="N498" s="11"/>
      <c r="O498" s="18"/>
      <c r="U498" s="18"/>
      <c r="V498" s="18"/>
      <c r="W498" s="18"/>
      <c r="X498" s="18"/>
    </row>
    <row r="499" ht="15.75" customHeight="1">
      <c r="E499" s="11"/>
      <c r="F499" s="11"/>
      <c r="G499" s="11"/>
      <c r="L499" s="11"/>
      <c r="M499" s="11"/>
      <c r="N499" s="11"/>
      <c r="O499" s="18"/>
      <c r="U499" s="18"/>
      <c r="V499" s="18"/>
      <c r="W499" s="18"/>
      <c r="X499" s="18"/>
    </row>
    <row r="500" ht="15.75" customHeight="1">
      <c r="E500" s="11"/>
      <c r="F500" s="11"/>
      <c r="G500" s="11"/>
      <c r="L500" s="11"/>
      <c r="M500" s="11"/>
      <c r="N500" s="11"/>
      <c r="O500" s="18"/>
      <c r="U500" s="18"/>
      <c r="V500" s="18"/>
      <c r="W500" s="18"/>
      <c r="X500" s="18"/>
    </row>
    <row r="501" ht="15.75" customHeight="1">
      <c r="E501" s="11"/>
      <c r="F501" s="11"/>
      <c r="G501" s="11"/>
      <c r="L501" s="11"/>
      <c r="M501" s="11"/>
      <c r="N501" s="11"/>
      <c r="O501" s="18"/>
      <c r="U501" s="18"/>
      <c r="V501" s="18"/>
      <c r="W501" s="18"/>
      <c r="X501" s="18"/>
    </row>
    <row r="502" ht="15.75" customHeight="1">
      <c r="E502" s="11"/>
      <c r="F502" s="11"/>
      <c r="G502" s="11"/>
      <c r="L502" s="11"/>
      <c r="M502" s="11"/>
      <c r="N502" s="11"/>
      <c r="O502" s="18"/>
      <c r="U502" s="18"/>
      <c r="V502" s="18"/>
      <c r="W502" s="18"/>
      <c r="X502" s="18"/>
    </row>
    <row r="503" ht="15.75" customHeight="1">
      <c r="E503" s="11"/>
      <c r="F503" s="11"/>
      <c r="G503" s="11"/>
      <c r="L503" s="11"/>
      <c r="M503" s="11"/>
      <c r="N503" s="11"/>
      <c r="O503" s="18"/>
      <c r="U503" s="18"/>
      <c r="V503" s="18"/>
      <c r="W503" s="18"/>
      <c r="X503" s="18"/>
    </row>
    <row r="504" ht="15.75" customHeight="1">
      <c r="E504" s="11"/>
      <c r="F504" s="11"/>
      <c r="G504" s="11"/>
      <c r="L504" s="11"/>
      <c r="M504" s="11"/>
      <c r="N504" s="11"/>
      <c r="O504" s="18"/>
      <c r="U504" s="18"/>
      <c r="V504" s="18"/>
      <c r="W504" s="18"/>
      <c r="X504" s="18"/>
    </row>
    <row r="505" ht="15.75" customHeight="1">
      <c r="E505" s="11"/>
      <c r="F505" s="11"/>
      <c r="G505" s="11"/>
      <c r="L505" s="11"/>
      <c r="M505" s="11"/>
      <c r="N505" s="11"/>
      <c r="O505" s="18"/>
      <c r="U505" s="18"/>
      <c r="V505" s="18"/>
      <c r="W505" s="18"/>
      <c r="X505" s="18"/>
    </row>
    <row r="506" ht="15.75" customHeight="1">
      <c r="E506" s="11"/>
      <c r="F506" s="11"/>
      <c r="G506" s="11"/>
      <c r="L506" s="11"/>
      <c r="M506" s="11"/>
      <c r="N506" s="11"/>
      <c r="O506" s="18"/>
      <c r="U506" s="18"/>
      <c r="V506" s="18"/>
      <c r="W506" s="18"/>
      <c r="X506" s="18"/>
    </row>
    <row r="507" ht="15.75" customHeight="1">
      <c r="E507" s="11"/>
      <c r="F507" s="11"/>
      <c r="G507" s="11"/>
      <c r="L507" s="11"/>
      <c r="M507" s="11"/>
      <c r="N507" s="11"/>
      <c r="O507" s="18"/>
      <c r="U507" s="18"/>
      <c r="V507" s="18"/>
      <c r="W507" s="18"/>
      <c r="X507" s="18"/>
    </row>
    <row r="508" ht="15.75" customHeight="1">
      <c r="E508" s="11"/>
      <c r="F508" s="11"/>
      <c r="G508" s="11"/>
      <c r="L508" s="11"/>
      <c r="M508" s="11"/>
      <c r="N508" s="11"/>
      <c r="O508" s="18"/>
      <c r="U508" s="18"/>
      <c r="V508" s="18"/>
      <c r="W508" s="18"/>
      <c r="X508" s="18"/>
    </row>
    <row r="509" ht="15.75" customHeight="1">
      <c r="E509" s="11"/>
      <c r="F509" s="11"/>
      <c r="G509" s="11"/>
      <c r="L509" s="11"/>
      <c r="M509" s="11"/>
      <c r="N509" s="11"/>
      <c r="O509" s="18"/>
      <c r="U509" s="18"/>
      <c r="V509" s="18"/>
      <c r="W509" s="18"/>
      <c r="X509" s="18"/>
    </row>
    <row r="510" ht="15.75" customHeight="1">
      <c r="E510" s="11"/>
      <c r="F510" s="11"/>
      <c r="G510" s="11"/>
      <c r="L510" s="11"/>
      <c r="M510" s="11"/>
      <c r="N510" s="11"/>
      <c r="O510" s="18"/>
      <c r="U510" s="18"/>
      <c r="V510" s="18"/>
      <c r="W510" s="18"/>
      <c r="X510" s="18"/>
    </row>
    <row r="511" ht="15.75" customHeight="1">
      <c r="E511" s="11"/>
      <c r="F511" s="11"/>
      <c r="G511" s="11"/>
      <c r="L511" s="11"/>
      <c r="M511" s="11"/>
      <c r="N511" s="11"/>
      <c r="O511" s="18"/>
      <c r="U511" s="18"/>
      <c r="V511" s="18"/>
      <c r="W511" s="18"/>
      <c r="X511" s="18"/>
    </row>
    <row r="512" ht="15.75" customHeight="1">
      <c r="E512" s="11"/>
      <c r="F512" s="11"/>
      <c r="G512" s="11"/>
      <c r="L512" s="11"/>
      <c r="M512" s="11"/>
      <c r="N512" s="11"/>
      <c r="O512" s="18"/>
      <c r="U512" s="18"/>
      <c r="V512" s="18"/>
      <c r="W512" s="18"/>
      <c r="X512" s="18"/>
    </row>
    <row r="513" ht="15.75" customHeight="1">
      <c r="E513" s="11"/>
      <c r="F513" s="11"/>
      <c r="G513" s="11"/>
      <c r="L513" s="11"/>
      <c r="M513" s="11"/>
      <c r="N513" s="11"/>
      <c r="O513" s="18"/>
      <c r="U513" s="18"/>
      <c r="V513" s="18"/>
      <c r="W513" s="18"/>
      <c r="X513" s="18"/>
    </row>
    <row r="514" ht="15.75" customHeight="1">
      <c r="E514" s="11"/>
      <c r="F514" s="11"/>
      <c r="G514" s="11"/>
      <c r="L514" s="11"/>
      <c r="M514" s="11"/>
      <c r="N514" s="11"/>
      <c r="O514" s="18"/>
      <c r="U514" s="18"/>
      <c r="V514" s="18"/>
      <c r="W514" s="18"/>
      <c r="X514" s="18"/>
    </row>
    <row r="515" ht="15.75" customHeight="1">
      <c r="E515" s="11"/>
      <c r="F515" s="11"/>
      <c r="G515" s="11"/>
      <c r="L515" s="11"/>
      <c r="M515" s="11"/>
      <c r="N515" s="11"/>
      <c r="O515" s="18"/>
      <c r="U515" s="18"/>
      <c r="V515" s="18"/>
      <c r="W515" s="18"/>
      <c r="X515" s="18"/>
    </row>
    <row r="516" ht="15.75" customHeight="1">
      <c r="E516" s="11"/>
      <c r="F516" s="11"/>
      <c r="G516" s="11"/>
      <c r="L516" s="11"/>
      <c r="M516" s="11"/>
      <c r="N516" s="11"/>
      <c r="O516" s="18"/>
      <c r="U516" s="18"/>
      <c r="V516" s="18"/>
      <c r="W516" s="18"/>
      <c r="X516" s="18"/>
    </row>
    <row r="517" ht="15.75" customHeight="1">
      <c r="E517" s="11"/>
      <c r="F517" s="11"/>
      <c r="G517" s="11"/>
      <c r="L517" s="11"/>
      <c r="M517" s="11"/>
      <c r="N517" s="11"/>
      <c r="O517" s="18"/>
      <c r="U517" s="18"/>
      <c r="V517" s="18"/>
      <c r="W517" s="18"/>
      <c r="X517" s="18"/>
    </row>
    <row r="518" ht="15.75" customHeight="1">
      <c r="E518" s="11"/>
      <c r="F518" s="11"/>
      <c r="G518" s="11"/>
      <c r="L518" s="11"/>
      <c r="M518" s="11"/>
      <c r="N518" s="11"/>
      <c r="O518" s="18"/>
      <c r="U518" s="18"/>
      <c r="V518" s="18"/>
      <c r="W518" s="18"/>
      <c r="X518" s="18"/>
    </row>
    <row r="519" ht="15.75" customHeight="1">
      <c r="E519" s="11"/>
      <c r="F519" s="11"/>
      <c r="G519" s="11"/>
      <c r="L519" s="11"/>
      <c r="M519" s="11"/>
      <c r="N519" s="11"/>
      <c r="O519" s="18"/>
      <c r="U519" s="18"/>
      <c r="V519" s="18"/>
      <c r="W519" s="18"/>
      <c r="X519" s="18"/>
    </row>
    <row r="520" ht="15.75" customHeight="1">
      <c r="E520" s="11"/>
      <c r="F520" s="11"/>
      <c r="G520" s="11"/>
      <c r="L520" s="11"/>
      <c r="M520" s="11"/>
      <c r="N520" s="11"/>
      <c r="O520" s="18"/>
      <c r="U520" s="18"/>
      <c r="V520" s="18"/>
      <c r="W520" s="18"/>
      <c r="X520" s="18"/>
    </row>
    <row r="521" ht="15.75" customHeight="1">
      <c r="E521" s="11"/>
      <c r="F521" s="11"/>
      <c r="G521" s="11"/>
      <c r="L521" s="11"/>
      <c r="M521" s="11"/>
      <c r="N521" s="11"/>
      <c r="O521" s="18"/>
      <c r="U521" s="18"/>
      <c r="V521" s="18"/>
      <c r="W521" s="18"/>
      <c r="X521" s="18"/>
    </row>
    <row r="522" ht="15.75" customHeight="1">
      <c r="E522" s="11"/>
      <c r="F522" s="11"/>
      <c r="G522" s="11"/>
      <c r="L522" s="11"/>
      <c r="M522" s="11"/>
      <c r="N522" s="11"/>
      <c r="O522" s="18"/>
      <c r="U522" s="18"/>
      <c r="V522" s="18"/>
      <c r="W522" s="18"/>
      <c r="X522" s="18"/>
    </row>
    <row r="523" ht="15.75" customHeight="1">
      <c r="E523" s="11"/>
      <c r="F523" s="11"/>
      <c r="G523" s="11"/>
      <c r="L523" s="11"/>
      <c r="M523" s="11"/>
      <c r="N523" s="11"/>
      <c r="O523" s="18"/>
      <c r="U523" s="18"/>
      <c r="V523" s="18"/>
      <c r="W523" s="18"/>
      <c r="X523" s="18"/>
    </row>
    <row r="524" ht="15.75" customHeight="1">
      <c r="E524" s="11"/>
      <c r="F524" s="11"/>
      <c r="G524" s="11"/>
      <c r="L524" s="11"/>
      <c r="M524" s="11"/>
      <c r="N524" s="11"/>
      <c r="O524" s="18"/>
      <c r="U524" s="18"/>
      <c r="V524" s="18"/>
      <c r="W524" s="18"/>
      <c r="X524" s="18"/>
    </row>
    <row r="525" ht="15.75" customHeight="1">
      <c r="E525" s="11"/>
      <c r="F525" s="11"/>
      <c r="G525" s="11"/>
      <c r="L525" s="11"/>
      <c r="M525" s="11"/>
      <c r="N525" s="11"/>
      <c r="O525" s="18"/>
      <c r="U525" s="18"/>
      <c r="V525" s="18"/>
      <c r="W525" s="18"/>
      <c r="X525" s="18"/>
    </row>
    <row r="526" ht="15.75" customHeight="1">
      <c r="E526" s="11"/>
      <c r="F526" s="11"/>
      <c r="G526" s="11"/>
      <c r="L526" s="11"/>
      <c r="M526" s="11"/>
      <c r="N526" s="11"/>
      <c r="O526" s="18"/>
      <c r="U526" s="18"/>
      <c r="V526" s="18"/>
      <c r="W526" s="18"/>
      <c r="X526" s="18"/>
    </row>
    <row r="527" ht="15.75" customHeight="1">
      <c r="E527" s="11"/>
      <c r="F527" s="11"/>
      <c r="G527" s="11"/>
      <c r="L527" s="11"/>
      <c r="M527" s="11"/>
      <c r="N527" s="11"/>
      <c r="O527" s="18"/>
      <c r="U527" s="18"/>
      <c r="V527" s="18"/>
      <c r="W527" s="18"/>
      <c r="X527" s="18"/>
    </row>
    <row r="528" ht="15.75" customHeight="1">
      <c r="E528" s="11"/>
      <c r="F528" s="11"/>
      <c r="G528" s="11"/>
      <c r="L528" s="11"/>
      <c r="M528" s="11"/>
      <c r="N528" s="11"/>
      <c r="O528" s="18"/>
      <c r="U528" s="18"/>
      <c r="V528" s="18"/>
      <c r="W528" s="18"/>
      <c r="X528" s="18"/>
    </row>
    <row r="529" ht="15.75" customHeight="1">
      <c r="E529" s="11"/>
      <c r="F529" s="11"/>
      <c r="G529" s="11"/>
      <c r="L529" s="11"/>
      <c r="M529" s="11"/>
      <c r="N529" s="11"/>
      <c r="O529" s="18"/>
      <c r="U529" s="18"/>
      <c r="V529" s="18"/>
      <c r="W529" s="18"/>
      <c r="X529" s="18"/>
    </row>
    <row r="530" ht="15.75" customHeight="1">
      <c r="E530" s="11"/>
      <c r="F530" s="11"/>
      <c r="G530" s="11"/>
      <c r="L530" s="11"/>
      <c r="M530" s="11"/>
      <c r="N530" s="11"/>
      <c r="O530" s="18"/>
      <c r="U530" s="18"/>
      <c r="V530" s="18"/>
      <c r="W530" s="18"/>
      <c r="X530" s="18"/>
    </row>
    <row r="531" ht="15.75" customHeight="1">
      <c r="E531" s="11"/>
      <c r="F531" s="11"/>
      <c r="G531" s="11"/>
      <c r="L531" s="11"/>
      <c r="M531" s="11"/>
      <c r="N531" s="11"/>
      <c r="O531" s="18"/>
      <c r="U531" s="18"/>
      <c r="V531" s="18"/>
      <c r="W531" s="18"/>
      <c r="X531" s="18"/>
    </row>
    <row r="532" ht="15.75" customHeight="1">
      <c r="E532" s="11"/>
      <c r="F532" s="11"/>
      <c r="G532" s="11"/>
      <c r="L532" s="11"/>
      <c r="M532" s="11"/>
      <c r="N532" s="11"/>
      <c r="O532" s="18"/>
      <c r="U532" s="18"/>
      <c r="V532" s="18"/>
      <c r="W532" s="18"/>
      <c r="X532" s="18"/>
    </row>
    <row r="533" ht="15.75" customHeight="1">
      <c r="E533" s="11"/>
      <c r="F533" s="11"/>
      <c r="G533" s="11"/>
      <c r="L533" s="11"/>
      <c r="M533" s="11"/>
      <c r="N533" s="11"/>
      <c r="O533" s="18"/>
      <c r="U533" s="18"/>
      <c r="V533" s="18"/>
      <c r="W533" s="18"/>
      <c r="X533" s="18"/>
    </row>
    <row r="534" ht="15.75" customHeight="1">
      <c r="E534" s="11"/>
      <c r="F534" s="11"/>
      <c r="G534" s="11"/>
      <c r="L534" s="11"/>
      <c r="M534" s="11"/>
      <c r="N534" s="11"/>
      <c r="O534" s="18"/>
      <c r="U534" s="18"/>
      <c r="V534" s="18"/>
      <c r="W534" s="18"/>
      <c r="X534" s="18"/>
    </row>
    <row r="535" ht="15.75" customHeight="1">
      <c r="E535" s="11"/>
      <c r="F535" s="11"/>
      <c r="G535" s="11"/>
      <c r="L535" s="11"/>
      <c r="M535" s="11"/>
      <c r="N535" s="11"/>
      <c r="O535" s="18"/>
      <c r="U535" s="18"/>
      <c r="V535" s="18"/>
      <c r="W535" s="18"/>
      <c r="X535" s="18"/>
    </row>
    <row r="536" ht="15.75" customHeight="1">
      <c r="E536" s="11"/>
      <c r="F536" s="11"/>
      <c r="G536" s="11"/>
      <c r="L536" s="11"/>
      <c r="M536" s="11"/>
      <c r="N536" s="11"/>
      <c r="O536" s="18"/>
      <c r="U536" s="18"/>
      <c r="V536" s="18"/>
      <c r="W536" s="18"/>
      <c r="X536" s="18"/>
    </row>
    <row r="537" ht="15.75" customHeight="1">
      <c r="E537" s="11"/>
      <c r="F537" s="11"/>
      <c r="G537" s="11"/>
      <c r="L537" s="11"/>
      <c r="M537" s="11"/>
      <c r="N537" s="11"/>
      <c r="O537" s="18"/>
      <c r="U537" s="18"/>
      <c r="V537" s="18"/>
      <c r="W537" s="18"/>
      <c r="X537" s="18"/>
    </row>
    <row r="538" ht="15.75" customHeight="1">
      <c r="E538" s="11"/>
      <c r="F538" s="11"/>
      <c r="G538" s="11"/>
      <c r="L538" s="11"/>
      <c r="M538" s="11"/>
      <c r="N538" s="11"/>
      <c r="O538" s="18"/>
      <c r="U538" s="18"/>
      <c r="V538" s="18"/>
      <c r="W538" s="18"/>
      <c r="X538" s="18"/>
    </row>
    <row r="539" ht="15.75" customHeight="1">
      <c r="E539" s="11"/>
      <c r="F539" s="11"/>
      <c r="G539" s="11"/>
      <c r="L539" s="11"/>
      <c r="M539" s="11"/>
      <c r="N539" s="11"/>
      <c r="O539" s="18"/>
      <c r="U539" s="18"/>
      <c r="V539" s="18"/>
      <c r="W539" s="18"/>
      <c r="X539" s="18"/>
    </row>
    <row r="540" ht="15.75" customHeight="1">
      <c r="E540" s="11"/>
      <c r="F540" s="11"/>
      <c r="G540" s="11"/>
      <c r="L540" s="11"/>
      <c r="M540" s="11"/>
      <c r="N540" s="11"/>
      <c r="O540" s="18"/>
      <c r="U540" s="18"/>
      <c r="V540" s="18"/>
      <c r="W540" s="18"/>
      <c r="X540" s="18"/>
    </row>
    <row r="541" ht="15.75" customHeight="1">
      <c r="E541" s="11"/>
      <c r="F541" s="11"/>
      <c r="G541" s="11"/>
      <c r="L541" s="11"/>
      <c r="M541" s="11"/>
      <c r="N541" s="11"/>
      <c r="O541" s="18"/>
      <c r="U541" s="18"/>
      <c r="V541" s="18"/>
      <c r="W541" s="18"/>
      <c r="X541" s="18"/>
    </row>
    <row r="542" ht="15.75" customHeight="1">
      <c r="E542" s="11"/>
      <c r="F542" s="11"/>
      <c r="G542" s="11"/>
      <c r="L542" s="11"/>
      <c r="M542" s="11"/>
      <c r="N542" s="11"/>
      <c r="O542" s="18"/>
      <c r="U542" s="18"/>
      <c r="V542" s="18"/>
      <c r="W542" s="18"/>
      <c r="X542" s="18"/>
    </row>
    <row r="543" ht="15.75" customHeight="1">
      <c r="E543" s="11"/>
      <c r="F543" s="11"/>
      <c r="G543" s="11"/>
      <c r="L543" s="11"/>
      <c r="M543" s="11"/>
      <c r="N543" s="11"/>
      <c r="O543" s="18"/>
      <c r="U543" s="18"/>
      <c r="V543" s="18"/>
      <c r="W543" s="18"/>
      <c r="X543" s="18"/>
    </row>
    <row r="544" ht="15.75" customHeight="1">
      <c r="E544" s="11"/>
      <c r="F544" s="11"/>
      <c r="G544" s="11"/>
      <c r="L544" s="11"/>
      <c r="M544" s="11"/>
      <c r="N544" s="11"/>
      <c r="O544" s="18"/>
      <c r="U544" s="18"/>
      <c r="V544" s="18"/>
      <c r="W544" s="18"/>
      <c r="X544" s="18"/>
    </row>
    <row r="545" ht="15.75" customHeight="1">
      <c r="E545" s="11"/>
      <c r="F545" s="11"/>
      <c r="G545" s="11"/>
      <c r="L545" s="11"/>
      <c r="M545" s="11"/>
      <c r="N545" s="11"/>
      <c r="O545" s="18"/>
      <c r="U545" s="18"/>
      <c r="V545" s="18"/>
      <c r="W545" s="18"/>
      <c r="X545" s="18"/>
    </row>
    <row r="546" ht="15.75" customHeight="1">
      <c r="E546" s="11"/>
      <c r="F546" s="11"/>
      <c r="G546" s="11"/>
      <c r="L546" s="11"/>
      <c r="M546" s="11"/>
      <c r="N546" s="11"/>
      <c r="O546" s="18"/>
      <c r="U546" s="18"/>
      <c r="V546" s="18"/>
      <c r="W546" s="18"/>
      <c r="X546" s="18"/>
    </row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57.0" customHeight="1">
      <c r="A1" s="21" t="s">
        <v>33</v>
      </c>
      <c r="B1" s="22" t="s">
        <v>34</v>
      </c>
      <c r="C1" s="23" t="s">
        <v>35</v>
      </c>
      <c r="D1" s="24" t="s">
        <v>36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5">
        <v>10101.0</v>
      </c>
      <c r="B2" s="26" t="s">
        <v>37</v>
      </c>
      <c r="C2" s="27">
        <v>0.7946390088352346</v>
      </c>
      <c r="D2" s="27">
        <v>1.570606280170253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25">
        <v>10102.0</v>
      </c>
      <c r="B3" s="26" t="s">
        <v>38</v>
      </c>
      <c r="C3" s="27">
        <v>0.3008241767169229</v>
      </c>
      <c r="D3" s="27">
        <v>1.8351365404966817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25">
        <v>10103.0</v>
      </c>
      <c r="B4" s="26" t="s">
        <v>39</v>
      </c>
      <c r="C4" s="27">
        <v>1.1965368023282255</v>
      </c>
      <c r="D4" s="27">
        <v>1.180638628287193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25">
        <v>10201.0</v>
      </c>
      <c r="B5" s="26" t="s">
        <v>40</v>
      </c>
      <c r="C5" s="27">
        <v>0.6823529506430903</v>
      </c>
      <c r="D5" s="27">
        <v>1.3561853165531397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25">
        <v>10202.0</v>
      </c>
      <c r="B6" s="26" t="s">
        <v>41</v>
      </c>
      <c r="C6" s="27">
        <v>0.8897849431121223</v>
      </c>
      <c r="D6" s="27">
        <v>1.554675717931652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25">
        <v>10301.0</v>
      </c>
      <c r="B7" s="26" t="s">
        <v>42</v>
      </c>
      <c r="C7" s="27">
        <v>0.43162393357254486</v>
      </c>
      <c r="D7" s="27">
        <v>1.412719978911819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25">
        <v>10302.0</v>
      </c>
      <c r="B8" s="26" t="s">
        <v>43</v>
      </c>
      <c r="C8" s="27">
        <v>1.2370486786130777</v>
      </c>
      <c r="D8" s="27">
        <v>1.2041647300617895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25">
        <v>10303.0</v>
      </c>
      <c r="B9" s="26" t="s">
        <v>44</v>
      </c>
      <c r="C9" s="27">
        <v>0.820802716032501</v>
      </c>
      <c r="D9" s="27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25">
        <v>10304.0</v>
      </c>
      <c r="B10" s="26" t="s">
        <v>45</v>
      </c>
      <c r="C10" s="27">
        <v>0.7140039482729476</v>
      </c>
      <c r="D10" s="27">
        <v>0.8450930609072556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25">
        <v>10401.0</v>
      </c>
      <c r="B11" s="26" t="s">
        <v>46</v>
      </c>
      <c r="C11" s="27">
        <v>0.691573401988559</v>
      </c>
      <c r="D11" s="27">
        <v>1.2818877513647682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25">
        <v>10402.0</v>
      </c>
      <c r="B12" s="26" t="s">
        <v>47</v>
      </c>
      <c r="C12" s="27">
        <v>1.3173913114615108</v>
      </c>
      <c r="D12" s="27">
        <v>3.6666666912535817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25">
        <v>10403.0</v>
      </c>
      <c r="B13" s="26" t="s">
        <v>48</v>
      </c>
      <c r="C13" s="27">
        <v>0.31914893788226106</v>
      </c>
      <c r="D13" s="27">
        <v>1.2840077097185505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25">
        <v>10404.0</v>
      </c>
      <c r="B14" s="26" t="s">
        <v>49</v>
      </c>
      <c r="C14" s="27">
        <v>0.4766666635672252</v>
      </c>
      <c r="D14" s="27">
        <v>1.95326303711707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25">
        <v>10405.0</v>
      </c>
      <c r="B15" s="26" t="s">
        <v>50</v>
      </c>
      <c r="C15" s="27"/>
      <c r="D15" s="27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25">
        <v>10501.0</v>
      </c>
      <c r="B16" s="26" t="s">
        <v>51</v>
      </c>
      <c r="C16" s="27"/>
      <c r="D16" s="2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25">
        <v>10502.0</v>
      </c>
      <c r="B17" s="26" t="s">
        <v>52</v>
      </c>
      <c r="C17" s="27">
        <v>0.7302259884497095</v>
      </c>
      <c r="D17" s="27">
        <v>0.8543972059389797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25">
        <v>10601.0</v>
      </c>
      <c r="B18" s="26" t="s">
        <v>53</v>
      </c>
      <c r="C18" s="27">
        <v>0.9429219078625788</v>
      </c>
      <c r="D18" s="27">
        <v>1.1547587294376433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25">
        <v>10602.0</v>
      </c>
      <c r="B19" s="26" t="s">
        <v>54</v>
      </c>
      <c r="C19" s="27">
        <v>0.7706093245132485</v>
      </c>
      <c r="D19" s="27">
        <v>0.882129280383272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25">
        <v>10701.0</v>
      </c>
      <c r="B20" s="26" t="s">
        <v>55</v>
      </c>
      <c r="C20" s="27">
        <v>0.9555160138471006</v>
      </c>
      <c r="D20" s="27">
        <v>1.580770830333346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5">
        <v>10702.0</v>
      </c>
      <c r="B21" s="26" t="s">
        <v>56</v>
      </c>
      <c r="C21" s="27">
        <v>1.1156643694833008</v>
      </c>
      <c r="D21" s="27">
        <v>1.1777615887492003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25">
        <v>10703.0</v>
      </c>
      <c r="B22" s="26" t="s">
        <v>57</v>
      </c>
      <c r="C22" s="27">
        <v>0.49999999720603233</v>
      </c>
      <c r="D22" s="27">
        <v>0.7522595320992973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25">
        <v>10704.0</v>
      </c>
      <c r="B23" s="26" t="s">
        <v>58</v>
      </c>
      <c r="C23" s="27">
        <v>0.46304346881482955</v>
      </c>
      <c r="D23" s="27">
        <v>1.378754273204017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25">
        <v>10801.0</v>
      </c>
      <c r="B24" s="26" t="s">
        <v>59</v>
      </c>
      <c r="C24" s="27">
        <v>0.5264900631166453</v>
      </c>
      <c r="D24" s="27">
        <v>0.5227386372161527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25">
        <v>10901.0</v>
      </c>
      <c r="B25" s="26" t="s">
        <v>60</v>
      </c>
      <c r="C25" s="27">
        <v>2.352631624474337</v>
      </c>
      <c r="D25" s="27">
        <v>2.116784613376722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25">
        <v>10902.0</v>
      </c>
      <c r="B26" s="26" t="s">
        <v>61</v>
      </c>
      <c r="C26" s="27">
        <v>0.7888349581021561</v>
      </c>
      <c r="D26" s="27">
        <v>0.7815249281750049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25">
        <v>10903.0</v>
      </c>
      <c r="B27" s="26" t="s">
        <v>62</v>
      </c>
      <c r="C27" s="27">
        <v>0.34090908938510855</v>
      </c>
      <c r="D27" s="27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25">
        <v>11001.0</v>
      </c>
      <c r="B28" s="26" t="s">
        <v>63</v>
      </c>
      <c r="C28" s="27">
        <v>1.172747590982158</v>
      </c>
      <c r="D28" s="27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25">
        <v>11002.0</v>
      </c>
      <c r="B29" s="26" t="s">
        <v>64</v>
      </c>
      <c r="C29" s="27">
        <v>0.9523809493398993</v>
      </c>
      <c r="D29" s="27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5">
        <v>11003.0</v>
      </c>
      <c r="B30" s="26" t="s">
        <v>65</v>
      </c>
      <c r="C30" s="27">
        <v>0.7020853977169554</v>
      </c>
      <c r="D30" s="27">
        <v>0.7287630441873285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5">
        <v>20101.0</v>
      </c>
      <c r="B31" s="26" t="s">
        <v>66</v>
      </c>
      <c r="C31" s="27">
        <v>0.37810979278441226</v>
      </c>
      <c r="D31" s="27">
        <v>3.7370860377605206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5">
        <v>20102.0</v>
      </c>
      <c r="B32" s="26" t="s">
        <v>67</v>
      </c>
      <c r="C32" s="27">
        <v>0.573870394134509</v>
      </c>
      <c r="D32" s="27">
        <v>1.0194235550071262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25">
        <v>20103.0</v>
      </c>
      <c r="B33" s="26" t="s">
        <v>68</v>
      </c>
      <c r="C33" s="27">
        <v>0.5891545630528441</v>
      </c>
      <c r="D33" s="27">
        <v>1.6411628095929378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5">
        <v>20104.0</v>
      </c>
      <c r="B34" s="26" t="s">
        <v>69</v>
      </c>
      <c r="C34" s="27">
        <v>0.725274726338842</v>
      </c>
      <c r="D34" s="27">
        <v>1.9777020333613338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5">
        <v>20105.0</v>
      </c>
      <c r="B35" s="26" t="s">
        <v>70</v>
      </c>
      <c r="C35" s="27">
        <v>1.012113026295776</v>
      </c>
      <c r="D35" s="27">
        <v>2.574805761128392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25">
        <v>20201.0</v>
      </c>
      <c r="B36" s="26" t="s">
        <v>71</v>
      </c>
      <c r="C36" s="27">
        <v>0.9801980158185016</v>
      </c>
      <c r="D36" s="27">
        <v>1.799494371178958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25">
        <v>20202.0</v>
      </c>
      <c r="B37" s="26" t="s">
        <v>72</v>
      </c>
      <c r="C37" s="27">
        <v>1.1829059816833236</v>
      </c>
      <c r="D37" s="27">
        <v>1.2757193100200532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25">
        <v>20203.0</v>
      </c>
      <c r="B38" s="26" t="s">
        <v>73</v>
      </c>
      <c r="C38" s="27">
        <v>0.1935483890934558</v>
      </c>
      <c r="D38" s="27">
        <v>1.1435368997828208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25">
        <v>20204.0</v>
      </c>
      <c r="B39" s="26" t="s">
        <v>74</v>
      </c>
      <c r="C39" s="27">
        <v>0.5948717750647139</v>
      </c>
      <c r="D39" s="27">
        <v>1.472677596003359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25">
        <v>20205.0</v>
      </c>
      <c r="B40" s="26" t="s">
        <v>75</v>
      </c>
      <c r="C40" s="27">
        <v>1.1125000159256158</v>
      </c>
      <c r="D40" s="27">
        <v>0.8516097398618964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25">
        <v>20206.0</v>
      </c>
      <c r="B41" s="26" t="s">
        <v>76</v>
      </c>
      <c r="C41" s="27"/>
      <c r="D41" s="27">
        <v>1.153066668877665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25">
        <v>20301.0</v>
      </c>
      <c r="B42" s="26" t="s">
        <v>77</v>
      </c>
      <c r="C42" s="27">
        <v>0.9401709363501297</v>
      </c>
      <c r="D42" s="27">
        <v>1.0316558196812329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25">
        <v>20302.0</v>
      </c>
      <c r="B43" s="26" t="s">
        <v>78</v>
      </c>
      <c r="C43" s="27">
        <v>0.6638176633082224</v>
      </c>
      <c r="D43" s="27">
        <v>0.9349285520505953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25">
        <v>20303.0</v>
      </c>
      <c r="B44" s="26" t="s">
        <v>79</v>
      </c>
      <c r="C44" s="27">
        <v>1.228571422185217</v>
      </c>
      <c r="D44" s="27">
        <v>0.9009054312707835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25">
        <v>20304.0</v>
      </c>
      <c r="B45" s="26" t="s">
        <v>80</v>
      </c>
      <c r="C45" s="27">
        <v>0.8241758151066475</v>
      </c>
      <c r="D45" s="27">
        <v>1.2045112838634726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25">
        <v>20305.0</v>
      </c>
      <c r="B46" s="26" t="s">
        <v>81</v>
      </c>
      <c r="C46" s="27"/>
      <c r="D46" s="27">
        <v>0.3934257047829581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25">
        <v>20306.0</v>
      </c>
      <c r="B47" s="26" t="s">
        <v>82</v>
      </c>
      <c r="C47" s="27"/>
      <c r="D47" s="27">
        <v>0.7436118287671861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25">
        <v>20307.0</v>
      </c>
      <c r="B48" s="26" t="s">
        <v>83</v>
      </c>
      <c r="C48" s="27"/>
      <c r="D48" s="27">
        <v>1.07186104746904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25">
        <v>20308.0</v>
      </c>
      <c r="B49" s="26" t="s">
        <v>84</v>
      </c>
      <c r="C49" s="27">
        <v>1.0679425947553893</v>
      </c>
      <c r="D49" s="27">
        <v>0.9417220332981417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25">
        <v>20401.0</v>
      </c>
      <c r="B50" s="26" t="s">
        <v>85</v>
      </c>
      <c r="C50" s="27">
        <v>0.6999999959766866</v>
      </c>
      <c r="D50" s="27">
        <v>1.3797814192415392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25">
        <v>20402.0</v>
      </c>
      <c r="B51" s="26" t="s">
        <v>86</v>
      </c>
      <c r="C51" s="27">
        <v>0.8363201744240252</v>
      </c>
      <c r="D51" s="27">
        <v>0.8209571933856974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25">
        <v>20403.0</v>
      </c>
      <c r="B52" s="26" t="s">
        <v>87</v>
      </c>
      <c r="C52" s="27">
        <v>0.9619341600464022</v>
      </c>
      <c r="D52" s="27">
        <v>1.503928262494235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25">
        <v>20404.0</v>
      </c>
      <c r="B53" s="26" t="s">
        <v>88</v>
      </c>
      <c r="C53" s="27">
        <v>0.614958441245311</v>
      </c>
      <c r="D53" s="27">
        <v>1.3283862834692035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25">
        <v>20405.0</v>
      </c>
      <c r="B54" s="26" t="s">
        <v>89</v>
      </c>
      <c r="C54" s="27">
        <v>0.7887323770964417</v>
      </c>
      <c r="D54" s="27">
        <v>0.8293307708588847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25">
        <v>20501.0</v>
      </c>
      <c r="B55" s="26" t="s">
        <v>90</v>
      </c>
      <c r="C55" s="27"/>
      <c r="D55" s="27">
        <v>0.8609848206354316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25">
        <v>20502.0</v>
      </c>
      <c r="B56" s="26" t="s">
        <v>91</v>
      </c>
      <c r="C56" s="27">
        <v>1.8204545604172813</v>
      </c>
      <c r="D56" s="27">
        <v>0.7914663521374485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25">
        <v>20503.0</v>
      </c>
      <c r="B57" s="26" t="s">
        <v>92</v>
      </c>
      <c r="C57" s="27">
        <v>0.705645152502844</v>
      </c>
      <c r="D57" s="27">
        <v>0.8157699004177978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25">
        <v>20601.0</v>
      </c>
      <c r="B58" s="26" t="s">
        <v>93</v>
      </c>
      <c r="C58" s="27">
        <v>0.8994234524783858</v>
      </c>
      <c r="D58" s="27">
        <v>0.9213055713498128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25">
        <v>20602.0</v>
      </c>
      <c r="B59" s="26" t="s">
        <v>94</v>
      </c>
      <c r="C59" s="27">
        <v>0.7393152274025163</v>
      </c>
      <c r="D59" s="27">
        <v>1.0845220269961504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25">
        <v>20603.0</v>
      </c>
      <c r="B60" s="26" t="s">
        <v>95</v>
      </c>
      <c r="C60" s="27">
        <v>0.6575342429010835</v>
      </c>
      <c r="D60" s="27">
        <v>0.7407012231413715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25">
        <v>20604.0</v>
      </c>
      <c r="B61" s="26" t="s">
        <v>96</v>
      </c>
      <c r="C61" s="27">
        <v>0.6976744102877243</v>
      </c>
      <c r="D61" s="27">
        <v>1.0365818044557988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25">
        <v>20605.0</v>
      </c>
      <c r="B62" s="26" t="s">
        <v>97</v>
      </c>
      <c r="C62" s="27"/>
      <c r="D62" s="27">
        <v>2.3357142683118584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25">
        <v>20606.0</v>
      </c>
      <c r="B63" s="26" t="s">
        <v>98</v>
      </c>
      <c r="C63" s="27">
        <v>0.21583011979203293</v>
      </c>
      <c r="D63" s="27">
        <v>1.1981100862705585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25">
        <v>20607.0</v>
      </c>
      <c r="B64" s="26" t="s">
        <v>99</v>
      </c>
      <c r="C64" s="27">
        <v>0.7179487219605689</v>
      </c>
      <c r="D64" s="27">
        <v>0.7915902779875423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25">
        <v>20608.0</v>
      </c>
      <c r="B65" s="26" t="s">
        <v>100</v>
      </c>
      <c r="C65" s="27">
        <v>0.47012345723517135</v>
      </c>
      <c r="D65" s="27">
        <v>1.0453410476414626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25">
        <v>20701.0</v>
      </c>
      <c r="B66" s="26" t="s">
        <v>101</v>
      </c>
      <c r="C66" s="27">
        <v>0.6560000000980923</v>
      </c>
      <c r="D66" s="27">
        <v>0.8922360248629831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25">
        <v>20702.0</v>
      </c>
      <c r="B67" s="26" t="s">
        <v>102</v>
      </c>
      <c r="C67" s="27">
        <v>1.291836739151193</v>
      </c>
      <c r="D67" s="27">
        <v>1.6510491051505654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25">
        <v>20801.0</v>
      </c>
      <c r="B68" s="26" t="s">
        <v>103</v>
      </c>
      <c r="C68" s="27">
        <v>0.7900249413659151</v>
      </c>
      <c r="D68" s="27">
        <v>3.2459506194801304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25">
        <v>20802.0</v>
      </c>
      <c r="B69" s="26" t="s">
        <v>104</v>
      </c>
      <c r="C69" s="27">
        <v>0.9354838787548002</v>
      </c>
      <c r="D69" s="27">
        <v>0.8879210126958567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25">
        <v>20803.0</v>
      </c>
      <c r="B70" s="26" t="s">
        <v>105</v>
      </c>
      <c r="C70" s="27">
        <v>0.465517241029713</v>
      </c>
      <c r="D70" s="27">
        <v>1.2018725741670035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25">
        <v>20804.0</v>
      </c>
      <c r="B71" s="26" t="s">
        <v>106</v>
      </c>
      <c r="C71" s="27"/>
      <c r="D71" s="27">
        <v>1.3295454680534802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25">
        <v>20805.0</v>
      </c>
      <c r="B72" s="26" t="s">
        <v>107</v>
      </c>
      <c r="C72" s="27"/>
      <c r="D72" s="27">
        <v>1.4620553273858892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25">
        <v>20806.0</v>
      </c>
      <c r="B73" s="26" t="s">
        <v>108</v>
      </c>
      <c r="C73" s="27">
        <v>1.1428571300847195</v>
      </c>
      <c r="D73" s="27">
        <v>0.9410205974162443</v>
      </c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25">
        <v>20807.0</v>
      </c>
      <c r="B74" s="26" t="s">
        <v>109</v>
      </c>
      <c r="C74" s="27">
        <v>0.8449883281554043</v>
      </c>
      <c r="D74" s="27">
        <v>1.3706678238021963</v>
      </c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25">
        <v>20901.0</v>
      </c>
      <c r="B75" s="26" t="s">
        <v>110</v>
      </c>
      <c r="C75" s="27">
        <v>0.9649122744275814</v>
      </c>
      <c r="D75" s="27">
        <v>1.1840531586081005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25">
        <v>20902.0</v>
      </c>
      <c r="B76" s="26" t="s">
        <v>111</v>
      </c>
      <c r="C76" s="27">
        <v>0.5519005899808018</v>
      </c>
      <c r="D76" s="27">
        <v>1.2088377606818754</v>
      </c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25">
        <v>20903.0</v>
      </c>
      <c r="B77" s="26" t="s">
        <v>112</v>
      </c>
      <c r="C77" s="27">
        <v>0.944099358093601</v>
      </c>
      <c r="D77" s="27">
        <v>0.791342610210246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25">
        <v>20904.0</v>
      </c>
      <c r="B78" s="26" t="s">
        <v>113</v>
      </c>
      <c r="C78" s="27">
        <v>1.4188235030166014</v>
      </c>
      <c r="D78" s="27">
        <v>1.7983569848650414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25">
        <v>20905.0</v>
      </c>
      <c r="B79" s="26" t="s">
        <v>114</v>
      </c>
      <c r="C79" s="27">
        <v>0.6666666630174027</v>
      </c>
      <c r="D79" s="27">
        <v>1.3550724592752332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25">
        <v>21001.0</v>
      </c>
      <c r="B80" s="26" t="s">
        <v>115</v>
      </c>
      <c r="C80" s="27">
        <v>0.9548013963723957</v>
      </c>
      <c r="D80" s="27">
        <v>0.7577475641105894</v>
      </c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25">
        <v>21002.0</v>
      </c>
      <c r="B81" s="26" t="s">
        <v>116</v>
      </c>
      <c r="C81" s="27"/>
      <c r="D81" s="27">
        <v>0.7578491055307571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25">
        <v>21003.0</v>
      </c>
      <c r="B82" s="26" t="s">
        <v>117</v>
      </c>
      <c r="C82" s="27">
        <v>0.7129411808140961</v>
      </c>
      <c r="D82" s="27">
        <v>0.24922904546386668</v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25">
        <v>21004.0</v>
      </c>
      <c r="B83" s="26" t="s">
        <v>118</v>
      </c>
      <c r="C83" s="27">
        <v>1.675776384670671</v>
      </c>
      <c r="D83" s="27">
        <v>1.5607043563403982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25">
        <v>21005.0</v>
      </c>
      <c r="B84" s="26" t="s">
        <v>119</v>
      </c>
      <c r="C84" s="27">
        <v>0.8700410277574692</v>
      </c>
      <c r="D84" s="27">
        <v>1.1984713307424824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25">
        <v>21006.0</v>
      </c>
      <c r="B85" s="26" t="s">
        <v>120</v>
      </c>
      <c r="C85" s="27"/>
      <c r="D85" s="27">
        <v>1.7090909160365741</v>
      </c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25">
        <v>21101.0</v>
      </c>
      <c r="B86" s="26" t="s">
        <v>121</v>
      </c>
      <c r="C86" s="27">
        <v>0.8051948159616417</v>
      </c>
      <c r="D86" s="27">
        <v>0.4424573738281541</v>
      </c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25">
        <v>21102.0</v>
      </c>
      <c r="B87" s="26" t="s">
        <v>122</v>
      </c>
      <c r="C87" s="27">
        <v>1.339743574103984</v>
      </c>
      <c r="D87" s="27">
        <v>0.9797087248203276</v>
      </c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25">
        <v>21103.0</v>
      </c>
      <c r="B88" s="26" t="s">
        <v>123</v>
      </c>
      <c r="C88" s="27">
        <v>0.9050751957486188</v>
      </c>
      <c r="D88" s="27">
        <v>1.7984737086906886</v>
      </c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25">
        <v>21104.0</v>
      </c>
      <c r="B89" s="26" t="s">
        <v>124</v>
      </c>
      <c r="C89" s="27">
        <v>1.035552007139585</v>
      </c>
      <c r="D89" s="27">
        <v>0.7034640323747163</v>
      </c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25">
        <v>21105.0</v>
      </c>
      <c r="B90" s="26" t="s">
        <v>125</v>
      </c>
      <c r="C90" s="27">
        <v>0.7733192707210613</v>
      </c>
      <c r="D90" s="27">
        <v>1.111997773576615</v>
      </c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25">
        <v>21201.0</v>
      </c>
      <c r="B91" s="26" t="s">
        <v>126</v>
      </c>
      <c r="C91" s="27">
        <v>2.2401433539540117</v>
      </c>
      <c r="D91" s="27">
        <v>1.4676073325900045</v>
      </c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25">
        <v>21202.0</v>
      </c>
      <c r="B92" s="26" t="s">
        <v>127</v>
      </c>
      <c r="C92" s="27">
        <v>0.6249999966150008</v>
      </c>
      <c r="D92" s="27">
        <v>2.0529437566954716</v>
      </c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25">
        <v>21203.0</v>
      </c>
      <c r="B93" s="26" t="s">
        <v>128</v>
      </c>
      <c r="C93" s="27">
        <v>0.6438127147829841</v>
      </c>
      <c r="D93" s="27">
        <v>1.0108859334676217</v>
      </c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25">
        <v>21204.0</v>
      </c>
      <c r="B94" s="26" t="s">
        <v>129</v>
      </c>
      <c r="C94" s="27">
        <v>0.8364486097245015</v>
      </c>
      <c r="D94" s="27">
        <v>1.3982899081102012</v>
      </c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25">
        <v>21301.0</v>
      </c>
      <c r="B95" s="26" t="s">
        <v>130</v>
      </c>
      <c r="C95" s="27">
        <v>1.003283175456991</v>
      </c>
      <c r="D95" s="27">
        <v>0.7129211460590947</v>
      </c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25">
        <v>21302.0</v>
      </c>
      <c r="B96" s="26" t="s">
        <v>131</v>
      </c>
      <c r="C96" s="27">
        <v>0.5509523823162933</v>
      </c>
      <c r="D96" s="27">
        <v>1.5285968505179828</v>
      </c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25">
        <v>21303.0</v>
      </c>
      <c r="B97" s="26" t="s">
        <v>132</v>
      </c>
      <c r="C97" s="27">
        <v>1.121739115041236</v>
      </c>
      <c r="D97" s="27">
        <v>0.7771317822943521</v>
      </c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25">
        <v>21304.0</v>
      </c>
      <c r="B98" s="26" t="s">
        <v>133</v>
      </c>
      <c r="C98" s="27">
        <v>1.4197530820045945</v>
      </c>
      <c r="D98" s="27">
        <v>1.6373814337477626</v>
      </c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25">
        <v>21305.0</v>
      </c>
      <c r="B99" s="26" t="s">
        <v>134</v>
      </c>
      <c r="C99" s="27">
        <v>2.185136925246409</v>
      </c>
      <c r="D99" s="27">
        <v>1.895220805904443</v>
      </c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25">
        <v>21306.0</v>
      </c>
      <c r="B100" s="26" t="s">
        <v>135</v>
      </c>
      <c r="C100" s="27"/>
      <c r="D100" s="27">
        <v>1.0549813959775387</v>
      </c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25">
        <v>21307.0</v>
      </c>
      <c r="B101" s="26" t="s">
        <v>136</v>
      </c>
      <c r="C101" s="27">
        <v>0.5849802410092835</v>
      </c>
      <c r="D101" s="27">
        <v>2.999999985098839</v>
      </c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25">
        <v>21401.0</v>
      </c>
      <c r="B102" s="26" t="s">
        <v>137</v>
      </c>
      <c r="C102" s="27">
        <v>1.4469696874871403</v>
      </c>
      <c r="D102" s="27">
        <v>0.6661660009226161</v>
      </c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25">
        <v>21402.0</v>
      </c>
      <c r="B103" s="26" t="s">
        <v>138</v>
      </c>
      <c r="C103" s="27">
        <v>0.831932780354106</v>
      </c>
      <c r="D103" s="27">
        <v>0.900421384255197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25">
        <v>21501.0</v>
      </c>
      <c r="B104" s="26" t="s">
        <v>139</v>
      </c>
      <c r="C104" s="27">
        <v>1.1818840516218245</v>
      </c>
      <c r="D104" s="27">
        <v>0.9751245152984943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25">
        <v>21502.0</v>
      </c>
      <c r="B105" s="26" t="s">
        <v>140</v>
      </c>
      <c r="C105" s="27">
        <v>1.16544565916862</v>
      </c>
      <c r="D105" s="27">
        <v>0.5176584442534368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25">
        <v>21601.0</v>
      </c>
      <c r="B106" s="26" t="s">
        <v>141</v>
      </c>
      <c r="C106" s="27">
        <v>0.7499999962747098</v>
      </c>
      <c r="D106" s="27">
        <v>0.6973286691382881</v>
      </c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25">
        <v>21602.0</v>
      </c>
      <c r="B107" s="26" t="s">
        <v>142</v>
      </c>
      <c r="C107" s="27"/>
      <c r="D107" s="27">
        <v>0.8958138789496225</v>
      </c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25">
        <v>21701.0</v>
      </c>
      <c r="B108" s="26" t="s">
        <v>143</v>
      </c>
      <c r="C108" s="27">
        <v>0.8202689733563615</v>
      </c>
      <c r="D108" s="27">
        <v>1.3314883751893811</v>
      </c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25">
        <v>21702.0</v>
      </c>
      <c r="B109" s="26" t="s">
        <v>144</v>
      </c>
      <c r="C109" s="27">
        <v>1.3188976494551405</v>
      </c>
      <c r="D109" s="27">
        <v>1.7982564090086803</v>
      </c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25">
        <v>21703.0</v>
      </c>
      <c r="B110" s="26" t="s">
        <v>145</v>
      </c>
      <c r="C110" s="27"/>
      <c r="D110" s="27">
        <v>1.2749409704157117</v>
      </c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25">
        <v>21801.0</v>
      </c>
      <c r="B111" s="26" t="s">
        <v>146</v>
      </c>
      <c r="C111" s="27">
        <v>0.6071428648063114</v>
      </c>
      <c r="D111" s="27">
        <v>1.7154676298201392</v>
      </c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25">
        <v>21802.0</v>
      </c>
      <c r="B112" s="26" t="s">
        <v>147</v>
      </c>
      <c r="C112" s="27">
        <v>0.5700483035638138</v>
      </c>
      <c r="D112" s="27">
        <v>1.0255434736587454</v>
      </c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25">
        <v>21803.0</v>
      </c>
      <c r="B113" s="26" t="s">
        <v>148</v>
      </c>
      <c r="C113" s="27"/>
      <c r="D113" s="27">
        <v>0.6160256413673096</v>
      </c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25">
        <v>21901.0</v>
      </c>
      <c r="B114" s="26" t="s">
        <v>149</v>
      </c>
      <c r="C114" s="27">
        <v>4.444444496598509</v>
      </c>
      <c r="D114" s="27">
        <v>2.379924238936016</v>
      </c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25">
        <v>21902.0</v>
      </c>
      <c r="B115" s="26" t="s">
        <v>150</v>
      </c>
      <c r="C115" s="27"/>
      <c r="D115" s="27">
        <v>0.6048048030402926</v>
      </c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25">
        <v>22001.0</v>
      </c>
      <c r="B116" s="26" t="s">
        <v>151</v>
      </c>
      <c r="C116" s="27">
        <v>1.1142205646643057</v>
      </c>
      <c r="D116" s="27">
        <v>1.8395230497705553</v>
      </c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25">
        <v>22002.0</v>
      </c>
      <c r="B117" s="26" t="s">
        <v>152</v>
      </c>
      <c r="C117" s="27"/>
      <c r="D117" s="27">
        <v>1.180937434715345</v>
      </c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25">
        <v>30101.0</v>
      </c>
      <c r="B118" s="26" t="s">
        <v>153</v>
      </c>
      <c r="C118" s="27">
        <v>0.5069639856023028</v>
      </c>
      <c r="D118" s="27">
        <v>1.3758321347159457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25">
        <v>30201.0</v>
      </c>
      <c r="B119" s="26" t="s">
        <v>154</v>
      </c>
      <c r="C119" s="27">
        <v>1.322672034284848</v>
      </c>
      <c r="D119" s="27">
        <v>1.455525611130681</v>
      </c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25">
        <v>30202.0</v>
      </c>
      <c r="B120" s="26" t="s">
        <v>155</v>
      </c>
      <c r="C120" s="27">
        <v>0.7404844328327379</v>
      </c>
      <c r="D120" s="27">
        <v>0.8842303221223081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25">
        <v>30203.0</v>
      </c>
      <c r="B121" s="26" t="s">
        <v>156</v>
      </c>
      <c r="C121" s="27"/>
      <c r="D121" s="27">
        <v>0.5692729842206757</v>
      </c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25">
        <v>30301.0</v>
      </c>
      <c r="B122" s="26" t="s">
        <v>157</v>
      </c>
      <c r="C122" s="27">
        <v>1.002652940750773</v>
      </c>
      <c r="D122" s="27">
        <v>1.1727536859997194</v>
      </c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25">
        <v>30302.0</v>
      </c>
      <c r="B123" s="26" t="s">
        <v>158</v>
      </c>
      <c r="C123" s="27">
        <v>0.546249789282763</v>
      </c>
      <c r="D123" s="27">
        <v>1.5309727119420653</v>
      </c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25">
        <v>30303.0</v>
      </c>
      <c r="B124" s="26" t="s">
        <v>159</v>
      </c>
      <c r="C124" s="27">
        <v>1.0301886826287703</v>
      </c>
      <c r="D124" s="27">
        <v>0.8614271280474259</v>
      </c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25">
        <v>30401.0</v>
      </c>
      <c r="B125" s="26" t="s">
        <v>160</v>
      </c>
      <c r="C125" s="27">
        <v>1.2000000281631942</v>
      </c>
      <c r="D125" s="27">
        <v>0.1840614890662638</v>
      </c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25">
        <v>30402.0</v>
      </c>
      <c r="B126" s="26" t="s">
        <v>161</v>
      </c>
      <c r="C126" s="27">
        <v>1.0227272885766892</v>
      </c>
      <c r="D126" s="27">
        <v>1.0871020434364307</v>
      </c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25">
        <v>30403.0</v>
      </c>
      <c r="B127" s="26" t="s">
        <v>162</v>
      </c>
      <c r="C127" s="27">
        <v>0.7846563353936685</v>
      </c>
      <c r="D127" s="27">
        <v>1.2863503401013623</v>
      </c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25">
        <v>30404.0</v>
      </c>
      <c r="B128" s="26" t="s">
        <v>163</v>
      </c>
      <c r="C128" s="27">
        <v>0.43404255981140943</v>
      </c>
      <c r="D128" s="27">
        <v>1.814338233162388</v>
      </c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25">
        <v>30501.0</v>
      </c>
      <c r="B129" s="26" t="s">
        <v>164</v>
      </c>
      <c r="C129" s="27"/>
      <c r="D129" s="27">
        <v>1.9272445806918996</v>
      </c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25">
        <v>30502.0</v>
      </c>
      <c r="B130" s="26" t="s">
        <v>165</v>
      </c>
      <c r="C130" s="27">
        <v>1.011494269060706</v>
      </c>
      <c r="D130" s="27">
        <v>0.8884279056718747</v>
      </c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25">
        <v>30601.0</v>
      </c>
      <c r="B131" s="26" t="s">
        <v>166</v>
      </c>
      <c r="C131" s="27">
        <v>0.6193379761652087</v>
      </c>
      <c r="D131" s="27">
        <v>0.667800455197344</v>
      </c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25">
        <v>30602.0</v>
      </c>
      <c r="B132" s="26" t="s">
        <v>167</v>
      </c>
      <c r="C132" s="27">
        <v>1.5812499982188457</v>
      </c>
      <c r="D132" s="27">
        <v>1.2702871417925736</v>
      </c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25">
        <v>30701.0</v>
      </c>
      <c r="B133" s="26" t="s">
        <v>168</v>
      </c>
      <c r="C133" s="27">
        <v>1.727370696609984</v>
      </c>
      <c r="D133" s="27">
        <v>1.629125877822596</v>
      </c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25">
        <v>30702.0</v>
      </c>
      <c r="B134" s="26" t="s">
        <v>169</v>
      </c>
      <c r="C134" s="27">
        <v>2.5471311029520085</v>
      </c>
      <c r="D134" s="27">
        <v>2.1170809899808316</v>
      </c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25">
        <v>30703.0</v>
      </c>
      <c r="B135" s="26" t="s">
        <v>170</v>
      </c>
      <c r="C135" s="27">
        <v>0.5</v>
      </c>
      <c r="D135" s="27">
        <v>0.5696202525843643</v>
      </c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25">
        <v>30801.0</v>
      </c>
      <c r="B136" s="26" t="s">
        <v>171</v>
      </c>
      <c r="C136" s="27">
        <v>0.41741071442291805</v>
      </c>
      <c r="D136" s="27">
        <v>0.5762313246157039</v>
      </c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25">
        <v>30802.0</v>
      </c>
      <c r="B137" s="26" t="s">
        <v>172</v>
      </c>
      <c r="C137" s="27"/>
      <c r="D137" s="27">
        <v>1.0771605075176698</v>
      </c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25">
        <v>30803.0</v>
      </c>
      <c r="B138" s="26" t="s">
        <v>173</v>
      </c>
      <c r="C138" s="27"/>
      <c r="D138" s="27">
        <v>1.2621174353972027</v>
      </c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25">
        <v>30901.0</v>
      </c>
      <c r="B139" s="26" t="s">
        <v>174</v>
      </c>
      <c r="C139" s="27">
        <v>1.130486230333185</v>
      </c>
      <c r="D139" s="27">
        <v>1.9469625524939236</v>
      </c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25">
        <v>30902.0</v>
      </c>
      <c r="B140" s="26" t="s">
        <v>175</v>
      </c>
      <c r="C140" s="27">
        <v>1.1285321938216044</v>
      </c>
      <c r="D140" s="27">
        <v>1.0947196321576649</v>
      </c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25">
        <v>30903.0</v>
      </c>
      <c r="B141" s="26" t="s">
        <v>176</v>
      </c>
      <c r="C141" s="27">
        <v>0.803506022057561</v>
      </c>
      <c r="D141" s="27">
        <v>1.6399722448058331</v>
      </c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25">
        <v>30904.0</v>
      </c>
      <c r="B142" s="26" t="s">
        <v>177</v>
      </c>
      <c r="C142" s="27">
        <v>1.0673105049453238</v>
      </c>
      <c r="D142" s="27">
        <v>1.5907087601187726</v>
      </c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25">
        <v>30905.0</v>
      </c>
      <c r="B143" s="26" t="s">
        <v>178</v>
      </c>
      <c r="C143" s="27">
        <v>0.6950934618280624</v>
      </c>
      <c r="D143" s="27">
        <v>1.4208470642449902</v>
      </c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25">
        <v>31001.0</v>
      </c>
      <c r="B144" s="26" t="s">
        <v>179</v>
      </c>
      <c r="C144" s="27">
        <v>0.7197645656299057</v>
      </c>
      <c r="D144" s="27">
        <v>2.687824863424731</v>
      </c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25">
        <v>31002.0</v>
      </c>
      <c r="B145" s="26" t="s">
        <v>180</v>
      </c>
      <c r="C145" s="27">
        <v>0.8829431352544239</v>
      </c>
      <c r="D145" s="27">
        <v>1.355353428472976</v>
      </c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25">
        <v>31003.0</v>
      </c>
      <c r="B146" s="26" t="s">
        <v>181</v>
      </c>
      <c r="C146" s="27">
        <v>0.8971029976461785</v>
      </c>
      <c r="D146" s="27">
        <v>1.214587665416878</v>
      </c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25">
        <v>31101.0</v>
      </c>
      <c r="B147" s="26" t="s">
        <v>182</v>
      </c>
      <c r="C147" s="27">
        <v>0.7441382127112398</v>
      </c>
      <c r="D147" s="27">
        <v>1.6243747123921366</v>
      </c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25">
        <v>31201.0</v>
      </c>
      <c r="B148" s="26" t="s">
        <v>183</v>
      </c>
      <c r="C148" s="27">
        <v>0.7316053475140747</v>
      </c>
      <c r="D148" s="27">
        <v>0.9705390138047107</v>
      </c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25">
        <v>31202.0</v>
      </c>
      <c r="B149" s="26" t="s">
        <v>184</v>
      </c>
      <c r="C149" s="27">
        <v>0.5538461510528475</v>
      </c>
      <c r="D149" s="27">
        <v>0.7364193626456854</v>
      </c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25">
        <v>31203.0</v>
      </c>
      <c r="B150" s="26" t="s">
        <v>185</v>
      </c>
      <c r="C150" s="27"/>
      <c r="D150" s="27">
        <v>0.9394975424646328</v>
      </c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25">
        <v>31204.0</v>
      </c>
      <c r="B151" s="26" t="s">
        <v>186</v>
      </c>
      <c r="C151" s="27">
        <v>0.5834615405657764</v>
      </c>
      <c r="D151" s="27">
        <v>0.7818472054737549</v>
      </c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25">
        <v>31205.0</v>
      </c>
      <c r="B152" s="26" t="s">
        <v>187</v>
      </c>
      <c r="C152" s="27">
        <v>0.8754395549109973</v>
      </c>
      <c r="D152" s="27">
        <v>1.0072719303652384</v>
      </c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25">
        <v>31206.0</v>
      </c>
      <c r="B153" s="26" t="s">
        <v>188</v>
      </c>
      <c r="C153" s="27">
        <v>0.7168978546410438</v>
      </c>
      <c r="D153" s="27">
        <v>1.204391534065158</v>
      </c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25">
        <v>31301.0</v>
      </c>
      <c r="B154" s="26" t="s">
        <v>189</v>
      </c>
      <c r="C154" s="27">
        <v>1.8906249818392105</v>
      </c>
      <c r="D154" s="27">
        <v>1.5644858712658738</v>
      </c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25">
        <v>31302.0</v>
      </c>
      <c r="B155" s="26" t="s">
        <v>190</v>
      </c>
      <c r="C155" s="27">
        <v>1.1999999738776177</v>
      </c>
      <c r="D155" s="27">
        <v>1.1205305589946961</v>
      </c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25">
        <v>31303.0</v>
      </c>
      <c r="B156" s="26" t="s">
        <v>191</v>
      </c>
      <c r="C156" s="27">
        <v>0.8441295615472513</v>
      </c>
      <c r="D156" s="27">
        <v>1.3423459438727734</v>
      </c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28">
        <v>31304.0</v>
      </c>
      <c r="B157" s="26" t="s">
        <v>192</v>
      </c>
      <c r="C157" s="27">
        <v>1.8906249818392105</v>
      </c>
      <c r="D157" s="27">
        <v>0.7150554881641601</v>
      </c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25">
        <v>31401.0</v>
      </c>
      <c r="B158" s="26" t="s">
        <v>193</v>
      </c>
      <c r="C158" s="27">
        <v>1.0411622387362531</v>
      </c>
      <c r="D158" s="27">
        <v>0.9773413970739288</v>
      </c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25">
        <v>31402.0</v>
      </c>
      <c r="B159" s="26" t="s">
        <v>194</v>
      </c>
      <c r="C159" s="27">
        <v>0.6899801594714154</v>
      </c>
      <c r="D159" s="27">
        <v>1.8666666714808875</v>
      </c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25">
        <v>31403.0</v>
      </c>
      <c r="B160" s="26" t="s">
        <v>195</v>
      </c>
      <c r="C160" s="27">
        <v>0.34693878235257397</v>
      </c>
      <c r="D160" s="27">
        <v>0.9637810924429931</v>
      </c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25">
        <v>31404.0</v>
      </c>
      <c r="B161" s="26" t="s">
        <v>196</v>
      </c>
      <c r="C161" s="27"/>
      <c r="D161" s="27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25">
        <v>31405.0</v>
      </c>
      <c r="B162" s="26" t="s">
        <v>197</v>
      </c>
      <c r="C162" s="27">
        <v>0.3279569887666292</v>
      </c>
      <c r="D162" s="27">
        <v>1.3903743242487263</v>
      </c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25">
        <v>31501.0</v>
      </c>
      <c r="B163" s="26" t="s">
        <v>198</v>
      </c>
      <c r="C163" s="27">
        <v>1.0816326418397382</v>
      </c>
      <c r="D163" s="27">
        <v>0.7575060351137097</v>
      </c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25">
        <v>31601.0</v>
      </c>
      <c r="B164" s="26" t="s">
        <v>199</v>
      </c>
      <c r="C164" s="27">
        <v>1.1501976429152478</v>
      </c>
      <c r="D164" s="27">
        <v>0.5515809185351824</v>
      </c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25">
        <v>31602.0</v>
      </c>
      <c r="B165" s="26" t="s">
        <v>200</v>
      </c>
      <c r="C165" s="27">
        <v>0.9461077902300765</v>
      </c>
      <c r="D165" s="27">
        <v>1.0624200004438378</v>
      </c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25">
        <v>40101.0</v>
      </c>
      <c r="B166" s="26" t="s">
        <v>201</v>
      </c>
      <c r="C166" s="27">
        <v>0.6326305977452136</v>
      </c>
      <c r="D166" s="27">
        <v>1.9328923165417389</v>
      </c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25">
        <v>40102.0</v>
      </c>
      <c r="B167" s="26" t="s">
        <v>202</v>
      </c>
      <c r="C167" s="27">
        <v>0.6510265570553123</v>
      </c>
      <c r="D167" s="27">
        <v>0.981842275360581</v>
      </c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25">
        <v>40103.0</v>
      </c>
      <c r="B168" s="26" t="s">
        <v>203</v>
      </c>
      <c r="C168" s="27">
        <v>1.293422030626041</v>
      </c>
      <c r="D168" s="27">
        <v>1.4757871185445959</v>
      </c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25">
        <v>40104.0</v>
      </c>
      <c r="B169" s="26" t="s">
        <v>204</v>
      </c>
      <c r="C169" s="27">
        <v>7.138067028167451</v>
      </c>
      <c r="D169" s="27">
        <v>1.720017946454553</v>
      </c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25">
        <v>40201.0</v>
      </c>
      <c r="B170" s="26" t="s">
        <v>205</v>
      </c>
      <c r="C170" s="27">
        <v>0.7439928043651608</v>
      </c>
      <c r="D170" s="27">
        <v>2.037965071526885</v>
      </c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25">
        <v>40202.0</v>
      </c>
      <c r="B171" s="26" t="s">
        <v>206</v>
      </c>
      <c r="C171" s="27">
        <v>0.6786714734362839</v>
      </c>
      <c r="D171" s="27">
        <v>0.9859212783695275</v>
      </c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25">
        <v>40301.0</v>
      </c>
      <c r="B172" s="26" t="s">
        <v>207</v>
      </c>
      <c r="C172" s="27">
        <v>2.526595790692149</v>
      </c>
      <c r="D172" s="27">
        <v>1.3484313787331372</v>
      </c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25">
        <v>40302.0</v>
      </c>
      <c r="B173" s="26" t="s">
        <v>208</v>
      </c>
      <c r="C173" s="27"/>
      <c r="D173" s="27">
        <v>0.7221265551473947</v>
      </c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25">
        <v>40401.0</v>
      </c>
      <c r="B174" s="26" t="s">
        <v>209</v>
      </c>
      <c r="C174" s="27">
        <v>0.6555555652413103</v>
      </c>
      <c r="D174" s="27">
        <v>0.6601851859044882</v>
      </c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25">
        <v>40402.0</v>
      </c>
      <c r="B175" s="26" t="s">
        <v>210</v>
      </c>
      <c r="C175" s="27">
        <v>0.5585106394327528</v>
      </c>
      <c r="D175" s="27">
        <v>1.2770097243731506</v>
      </c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25">
        <v>40501.0</v>
      </c>
      <c r="B176" s="26" t="s">
        <v>211</v>
      </c>
      <c r="C176" s="27"/>
      <c r="D176" s="27">
        <v>10.494623421340867</v>
      </c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25">
        <v>40502.0</v>
      </c>
      <c r="B177" s="26" t="s">
        <v>212</v>
      </c>
      <c r="C177" s="27">
        <v>2.7438016469813578</v>
      </c>
      <c r="D177" s="27">
        <v>0.6279677180609402</v>
      </c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25">
        <v>40503.0</v>
      </c>
      <c r="B178" s="26" t="s">
        <v>213</v>
      </c>
      <c r="C178" s="27">
        <v>0.9687500050640664</v>
      </c>
      <c r="D178" s="27">
        <v>3.507692325613001</v>
      </c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25">
        <v>40504.0</v>
      </c>
      <c r="B179" s="26" t="s">
        <v>214</v>
      </c>
      <c r="C179" s="27"/>
      <c r="D179" s="27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25">
        <v>40505.0</v>
      </c>
      <c r="B180" s="26" t="s">
        <v>215</v>
      </c>
      <c r="C180" s="27"/>
      <c r="D180" s="27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25">
        <v>40601.0</v>
      </c>
      <c r="B181" s="26" t="s">
        <v>216</v>
      </c>
      <c r="C181" s="27">
        <v>1.1674008777340474</v>
      </c>
      <c r="D181" s="27">
        <v>1.9724927435497102</v>
      </c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25">
        <v>40602.0</v>
      </c>
      <c r="B182" s="26" t="s">
        <v>217</v>
      </c>
      <c r="C182" s="27">
        <v>0.823610155324885</v>
      </c>
      <c r="D182" s="27">
        <v>1.6248710082306583</v>
      </c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25">
        <v>40603.0</v>
      </c>
      <c r="B183" s="26" t="s">
        <v>218</v>
      </c>
      <c r="C183" s="27">
        <v>0.7251082261449479</v>
      </c>
      <c r="D183" s="27">
        <v>2.5143008378918394</v>
      </c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25">
        <v>40701.0</v>
      </c>
      <c r="B184" s="26" t="s">
        <v>219</v>
      </c>
      <c r="C184" s="27">
        <v>1.2410714316504952</v>
      </c>
      <c r="D184" s="27">
        <v>0.6875000015366822</v>
      </c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25">
        <v>40702.0</v>
      </c>
      <c r="B185" s="26" t="s">
        <v>220</v>
      </c>
      <c r="C185" s="27"/>
      <c r="D185" s="27">
        <v>0.6916508618690922</v>
      </c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25">
        <v>40801.0</v>
      </c>
      <c r="B186" s="26" t="s">
        <v>221</v>
      </c>
      <c r="C186" s="27">
        <v>0.6237247942103877</v>
      </c>
      <c r="D186" s="27">
        <v>0.8988228568725746</v>
      </c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25">
        <v>40802.0</v>
      </c>
      <c r="B187" s="26" t="s">
        <v>222</v>
      </c>
      <c r="C187" s="27">
        <v>0.36206897361011336</v>
      </c>
      <c r="D187" s="27">
        <v>0.9112499972922508</v>
      </c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25">
        <v>40901.0</v>
      </c>
      <c r="B188" s="26" t="s">
        <v>223</v>
      </c>
      <c r="C188" s="27">
        <v>3.5401916155967195</v>
      </c>
      <c r="D188" s="27">
        <v>1.0629509340363674</v>
      </c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25">
        <v>40902.0</v>
      </c>
      <c r="B189" s="26" t="s">
        <v>224</v>
      </c>
      <c r="C189" s="27"/>
      <c r="D189" s="27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25">
        <v>40903.0</v>
      </c>
      <c r="B190" s="26" t="s">
        <v>225</v>
      </c>
      <c r="C190" s="27">
        <v>0.4666666523615525</v>
      </c>
      <c r="D190" s="27">
        <v>0.5833333333333334</v>
      </c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25">
        <v>41001.0</v>
      </c>
      <c r="B191" s="26" t="s">
        <v>226</v>
      </c>
      <c r="C191" s="27">
        <v>1.5784361264092794</v>
      </c>
      <c r="D191" s="27">
        <v>1.171983883861856</v>
      </c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25">
        <v>41101.0</v>
      </c>
      <c r="B192" s="26" t="s">
        <v>227</v>
      </c>
      <c r="C192" s="27">
        <v>0.7245345072514576</v>
      </c>
      <c r="D192" s="27">
        <v>1.277570247743556</v>
      </c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25">
        <v>41201.0</v>
      </c>
      <c r="B193" s="26" t="s">
        <v>228</v>
      </c>
      <c r="C193" s="27">
        <v>1.0748031638621345</v>
      </c>
      <c r="D193" s="27">
        <v>1.0096547093878514</v>
      </c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25">
        <v>41202.0</v>
      </c>
      <c r="B194" s="26" t="s">
        <v>229</v>
      </c>
      <c r="C194" s="27">
        <v>0.3323529353584439</v>
      </c>
      <c r="D194" s="27">
        <v>0.377319587628866</v>
      </c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25">
        <v>41301.0</v>
      </c>
      <c r="B195" s="26" t="s">
        <v>230</v>
      </c>
      <c r="C195" s="27">
        <v>0.4583333394800623</v>
      </c>
      <c r="D195" s="27">
        <v>1.2748695392017193</v>
      </c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25">
        <v>41401.0</v>
      </c>
      <c r="B196" s="26" t="s">
        <v>231</v>
      </c>
      <c r="C196" s="27">
        <v>2.3457665144039437</v>
      </c>
      <c r="D196" s="27">
        <v>1.2453703729192531</v>
      </c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25">
        <v>41501.0</v>
      </c>
      <c r="B197" s="26" t="s">
        <v>232</v>
      </c>
      <c r="C197" s="27"/>
      <c r="D197" s="27">
        <v>0.6052631607428811</v>
      </c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25">
        <v>41502.0</v>
      </c>
      <c r="B198" s="26" t="s">
        <v>233</v>
      </c>
      <c r="C198" s="27"/>
      <c r="D198" s="27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25">
        <v>41503.0</v>
      </c>
      <c r="B199" s="26" t="s">
        <v>234</v>
      </c>
      <c r="C199" s="27"/>
      <c r="D199" s="27">
        <v>0.14705882507624507</v>
      </c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25">
        <v>41601.0</v>
      </c>
      <c r="B200" s="26" t="s">
        <v>235</v>
      </c>
      <c r="C200" s="27">
        <v>1.9111110986225193</v>
      </c>
      <c r="D200" s="27">
        <v>0.823909985032151</v>
      </c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25">
        <v>50101.0</v>
      </c>
      <c r="B201" s="26" t="s">
        <v>236</v>
      </c>
      <c r="C201" s="27">
        <v>0.78886958749203</v>
      </c>
      <c r="D201" s="27">
        <v>1.7644188153068796</v>
      </c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25">
        <v>50102.0</v>
      </c>
      <c r="B202" s="26" t="s">
        <v>237</v>
      </c>
      <c r="C202" s="27">
        <v>1.0238835407688116</v>
      </c>
      <c r="D202" s="27">
        <v>0.9422071312589901</v>
      </c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25">
        <v>50103.0</v>
      </c>
      <c r="B203" s="26" t="s">
        <v>238</v>
      </c>
      <c r="C203" s="27">
        <v>0.47540984156190363</v>
      </c>
      <c r="D203" s="27">
        <v>0.8092287386606556</v>
      </c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25">
        <v>50104.0</v>
      </c>
      <c r="B204" s="26" t="s">
        <v>239</v>
      </c>
      <c r="C204" s="27">
        <v>0.6086956443993944</v>
      </c>
      <c r="D204" s="27">
        <v>1.2000000021457673</v>
      </c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25">
        <v>50201.0</v>
      </c>
      <c r="B205" s="26" t="s">
        <v>240</v>
      </c>
      <c r="C205" s="27">
        <v>1.3129770869517148</v>
      </c>
      <c r="D205" s="27">
        <v>1.5351791108185455</v>
      </c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25">
        <v>50202.0</v>
      </c>
      <c r="B206" s="26" t="s">
        <v>241</v>
      </c>
      <c r="C206" s="27">
        <v>0.9273840782158435</v>
      </c>
      <c r="D206" s="27">
        <v>1.6006716513909907</v>
      </c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25">
        <v>50203.0</v>
      </c>
      <c r="B207" s="26" t="s">
        <v>242</v>
      </c>
      <c r="C207" s="27">
        <v>0.7695204100805669</v>
      </c>
      <c r="D207" s="27">
        <v>2.781175990627686</v>
      </c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25">
        <v>50204.0</v>
      </c>
      <c r="B208" s="26" t="s">
        <v>243</v>
      </c>
      <c r="C208" s="27">
        <v>0.8272727245968517</v>
      </c>
      <c r="D208" s="27">
        <v>2.3556365393024805</v>
      </c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25">
        <v>50301.0</v>
      </c>
      <c r="B209" s="26" t="s">
        <v>244</v>
      </c>
      <c r="C209" s="27">
        <v>1.1326976910115438</v>
      </c>
      <c r="D209" s="27">
        <v>1.231702631683269</v>
      </c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25">
        <v>50302.0</v>
      </c>
      <c r="B210" s="26" t="s">
        <v>245</v>
      </c>
      <c r="C210" s="27">
        <v>0.9462201186147173</v>
      </c>
      <c r="D210" s="27">
        <v>1.1133034248589835</v>
      </c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25">
        <v>50303.0</v>
      </c>
      <c r="B211" s="26" t="s">
        <v>246</v>
      </c>
      <c r="C211" s="27">
        <v>1.0641723282037139</v>
      </c>
      <c r="D211" s="27">
        <v>1.223913981897742</v>
      </c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25">
        <v>50401.0</v>
      </c>
      <c r="B212" s="26" t="s">
        <v>247</v>
      </c>
      <c r="C212" s="27">
        <v>0.9284829553605559</v>
      </c>
      <c r="D212" s="27">
        <v>2.5851670754097342</v>
      </c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25">
        <v>50402.0</v>
      </c>
      <c r="B213" s="26" t="s">
        <v>248</v>
      </c>
      <c r="C213" s="27">
        <v>0.8340659318942392</v>
      </c>
      <c r="D213" s="27">
        <v>0.9116408151702429</v>
      </c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25">
        <v>50403.0</v>
      </c>
      <c r="B214" s="26" t="s">
        <v>249</v>
      </c>
      <c r="C214" s="27">
        <v>0.8484848439308085</v>
      </c>
      <c r="D214" s="27">
        <v>1.0867139833687705</v>
      </c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25">
        <v>50404.0</v>
      </c>
      <c r="B215" s="26" t="s">
        <v>250</v>
      </c>
      <c r="C215" s="27">
        <v>0.8308811921393798</v>
      </c>
      <c r="D215" s="27">
        <v>0.9055894326611678</v>
      </c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28">
        <v>50405.0</v>
      </c>
      <c r="B216" s="26" t="s">
        <v>251</v>
      </c>
      <c r="C216" s="27">
        <v>0.9284829553605559</v>
      </c>
      <c r="D216" s="27">
        <v>1.1062139230441155</v>
      </c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25">
        <v>50501.0</v>
      </c>
      <c r="B217" s="26" t="s">
        <v>252</v>
      </c>
      <c r="C217" s="27">
        <v>1.30002346111119</v>
      </c>
      <c r="D217" s="27">
        <v>1.0763694528821874</v>
      </c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25">
        <v>50502.0</v>
      </c>
      <c r="B218" s="26" t="s">
        <v>253</v>
      </c>
      <c r="C218" s="27">
        <v>0.525804801078284</v>
      </c>
      <c r="D218" s="27">
        <v>1.2106375369755296</v>
      </c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25">
        <v>50601.0</v>
      </c>
      <c r="B219" s="26" t="s">
        <v>254</v>
      </c>
      <c r="C219" s="27">
        <v>0.8321678334929079</v>
      </c>
      <c r="D219" s="27">
        <v>2.3264036387368687</v>
      </c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25">
        <v>50602.0</v>
      </c>
      <c r="B220" s="26" t="s">
        <v>255</v>
      </c>
      <c r="C220" s="27">
        <v>0.23839009508227327</v>
      </c>
      <c r="D220" s="27">
        <v>2.2426620859916673</v>
      </c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25">
        <v>50701.0</v>
      </c>
      <c r="B221" s="26" t="s">
        <v>256</v>
      </c>
      <c r="C221" s="27">
        <v>0.999910341190655</v>
      </c>
      <c r="D221" s="27">
        <v>1.1457408616423794</v>
      </c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25">
        <v>50702.0</v>
      </c>
      <c r="B222" s="26" t="s">
        <v>257</v>
      </c>
      <c r="C222" s="27">
        <v>0.9322120895830325</v>
      </c>
      <c r="D222" s="27">
        <v>1.2441200348104007</v>
      </c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25">
        <v>50801.0</v>
      </c>
      <c r="B223" s="26" t="s">
        <v>258</v>
      </c>
      <c r="C223" s="27">
        <v>0.9654149577454257</v>
      </c>
      <c r="D223" s="27">
        <v>3.014210734929547</v>
      </c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25">
        <v>50802.0</v>
      </c>
      <c r="B224" s="26" t="s">
        <v>259</v>
      </c>
      <c r="C224" s="27">
        <v>0.9935897489425519</v>
      </c>
      <c r="D224" s="27">
        <v>4.8076190332069455</v>
      </c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25">
        <v>50901.0</v>
      </c>
      <c r="B225" s="26" t="s">
        <v>260</v>
      </c>
      <c r="C225" s="27">
        <v>0.9025595012410255</v>
      </c>
      <c r="D225" s="27">
        <v>1.167134161777019</v>
      </c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25">
        <v>50902.0</v>
      </c>
      <c r="B226" s="26" t="s">
        <v>261</v>
      </c>
      <c r="C226" s="27">
        <v>1.2666666380564384</v>
      </c>
      <c r="D226" s="27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25">
        <v>51001.0</v>
      </c>
      <c r="B227" s="26" t="s">
        <v>262</v>
      </c>
      <c r="C227" s="27">
        <v>0.7155172604553657</v>
      </c>
      <c r="D227" s="27">
        <v>0.5234920679167959</v>
      </c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25">
        <v>51002.0</v>
      </c>
      <c r="B228" s="26" t="s">
        <v>263</v>
      </c>
      <c r="C228" s="27"/>
      <c r="D228" s="27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25">
        <v>51003.0</v>
      </c>
      <c r="B229" s="26" t="s">
        <v>264</v>
      </c>
      <c r="C229" s="27">
        <v>0.9062500027939676</v>
      </c>
      <c r="D229" s="27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25">
        <v>51101.0</v>
      </c>
      <c r="B230" s="26" t="s">
        <v>265</v>
      </c>
      <c r="C230" s="27">
        <v>0.955223882007211</v>
      </c>
      <c r="D230" s="27">
        <v>0.8332932268486952</v>
      </c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25">
        <v>51102.0</v>
      </c>
      <c r="B231" s="26" t="s">
        <v>266</v>
      </c>
      <c r="C231" s="27">
        <v>1.3913876543194228</v>
      </c>
      <c r="D231" s="27">
        <v>1.0335456863454764</v>
      </c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25">
        <v>51103.0</v>
      </c>
      <c r="B232" s="26" t="s">
        <v>267</v>
      </c>
      <c r="C232" s="27">
        <v>1.1638709601279231</v>
      </c>
      <c r="D232" s="27">
        <v>0.8196721264183047</v>
      </c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25">
        <v>51201.0</v>
      </c>
      <c r="B233" s="26" t="s">
        <v>268</v>
      </c>
      <c r="C233" s="27">
        <v>1.3831236889592997</v>
      </c>
      <c r="D233" s="27">
        <v>2.4034090886602275</v>
      </c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25">
        <v>51202.0</v>
      </c>
      <c r="B234" s="26" t="s">
        <v>269</v>
      </c>
      <c r="C234" s="27">
        <v>0.907982259828466</v>
      </c>
      <c r="D234" s="27">
        <v>1.0861318755200016</v>
      </c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25">
        <v>51203.0</v>
      </c>
      <c r="B235" s="26" t="s">
        <v>270</v>
      </c>
      <c r="C235" s="27">
        <v>0.7149376681374602</v>
      </c>
      <c r="D235" s="27">
        <v>2.4609154775611883</v>
      </c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28">
        <v>51204.0</v>
      </c>
      <c r="B236" s="26" t="s">
        <v>271</v>
      </c>
      <c r="C236" s="27">
        <v>0.907982259828466</v>
      </c>
      <c r="D236" s="27">
        <v>1.3247210783254444</v>
      </c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25">
        <v>51301.0</v>
      </c>
      <c r="B237" s="26" t="s">
        <v>272</v>
      </c>
      <c r="C237" s="27">
        <v>0.8357487968982212</v>
      </c>
      <c r="D237" s="27">
        <v>1.5586623736923941</v>
      </c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25">
        <v>51302.0</v>
      </c>
      <c r="B238" s="26" t="s">
        <v>273</v>
      </c>
      <c r="C238" s="27">
        <v>0.8815459105550001</v>
      </c>
      <c r="D238" s="27">
        <v>2.121052639405517</v>
      </c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25">
        <v>51401.0</v>
      </c>
      <c r="B239" s="26" t="s">
        <v>274</v>
      </c>
      <c r="C239" s="27">
        <v>1.3008800980494621</v>
      </c>
      <c r="D239" s="27">
        <v>0.4013157894736842</v>
      </c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25">
        <v>51402.0</v>
      </c>
      <c r="B240" s="26" t="s">
        <v>275</v>
      </c>
      <c r="C240" s="27">
        <v>1.4736841917037968</v>
      </c>
      <c r="D240" s="27">
        <v>1.4008750451880148</v>
      </c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25">
        <v>51501.0</v>
      </c>
      <c r="B241" s="26" t="s">
        <v>276</v>
      </c>
      <c r="C241" s="27">
        <v>0.7668566100162741</v>
      </c>
      <c r="D241" s="27">
        <v>1.0290429749119323</v>
      </c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25">
        <v>51601.0</v>
      </c>
      <c r="B242" s="26" t="s">
        <v>277</v>
      </c>
      <c r="C242" s="27">
        <v>0.5161290272108972</v>
      </c>
      <c r="D242" s="27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25">
        <v>60101.0</v>
      </c>
      <c r="B243" s="26" t="s">
        <v>278</v>
      </c>
      <c r="C243" s="27">
        <v>0.4817212493683315</v>
      </c>
      <c r="D243" s="27">
        <v>1.3784496813449938</v>
      </c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25">
        <v>60201.0</v>
      </c>
      <c r="B244" s="26" t="s">
        <v>279</v>
      </c>
      <c r="C244" s="27">
        <v>0.6834189241917908</v>
      </c>
      <c r="D244" s="27">
        <v>0.3822478230415653</v>
      </c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25">
        <v>60202.0</v>
      </c>
      <c r="B245" s="26" t="s">
        <v>280</v>
      </c>
      <c r="C245" s="27">
        <v>0.7661691548670625</v>
      </c>
      <c r="D245" s="27">
        <v>0.861705856083841</v>
      </c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25">
        <v>60301.0</v>
      </c>
      <c r="B246" s="26" t="s">
        <v>281</v>
      </c>
      <c r="C246" s="27">
        <v>0.7766808573869424</v>
      </c>
      <c r="D246" s="27">
        <v>0.9657678330027567</v>
      </c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25">
        <v>60302.0</v>
      </c>
      <c r="B247" s="26" t="s">
        <v>282</v>
      </c>
      <c r="C247" s="27">
        <v>0.8604838731091832</v>
      </c>
      <c r="D247" s="27">
        <v>0.914517367873261</v>
      </c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25">
        <v>60303.0</v>
      </c>
      <c r="B248" s="26" t="s">
        <v>283</v>
      </c>
      <c r="C248" s="27">
        <v>0.6008081979739694</v>
      </c>
      <c r="D248" s="27">
        <v>2.097535268154585</v>
      </c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25">
        <v>60401.0</v>
      </c>
      <c r="B249" s="26" t="s">
        <v>284</v>
      </c>
      <c r="C249" s="27"/>
      <c r="D249" s="27">
        <v>2.4758004642931652</v>
      </c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25">
        <v>60402.0</v>
      </c>
      <c r="B250" s="26" t="s">
        <v>285</v>
      </c>
      <c r="C250" s="27">
        <v>1.4081996500134717</v>
      </c>
      <c r="D250" s="27">
        <v>1.3766233818982216</v>
      </c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25">
        <v>60501.0</v>
      </c>
      <c r="B251" s="26" t="s">
        <v>286</v>
      </c>
      <c r="C251" s="27">
        <v>0.9981266380970871</v>
      </c>
      <c r="D251" s="27">
        <v>1.7329630404275012</v>
      </c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25">
        <v>60502.0</v>
      </c>
      <c r="B252" s="26" t="s">
        <v>287</v>
      </c>
      <c r="C252" s="27">
        <v>0.8771929716707412</v>
      </c>
      <c r="D252" s="27">
        <v>0.6712121079465234</v>
      </c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25">
        <v>60601.0</v>
      </c>
      <c r="B253" s="26" t="s">
        <v>188</v>
      </c>
      <c r="C253" s="27">
        <v>1.5594974188328687</v>
      </c>
      <c r="D253" s="27">
        <v>1.1909082748893516</v>
      </c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25">
        <v>70101.0</v>
      </c>
      <c r="B254" s="26" t="s">
        <v>288</v>
      </c>
      <c r="C254" s="27">
        <v>0.662929302516586</v>
      </c>
      <c r="D254" s="27">
        <v>1.3694172832902451</v>
      </c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25">
        <v>70102.0</v>
      </c>
      <c r="B255" s="26" t="s">
        <v>289</v>
      </c>
      <c r="C255" s="27">
        <v>1.8706047652726776</v>
      </c>
      <c r="D255" s="27">
        <v>0.9360514345648427</v>
      </c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25">
        <v>70103.0</v>
      </c>
      <c r="B256" s="26" t="s">
        <v>290</v>
      </c>
      <c r="C256" s="27">
        <v>1.2351190349796701</v>
      </c>
      <c r="D256" s="27">
        <v>1.312493355236999</v>
      </c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25">
        <v>70104.0</v>
      </c>
      <c r="B257" s="26" t="s">
        <v>291</v>
      </c>
      <c r="C257" s="27">
        <v>1.0375160681106843</v>
      </c>
      <c r="D257" s="27">
        <v>1.0221284586639738</v>
      </c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25">
        <v>70105.0</v>
      </c>
      <c r="B258" s="26" t="s">
        <v>292</v>
      </c>
      <c r="C258" s="27">
        <v>0.6968602379729815</v>
      </c>
      <c r="D258" s="27">
        <v>1.2562143698783157</v>
      </c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25">
        <v>70201.0</v>
      </c>
      <c r="B259" s="26" t="s">
        <v>293</v>
      </c>
      <c r="C259" s="27">
        <v>0.4936170214816638</v>
      </c>
      <c r="D259" s="27">
        <v>1.2880035535969692</v>
      </c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25">
        <v>70202.0</v>
      </c>
      <c r="B260" s="26" t="s">
        <v>294</v>
      </c>
      <c r="C260" s="27">
        <v>0.37142857142857144</v>
      </c>
      <c r="D260" s="27">
        <v>0.9942280026937951</v>
      </c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25">
        <v>70301.0</v>
      </c>
      <c r="B261" s="26" t="s">
        <v>295</v>
      </c>
      <c r="C261" s="27">
        <v>0.7732184956971818</v>
      </c>
      <c r="D261" s="27">
        <v>1.3840749881514556</v>
      </c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25">
        <v>70302.0</v>
      </c>
      <c r="B262" s="26" t="s">
        <v>296</v>
      </c>
      <c r="C262" s="27">
        <v>0.45170397444518257</v>
      </c>
      <c r="D262" s="27">
        <v>0.3615384617718595</v>
      </c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25">
        <v>70303.0</v>
      </c>
      <c r="B263" s="26" t="s">
        <v>297</v>
      </c>
      <c r="C263" s="27"/>
      <c r="D263" s="27">
        <v>0.6195776414817376</v>
      </c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25">
        <v>70401.0</v>
      </c>
      <c r="B264" s="26" t="s">
        <v>298</v>
      </c>
      <c r="C264" s="27">
        <v>1.1219512380477856</v>
      </c>
      <c r="D264" s="27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25">
        <v>70402.0</v>
      </c>
      <c r="B265" s="26" t="s">
        <v>299</v>
      </c>
      <c r="C265" s="27">
        <v>1.430367504033804</v>
      </c>
      <c r="D265" s="27">
        <v>1.4024999961187798</v>
      </c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25">
        <v>70403.0</v>
      </c>
      <c r="B266" s="26" t="s">
        <v>300</v>
      </c>
      <c r="C266" s="27">
        <v>0.6495502477061237</v>
      </c>
      <c r="D266" s="27">
        <v>1.3842120862209581</v>
      </c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25">
        <v>70404.0</v>
      </c>
      <c r="B267" s="26" t="s">
        <v>301</v>
      </c>
      <c r="C267" s="27">
        <v>0.5045045077263771</v>
      </c>
      <c r="D267" s="27">
        <v>2.7364669654615352</v>
      </c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25">
        <v>70501.0</v>
      </c>
      <c r="B268" s="26" t="s">
        <v>302</v>
      </c>
      <c r="C268" s="27">
        <v>0.7503571337468128</v>
      </c>
      <c r="D268" s="27">
        <v>1.218090450585375</v>
      </c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25">
        <v>70502.0</v>
      </c>
      <c r="B269" s="26" t="s">
        <v>303</v>
      </c>
      <c r="C269" s="27">
        <v>0.9968450515919431</v>
      </c>
      <c r="D269" s="27">
        <v>1.0255458503869448</v>
      </c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25">
        <v>70503.0</v>
      </c>
      <c r="B270" s="26" t="s">
        <v>304</v>
      </c>
      <c r="C270" s="27">
        <v>0.20658867046981524</v>
      </c>
      <c r="D270" s="27">
        <v>0.3405151188766944</v>
      </c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25">
        <v>70601.0</v>
      </c>
      <c r="B271" s="26" t="s">
        <v>305</v>
      </c>
      <c r="C271" s="27">
        <v>0.8403361470494242</v>
      </c>
      <c r="D271" s="27">
        <v>0.5653021400820186</v>
      </c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25">
        <v>70602.0</v>
      </c>
      <c r="B272" s="26" t="s">
        <v>306</v>
      </c>
      <c r="C272" s="27">
        <v>0.5606430601885392</v>
      </c>
      <c r="D272" s="27">
        <v>0.4316737618127431</v>
      </c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25">
        <v>70603.0</v>
      </c>
      <c r="B273" s="26" t="s">
        <v>307</v>
      </c>
      <c r="C273" s="27"/>
      <c r="D273" s="27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25">
        <v>70701.0</v>
      </c>
      <c r="B274" s="26" t="s">
        <v>308</v>
      </c>
      <c r="C274" s="27">
        <v>0.168749996982515</v>
      </c>
      <c r="D274" s="27">
        <v>1.2796610208274781</v>
      </c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25">
        <v>70702.0</v>
      </c>
      <c r="B275" s="26" t="s">
        <v>309</v>
      </c>
      <c r="C275" s="27">
        <v>1.0655111644506694</v>
      </c>
      <c r="D275" s="27">
        <v>2.615853659267299</v>
      </c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25">
        <v>70703.0</v>
      </c>
      <c r="B276" s="26" t="s">
        <v>310</v>
      </c>
      <c r="C276" s="27">
        <v>2.1545667722497184</v>
      </c>
      <c r="D276" s="27">
        <v>0.9594999414910347</v>
      </c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25">
        <v>70704.0</v>
      </c>
      <c r="B277" s="26" t="s">
        <v>311</v>
      </c>
      <c r="C277" s="27"/>
      <c r="D277" s="27">
        <v>1.1259259196343248</v>
      </c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25">
        <v>70705.0</v>
      </c>
      <c r="B278" s="26" t="s">
        <v>312</v>
      </c>
      <c r="C278" s="27">
        <v>1.362962935942192</v>
      </c>
      <c r="D278" s="27">
        <v>1.0113960124162005</v>
      </c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25">
        <v>70706.0</v>
      </c>
      <c r="B279" s="26" t="s">
        <v>313</v>
      </c>
      <c r="C279" s="27">
        <v>0.7444051766704476</v>
      </c>
      <c r="D279" s="27">
        <v>3.4226730211591363</v>
      </c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25">
        <v>70707.0</v>
      </c>
      <c r="B280" s="26" t="s">
        <v>314</v>
      </c>
      <c r="C280" s="27"/>
      <c r="D280" s="27">
        <v>0.4030847124493829</v>
      </c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25">
        <v>70801.0</v>
      </c>
      <c r="B281" s="26" t="s">
        <v>315</v>
      </c>
      <c r="C281" s="27">
        <v>1.386913230094256</v>
      </c>
      <c r="D281" s="27">
        <v>1.7011494035595554</v>
      </c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25">
        <v>70802.0</v>
      </c>
      <c r="B282" s="26" t="s">
        <v>316</v>
      </c>
      <c r="C282" s="27">
        <v>0.39144737305315697</v>
      </c>
      <c r="D282" s="27">
        <v>4.747252673792417</v>
      </c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25">
        <v>70803.0</v>
      </c>
      <c r="B283" s="26" t="s">
        <v>317</v>
      </c>
      <c r="C283" s="27">
        <v>0.4561403524457362</v>
      </c>
      <c r="D283" s="27">
        <v>0.8964912206274377</v>
      </c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25">
        <v>70804.0</v>
      </c>
      <c r="B284" s="26" t="s">
        <v>318</v>
      </c>
      <c r="C284" s="27"/>
      <c r="D284" s="27">
        <v>1.437908480662147</v>
      </c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25">
        <v>70805.0</v>
      </c>
      <c r="B285" s="26" t="s">
        <v>319</v>
      </c>
      <c r="C285" s="27">
        <v>0.8055555580390823</v>
      </c>
      <c r="D285" s="27">
        <v>1.1618181865397563</v>
      </c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25">
        <v>70901.0</v>
      </c>
      <c r="B286" s="26" t="s">
        <v>320</v>
      </c>
      <c r="C286" s="27">
        <v>0.8630769010415454</v>
      </c>
      <c r="D286" s="27">
        <v>1.7183491305976686</v>
      </c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25">
        <v>70902.0</v>
      </c>
      <c r="B287" s="26" t="s">
        <v>321</v>
      </c>
      <c r="C287" s="27">
        <v>0.4248366001384711</v>
      </c>
      <c r="D287" s="27">
        <v>0.8898976340274843</v>
      </c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25">
        <v>70903.0</v>
      </c>
      <c r="B288" s="26" t="s">
        <v>322</v>
      </c>
      <c r="C288" s="27">
        <v>0.8283950445276728</v>
      </c>
      <c r="D288" s="27">
        <v>0.3534225431682081</v>
      </c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25">
        <v>70904.0</v>
      </c>
      <c r="B289" s="26" t="s">
        <v>323</v>
      </c>
      <c r="C289" s="27"/>
      <c r="D289" s="27">
        <v>0.6915322585631273</v>
      </c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25">
        <v>71001.0</v>
      </c>
      <c r="B290" s="26" t="s">
        <v>324</v>
      </c>
      <c r="C290" s="27">
        <v>0.6000059307501964</v>
      </c>
      <c r="D290" s="27">
        <v>1.0090389805566928</v>
      </c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25">
        <v>71002.0</v>
      </c>
      <c r="B291" s="26" t="s">
        <v>325</v>
      </c>
      <c r="C291" s="27">
        <v>0.42057291132126334</v>
      </c>
      <c r="D291" s="27">
        <v>1.59550330227317</v>
      </c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25">
        <v>71003.0</v>
      </c>
      <c r="B292" s="26" t="s">
        <v>326</v>
      </c>
      <c r="C292" s="27">
        <v>0.7341269843804051</v>
      </c>
      <c r="D292" s="27">
        <v>2.365595706395748</v>
      </c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25">
        <v>71004.0</v>
      </c>
      <c r="B293" s="26" t="s">
        <v>327</v>
      </c>
      <c r="C293" s="27">
        <v>0.46454130901490154</v>
      </c>
      <c r="D293" s="27">
        <v>0.16033838308449858</v>
      </c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25">
        <v>71005.0</v>
      </c>
      <c r="B294" s="26" t="s">
        <v>328</v>
      </c>
      <c r="C294" s="27">
        <v>1.7405826119423422</v>
      </c>
      <c r="D294" s="27">
        <v>0.7704534755059333</v>
      </c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25">
        <v>71101.0</v>
      </c>
      <c r="B295" s="26" t="s">
        <v>329</v>
      </c>
      <c r="C295" s="27">
        <v>0.7773109311673964</v>
      </c>
      <c r="D295" s="27">
        <v>1.50148893188396</v>
      </c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25">
        <v>71102.0</v>
      </c>
      <c r="B296" s="26" t="s">
        <v>330</v>
      </c>
      <c r="C296" s="27">
        <v>1.0238095294354723</v>
      </c>
      <c r="D296" s="27">
        <v>1.3729729723094415</v>
      </c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25">
        <v>71103.0</v>
      </c>
      <c r="B297" s="26" t="s">
        <v>331</v>
      </c>
      <c r="C297" s="27">
        <v>0.8666666634380816</v>
      </c>
      <c r="D297" s="27">
        <v>1.7557997504723557</v>
      </c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25">
        <v>71104.0</v>
      </c>
      <c r="B298" s="26" t="s">
        <v>332</v>
      </c>
      <c r="C298" s="27">
        <v>1.030798243320413</v>
      </c>
      <c r="D298" s="27">
        <v>1.9337773583217597</v>
      </c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25">
        <v>71105.0</v>
      </c>
      <c r="B299" s="26" t="s">
        <v>333</v>
      </c>
      <c r="C299" s="27">
        <v>0.9487179395480037</v>
      </c>
      <c r="D299" s="27">
        <v>2.039880361068872</v>
      </c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25">
        <v>71106.0</v>
      </c>
      <c r="B300" s="26" t="s">
        <v>334</v>
      </c>
      <c r="C300" s="27">
        <v>0.5494276837921507</v>
      </c>
      <c r="D300" s="27">
        <v>1.7995910014355352</v>
      </c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25">
        <v>71201.0</v>
      </c>
      <c r="B301" s="26" t="s">
        <v>335</v>
      </c>
      <c r="C301" s="27">
        <v>1.2298619157921797</v>
      </c>
      <c r="D301" s="27">
        <v>0.6459627330598884</v>
      </c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25">
        <v>71301.0</v>
      </c>
      <c r="B302" s="26" t="s">
        <v>336</v>
      </c>
      <c r="C302" s="27">
        <v>1.1136363408782277</v>
      </c>
      <c r="D302" s="27">
        <v>0.7385811390628713</v>
      </c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25">
        <v>71302.0</v>
      </c>
      <c r="B303" s="26" t="s">
        <v>337</v>
      </c>
      <c r="C303" s="27">
        <v>0.9889423158034107</v>
      </c>
      <c r="D303" s="27">
        <v>2.4432631406766174</v>
      </c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25">
        <v>71401.0</v>
      </c>
      <c r="B304" s="26" t="s">
        <v>338</v>
      </c>
      <c r="C304" s="27">
        <v>0.32413564233894376</v>
      </c>
      <c r="D304" s="27">
        <v>0.43156146455006283</v>
      </c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25">
        <v>71402.0</v>
      </c>
      <c r="B305" s="26" t="s">
        <v>339</v>
      </c>
      <c r="C305" s="27">
        <v>0.7223684248906609</v>
      </c>
      <c r="D305" s="27">
        <v>2.100502519168829</v>
      </c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25">
        <v>71403.0</v>
      </c>
      <c r="B306" s="26" t="s">
        <v>340</v>
      </c>
      <c r="C306" s="27">
        <v>0.6586666582107547</v>
      </c>
      <c r="D306" s="27">
        <v>1.4859625687986755</v>
      </c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25">
        <v>71501.0</v>
      </c>
      <c r="B307" s="26" t="s">
        <v>341</v>
      </c>
      <c r="C307" s="27">
        <v>1.1488757230254305</v>
      </c>
      <c r="D307" s="27">
        <v>0.8044303735593656</v>
      </c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25">
        <v>71502.0</v>
      </c>
      <c r="B308" s="26" t="s">
        <v>342</v>
      </c>
      <c r="C308" s="27">
        <v>0.9166666592160861</v>
      </c>
      <c r="D308" s="27">
        <v>1.0892723094319126</v>
      </c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25">
        <v>71503.0</v>
      </c>
      <c r="B309" s="26" t="s">
        <v>287</v>
      </c>
      <c r="C309" s="27">
        <v>0.9396551761842172</v>
      </c>
      <c r="D309" s="27">
        <v>0.7727185440896682</v>
      </c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25">
        <v>80101.0</v>
      </c>
      <c r="B310" s="26" t="s">
        <v>343</v>
      </c>
      <c r="C310" s="27">
        <v>0.6513709174186552</v>
      </c>
      <c r="D310" s="27">
        <v>1.1381190628635303</v>
      </c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25">
        <v>80102.0</v>
      </c>
      <c r="B311" s="26" t="s">
        <v>330</v>
      </c>
      <c r="C311" s="27">
        <v>1.6524643032113528</v>
      </c>
      <c r="D311" s="27">
        <v>0.39929778366629964</v>
      </c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25">
        <v>80201.0</v>
      </c>
      <c r="B312" s="26" t="s">
        <v>344</v>
      </c>
      <c r="C312" s="27">
        <v>1.1163378447731915</v>
      </c>
      <c r="D312" s="27">
        <v>1.0154734113785069</v>
      </c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25">
        <v>80202.0</v>
      </c>
      <c r="B313" s="26" t="s">
        <v>345</v>
      </c>
      <c r="C313" s="27">
        <v>0.5339748740489833</v>
      </c>
      <c r="D313" s="27">
        <v>0.4516041183729918</v>
      </c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25">
        <v>80301.0</v>
      </c>
      <c r="B314" s="26" t="s">
        <v>346</v>
      </c>
      <c r="C314" s="27">
        <v>0.8745644679083296</v>
      </c>
      <c r="D314" s="27">
        <v>1.2209522078048505</v>
      </c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25">
        <v>80302.0</v>
      </c>
      <c r="B315" s="26" t="s">
        <v>347</v>
      </c>
      <c r="C315" s="27">
        <v>0.5503432487660348</v>
      </c>
      <c r="D315" s="27">
        <v>0.9109726669372145</v>
      </c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25">
        <v>80303.0</v>
      </c>
      <c r="B316" s="26" t="s">
        <v>348</v>
      </c>
      <c r="C316" s="27">
        <v>1.2289424922957268</v>
      </c>
      <c r="D316" s="27">
        <v>2.401161352370039</v>
      </c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25">
        <v>80304.0</v>
      </c>
      <c r="B317" s="26" t="s">
        <v>349</v>
      </c>
      <c r="C317" s="27">
        <v>0.432480537841769</v>
      </c>
      <c r="D317" s="27">
        <v>1.4627844469368017</v>
      </c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25">
        <v>80401.0</v>
      </c>
      <c r="B318" s="26" t="s">
        <v>350</v>
      </c>
      <c r="C318" s="27">
        <v>0.9903574042778649</v>
      </c>
      <c r="D318" s="27">
        <v>0.40176600608190727</v>
      </c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25">
        <v>80402.0</v>
      </c>
      <c r="B319" s="26" t="s">
        <v>351</v>
      </c>
      <c r="C319" s="27">
        <v>1.1848739481876818</v>
      </c>
      <c r="D319" s="27">
        <v>0.8106211212760559</v>
      </c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25">
        <v>80501.0</v>
      </c>
      <c r="B320" s="26" t="s">
        <v>352</v>
      </c>
      <c r="C320" s="27">
        <v>0.7676027683343146</v>
      </c>
      <c r="D320" s="27">
        <v>1.413051898265722</v>
      </c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25">
        <v>80601.0</v>
      </c>
      <c r="B321" s="26" t="s">
        <v>353</v>
      </c>
      <c r="C321" s="27">
        <v>0.8482142864626698</v>
      </c>
      <c r="D321" s="27">
        <v>0.5161626691104904</v>
      </c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25">
        <v>80602.0</v>
      </c>
      <c r="B322" s="26" t="s">
        <v>354</v>
      </c>
      <c r="C322" s="27">
        <v>1.1442690885399214</v>
      </c>
      <c r="D322" s="27">
        <v>1.2348339707132525</v>
      </c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25">
        <v>80701.0</v>
      </c>
      <c r="B323" s="26" t="s">
        <v>355</v>
      </c>
      <c r="C323" s="27">
        <v>2.634920612214105</v>
      </c>
      <c r="D323" s="27">
        <v>0.2882736172302922</v>
      </c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25">
        <v>80702.0</v>
      </c>
      <c r="B324" s="26" t="s">
        <v>331</v>
      </c>
      <c r="C324" s="27">
        <v>1.2025078396290239</v>
      </c>
      <c r="D324" s="27">
        <v>0.5834339530933103</v>
      </c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25">
        <v>80703.0</v>
      </c>
      <c r="B325" s="26" t="s">
        <v>356</v>
      </c>
      <c r="C325" s="27">
        <v>1.6076554872622817</v>
      </c>
      <c r="D325" s="27">
        <v>4.175824277161428</v>
      </c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25">
        <v>80801.0</v>
      </c>
      <c r="B326" s="26" t="s">
        <v>357</v>
      </c>
      <c r="C326" s="27">
        <v>1.1446839078194033</v>
      </c>
      <c r="D326" s="27">
        <v>0.27041877219239635</v>
      </c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25">
        <v>80802.0</v>
      </c>
      <c r="B327" s="26" t="s">
        <v>358</v>
      </c>
      <c r="C327" s="27">
        <v>2.510822554734315</v>
      </c>
      <c r="D327" s="27">
        <v>0.6819514268604417</v>
      </c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25">
        <v>80803.0</v>
      </c>
      <c r="B328" s="26" t="s">
        <v>359</v>
      </c>
      <c r="C328" s="27">
        <v>0.3750000083819031</v>
      </c>
      <c r="D328" s="27">
        <v>0.7768431428380977</v>
      </c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28">
        <v>80901.0</v>
      </c>
      <c r="B329" s="26" t="s">
        <v>360</v>
      </c>
      <c r="C329" s="27">
        <v>0.8789800863060897</v>
      </c>
      <c r="D329" s="27">
        <v>0.5446009369807089</v>
      </c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25">
        <v>90101.0</v>
      </c>
      <c r="B330" s="26" t="s">
        <v>361</v>
      </c>
      <c r="C330" s="27">
        <v>0.5015985149046553</v>
      </c>
      <c r="D330" s="27">
        <v>2.151204291001662</v>
      </c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25">
        <v>90102.0</v>
      </c>
      <c r="B331" s="26" t="s">
        <v>362</v>
      </c>
      <c r="C331" s="27"/>
      <c r="D331" s="27">
        <v>1.226897068039459</v>
      </c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25">
        <v>90103.0</v>
      </c>
      <c r="B332" s="26" t="s">
        <v>363</v>
      </c>
      <c r="C332" s="27">
        <v>0.5142857050895695</v>
      </c>
      <c r="D332" s="27">
        <v>2.1208053718056377</v>
      </c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25">
        <v>90104.0</v>
      </c>
      <c r="B333" s="26" t="s">
        <v>364</v>
      </c>
      <c r="C333" s="27">
        <v>1.140495859607103</v>
      </c>
      <c r="D333" s="27">
        <v>1.5072229064593774</v>
      </c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25">
        <v>90201.0</v>
      </c>
      <c r="B334" s="26" t="s">
        <v>365</v>
      </c>
      <c r="C334" s="27">
        <v>1.064599490083568</v>
      </c>
      <c r="D334" s="27">
        <v>1.562507306127425</v>
      </c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25">
        <v>90202.0</v>
      </c>
      <c r="B335" s="26" t="s">
        <v>328</v>
      </c>
      <c r="C335" s="27">
        <v>0.8571428489320134</v>
      </c>
      <c r="D335" s="27">
        <v>1.3607982767336564</v>
      </c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25">
        <v>90203.0</v>
      </c>
      <c r="B336" s="26" t="s">
        <v>366</v>
      </c>
      <c r="C336" s="27">
        <v>0.90616438116419</v>
      </c>
      <c r="D336" s="27">
        <v>0.24784853453241512</v>
      </c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25">
        <v>90301.0</v>
      </c>
      <c r="B337" s="26" t="s">
        <v>367</v>
      </c>
      <c r="C337" s="27">
        <v>0.8425926105981623</v>
      </c>
      <c r="D337" s="27">
        <v>1.6157559146000073</v>
      </c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25">
        <v>90302.0</v>
      </c>
      <c r="B338" s="26" t="s">
        <v>368</v>
      </c>
      <c r="C338" s="27">
        <v>1.0714285670073478</v>
      </c>
      <c r="D338" s="27">
        <v>0.9484913846104533</v>
      </c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25">
        <v>90303.0</v>
      </c>
      <c r="B339" s="26" t="s">
        <v>369</v>
      </c>
      <c r="C339" s="27">
        <v>1.0172250038419788</v>
      </c>
      <c r="D339" s="27">
        <v>0.9745205641491402</v>
      </c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25">
        <v>90401.0</v>
      </c>
      <c r="B340" s="26" t="s">
        <v>370</v>
      </c>
      <c r="C340" s="27">
        <v>0.31730768360340866</v>
      </c>
      <c r="D340" s="27">
        <v>1.7172167530452958</v>
      </c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25">
        <v>90402.0</v>
      </c>
      <c r="B341" s="26" t="s">
        <v>371</v>
      </c>
      <c r="C341" s="27">
        <v>0.7127272806471043</v>
      </c>
      <c r="D341" s="27">
        <v>1.5551443991231904</v>
      </c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25">
        <v>90501.0</v>
      </c>
      <c r="B342" s="26" t="s">
        <v>372</v>
      </c>
      <c r="C342" s="27">
        <v>0.8088978663255251</v>
      </c>
      <c r="D342" s="27">
        <v>0.9378216155139815</v>
      </c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25">
        <v>90502.0</v>
      </c>
      <c r="B343" s="26" t="s">
        <v>373</v>
      </c>
      <c r="C343" s="27">
        <v>0.7608695695778822</v>
      </c>
      <c r="D343" s="27">
        <v>1.1704775368643443</v>
      </c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25">
        <v>90503.0</v>
      </c>
      <c r="B344" s="26" t="s">
        <v>374</v>
      </c>
      <c r="C344" s="27">
        <v>0.9302325484203353</v>
      </c>
      <c r="D344" s="27">
        <v>0.6911111166035687</v>
      </c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7"/>
      <c r="B345" s="29"/>
      <c r="C345" s="27"/>
      <c r="D345" s="27"/>
    </row>
    <row r="346" ht="15.75" customHeight="1">
      <c r="A346" s="17"/>
      <c r="B346" s="29"/>
      <c r="C346" s="27"/>
      <c r="D346" s="27"/>
    </row>
    <row r="347" ht="15.75" customHeight="1">
      <c r="A347" s="17"/>
      <c r="B347" s="29"/>
      <c r="C347" s="27"/>
      <c r="D347" s="27"/>
    </row>
    <row r="348" ht="15.75" customHeight="1">
      <c r="A348" s="17"/>
      <c r="B348" s="29"/>
      <c r="C348" s="27"/>
      <c r="D348" s="27"/>
    </row>
    <row r="349" ht="15.75" customHeight="1">
      <c r="A349" s="17"/>
      <c r="B349" s="29"/>
      <c r="C349" s="27"/>
      <c r="D349" s="27"/>
    </row>
    <row r="350" ht="15.75" customHeight="1">
      <c r="A350" s="17"/>
      <c r="B350" s="29"/>
      <c r="C350" s="27"/>
      <c r="D350" s="27"/>
    </row>
    <row r="351" ht="15.75" customHeight="1">
      <c r="A351" s="17"/>
      <c r="B351" s="29"/>
      <c r="C351" s="27"/>
      <c r="D351" s="27"/>
    </row>
    <row r="352" ht="15.75" customHeight="1">
      <c r="A352" s="17"/>
      <c r="B352" s="29"/>
      <c r="C352" s="27"/>
      <c r="D352" s="27"/>
    </row>
    <row r="353" ht="15.75" customHeight="1">
      <c r="A353" s="17"/>
      <c r="B353" s="29"/>
      <c r="C353" s="27"/>
      <c r="D353" s="27"/>
    </row>
    <row r="354" ht="15.75" customHeight="1">
      <c r="A354" s="17"/>
      <c r="B354" s="29"/>
      <c r="C354" s="27"/>
      <c r="D354" s="27"/>
    </row>
    <row r="355" ht="15.75" customHeight="1">
      <c r="A355" s="17"/>
      <c r="B355" s="29"/>
      <c r="C355" s="27"/>
      <c r="D355" s="27"/>
    </row>
    <row r="356" ht="15.75" customHeight="1">
      <c r="A356" s="17"/>
      <c r="B356" s="29"/>
      <c r="C356" s="27"/>
      <c r="D356" s="27"/>
    </row>
    <row r="357" ht="15.75" customHeight="1">
      <c r="A357" s="17"/>
      <c r="B357" s="29"/>
      <c r="C357" s="27"/>
      <c r="D357" s="27"/>
    </row>
    <row r="358" ht="15.75" customHeight="1">
      <c r="A358" s="17"/>
      <c r="B358" s="29"/>
      <c r="C358" s="27"/>
      <c r="D358" s="27"/>
    </row>
    <row r="359" ht="15.75" customHeight="1">
      <c r="A359" s="17"/>
      <c r="B359" s="29"/>
      <c r="C359" s="27"/>
      <c r="D359" s="27"/>
    </row>
    <row r="360" ht="15.75" customHeight="1">
      <c r="A360" s="17"/>
      <c r="B360" s="29"/>
      <c r="C360" s="27"/>
      <c r="D360" s="27"/>
    </row>
    <row r="361" ht="15.75" customHeight="1">
      <c r="A361" s="17"/>
      <c r="B361" s="29"/>
      <c r="C361" s="27"/>
      <c r="D361" s="27"/>
    </row>
    <row r="362" ht="15.75" customHeight="1">
      <c r="A362" s="17"/>
      <c r="B362" s="29"/>
      <c r="C362" s="27"/>
      <c r="D362" s="27"/>
    </row>
    <row r="363" ht="15.75" customHeight="1">
      <c r="A363" s="17"/>
      <c r="B363" s="29"/>
      <c r="C363" s="27"/>
      <c r="D363" s="27"/>
    </row>
    <row r="364" ht="15.75" customHeight="1">
      <c r="A364" s="17"/>
      <c r="B364" s="29"/>
      <c r="C364" s="27"/>
      <c r="D364" s="27"/>
    </row>
    <row r="365" ht="15.75" customHeight="1">
      <c r="A365" s="17"/>
      <c r="B365" s="29"/>
      <c r="C365" s="27"/>
      <c r="D365" s="27"/>
    </row>
    <row r="366" ht="15.75" customHeight="1">
      <c r="A366" s="17"/>
      <c r="B366" s="29"/>
      <c r="C366" s="27"/>
      <c r="D366" s="27"/>
    </row>
    <row r="367" ht="15.75" customHeight="1">
      <c r="A367" s="17"/>
      <c r="B367" s="29"/>
      <c r="C367" s="27"/>
      <c r="D367" s="27"/>
    </row>
    <row r="368" ht="15.75" customHeight="1">
      <c r="A368" s="17"/>
      <c r="B368" s="29"/>
      <c r="C368" s="27"/>
      <c r="D368" s="27"/>
    </row>
    <row r="369" ht="15.75" customHeight="1">
      <c r="A369" s="17"/>
      <c r="B369" s="29"/>
      <c r="C369" s="27"/>
      <c r="D369" s="27"/>
    </row>
    <row r="370" ht="15.75" customHeight="1">
      <c r="A370" s="17"/>
      <c r="B370" s="29"/>
      <c r="C370" s="27"/>
      <c r="D370" s="27"/>
    </row>
    <row r="371" ht="15.75" customHeight="1">
      <c r="A371" s="17"/>
      <c r="B371" s="29"/>
      <c r="C371" s="27"/>
      <c r="D371" s="27"/>
    </row>
    <row r="372" ht="15.75" customHeight="1">
      <c r="A372" s="17"/>
      <c r="B372" s="29"/>
      <c r="C372" s="27"/>
      <c r="D372" s="27"/>
    </row>
    <row r="373" ht="15.75" customHeight="1">
      <c r="A373" s="17"/>
      <c r="B373" s="29"/>
      <c r="C373" s="27"/>
      <c r="D373" s="27"/>
    </row>
    <row r="374" ht="15.75" customHeight="1">
      <c r="A374" s="17"/>
      <c r="B374" s="29"/>
      <c r="C374" s="27"/>
      <c r="D374" s="27"/>
    </row>
    <row r="375" ht="15.75" customHeight="1">
      <c r="A375" s="17"/>
      <c r="B375" s="29"/>
      <c r="C375" s="27"/>
      <c r="D375" s="27"/>
    </row>
    <row r="376" ht="15.75" customHeight="1">
      <c r="A376" s="17"/>
      <c r="B376" s="29"/>
      <c r="C376" s="27"/>
      <c r="D376" s="27"/>
    </row>
    <row r="377" ht="15.75" customHeight="1">
      <c r="A377" s="17"/>
      <c r="B377" s="29"/>
      <c r="C377" s="27"/>
      <c r="D377" s="27"/>
    </row>
    <row r="378" ht="15.75" customHeight="1">
      <c r="A378" s="17"/>
      <c r="B378" s="29"/>
      <c r="C378" s="27"/>
      <c r="D378" s="27"/>
    </row>
    <row r="379" ht="15.75" customHeight="1">
      <c r="A379" s="17"/>
      <c r="B379" s="29"/>
      <c r="C379" s="27"/>
      <c r="D379" s="27"/>
    </row>
    <row r="380" ht="15.75" customHeight="1">
      <c r="A380" s="17"/>
      <c r="B380" s="29"/>
      <c r="C380" s="27"/>
      <c r="D380" s="27"/>
    </row>
    <row r="381" ht="15.75" customHeight="1">
      <c r="A381" s="17"/>
      <c r="B381" s="29"/>
      <c r="C381" s="27"/>
      <c r="D381" s="27"/>
    </row>
    <row r="382" ht="15.75" customHeight="1">
      <c r="A382" s="17"/>
      <c r="B382" s="29"/>
      <c r="C382" s="27"/>
      <c r="D382" s="27"/>
    </row>
    <row r="383" ht="15.75" customHeight="1">
      <c r="A383" s="17"/>
      <c r="B383" s="29"/>
      <c r="C383" s="27"/>
      <c r="D383" s="27"/>
    </row>
    <row r="384" ht="15.75" customHeight="1">
      <c r="A384" s="17"/>
      <c r="B384" s="29"/>
      <c r="C384" s="27"/>
      <c r="D384" s="27"/>
    </row>
    <row r="385" ht="15.75" customHeight="1">
      <c r="A385" s="17"/>
      <c r="B385" s="29"/>
      <c r="C385" s="27"/>
      <c r="D385" s="27"/>
    </row>
    <row r="386" ht="15.75" customHeight="1">
      <c r="A386" s="17"/>
      <c r="B386" s="29"/>
      <c r="C386" s="27"/>
      <c r="D386" s="27"/>
    </row>
    <row r="387" ht="15.75" customHeight="1">
      <c r="A387" s="17"/>
      <c r="B387" s="29"/>
      <c r="C387" s="27"/>
      <c r="D387" s="27"/>
    </row>
    <row r="388" ht="15.75" customHeight="1">
      <c r="A388" s="17"/>
      <c r="B388" s="29"/>
      <c r="C388" s="27"/>
      <c r="D388" s="27"/>
    </row>
    <row r="389" ht="15.75" customHeight="1">
      <c r="A389" s="17"/>
      <c r="B389" s="29"/>
      <c r="C389" s="27"/>
      <c r="D389" s="27"/>
    </row>
    <row r="390" ht="15.75" customHeight="1">
      <c r="A390" s="17"/>
      <c r="B390" s="29"/>
      <c r="C390" s="27"/>
      <c r="D390" s="27"/>
    </row>
    <row r="391" ht="15.75" customHeight="1">
      <c r="A391" s="17"/>
      <c r="B391" s="29"/>
      <c r="C391" s="27"/>
      <c r="D391" s="27"/>
    </row>
    <row r="392" ht="15.75" customHeight="1">
      <c r="A392" s="17"/>
      <c r="B392" s="29"/>
      <c r="C392" s="27"/>
      <c r="D392" s="27"/>
    </row>
    <row r="393" ht="15.75" customHeight="1">
      <c r="A393" s="17"/>
      <c r="B393" s="29"/>
      <c r="C393" s="27"/>
      <c r="D393" s="27"/>
    </row>
    <row r="394" ht="15.75" customHeight="1">
      <c r="A394" s="17"/>
      <c r="B394" s="29"/>
      <c r="C394" s="27"/>
      <c r="D394" s="27"/>
    </row>
    <row r="395" ht="15.75" customHeight="1">
      <c r="A395" s="17"/>
      <c r="B395" s="29"/>
      <c r="C395" s="27"/>
      <c r="D395" s="27"/>
    </row>
    <row r="396" ht="15.75" customHeight="1">
      <c r="A396" s="17"/>
      <c r="B396" s="29"/>
      <c r="C396" s="27"/>
      <c r="D396" s="27"/>
    </row>
    <row r="397" ht="15.75" customHeight="1">
      <c r="A397" s="17"/>
      <c r="B397" s="29"/>
      <c r="C397" s="27"/>
      <c r="D397" s="27"/>
    </row>
    <row r="398" ht="15.75" customHeight="1">
      <c r="A398" s="17"/>
      <c r="B398" s="29"/>
      <c r="C398" s="27"/>
      <c r="D398" s="27"/>
    </row>
    <row r="399" ht="15.75" customHeight="1">
      <c r="A399" s="17"/>
      <c r="B399" s="29"/>
      <c r="C399" s="27"/>
      <c r="D399" s="27"/>
    </row>
    <row r="400" ht="15.75" customHeight="1">
      <c r="A400" s="17"/>
      <c r="B400" s="29"/>
      <c r="C400" s="27"/>
      <c r="D400" s="27"/>
    </row>
    <row r="401" ht="15.75" customHeight="1">
      <c r="A401" s="17"/>
      <c r="B401" s="29"/>
      <c r="C401" s="27"/>
      <c r="D401" s="27"/>
    </row>
    <row r="402" ht="15.75" customHeight="1">
      <c r="A402" s="17"/>
      <c r="B402" s="29"/>
      <c r="C402" s="27"/>
      <c r="D402" s="27"/>
    </row>
    <row r="403" ht="15.75" customHeight="1">
      <c r="A403" s="17"/>
      <c r="B403" s="29"/>
      <c r="C403" s="27"/>
      <c r="D403" s="27"/>
    </row>
    <row r="404" ht="15.75" customHeight="1">
      <c r="A404" s="17"/>
      <c r="B404" s="29"/>
      <c r="C404" s="27"/>
      <c r="D404" s="27"/>
    </row>
    <row r="405" ht="15.75" customHeight="1">
      <c r="A405" s="17"/>
      <c r="B405" s="29"/>
      <c r="C405" s="27"/>
      <c r="D405" s="27"/>
    </row>
    <row r="406" ht="15.75" customHeight="1">
      <c r="A406" s="17"/>
      <c r="B406" s="29"/>
      <c r="C406" s="27"/>
      <c r="D406" s="27"/>
    </row>
    <row r="407" ht="15.75" customHeight="1">
      <c r="A407" s="17"/>
      <c r="B407" s="29"/>
      <c r="C407" s="27"/>
      <c r="D407" s="27"/>
    </row>
    <row r="408" ht="15.75" customHeight="1">
      <c r="A408" s="17"/>
      <c r="B408" s="29"/>
      <c r="C408" s="27"/>
      <c r="D408" s="27"/>
    </row>
    <row r="409" ht="15.75" customHeight="1">
      <c r="A409" s="17"/>
      <c r="B409" s="29"/>
      <c r="C409" s="27"/>
      <c r="D409" s="27"/>
    </row>
    <row r="410" ht="15.75" customHeight="1">
      <c r="A410" s="17"/>
      <c r="B410" s="29"/>
      <c r="C410" s="27"/>
      <c r="D410" s="27"/>
    </row>
    <row r="411" ht="15.75" customHeight="1">
      <c r="A411" s="17"/>
      <c r="B411" s="29"/>
      <c r="C411" s="27"/>
      <c r="D411" s="27"/>
    </row>
    <row r="412" ht="15.75" customHeight="1">
      <c r="A412" s="17"/>
      <c r="B412" s="29"/>
      <c r="C412" s="27"/>
      <c r="D412" s="27"/>
    </row>
    <row r="413" ht="15.75" customHeight="1">
      <c r="A413" s="17"/>
      <c r="B413" s="29"/>
      <c r="C413" s="27"/>
      <c r="D413" s="27"/>
    </row>
    <row r="414" ht="15.75" customHeight="1">
      <c r="A414" s="17"/>
      <c r="B414" s="29"/>
      <c r="C414" s="27"/>
      <c r="D414" s="27"/>
    </row>
    <row r="415" ht="15.75" customHeight="1">
      <c r="A415" s="17"/>
      <c r="B415" s="29"/>
      <c r="C415" s="27"/>
      <c r="D415" s="27"/>
    </row>
    <row r="416" ht="15.75" customHeight="1">
      <c r="A416" s="17"/>
      <c r="B416" s="29"/>
      <c r="C416" s="27"/>
      <c r="D416" s="27"/>
    </row>
    <row r="417" ht="15.75" customHeight="1">
      <c r="A417" s="17"/>
      <c r="B417" s="29"/>
      <c r="C417" s="27"/>
      <c r="D417" s="27"/>
    </row>
    <row r="418" ht="15.75" customHeight="1">
      <c r="A418" s="17"/>
      <c r="B418" s="29"/>
      <c r="C418" s="27"/>
      <c r="D418" s="27"/>
    </row>
    <row r="419" ht="15.75" customHeight="1">
      <c r="A419" s="17"/>
      <c r="B419" s="29"/>
      <c r="C419" s="27"/>
      <c r="D419" s="27"/>
    </row>
    <row r="420" ht="15.75" customHeight="1">
      <c r="A420" s="17"/>
      <c r="B420" s="29"/>
      <c r="C420" s="27"/>
      <c r="D420" s="27"/>
    </row>
    <row r="421" ht="15.75" customHeight="1">
      <c r="A421" s="17"/>
      <c r="B421" s="29"/>
      <c r="C421" s="27"/>
      <c r="D421" s="27"/>
    </row>
    <row r="422" ht="15.75" customHeight="1">
      <c r="A422" s="17"/>
      <c r="B422" s="29"/>
      <c r="C422" s="27"/>
      <c r="D422" s="27"/>
    </row>
    <row r="423" ht="15.75" customHeight="1">
      <c r="A423" s="17"/>
      <c r="B423" s="29"/>
      <c r="C423" s="27"/>
      <c r="D423" s="27"/>
    </row>
    <row r="424" ht="15.75" customHeight="1">
      <c r="A424" s="17"/>
      <c r="B424" s="29"/>
      <c r="C424" s="27"/>
      <c r="D424" s="27"/>
    </row>
    <row r="425" ht="15.75" customHeight="1">
      <c r="A425" s="17"/>
      <c r="B425" s="29"/>
      <c r="C425" s="27"/>
      <c r="D425" s="27"/>
    </row>
    <row r="426" ht="15.75" customHeight="1">
      <c r="A426" s="17"/>
      <c r="B426" s="29"/>
      <c r="C426" s="27"/>
      <c r="D426" s="27"/>
    </row>
    <row r="427" ht="15.75" customHeight="1">
      <c r="A427" s="17"/>
      <c r="B427" s="29"/>
      <c r="C427" s="27"/>
      <c r="D427" s="27"/>
    </row>
    <row r="428" ht="15.75" customHeight="1">
      <c r="A428" s="17"/>
      <c r="B428" s="29"/>
      <c r="C428" s="27"/>
      <c r="D428" s="27"/>
    </row>
    <row r="429" ht="15.75" customHeight="1">
      <c r="A429" s="17"/>
      <c r="B429" s="29"/>
      <c r="C429" s="27"/>
      <c r="D429" s="27"/>
    </row>
    <row r="430" ht="15.75" customHeight="1">
      <c r="A430" s="17"/>
      <c r="B430" s="29"/>
      <c r="C430" s="27"/>
      <c r="D430" s="27"/>
    </row>
    <row r="431" ht="15.75" customHeight="1">
      <c r="A431" s="17"/>
      <c r="B431" s="29"/>
      <c r="C431" s="27"/>
      <c r="D431" s="27"/>
    </row>
    <row r="432" ht="15.75" customHeight="1">
      <c r="A432" s="17"/>
      <c r="B432" s="29"/>
      <c r="C432" s="27"/>
      <c r="D432" s="27"/>
    </row>
    <row r="433" ht="15.75" customHeight="1">
      <c r="A433" s="17"/>
      <c r="B433" s="29"/>
      <c r="C433" s="27"/>
      <c r="D433" s="27"/>
    </row>
    <row r="434" ht="15.75" customHeight="1">
      <c r="A434" s="17"/>
      <c r="B434" s="29"/>
      <c r="C434" s="27"/>
      <c r="D434" s="27"/>
    </row>
    <row r="435" ht="15.75" customHeight="1">
      <c r="A435" s="17"/>
      <c r="B435" s="29"/>
      <c r="C435" s="27"/>
      <c r="D435" s="27"/>
    </row>
    <row r="436" ht="15.75" customHeight="1">
      <c r="A436" s="17"/>
      <c r="B436" s="29"/>
      <c r="C436" s="27"/>
      <c r="D436" s="27"/>
    </row>
    <row r="437" ht="15.75" customHeight="1">
      <c r="A437" s="17"/>
      <c r="B437" s="29"/>
      <c r="C437" s="27"/>
      <c r="D437" s="27"/>
    </row>
    <row r="438" ht="15.75" customHeight="1">
      <c r="A438" s="17"/>
      <c r="B438" s="29"/>
      <c r="C438" s="27"/>
      <c r="D438" s="27"/>
    </row>
    <row r="439" ht="15.75" customHeight="1">
      <c r="A439" s="17"/>
      <c r="B439" s="29"/>
      <c r="C439" s="27"/>
      <c r="D439" s="27"/>
    </row>
    <row r="440" ht="15.75" customHeight="1">
      <c r="A440" s="17"/>
      <c r="B440" s="29"/>
      <c r="C440" s="27"/>
      <c r="D440" s="27"/>
    </row>
    <row r="441" ht="15.75" customHeight="1">
      <c r="A441" s="17"/>
      <c r="B441" s="29"/>
      <c r="C441" s="27"/>
      <c r="D441" s="27"/>
    </row>
    <row r="442" ht="15.75" customHeight="1">
      <c r="A442" s="17"/>
      <c r="B442" s="29"/>
      <c r="C442" s="27"/>
      <c r="D442" s="27"/>
    </row>
    <row r="443" ht="15.75" customHeight="1">
      <c r="A443" s="17"/>
      <c r="B443" s="29"/>
      <c r="C443" s="27"/>
      <c r="D443" s="27"/>
    </row>
    <row r="444" ht="15.75" customHeight="1">
      <c r="A444" s="17"/>
      <c r="B444" s="29"/>
      <c r="C444" s="27"/>
      <c r="D444" s="27"/>
    </row>
    <row r="445" ht="15.75" customHeight="1">
      <c r="A445" s="17"/>
      <c r="B445" s="29"/>
      <c r="C445" s="27"/>
      <c r="D445" s="27"/>
    </row>
    <row r="446" ht="15.75" customHeight="1">
      <c r="A446" s="17"/>
      <c r="B446" s="29"/>
      <c r="C446" s="27"/>
      <c r="D446" s="27"/>
    </row>
    <row r="447" ht="15.75" customHeight="1">
      <c r="A447" s="17"/>
      <c r="B447" s="29"/>
      <c r="C447" s="27"/>
      <c r="D447" s="27"/>
    </row>
    <row r="448" ht="15.75" customHeight="1">
      <c r="A448" s="17"/>
      <c r="B448" s="29"/>
      <c r="C448" s="27"/>
      <c r="D448" s="27"/>
    </row>
    <row r="449" ht="15.75" customHeight="1">
      <c r="A449" s="17"/>
      <c r="B449" s="29"/>
      <c r="C449" s="27"/>
      <c r="D449" s="27"/>
    </row>
    <row r="450" ht="15.75" customHeight="1">
      <c r="A450" s="17"/>
      <c r="B450" s="29"/>
      <c r="C450" s="27"/>
      <c r="D450" s="27"/>
    </row>
    <row r="451" ht="15.75" customHeight="1">
      <c r="A451" s="17"/>
      <c r="B451" s="29"/>
      <c r="C451" s="27"/>
      <c r="D451" s="27"/>
    </row>
    <row r="452" ht="15.75" customHeight="1">
      <c r="A452" s="17"/>
      <c r="B452" s="29"/>
      <c r="C452" s="27"/>
      <c r="D452" s="27"/>
    </row>
    <row r="453" ht="15.75" customHeight="1">
      <c r="A453" s="17"/>
      <c r="B453" s="29"/>
      <c r="C453" s="27"/>
      <c r="D453" s="27"/>
    </row>
    <row r="454" ht="15.75" customHeight="1">
      <c r="A454" s="17"/>
      <c r="B454" s="29"/>
      <c r="C454" s="27"/>
      <c r="D454" s="27"/>
    </row>
    <row r="455" ht="15.75" customHeight="1">
      <c r="A455" s="17"/>
      <c r="B455" s="29"/>
      <c r="C455" s="27"/>
      <c r="D455" s="27"/>
    </row>
    <row r="456" ht="15.75" customHeight="1">
      <c r="A456" s="17"/>
      <c r="B456" s="29"/>
      <c r="C456" s="27"/>
      <c r="D456" s="27"/>
    </row>
    <row r="457" ht="15.75" customHeight="1">
      <c r="A457" s="17"/>
      <c r="B457" s="29"/>
      <c r="C457" s="27"/>
      <c r="D457" s="27"/>
    </row>
    <row r="458" ht="15.75" customHeight="1">
      <c r="A458" s="17"/>
      <c r="B458" s="29"/>
      <c r="C458" s="27"/>
      <c r="D458" s="27"/>
    </row>
    <row r="459" ht="15.75" customHeight="1">
      <c r="A459" s="17"/>
      <c r="B459" s="29"/>
      <c r="C459" s="27"/>
      <c r="D459" s="27"/>
    </row>
    <row r="460" ht="15.75" customHeight="1">
      <c r="A460" s="17"/>
      <c r="B460" s="29"/>
      <c r="C460" s="27"/>
      <c r="D460" s="27"/>
    </row>
    <row r="461" ht="15.75" customHeight="1">
      <c r="A461" s="17"/>
      <c r="B461" s="29"/>
      <c r="C461" s="27"/>
      <c r="D461" s="27"/>
    </row>
    <row r="462" ht="15.75" customHeight="1">
      <c r="A462" s="17"/>
      <c r="B462" s="29"/>
      <c r="C462" s="27"/>
      <c r="D462" s="27"/>
    </row>
    <row r="463" ht="15.75" customHeight="1">
      <c r="A463" s="17"/>
      <c r="B463" s="29"/>
      <c r="C463" s="27"/>
      <c r="D463" s="27"/>
    </row>
    <row r="464" ht="15.75" customHeight="1">
      <c r="A464" s="17"/>
      <c r="B464" s="29"/>
      <c r="C464" s="27"/>
      <c r="D464" s="27"/>
    </row>
    <row r="465" ht="15.75" customHeight="1">
      <c r="A465" s="17"/>
      <c r="B465" s="29"/>
      <c r="C465" s="27"/>
      <c r="D465" s="27"/>
    </row>
    <row r="466" ht="15.75" customHeight="1">
      <c r="A466" s="17"/>
      <c r="B466" s="29"/>
      <c r="C466" s="27"/>
      <c r="D466" s="27"/>
    </row>
    <row r="467" ht="15.75" customHeight="1">
      <c r="A467" s="17"/>
      <c r="B467" s="29"/>
      <c r="C467" s="27"/>
      <c r="D467" s="27"/>
    </row>
    <row r="468" ht="15.75" customHeight="1">
      <c r="A468" s="17"/>
      <c r="B468" s="29"/>
      <c r="C468" s="27"/>
      <c r="D468" s="27"/>
    </row>
    <row r="469" ht="15.75" customHeight="1">
      <c r="A469" s="17"/>
      <c r="B469" s="29"/>
      <c r="C469" s="27"/>
      <c r="D469" s="27"/>
    </row>
    <row r="470" ht="15.75" customHeight="1">
      <c r="A470" s="17"/>
      <c r="B470" s="29"/>
      <c r="C470" s="27"/>
      <c r="D470" s="27"/>
    </row>
    <row r="471" ht="15.75" customHeight="1">
      <c r="A471" s="17"/>
      <c r="B471" s="29"/>
      <c r="C471" s="27"/>
      <c r="D471" s="27"/>
    </row>
    <row r="472" ht="15.75" customHeight="1">
      <c r="A472" s="17"/>
      <c r="B472" s="29"/>
      <c r="C472" s="27"/>
      <c r="D472" s="27"/>
    </row>
    <row r="473" ht="15.75" customHeight="1">
      <c r="A473" s="17"/>
      <c r="B473" s="29"/>
      <c r="C473" s="27"/>
      <c r="D473" s="27"/>
    </row>
    <row r="474" ht="15.75" customHeight="1">
      <c r="A474" s="17"/>
      <c r="B474" s="29"/>
      <c r="C474" s="27"/>
      <c r="D474" s="27"/>
    </row>
    <row r="475" ht="15.75" customHeight="1">
      <c r="A475" s="17"/>
      <c r="B475" s="29"/>
      <c r="C475" s="27"/>
      <c r="D475" s="27"/>
    </row>
    <row r="476" ht="15.75" customHeight="1">
      <c r="A476" s="17"/>
      <c r="B476" s="29"/>
      <c r="C476" s="27"/>
      <c r="D476" s="27"/>
    </row>
    <row r="477" ht="15.75" customHeight="1">
      <c r="A477" s="17"/>
      <c r="B477" s="29"/>
      <c r="C477" s="27"/>
      <c r="D477" s="27"/>
    </row>
    <row r="478" ht="15.75" customHeight="1">
      <c r="A478" s="17"/>
      <c r="B478" s="29"/>
      <c r="C478" s="27"/>
      <c r="D478" s="27"/>
    </row>
    <row r="479" ht="15.75" customHeight="1">
      <c r="A479" s="17"/>
      <c r="B479" s="29"/>
      <c r="C479" s="27"/>
      <c r="D479" s="27"/>
    </row>
    <row r="480" ht="15.75" customHeight="1">
      <c r="A480" s="17"/>
      <c r="B480" s="29"/>
      <c r="C480" s="27"/>
      <c r="D480" s="27"/>
    </row>
    <row r="481" ht="15.75" customHeight="1">
      <c r="A481" s="17"/>
      <c r="B481" s="29"/>
      <c r="C481" s="27"/>
      <c r="D481" s="27"/>
    </row>
    <row r="482" ht="15.75" customHeight="1">
      <c r="A482" s="17"/>
      <c r="B482" s="29"/>
      <c r="C482" s="27"/>
      <c r="D482" s="27"/>
    </row>
    <row r="483" ht="15.75" customHeight="1">
      <c r="A483" s="17"/>
      <c r="B483" s="29"/>
      <c r="C483" s="27"/>
      <c r="D483" s="27"/>
    </row>
    <row r="484" ht="15.75" customHeight="1">
      <c r="A484" s="17"/>
      <c r="B484" s="29"/>
      <c r="C484" s="27"/>
      <c r="D484" s="27"/>
    </row>
    <row r="485" ht="15.75" customHeight="1">
      <c r="A485" s="17"/>
      <c r="B485" s="29"/>
      <c r="C485" s="27"/>
      <c r="D485" s="27"/>
    </row>
    <row r="486" ht="15.75" customHeight="1">
      <c r="A486" s="17"/>
      <c r="B486" s="29"/>
      <c r="C486" s="27"/>
      <c r="D486" s="27"/>
    </row>
    <row r="487" ht="15.75" customHeight="1">
      <c r="A487" s="17"/>
      <c r="B487" s="29"/>
      <c r="C487" s="27"/>
      <c r="D487" s="27"/>
    </row>
    <row r="488" ht="15.75" customHeight="1">
      <c r="A488" s="17"/>
      <c r="B488" s="29"/>
      <c r="C488" s="27"/>
      <c r="D488" s="27"/>
    </row>
    <row r="489" ht="15.75" customHeight="1">
      <c r="A489" s="17"/>
      <c r="B489" s="29"/>
      <c r="C489" s="27"/>
      <c r="D489" s="27"/>
    </row>
    <row r="490" ht="15.75" customHeight="1">
      <c r="A490" s="17"/>
      <c r="B490" s="29"/>
      <c r="C490" s="27"/>
      <c r="D490" s="27"/>
    </row>
    <row r="491" ht="15.75" customHeight="1">
      <c r="A491" s="17"/>
      <c r="B491" s="29"/>
      <c r="C491" s="27"/>
      <c r="D491" s="27"/>
    </row>
    <row r="492" ht="15.75" customHeight="1">
      <c r="A492" s="17"/>
      <c r="B492" s="29"/>
      <c r="C492" s="27"/>
      <c r="D492" s="27"/>
    </row>
    <row r="493" ht="15.75" customHeight="1">
      <c r="A493" s="17"/>
      <c r="B493" s="29"/>
      <c r="C493" s="27"/>
      <c r="D493" s="27"/>
    </row>
    <row r="494" ht="15.75" customHeight="1">
      <c r="A494" s="17"/>
      <c r="B494" s="29"/>
      <c r="C494" s="27"/>
      <c r="D494" s="27"/>
    </row>
    <row r="495" ht="15.75" customHeight="1">
      <c r="A495" s="17"/>
      <c r="B495" s="29"/>
      <c r="C495" s="27"/>
      <c r="D495" s="27"/>
    </row>
    <row r="496" ht="15.75" customHeight="1">
      <c r="A496" s="17"/>
      <c r="B496" s="29"/>
      <c r="C496" s="27"/>
      <c r="D496" s="27"/>
    </row>
    <row r="497" ht="15.75" customHeight="1">
      <c r="A497" s="17"/>
      <c r="B497" s="29"/>
      <c r="C497" s="27"/>
      <c r="D497" s="27"/>
    </row>
    <row r="498" ht="15.75" customHeight="1">
      <c r="A498" s="17"/>
      <c r="B498" s="29"/>
      <c r="C498" s="27"/>
      <c r="D498" s="27"/>
    </row>
    <row r="499" ht="15.75" customHeight="1">
      <c r="A499" s="17"/>
      <c r="B499" s="29"/>
      <c r="C499" s="27"/>
      <c r="D499" s="27"/>
    </row>
    <row r="500" ht="15.75" customHeight="1">
      <c r="A500" s="17"/>
      <c r="B500" s="29"/>
      <c r="C500" s="27"/>
      <c r="D500" s="27"/>
    </row>
    <row r="501" ht="15.75" customHeight="1">
      <c r="A501" s="17"/>
      <c r="B501" s="29"/>
      <c r="C501" s="27"/>
      <c r="D501" s="27"/>
    </row>
    <row r="502" ht="15.75" customHeight="1">
      <c r="A502" s="17"/>
      <c r="B502" s="29"/>
      <c r="C502" s="27"/>
      <c r="D502" s="27"/>
    </row>
    <row r="503" ht="15.75" customHeight="1">
      <c r="A503" s="17"/>
      <c r="B503" s="29"/>
      <c r="C503" s="27"/>
      <c r="D503" s="27"/>
    </row>
    <row r="504" ht="15.75" customHeight="1">
      <c r="A504" s="17"/>
      <c r="B504" s="29"/>
      <c r="C504" s="27"/>
      <c r="D504" s="27"/>
    </row>
    <row r="505" ht="15.75" customHeight="1">
      <c r="A505" s="17"/>
      <c r="B505" s="29"/>
      <c r="C505" s="27"/>
      <c r="D505" s="27"/>
    </row>
    <row r="506" ht="15.75" customHeight="1">
      <c r="A506" s="17"/>
      <c r="B506" s="29"/>
      <c r="C506" s="27"/>
      <c r="D506" s="27"/>
    </row>
    <row r="507" ht="15.75" customHeight="1">
      <c r="A507" s="17"/>
      <c r="B507" s="29"/>
      <c r="C507" s="27"/>
      <c r="D507" s="27"/>
    </row>
    <row r="508" ht="15.75" customHeight="1">
      <c r="A508" s="17"/>
      <c r="B508" s="29"/>
      <c r="C508" s="27"/>
      <c r="D508" s="27"/>
    </row>
    <row r="509" ht="15.75" customHeight="1">
      <c r="A509" s="17"/>
      <c r="B509" s="29"/>
      <c r="C509" s="27"/>
      <c r="D509" s="27"/>
    </row>
    <row r="510" ht="15.75" customHeight="1">
      <c r="A510" s="17"/>
      <c r="B510" s="29"/>
      <c r="C510" s="27"/>
      <c r="D510" s="27"/>
    </row>
    <row r="511" ht="15.75" customHeight="1">
      <c r="A511" s="17"/>
      <c r="B511" s="29"/>
      <c r="C511" s="27"/>
      <c r="D511" s="27"/>
    </row>
    <row r="512" ht="15.75" customHeight="1">
      <c r="A512" s="17"/>
      <c r="B512" s="29"/>
      <c r="C512" s="27"/>
      <c r="D512" s="27"/>
    </row>
    <row r="513" ht="15.75" customHeight="1">
      <c r="A513" s="17"/>
      <c r="B513" s="29"/>
      <c r="C513" s="27"/>
      <c r="D513" s="27"/>
    </row>
    <row r="514" ht="15.75" customHeight="1">
      <c r="A514" s="17"/>
      <c r="B514" s="29"/>
      <c r="C514" s="27"/>
      <c r="D514" s="27"/>
    </row>
    <row r="515" ht="15.75" customHeight="1">
      <c r="A515" s="17"/>
      <c r="B515" s="29"/>
      <c r="C515" s="27"/>
      <c r="D515" s="27"/>
    </row>
    <row r="516" ht="15.75" customHeight="1">
      <c r="A516" s="17"/>
      <c r="B516" s="29"/>
      <c r="C516" s="27"/>
      <c r="D516" s="27"/>
    </row>
    <row r="517" ht="15.75" customHeight="1">
      <c r="A517" s="17"/>
      <c r="B517" s="29"/>
      <c r="C517" s="27"/>
      <c r="D517" s="27"/>
    </row>
    <row r="518" ht="15.75" customHeight="1">
      <c r="A518" s="17"/>
      <c r="B518" s="29"/>
      <c r="C518" s="27"/>
      <c r="D518" s="27"/>
    </row>
    <row r="519" ht="15.75" customHeight="1">
      <c r="A519" s="17"/>
      <c r="B519" s="29"/>
      <c r="C519" s="27"/>
      <c r="D519" s="27"/>
    </row>
    <row r="520" ht="15.75" customHeight="1">
      <c r="A520" s="17"/>
      <c r="B520" s="29"/>
      <c r="C520" s="27"/>
      <c r="D520" s="27"/>
    </row>
    <row r="521" ht="15.75" customHeight="1">
      <c r="A521" s="17"/>
      <c r="B521" s="29"/>
      <c r="C521" s="27"/>
      <c r="D521" s="27"/>
    </row>
    <row r="522" ht="15.75" customHeight="1">
      <c r="A522" s="17"/>
      <c r="B522" s="29"/>
      <c r="C522" s="27"/>
      <c r="D522" s="27"/>
    </row>
    <row r="523" ht="15.75" customHeight="1">
      <c r="A523" s="17"/>
      <c r="B523" s="29"/>
      <c r="C523" s="27"/>
      <c r="D523" s="27"/>
    </row>
    <row r="524" ht="15.75" customHeight="1">
      <c r="A524" s="17"/>
      <c r="B524" s="29"/>
      <c r="C524" s="27"/>
      <c r="D524" s="27"/>
    </row>
    <row r="525" ht="15.75" customHeight="1">
      <c r="A525" s="17"/>
      <c r="B525" s="29"/>
      <c r="C525" s="27"/>
      <c r="D525" s="27"/>
    </row>
    <row r="526" ht="15.75" customHeight="1">
      <c r="A526" s="17"/>
      <c r="B526" s="29"/>
      <c r="C526" s="27"/>
      <c r="D526" s="27"/>
    </row>
    <row r="527" ht="15.75" customHeight="1">
      <c r="A527" s="17"/>
      <c r="B527" s="29"/>
      <c r="C527" s="27"/>
      <c r="D527" s="27"/>
    </row>
    <row r="528" ht="15.75" customHeight="1">
      <c r="A528" s="17"/>
      <c r="B528" s="29"/>
      <c r="C528" s="27"/>
      <c r="D528" s="27"/>
    </row>
    <row r="529" ht="15.75" customHeight="1">
      <c r="A529" s="17"/>
      <c r="B529" s="29"/>
      <c r="C529" s="27"/>
      <c r="D529" s="27"/>
    </row>
    <row r="530" ht="15.75" customHeight="1">
      <c r="A530" s="17"/>
      <c r="B530" s="29"/>
      <c r="C530" s="27"/>
      <c r="D530" s="27"/>
    </row>
    <row r="531" ht="15.75" customHeight="1">
      <c r="A531" s="17"/>
      <c r="B531" s="29"/>
      <c r="C531" s="27"/>
      <c r="D531" s="27"/>
    </row>
    <row r="532" ht="15.75" customHeight="1">
      <c r="A532" s="17"/>
      <c r="B532" s="29"/>
      <c r="C532" s="27"/>
      <c r="D532" s="27"/>
    </row>
    <row r="533" ht="15.75" customHeight="1">
      <c r="A533" s="17"/>
      <c r="B533" s="29"/>
      <c r="C533" s="27"/>
      <c r="D533" s="27"/>
    </row>
    <row r="534" ht="15.75" customHeight="1">
      <c r="A534" s="17"/>
      <c r="B534" s="29"/>
      <c r="C534" s="27"/>
      <c r="D534" s="27"/>
    </row>
    <row r="535" ht="15.75" customHeight="1">
      <c r="A535" s="17"/>
      <c r="B535" s="29"/>
      <c r="C535" s="27"/>
      <c r="D535" s="27"/>
    </row>
    <row r="536" ht="15.75" customHeight="1">
      <c r="A536" s="17"/>
      <c r="B536" s="29"/>
      <c r="C536" s="27"/>
      <c r="D536" s="27"/>
    </row>
    <row r="537" ht="15.75" customHeight="1">
      <c r="A537" s="17"/>
      <c r="B537" s="29"/>
      <c r="C537" s="27"/>
      <c r="D537" s="27"/>
    </row>
    <row r="538" ht="15.75" customHeight="1">
      <c r="A538" s="17"/>
      <c r="B538" s="29"/>
      <c r="C538" s="27"/>
      <c r="D538" s="27"/>
    </row>
    <row r="539" ht="15.75" customHeight="1">
      <c r="A539" s="17"/>
      <c r="B539" s="29"/>
      <c r="C539" s="27"/>
      <c r="D539" s="27"/>
    </row>
    <row r="540" ht="15.75" customHeight="1">
      <c r="A540" s="17"/>
      <c r="B540" s="29"/>
      <c r="C540" s="27"/>
      <c r="D540" s="27"/>
    </row>
    <row r="541" ht="15.75" customHeight="1">
      <c r="A541" s="17"/>
      <c r="B541" s="29"/>
      <c r="C541" s="27"/>
      <c r="D541" s="27"/>
    </row>
    <row r="542" ht="15.75" customHeight="1">
      <c r="A542" s="17"/>
      <c r="B542" s="29"/>
      <c r="C542" s="27"/>
      <c r="D542" s="27"/>
    </row>
    <row r="543" ht="15.75" customHeight="1">
      <c r="A543" s="17"/>
      <c r="B543" s="29"/>
      <c r="C543" s="27"/>
      <c r="D543" s="27"/>
    </row>
    <row r="544" ht="15.75" customHeight="1">
      <c r="A544" s="17"/>
      <c r="B544" s="29"/>
      <c r="C544" s="27"/>
      <c r="D544" s="27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33</v>
      </c>
      <c r="B1" s="22" t="s">
        <v>34</v>
      </c>
      <c r="C1" s="23" t="s">
        <v>35</v>
      </c>
      <c r="D1" s="24" t="s">
        <v>36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5">
        <v>10101.0</v>
      </c>
      <c r="B2" s="26" t="s">
        <v>37</v>
      </c>
      <c r="C2" s="27"/>
      <c r="D2" s="27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25">
        <v>10102.0</v>
      </c>
      <c r="B3" s="26" t="s">
        <v>38</v>
      </c>
      <c r="C3" s="27"/>
      <c r="D3" s="27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25">
        <v>10103.0</v>
      </c>
      <c r="B4" s="26" t="s">
        <v>39</v>
      </c>
      <c r="C4" s="27"/>
      <c r="D4" s="27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25">
        <v>10201.0</v>
      </c>
      <c r="B5" s="26" t="s">
        <v>40</v>
      </c>
      <c r="C5" s="27"/>
      <c r="D5" s="27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25">
        <v>10202.0</v>
      </c>
      <c r="B6" s="26" t="s">
        <v>41</v>
      </c>
      <c r="C6" s="27"/>
      <c r="D6" s="27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25">
        <v>10301.0</v>
      </c>
      <c r="B7" s="26" t="s">
        <v>42</v>
      </c>
      <c r="C7" s="27"/>
      <c r="D7" s="27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25">
        <v>10302.0</v>
      </c>
      <c r="B8" s="26" t="s">
        <v>43</v>
      </c>
      <c r="C8" s="27"/>
      <c r="D8" s="27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25">
        <v>10303.0</v>
      </c>
      <c r="B9" s="26" t="s">
        <v>44</v>
      </c>
      <c r="C9" s="27"/>
      <c r="D9" s="27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25">
        <v>10304.0</v>
      </c>
      <c r="B10" s="26" t="s">
        <v>45</v>
      </c>
      <c r="C10" s="27"/>
      <c r="D10" s="2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25">
        <v>10401.0</v>
      </c>
      <c r="B11" s="26" t="s">
        <v>46</v>
      </c>
      <c r="C11" s="27"/>
      <c r="D11" s="2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25">
        <v>10402.0</v>
      </c>
      <c r="B12" s="26" t="s">
        <v>47</v>
      </c>
      <c r="C12" s="27"/>
      <c r="D12" s="27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25">
        <v>10403.0</v>
      </c>
      <c r="B13" s="26" t="s">
        <v>48</v>
      </c>
      <c r="C13" s="27"/>
      <c r="D13" s="27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25">
        <v>10404.0</v>
      </c>
      <c r="B14" s="26" t="s">
        <v>375</v>
      </c>
      <c r="C14" s="27"/>
      <c r="D14" s="27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25">
        <v>10405.0</v>
      </c>
      <c r="B15" s="26" t="s">
        <v>50</v>
      </c>
      <c r="C15" s="27"/>
      <c r="D15" s="27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25">
        <v>10501.0</v>
      </c>
      <c r="B16" s="26" t="s">
        <v>51</v>
      </c>
      <c r="C16" s="27"/>
      <c r="D16" s="2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25">
        <v>10502.0</v>
      </c>
      <c r="B17" s="26" t="s">
        <v>52</v>
      </c>
      <c r="C17" s="27"/>
      <c r="D17" s="27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25">
        <v>10601.0</v>
      </c>
      <c r="B18" s="26" t="s">
        <v>53</v>
      </c>
      <c r="C18" s="27"/>
      <c r="D18" s="27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25">
        <v>10602.0</v>
      </c>
      <c r="B19" s="26" t="s">
        <v>54</v>
      </c>
      <c r="C19" s="27"/>
      <c r="D19" s="27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25">
        <v>10701.0</v>
      </c>
      <c r="B20" s="26" t="s">
        <v>55</v>
      </c>
      <c r="C20" s="27"/>
      <c r="D20" s="27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5">
        <v>10702.0</v>
      </c>
      <c r="B21" s="26" t="s">
        <v>56</v>
      </c>
      <c r="C21" s="27"/>
      <c r="D21" s="27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25">
        <v>10703.0</v>
      </c>
      <c r="B22" s="26" t="s">
        <v>57</v>
      </c>
      <c r="C22" s="27"/>
      <c r="D22" s="27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25">
        <v>10704.0</v>
      </c>
      <c r="B23" s="26" t="s">
        <v>58</v>
      </c>
      <c r="C23" s="27"/>
      <c r="D23" s="27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25">
        <v>10801.0</v>
      </c>
      <c r="B24" s="26" t="s">
        <v>59</v>
      </c>
      <c r="C24" s="27"/>
      <c r="D24" s="27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25">
        <v>10901.0</v>
      </c>
      <c r="B25" s="26" t="s">
        <v>376</v>
      </c>
      <c r="C25" s="27"/>
      <c r="D25" s="27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25">
        <v>10902.0</v>
      </c>
      <c r="B26" s="26" t="s">
        <v>61</v>
      </c>
      <c r="C26" s="27"/>
      <c r="D26" s="27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25">
        <v>10903.0</v>
      </c>
      <c r="B27" s="26" t="s">
        <v>62</v>
      </c>
      <c r="C27" s="27"/>
      <c r="D27" s="27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25">
        <v>11001.0</v>
      </c>
      <c r="B28" s="26" t="s">
        <v>377</v>
      </c>
      <c r="C28" s="27"/>
      <c r="D28" s="27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25">
        <v>11002.0</v>
      </c>
      <c r="B29" s="26" t="s">
        <v>378</v>
      </c>
      <c r="C29" s="27"/>
      <c r="D29" s="27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5">
        <v>11003.0</v>
      </c>
      <c r="B30" s="26" t="s">
        <v>379</v>
      </c>
      <c r="C30" s="27"/>
      <c r="D30" s="27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5">
        <v>20101.0</v>
      </c>
      <c r="B31" s="26" t="s">
        <v>380</v>
      </c>
      <c r="C31" s="27"/>
      <c r="D31" s="27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5">
        <v>20102.0</v>
      </c>
      <c r="B32" s="26" t="s">
        <v>67</v>
      </c>
      <c r="C32" s="27"/>
      <c r="D32" s="27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25">
        <v>20103.0</v>
      </c>
      <c r="B33" s="26" t="s">
        <v>68</v>
      </c>
      <c r="C33" s="27"/>
      <c r="D33" s="27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5">
        <v>20104.0</v>
      </c>
      <c r="B34" s="26" t="s">
        <v>69</v>
      </c>
      <c r="C34" s="27"/>
      <c r="D34" s="27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5">
        <v>20105.0</v>
      </c>
      <c r="B35" s="26" t="s">
        <v>70</v>
      </c>
      <c r="C35" s="27"/>
      <c r="D35" s="27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25">
        <v>20201.0</v>
      </c>
      <c r="B36" s="26" t="s">
        <v>71</v>
      </c>
      <c r="C36" s="27"/>
      <c r="D36" s="2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25">
        <v>20202.0</v>
      </c>
      <c r="B37" s="26" t="s">
        <v>381</v>
      </c>
      <c r="C37" s="27"/>
      <c r="D37" s="27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25">
        <v>20203.0</v>
      </c>
      <c r="B38" s="26" t="s">
        <v>73</v>
      </c>
      <c r="C38" s="27"/>
      <c r="D38" s="27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25">
        <v>20204.0</v>
      </c>
      <c r="B39" s="26" t="s">
        <v>74</v>
      </c>
      <c r="C39" s="27"/>
      <c r="D39" s="27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25">
        <v>20205.0</v>
      </c>
      <c r="B40" s="26" t="s">
        <v>75</v>
      </c>
      <c r="C40" s="27"/>
      <c r="D40" s="27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25">
        <v>20206.0</v>
      </c>
      <c r="B41" s="26" t="s">
        <v>76</v>
      </c>
      <c r="C41" s="27"/>
      <c r="D41" s="27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25">
        <v>20301.0</v>
      </c>
      <c r="B42" s="26" t="s">
        <v>77</v>
      </c>
      <c r="C42" s="27"/>
      <c r="D42" s="27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25">
        <v>20302.0</v>
      </c>
      <c r="B43" s="26" t="s">
        <v>78</v>
      </c>
      <c r="C43" s="27"/>
      <c r="D43" s="27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25">
        <v>20303.0</v>
      </c>
      <c r="B44" s="26" t="s">
        <v>79</v>
      </c>
      <c r="C44" s="27"/>
      <c r="D44" s="27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25">
        <v>20304.0</v>
      </c>
      <c r="B45" s="26" t="s">
        <v>80</v>
      </c>
      <c r="C45" s="27"/>
      <c r="D45" s="27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25">
        <v>20305.0</v>
      </c>
      <c r="B46" s="26" t="s">
        <v>81</v>
      </c>
      <c r="C46" s="27"/>
      <c r="D46" s="27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25">
        <v>20306.0</v>
      </c>
      <c r="B47" s="26" t="s">
        <v>82</v>
      </c>
      <c r="C47" s="27"/>
      <c r="D47" s="27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25">
        <v>20307.0</v>
      </c>
      <c r="B48" s="26" t="s">
        <v>83</v>
      </c>
      <c r="C48" s="27"/>
      <c r="D48" s="27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25">
        <v>20308.0</v>
      </c>
      <c r="B49" s="26" t="s">
        <v>382</v>
      </c>
      <c r="C49" s="27"/>
      <c r="D49" s="27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25">
        <v>20401.0</v>
      </c>
      <c r="B50" s="26" t="s">
        <v>85</v>
      </c>
      <c r="C50" s="27"/>
      <c r="D50" s="27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25">
        <v>20402.0</v>
      </c>
      <c r="B51" s="26" t="s">
        <v>86</v>
      </c>
      <c r="C51" s="27"/>
      <c r="D51" s="27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25">
        <v>20403.0</v>
      </c>
      <c r="B52" s="26" t="s">
        <v>383</v>
      </c>
      <c r="C52" s="27"/>
      <c r="D52" s="27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25">
        <v>20404.0</v>
      </c>
      <c r="B53" s="26" t="s">
        <v>88</v>
      </c>
      <c r="C53" s="27"/>
      <c r="D53" s="2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25">
        <v>20405.0</v>
      </c>
      <c r="B54" s="26" t="s">
        <v>89</v>
      </c>
      <c r="C54" s="27"/>
      <c r="D54" s="2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25">
        <v>20501.0</v>
      </c>
      <c r="B55" s="26" t="s">
        <v>90</v>
      </c>
      <c r="C55" s="27"/>
      <c r="D55" s="27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25">
        <v>20502.0</v>
      </c>
      <c r="B56" s="26" t="s">
        <v>91</v>
      </c>
      <c r="C56" s="27"/>
      <c r="D56" s="27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25">
        <v>20503.0</v>
      </c>
      <c r="B57" s="26" t="s">
        <v>92</v>
      </c>
      <c r="C57" s="27"/>
      <c r="D57" s="27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25">
        <v>20601.0</v>
      </c>
      <c r="B58" s="26" t="s">
        <v>93</v>
      </c>
      <c r="C58" s="27"/>
      <c r="D58" s="27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25">
        <v>20602.0</v>
      </c>
      <c r="B59" s="26" t="s">
        <v>94</v>
      </c>
      <c r="C59" s="27"/>
      <c r="D59" s="27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25">
        <v>20603.0</v>
      </c>
      <c r="B60" s="26" t="s">
        <v>95</v>
      </c>
      <c r="C60" s="27"/>
      <c r="D60" s="27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25">
        <v>20604.0</v>
      </c>
      <c r="B61" s="26" t="s">
        <v>96</v>
      </c>
      <c r="C61" s="27"/>
      <c r="D61" s="27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25">
        <v>20605.0</v>
      </c>
      <c r="B62" s="26" t="s">
        <v>97</v>
      </c>
      <c r="C62" s="27"/>
      <c r="D62" s="27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25">
        <v>20606.0</v>
      </c>
      <c r="B63" s="26" t="s">
        <v>98</v>
      </c>
      <c r="C63" s="27"/>
      <c r="D63" s="27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25">
        <v>20607.0</v>
      </c>
      <c r="B64" s="26" t="s">
        <v>99</v>
      </c>
      <c r="C64" s="27"/>
      <c r="D64" s="27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25">
        <v>20608.0</v>
      </c>
      <c r="B65" s="26" t="s">
        <v>100</v>
      </c>
      <c r="C65" s="27"/>
      <c r="D65" s="27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25">
        <v>20701.0</v>
      </c>
      <c r="B66" s="26" t="s">
        <v>101</v>
      </c>
      <c r="C66" s="27"/>
      <c r="D66" s="27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25">
        <v>20702.0</v>
      </c>
      <c r="B67" s="26" t="s">
        <v>102</v>
      </c>
      <c r="C67" s="27"/>
      <c r="D67" s="27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25">
        <v>20801.0</v>
      </c>
      <c r="B68" s="26" t="s">
        <v>103</v>
      </c>
      <c r="C68" s="27"/>
      <c r="D68" s="27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25">
        <v>20802.0</v>
      </c>
      <c r="B69" s="26" t="s">
        <v>384</v>
      </c>
      <c r="C69" s="27"/>
      <c r="D69" s="27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25">
        <v>20803.0</v>
      </c>
      <c r="B70" s="26" t="s">
        <v>385</v>
      </c>
      <c r="C70" s="27"/>
      <c r="D70" s="27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25">
        <v>20804.0</v>
      </c>
      <c r="B71" s="26" t="s">
        <v>106</v>
      </c>
      <c r="C71" s="27"/>
      <c r="D71" s="27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25">
        <v>20805.0</v>
      </c>
      <c r="B72" s="26" t="s">
        <v>386</v>
      </c>
      <c r="C72" s="27"/>
      <c r="D72" s="27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25">
        <v>20806.0</v>
      </c>
      <c r="B73" s="26" t="s">
        <v>387</v>
      </c>
      <c r="C73" s="27"/>
      <c r="D73" s="27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25">
        <v>20807.0</v>
      </c>
      <c r="B74" s="26" t="s">
        <v>109</v>
      </c>
      <c r="C74" s="27"/>
      <c r="D74" s="27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25">
        <v>20901.0</v>
      </c>
      <c r="B75" s="26" t="s">
        <v>110</v>
      </c>
      <c r="C75" s="27"/>
      <c r="D75" s="27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25">
        <v>20902.0</v>
      </c>
      <c r="B76" s="26" t="s">
        <v>111</v>
      </c>
      <c r="C76" s="27"/>
      <c r="D76" s="27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25">
        <v>20903.0</v>
      </c>
      <c r="B77" s="26" t="s">
        <v>112</v>
      </c>
      <c r="C77" s="27"/>
      <c r="D77" s="27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25">
        <v>20904.0</v>
      </c>
      <c r="B78" s="26" t="s">
        <v>113</v>
      </c>
      <c r="C78" s="27"/>
      <c r="D78" s="27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25">
        <v>20905.0</v>
      </c>
      <c r="B79" s="26" t="s">
        <v>114</v>
      </c>
      <c r="C79" s="27"/>
      <c r="D79" s="27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25">
        <v>21001.0</v>
      </c>
      <c r="B80" s="26" t="s">
        <v>115</v>
      </c>
      <c r="C80" s="27"/>
      <c r="D80" s="27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25">
        <v>21002.0</v>
      </c>
      <c r="B81" s="26" t="s">
        <v>116</v>
      </c>
      <c r="C81" s="27"/>
      <c r="D81" s="27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25">
        <v>21003.0</v>
      </c>
      <c r="B82" s="26" t="s">
        <v>117</v>
      </c>
      <c r="C82" s="27"/>
      <c r="D82" s="27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25">
        <v>21004.0</v>
      </c>
      <c r="B83" s="26" t="s">
        <v>118</v>
      </c>
      <c r="C83" s="27"/>
      <c r="D83" s="27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25">
        <v>21005.0</v>
      </c>
      <c r="B84" s="26" t="s">
        <v>119</v>
      </c>
      <c r="C84" s="27"/>
      <c r="D84" s="27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25">
        <v>21006.0</v>
      </c>
      <c r="B85" s="26" t="s">
        <v>120</v>
      </c>
      <c r="C85" s="27"/>
      <c r="D85" s="27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25">
        <v>21101.0</v>
      </c>
      <c r="B86" s="26" t="s">
        <v>121</v>
      </c>
      <c r="C86" s="27"/>
      <c r="D86" s="27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25">
        <v>21102.0</v>
      </c>
      <c r="B87" s="26" t="s">
        <v>122</v>
      </c>
      <c r="C87" s="27"/>
      <c r="D87" s="27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25">
        <v>21103.0</v>
      </c>
      <c r="B88" s="26" t="s">
        <v>123</v>
      </c>
      <c r="C88" s="27"/>
      <c r="D88" s="27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25">
        <v>21104.0</v>
      </c>
      <c r="B89" s="26" t="s">
        <v>124</v>
      </c>
      <c r="C89" s="27"/>
      <c r="D89" s="27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25">
        <v>21105.0</v>
      </c>
      <c r="B90" s="26" t="s">
        <v>125</v>
      </c>
      <c r="C90" s="27"/>
      <c r="D90" s="27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25">
        <v>21201.0</v>
      </c>
      <c r="B91" s="26" t="s">
        <v>126</v>
      </c>
      <c r="C91" s="27"/>
      <c r="D91" s="27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25">
        <v>21202.0</v>
      </c>
      <c r="B92" s="26" t="s">
        <v>127</v>
      </c>
      <c r="C92" s="27"/>
      <c r="D92" s="27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25">
        <v>21203.0</v>
      </c>
      <c r="B93" s="26" t="s">
        <v>128</v>
      </c>
      <c r="C93" s="27"/>
      <c r="D93" s="27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25">
        <v>21204.0</v>
      </c>
      <c r="B94" s="26" t="s">
        <v>129</v>
      </c>
      <c r="C94" s="27"/>
      <c r="D94" s="27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25">
        <v>21301.0</v>
      </c>
      <c r="B95" s="26" t="s">
        <v>388</v>
      </c>
      <c r="C95" s="27"/>
      <c r="D95" s="27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25">
        <v>21302.0</v>
      </c>
      <c r="B96" s="26" t="s">
        <v>131</v>
      </c>
      <c r="C96" s="27"/>
      <c r="D96" s="27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25">
        <v>21303.0</v>
      </c>
      <c r="B97" s="26" t="s">
        <v>132</v>
      </c>
      <c r="C97" s="27"/>
      <c r="D97" s="27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25">
        <v>21304.0</v>
      </c>
      <c r="B98" s="26" t="s">
        <v>133</v>
      </c>
      <c r="C98" s="27"/>
      <c r="D98" s="27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25">
        <v>21305.0</v>
      </c>
      <c r="B99" s="26" t="s">
        <v>134</v>
      </c>
      <c r="C99" s="27"/>
      <c r="D99" s="27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25">
        <v>21306.0</v>
      </c>
      <c r="B100" s="26" t="s">
        <v>135</v>
      </c>
      <c r="C100" s="27"/>
      <c r="D100" s="27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25">
        <v>21307.0</v>
      </c>
      <c r="B101" s="26" t="s">
        <v>136</v>
      </c>
      <c r="C101" s="27"/>
      <c r="D101" s="27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25">
        <v>21401.0</v>
      </c>
      <c r="B102" s="26" t="s">
        <v>137</v>
      </c>
      <c r="C102" s="27"/>
      <c r="D102" s="27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25">
        <v>21402.0</v>
      </c>
      <c r="B103" s="26" t="s">
        <v>138</v>
      </c>
      <c r="C103" s="27"/>
      <c r="D103" s="27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25">
        <v>21501.0</v>
      </c>
      <c r="B104" s="26" t="s">
        <v>389</v>
      </c>
      <c r="C104" s="27"/>
      <c r="D104" s="27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25">
        <v>21502.0</v>
      </c>
      <c r="B105" s="26" t="s">
        <v>140</v>
      </c>
      <c r="C105" s="27"/>
      <c r="D105" s="27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25">
        <v>21601.0</v>
      </c>
      <c r="B106" s="26" t="s">
        <v>141</v>
      </c>
      <c r="C106" s="27"/>
      <c r="D106" s="27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25">
        <v>21602.0</v>
      </c>
      <c r="B107" s="26" t="s">
        <v>142</v>
      </c>
      <c r="C107" s="27"/>
      <c r="D107" s="27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25">
        <v>21701.0</v>
      </c>
      <c r="B108" s="26" t="s">
        <v>143</v>
      </c>
      <c r="C108" s="27"/>
      <c r="D108" s="27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25">
        <v>21702.0</v>
      </c>
      <c r="B109" s="26" t="s">
        <v>144</v>
      </c>
      <c r="C109" s="27"/>
      <c r="D109" s="27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25">
        <v>21703.0</v>
      </c>
      <c r="B110" s="26" t="s">
        <v>145</v>
      </c>
      <c r="C110" s="27"/>
      <c r="D110" s="27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25">
        <v>21801.0</v>
      </c>
      <c r="B111" s="26" t="s">
        <v>146</v>
      </c>
      <c r="C111" s="27"/>
      <c r="D111" s="27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25">
        <v>21802.0</v>
      </c>
      <c r="B112" s="26" t="s">
        <v>147</v>
      </c>
      <c r="C112" s="27"/>
      <c r="D112" s="27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25">
        <v>21803.0</v>
      </c>
      <c r="B113" s="26" t="s">
        <v>148</v>
      </c>
      <c r="C113" s="27"/>
      <c r="D113" s="27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25">
        <v>21901.0</v>
      </c>
      <c r="B114" s="26" t="s">
        <v>149</v>
      </c>
      <c r="C114" s="27"/>
      <c r="D114" s="27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25">
        <v>21902.0</v>
      </c>
      <c r="B115" s="26" t="s">
        <v>150</v>
      </c>
      <c r="C115" s="27"/>
      <c r="D115" s="27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25">
        <v>22001.0</v>
      </c>
      <c r="B116" s="26" t="s">
        <v>151</v>
      </c>
      <c r="C116" s="27"/>
      <c r="D116" s="27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25">
        <v>22002.0</v>
      </c>
      <c r="B117" s="26" t="s">
        <v>152</v>
      </c>
      <c r="C117" s="27"/>
      <c r="D117" s="27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25">
        <v>30101.0</v>
      </c>
      <c r="B118" s="26" t="s">
        <v>390</v>
      </c>
      <c r="C118" s="27"/>
      <c r="D118" s="27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25">
        <v>30201.0</v>
      </c>
      <c r="B119" s="26" t="s">
        <v>154</v>
      </c>
      <c r="C119" s="27"/>
      <c r="D119" s="27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25">
        <v>30202.0</v>
      </c>
      <c r="B120" s="26" t="s">
        <v>155</v>
      </c>
      <c r="C120" s="27"/>
      <c r="D120" s="27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25">
        <v>30203.0</v>
      </c>
      <c r="B121" s="26" t="s">
        <v>156</v>
      </c>
      <c r="C121" s="27"/>
      <c r="D121" s="27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25">
        <v>30301.0</v>
      </c>
      <c r="B122" s="26" t="s">
        <v>391</v>
      </c>
      <c r="C122" s="27"/>
      <c r="D122" s="27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25">
        <v>30302.0</v>
      </c>
      <c r="B123" s="26" t="s">
        <v>158</v>
      </c>
      <c r="C123" s="27"/>
      <c r="D123" s="27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25">
        <v>30303.0</v>
      </c>
      <c r="B124" s="26" t="s">
        <v>159</v>
      </c>
      <c r="C124" s="27"/>
      <c r="D124" s="27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25">
        <v>30401.0</v>
      </c>
      <c r="B125" s="26" t="s">
        <v>392</v>
      </c>
      <c r="C125" s="27"/>
      <c r="D125" s="27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25">
        <v>30402.0</v>
      </c>
      <c r="B126" s="26" t="s">
        <v>161</v>
      </c>
      <c r="C126" s="27"/>
      <c r="D126" s="27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25">
        <v>30403.0</v>
      </c>
      <c r="B127" s="26" t="s">
        <v>162</v>
      </c>
      <c r="C127" s="27"/>
      <c r="D127" s="27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25">
        <v>30404.0</v>
      </c>
      <c r="B128" s="26" t="s">
        <v>163</v>
      </c>
      <c r="C128" s="27"/>
      <c r="D128" s="27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25">
        <v>30501.0</v>
      </c>
      <c r="B129" s="26" t="s">
        <v>164</v>
      </c>
      <c r="C129" s="27"/>
      <c r="D129" s="27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25">
        <v>30502.0</v>
      </c>
      <c r="B130" s="26" t="s">
        <v>165</v>
      </c>
      <c r="C130" s="27"/>
      <c r="D130" s="27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25">
        <v>30601.0</v>
      </c>
      <c r="B131" s="26" t="s">
        <v>393</v>
      </c>
      <c r="C131" s="27"/>
      <c r="D131" s="27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25">
        <v>30602.0</v>
      </c>
      <c r="B132" s="26" t="s">
        <v>167</v>
      </c>
      <c r="C132" s="27"/>
      <c r="D132" s="27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25">
        <v>30701.0</v>
      </c>
      <c r="B133" s="26" t="s">
        <v>168</v>
      </c>
      <c r="C133" s="27"/>
      <c r="D133" s="27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25">
        <v>30702.0</v>
      </c>
      <c r="B134" s="26" t="s">
        <v>394</v>
      </c>
      <c r="C134" s="27"/>
      <c r="D134" s="27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25">
        <v>30703.0</v>
      </c>
      <c r="B135" s="26" t="s">
        <v>170</v>
      </c>
      <c r="C135" s="27"/>
      <c r="D135" s="27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25">
        <v>30801.0</v>
      </c>
      <c r="B136" s="26" t="s">
        <v>171</v>
      </c>
      <c r="C136" s="27"/>
      <c r="D136" s="27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25">
        <v>30802.0</v>
      </c>
      <c r="B137" s="26" t="s">
        <v>395</v>
      </c>
      <c r="C137" s="27"/>
      <c r="D137" s="27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25">
        <v>30803.0</v>
      </c>
      <c r="B138" s="26" t="s">
        <v>173</v>
      </c>
      <c r="C138" s="27"/>
      <c r="D138" s="27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25">
        <v>30901.0</v>
      </c>
      <c r="B139" s="26" t="s">
        <v>174</v>
      </c>
      <c r="C139" s="27"/>
      <c r="D139" s="27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25">
        <v>30902.0</v>
      </c>
      <c r="B140" s="26" t="s">
        <v>175</v>
      </c>
      <c r="C140" s="27"/>
      <c r="D140" s="27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25">
        <v>30903.0</v>
      </c>
      <c r="B141" s="26" t="s">
        <v>176</v>
      </c>
      <c r="C141" s="27"/>
      <c r="D141" s="27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25">
        <v>30904.0</v>
      </c>
      <c r="B142" s="26" t="s">
        <v>396</v>
      </c>
      <c r="C142" s="27"/>
      <c r="D142" s="27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25">
        <v>30905.0</v>
      </c>
      <c r="B143" s="26" t="s">
        <v>178</v>
      </c>
      <c r="C143" s="27"/>
      <c r="D143" s="27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25">
        <v>31001.0</v>
      </c>
      <c r="B144" s="26" t="s">
        <v>179</v>
      </c>
      <c r="C144" s="27"/>
      <c r="D144" s="27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25">
        <v>31002.0</v>
      </c>
      <c r="B145" s="26" t="s">
        <v>180</v>
      </c>
      <c r="C145" s="27"/>
      <c r="D145" s="27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25">
        <v>31003.0</v>
      </c>
      <c r="B146" s="26" t="s">
        <v>181</v>
      </c>
      <c r="C146" s="27"/>
      <c r="D146" s="27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25">
        <v>31101.0</v>
      </c>
      <c r="B147" s="26" t="s">
        <v>182</v>
      </c>
      <c r="C147" s="27"/>
      <c r="D147" s="27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25">
        <v>31201.0</v>
      </c>
      <c r="B148" s="26" t="s">
        <v>397</v>
      </c>
      <c r="C148" s="27"/>
      <c r="D148" s="27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25">
        <v>31202.0</v>
      </c>
      <c r="B149" s="26" t="s">
        <v>184</v>
      </c>
      <c r="C149" s="27"/>
      <c r="D149" s="27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25">
        <v>31203.0</v>
      </c>
      <c r="B150" s="26" t="s">
        <v>185</v>
      </c>
      <c r="C150" s="27"/>
      <c r="D150" s="27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25">
        <v>31204.0</v>
      </c>
      <c r="B151" s="26" t="s">
        <v>186</v>
      </c>
      <c r="C151" s="27"/>
      <c r="D151" s="27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25">
        <v>31205.0</v>
      </c>
      <c r="B152" s="26" t="s">
        <v>187</v>
      </c>
      <c r="C152" s="27"/>
      <c r="D152" s="27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25">
        <v>31206.0</v>
      </c>
      <c r="B153" s="26" t="s">
        <v>188</v>
      </c>
      <c r="C153" s="27"/>
      <c r="D153" s="27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25">
        <v>31301.0</v>
      </c>
      <c r="B154" s="26" t="s">
        <v>189</v>
      </c>
      <c r="C154" s="27"/>
      <c r="D154" s="27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25">
        <v>31302.0</v>
      </c>
      <c r="B155" s="26" t="s">
        <v>190</v>
      </c>
      <c r="C155" s="27"/>
      <c r="D155" s="27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25">
        <v>31303.0</v>
      </c>
      <c r="B156" s="26" t="s">
        <v>191</v>
      </c>
      <c r="C156" s="27"/>
      <c r="D156" s="27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28">
        <v>31304.0</v>
      </c>
      <c r="B157" s="26" t="s">
        <v>192</v>
      </c>
      <c r="C157" s="27"/>
      <c r="D157" s="27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25">
        <v>31401.0</v>
      </c>
      <c r="B158" s="26" t="s">
        <v>193</v>
      </c>
      <c r="C158" s="27"/>
      <c r="D158" s="27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25">
        <v>31402.0</v>
      </c>
      <c r="B159" s="26" t="s">
        <v>194</v>
      </c>
      <c r="C159" s="27"/>
      <c r="D159" s="27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25">
        <v>31403.0</v>
      </c>
      <c r="B160" s="26" t="s">
        <v>195</v>
      </c>
      <c r="C160" s="27"/>
      <c r="D160" s="27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25">
        <v>31404.0</v>
      </c>
      <c r="B161" s="26" t="s">
        <v>196</v>
      </c>
      <c r="C161" s="27"/>
      <c r="D161" s="27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25">
        <v>31405.0</v>
      </c>
      <c r="B162" s="26" t="s">
        <v>398</v>
      </c>
      <c r="C162" s="27"/>
      <c r="D162" s="27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25">
        <v>31501.0</v>
      </c>
      <c r="B163" s="26" t="s">
        <v>399</v>
      </c>
      <c r="C163" s="27"/>
      <c r="D163" s="27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25">
        <v>31601.0</v>
      </c>
      <c r="B164" s="26" t="s">
        <v>199</v>
      </c>
      <c r="C164" s="27"/>
      <c r="D164" s="27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25">
        <v>31602.0</v>
      </c>
      <c r="B165" s="26" t="s">
        <v>200</v>
      </c>
      <c r="C165" s="27"/>
      <c r="D165" s="27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25">
        <v>40101.0</v>
      </c>
      <c r="B166" s="26" t="s">
        <v>201</v>
      </c>
      <c r="C166" s="27"/>
      <c r="D166" s="27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25">
        <v>40102.0</v>
      </c>
      <c r="B167" s="26" t="s">
        <v>202</v>
      </c>
      <c r="C167" s="27"/>
      <c r="D167" s="27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25">
        <v>40103.0</v>
      </c>
      <c r="B168" s="26" t="s">
        <v>203</v>
      </c>
      <c r="C168" s="27"/>
      <c r="D168" s="27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25">
        <v>40104.0</v>
      </c>
      <c r="B169" s="26" t="s">
        <v>400</v>
      </c>
      <c r="C169" s="27"/>
      <c r="D169" s="27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25">
        <v>40201.0</v>
      </c>
      <c r="B170" s="26" t="s">
        <v>205</v>
      </c>
      <c r="C170" s="27"/>
      <c r="D170" s="27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25">
        <v>40202.0</v>
      </c>
      <c r="B171" s="26" t="s">
        <v>401</v>
      </c>
      <c r="C171" s="27"/>
      <c r="D171" s="27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25">
        <v>40301.0</v>
      </c>
      <c r="B172" s="26" t="s">
        <v>207</v>
      </c>
      <c r="C172" s="27"/>
      <c r="D172" s="27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25">
        <v>40302.0</v>
      </c>
      <c r="B173" s="26" t="s">
        <v>402</v>
      </c>
      <c r="C173" s="27"/>
      <c r="D173" s="27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25">
        <v>40401.0</v>
      </c>
      <c r="B174" s="26" t="s">
        <v>209</v>
      </c>
      <c r="C174" s="27"/>
      <c r="D174" s="27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25">
        <v>40402.0</v>
      </c>
      <c r="B175" s="26" t="s">
        <v>210</v>
      </c>
      <c r="C175" s="27"/>
      <c r="D175" s="27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25">
        <v>40501.0</v>
      </c>
      <c r="B176" s="26" t="s">
        <v>211</v>
      </c>
      <c r="C176" s="27"/>
      <c r="D176" s="27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25">
        <v>40502.0</v>
      </c>
      <c r="B177" s="26" t="s">
        <v>212</v>
      </c>
      <c r="C177" s="27"/>
      <c r="D177" s="27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25">
        <v>40503.0</v>
      </c>
      <c r="B178" s="26" t="s">
        <v>213</v>
      </c>
      <c r="C178" s="27"/>
      <c r="D178" s="27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25">
        <v>40504.0</v>
      </c>
      <c r="B179" s="26" t="s">
        <v>403</v>
      </c>
      <c r="C179" s="27"/>
      <c r="D179" s="27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25">
        <v>40505.0</v>
      </c>
      <c r="B180" s="26" t="s">
        <v>215</v>
      </c>
      <c r="C180" s="27"/>
      <c r="D180" s="27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25">
        <v>40601.0</v>
      </c>
      <c r="B181" s="26" t="s">
        <v>216</v>
      </c>
      <c r="C181" s="27"/>
      <c r="D181" s="27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25">
        <v>40602.0</v>
      </c>
      <c r="B182" s="26" t="s">
        <v>217</v>
      </c>
      <c r="C182" s="27"/>
      <c r="D182" s="27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25">
        <v>40603.0</v>
      </c>
      <c r="B183" s="26" t="s">
        <v>218</v>
      </c>
      <c r="C183" s="27"/>
      <c r="D183" s="27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25">
        <v>40701.0</v>
      </c>
      <c r="B184" s="26" t="s">
        <v>219</v>
      </c>
      <c r="C184" s="27"/>
      <c r="D184" s="27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25">
        <v>40702.0</v>
      </c>
      <c r="B185" s="26" t="s">
        <v>220</v>
      </c>
      <c r="C185" s="27"/>
      <c r="D185" s="27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25">
        <v>40801.0</v>
      </c>
      <c r="B186" s="26" t="s">
        <v>404</v>
      </c>
      <c r="C186" s="27"/>
      <c r="D186" s="27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25">
        <v>40802.0</v>
      </c>
      <c r="B187" s="26" t="s">
        <v>222</v>
      </c>
      <c r="C187" s="27"/>
      <c r="D187" s="27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25">
        <v>40901.0</v>
      </c>
      <c r="B188" s="26" t="s">
        <v>223</v>
      </c>
      <c r="C188" s="27"/>
      <c r="D188" s="27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25">
        <v>40902.0</v>
      </c>
      <c r="B189" s="26" t="s">
        <v>224</v>
      </c>
      <c r="C189" s="27"/>
      <c r="D189" s="27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25">
        <v>40903.0</v>
      </c>
      <c r="B190" s="26" t="s">
        <v>405</v>
      </c>
      <c r="C190" s="27"/>
      <c r="D190" s="27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25">
        <v>41001.0</v>
      </c>
      <c r="B191" s="26" t="s">
        <v>226</v>
      </c>
      <c r="C191" s="27"/>
      <c r="D191" s="27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25">
        <v>41101.0</v>
      </c>
      <c r="B192" s="26" t="s">
        <v>227</v>
      </c>
      <c r="C192" s="27"/>
      <c r="D192" s="27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25">
        <v>41201.0</v>
      </c>
      <c r="B193" s="26" t="s">
        <v>406</v>
      </c>
      <c r="C193" s="27"/>
      <c r="D193" s="27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25">
        <v>41202.0</v>
      </c>
      <c r="B194" s="26" t="s">
        <v>229</v>
      </c>
      <c r="C194" s="27"/>
      <c r="D194" s="27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25">
        <v>41301.0</v>
      </c>
      <c r="B195" s="26" t="s">
        <v>397</v>
      </c>
      <c r="C195" s="27"/>
      <c r="D195" s="27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25">
        <v>41401.0</v>
      </c>
      <c r="B196" s="26" t="s">
        <v>407</v>
      </c>
      <c r="C196" s="27"/>
      <c r="D196" s="27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25">
        <v>41501.0</v>
      </c>
      <c r="B197" s="26" t="s">
        <v>232</v>
      </c>
      <c r="C197" s="27"/>
      <c r="D197" s="27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25">
        <v>41502.0</v>
      </c>
      <c r="B198" s="26" t="s">
        <v>233</v>
      </c>
      <c r="C198" s="27"/>
      <c r="D198" s="27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25">
        <v>41503.0</v>
      </c>
      <c r="B199" s="26" t="s">
        <v>234</v>
      </c>
      <c r="C199" s="27"/>
      <c r="D199" s="27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25">
        <v>41601.0</v>
      </c>
      <c r="B200" s="26" t="s">
        <v>408</v>
      </c>
      <c r="C200" s="27"/>
      <c r="D200" s="27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25">
        <v>50101.0</v>
      </c>
      <c r="B201" s="26" t="s">
        <v>236</v>
      </c>
      <c r="C201" s="27"/>
      <c r="D201" s="27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25">
        <v>50102.0</v>
      </c>
      <c r="B202" s="26" t="s">
        <v>237</v>
      </c>
      <c r="C202" s="27"/>
      <c r="D202" s="27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25">
        <v>50103.0</v>
      </c>
      <c r="B203" s="26" t="s">
        <v>238</v>
      </c>
      <c r="C203" s="27"/>
      <c r="D203" s="27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25">
        <v>50104.0</v>
      </c>
      <c r="B204" s="26" t="s">
        <v>239</v>
      </c>
      <c r="C204" s="27"/>
      <c r="D204" s="27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25">
        <v>50201.0</v>
      </c>
      <c r="B205" s="26" t="s">
        <v>409</v>
      </c>
      <c r="C205" s="27"/>
      <c r="D205" s="27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25">
        <v>50202.0</v>
      </c>
      <c r="B206" s="26" t="s">
        <v>241</v>
      </c>
      <c r="C206" s="27"/>
      <c r="D206" s="27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25">
        <v>50203.0</v>
      </c>
      <c r="B207" s="26" t="s">
        <v>242</v>
      </c>
      <c r="C207" s="27"/>
      <c r="D207" s="27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25">
        <v>50204.0</v>
      </c>
      <c r="B208" s="26" t="s">
        <v>410</v>
      </c>
      <c r="C208" s="27"/>
      <c r="D208" s="27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25">
        <v>50301.0</v>
      </c>
      <c r="B209" s="26" t="s">
        <v>244</v>
      </c>
      <c r="C209" s="27"/>
      <c r="D209" s="27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25">
        <v>50302.0</v>
      </c>
      <c r="B210" s="26" t="s">
        <v>245</v>
      </c>
      <c r="C210" s="27"/>
      <c r="D210" s="27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25">
        <v>50303.0</v>
      </c>
      <c r="B211" s="26" t="s">
        <v>246</v>
      </c>
      <c r="C211" s="27"/>
      <c r="D211" s="27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25">
        <v>50401.0</v>
      </c>
      <c r="B212" s="26" t="s">
        <v>247</v>
      </c>
      <c r="C212" s="27"/>
      <c r="D212" s="27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25">
        <v>50402.0</v>
      </c>
      <c r="B213" s="26" t="s">
        <v>248</v>
      </c>
      <c r="C213" s="27"/>
      <c r="D213" s="27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25">
        <v>50403.0</v>
      </c>
      <c r="B214" s="26" t="s">
        <v>249</v>
      </c>
      <c r="C214" s="27"/>
      <c r="D214" s="27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25">
        <v>50404.0</v>
      </c>
      <c r="B215" s="26" t="s">
        <v>250</v>
      </c>
      <c r="C215" s="27"/>
      <c r="D215" s="27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28">
        <v>50405.0</v>
      </c>
      <c r="B216" s="26" t="s">
        <v>251</v>
      </c>
      <c r="C216" s="27"/>
      <c r="D216" s="27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25">
        <v>50501.0</v>
      </c>
      <c r="B217" s="26" t="s">
        <v>328</v>
      </c>
      <c r="C217" s="27"/>
      <c r="D217" s="27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25">
        <v>50502.0</v>
      </c>
      <c r="B218" s="26" t="s">
        <v>253</v>
      </c>
      <c r="C218" s="27"/>
      <c r="D218" s="27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25">
        <v>50601.0</v>
      </c>
      <c r="B219" s="26" t="s">
        <v>254</v>
      </c>
      <c r="C219" s="27"/>
      <c r="D219" s="27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25">
        <v>50602.0</v>
      </c>
      <c r="B220" s="26" t="s">
        <v>255</v>
      </c>
      <c r="C220" s="27"/>
      <c r="D220" s="27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25">
        <v>50701.0</v>
      </c>
      <c r="B221" s="26" t="s">
        <v>411</v>
      </c>
      <c r="C221" s="27"/>
      <c r="D221" s="27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25">
        <v>50702.0</v>
      </c>
      <c r="B222" s="26" t="s">
        <v>257</v>
      </c>
      <c r="C222" s="27"/>
      <c r="D222" s="27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25">
        <v>50801.0</v>
      </c>
      <c r="B223" s="26" t="s">
        <v>258</v>
      </c>
      <c r="C223" s="27"/>
      <c r="D223" s="27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25">
        <v>50802.0</v>
      </c>
      <c r="B224" s="26" t="s">
        <v>259</v>
      </c>
      <c r="C224" s="27"/>
      <c r="D224" s="27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25">
        <v>50901.0</v>
      </c>
      <c r="B225" s="26" t="s">
        <v>260</v>
      </c>
      <c r="C225" s="27"/>
      <c r="D225" s="27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25">
        <v>50902.0</v>
      </c>
      <c r="B226" s="26" t="s">
        <v>261</v>
      </c>
      <c r="C226" s="27"/>
      <c r="D226" s="27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25">
        <v>51001.0</v>
      </c>
      <c r="B227" s="26" t="s">
        <v>412</v>
      </c>
      <c r="C227" s="27"/>
      <c r="D227" s="27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25">
        <v>51002.0</v>
      </c>
      <c r="B228" s="26" t="s">
        <v>263</v>
      </c>
      <c r="C228" s="27"/>
      <c r="D228" s="27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25">
        <v>51003.0</v>
      </c>
      <c r="B229" s="26" t="s">
        <v>264</v>
      </c>
      <c r="C229" s="27"/>
      <c r="D229" s="27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25">
        <v>51101.0</v>
      </c>
      <c r="B230" s="26" t="s">
        <v>265</v>
      </c>
      <c r="C230" s="27"/>
      <c r="D230" s="27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25">
        <v>51102.0</v>
      </c>
      <c r="B231" s="26" t="s">
        <v>266</v>
      </c>
      <c r="C231" s="27"/>
      <c r="D231" s="27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25">
        <v>51103.0</v>
      </c>
      <c r="B232" s="26" t="s">
        <v>267</v>
      </c>
      <c r="C232" s="27"/>
      <c r="D232" s="27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25">
        <v>51201.0</v>
      </c>
      <c r="B233" s="26" t="s">
        <v>268</v>
      </c>
      <c r="C233" s="27"/>
      <c r="D233" s="27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25">
        <v>51202.0</v>
      </c>
      <c r="B234" s="26" t="s">
        <v>269</v>
      </c>
      <c r="C234" s="27"/>
      <c r="D234" s="27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25">
        <v>51203.0</v>
      </c>
      <c r="B235" s="26" t="s">
        <v>270</v>
      </c>
      <c r="C235" s="27"/>
      <c r="D235" s="27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28">
        <v>51204.0</v>
      </c>
      <c r="B236" s="26" t="s">
        <v>271</v>
      </c>
      <c r="C236" s="27"/>
      <c r="D236" s="27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25">
        <v>51301.0</v>
      </c>
      <c r="B237" s="26" t="s">
        <v>272</v>
      </c>
      <c r="C237" s="27"/>
      <c r="D237" s="27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25">
        <v>51302.0</v>
      </c>
      <c r="B238" s="26" t="s">
        <v>273</v>
      </c>
      <c r="C238" s="27"/>
      <c r="D238" s="27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25">
        <v>51401.0</v>
      </c>
      <c r="B239" s="26" t="s">
        <v>274</v>
      </c>
      <c r="C239" s="27"/>
      <c r="D239" s="27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25">
        <v>51402.0</v>
      </c>
      <c r="B240" s="26" t="s">
        <v>275</v>
      </c>
      <c r="C240" s="27"/>
      <c r="D240" s="27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25">
        <v>51501.0</v>
      </c>
      <c r="B241" s="26" t="s">
        <v>276</v>
      </c>
      <c r="C241" s="27"/>
      <c r="D241" s="27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25">
        <v>51601.0</v>
      </c>
      <c r="B242" s="26" t="s">
        <v>277</v>
      </c>
      <c r="C242" s="27"/>
      <c r="D242" s="27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25">
        <v>60101.0</v>
      </c>
      <c r="B243" s="26" t="s">
        <v>278</v>
      </c>
      <c r="C243" s="27"/>
      <c r="D243" s="27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25">
        <v>60201.0</v>
      </c>
      <c r="B244" s="26" t="s">
        <v>279</v>
      </c>
      <c r="C244" s="27"/>
      <c r="D244" s="27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25">
        <v>60202.0</v>
      </c>
      <c r="B245" s="26" t="s">
        <v>280</v>
      </c>
      <c r="C245" s="27"/>
      <c r="D245" s="27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25">
        <v>60301.0</v>
      </c>
      <c r="B246" s="26" t="s">
        <v>281</v>
      </c>
      <c r="C246" s="27"/>
      <c r="D246" s="27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25">
        <v>60302.0</v>
      </c>
      <c r="B247" s="26" t="s">
        <v>282</v>
      </c>
      <c r="C247" s="27"/>
      <c r="D247" s="27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25">
        <v>60303.0</v>
      </c>
      <c r="B248" s="26" t="s">
        <v>413</v>
      </c>
      <c r="C248" s="27"/>
      <c r="D248" s="27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25">
        <v>60401.0</v>
      </c>
      <c r="B249" s="26" t="s">
        <v>284</v>
      </c>
      <c r="C249" s="27"/>
      <c r="D249" s="27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25">
        <v>60402.0</v>
      </c>
      <c r="B250" s="26" t="s">
        <v>285</v>
      </c>
      <c r="C250" s="27"/>
      <c r="D250" s="27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25">
        <v>60501.0</v>
      </c>
      <c r="B251" s="26" t="s">
        <v>368</v>
      </c>
      <c r="C251" s="27"/>
      <c r="D251" s="27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25">
        <v>60502.0</v>
      </c>
      <c r="B252" s="26" t="s">
        <v>287</v>
      </c>
      <c r="C252" s="27"/>
      <c r="D252" s="27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25">
        <v>60601.0</v>
      </c>
      <c r="B253" s="26" t="s">
        <v>188</v>
      </c>
      <c r="C253" s="27"/>
      <c r="D253" s="27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25">
        <v>70101.0</v>
      </c>
      <c r="B254" s="26" t="s">
        <v>288</v>
      </c>
      <c r="C254" s="27"/>
      <c r="D254" s="27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25">
        <v>70102.0</v>
      </c>
      <c r="B255" s="26" t="s">
        <v>289</v>
      </c>
      <c r="C255" s="27"/>
      <c r="D255" s="27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25">
        <v>70103.0</v>
      </c>
      <c r="B256" s="26" t="s">
        <v>290</v>
      </c>
      <c r="C256" s="27"/>
      <c r="D256" s="27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25">
        <v>70104.0</v>
      </c>
      <c r="B257" s="26" t="s">
        <v>291</v>
      </c>
      <c r="C257" s="27"/>
      <c r="D257" s="27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25">
        <v>70105.0</v>
      </c>
      <c r="B258" s="26" t="s">
        <v>292</v>
      </c>
      <c r="C258" s="27"/>
      <c r="D258" s="27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25">
        <v>70201.0</v>
      </c>
      <c r="B259" s="26" t="s">
        <v>293</v>
      </c>
      <c r="C259" s="27"/>
      <c r="D259" s="27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25">
        <v>70202.0</v>
      </c>
      <c r="B260" s="26" t="s">
        <v>294</v>
      </c>
      <c r="C260" s="27"/>
      <c r="D260" s="27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25">
        <v>70301.0</v>
      </c>
      <c r="B261" s="26" t="s">
        <v>352</v>
      </c>
      <c r="C261" s="27"/>
      <c r="D261" s="27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25">
        <v>70302.0</v>
      </c>
      <c r="B262" s="26" t="s">
        <v>414</v>
      </c>
      <c r="C262" s="27"/>
      <c r="D262" s="27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25">
        <v>70303.0</v>
      </c>
      <c r="B263" s="26" t="s">
        <v>297</v>
      </c>
      <c r="C263" s="27"/>
      <c r="D263" s="27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25">
        <v>70401.0</v>
      </c>
      <c r="B264" s="26" t="s">
        <v>298</v>
      </c>
      <c r="C264" s="27"/>
      <c r="D264" s="27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25">
        <v>70402.0</v>
      </c>
      <c r="B265" s="26" t="s">
        <v>299</v>
      </c>
      <c r="C265" s="27"/>
      <c r="D265" s="27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25">
        <v>70403.0</v>
      </c>
      <c r="B266" s="26" t="s">
        <v>300</v>
      </c>
      <c r="C266" s="27"/>
      <c r="D266" s="27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25">
        <v>70404.0</v>
      </c>
      <c r="B267" s="26" t="s">
        <v>415</v>
      </c>
      <c r="C267" s="27"/>
      <c r="D267" s="27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25">
        <v>70501.0</v>
      </c>
      <c r="B268" s="26" t="s">
        <v>416</v>
      </c>
      <c r="C268" s="27"/>
      <c r="D268" s="27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25">
        <v>70502.0</v>
      </c>
      <c r="B269" s="26" t="s">
        <v>303</v>
      </c>
      <c r="C269" s="27"/>
      <c r="D269" s="27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25">
        <v>70503.0</v>
      </c>
      <c r="B270" s="26" t="s">
        <v>304</v>
      </c>
      <c r="C270" s="27"/>
      <c r="D270" s="27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25">
        <v>70601.0</v>
      </c>
      <c r="B271" s="26" t="s">
        <v>305</v>
      </c>
      <c r="C271" s="27"/>
      <c r="D271" s="27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25">
        <v>70602.0</v>
      </c>
      <c r="B272" s="26" t="s">
        <v>348</v>
      </c>
      <c r="C272" s="27"/>
      <c r="D272" s="27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25">
        <v>70603.0</v>
      </c>
      <c r="B273" s="26" t="s">
        <v>417</v>
      </c>
      <c r="C273" s="27"/>
      <c r="D273" s="27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25">
        <v>70701.0</v>
      </c>
      <c r="B274" s="26" t="s">
        <v>308</v>
      </c>
      <c r="C274" s="27"/>
      <c r="D274" s="27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25">
        <v>70702.0</v>
      </c>
      <c r="B275" s="26" t="s">
        <v>418</v>
      </c>
      <c r="C275" s="27"/>
      <c r="D275" s="27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25">
        <v>70703.0</v>
      </c>
      <c r="B276" s="26" t="s">
        <v>310</v>
      </c>
      <c r="C276" s="27"/>
      <c r="D276" s="27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25">
        <v>70704.0</v>
      </c>
      <c r="B277" s="26" t="s">
        <v>419</v>
      </c>
      <c r="C277" s="27"/>
      <c r="D277" s="27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25">
        <v>70705.0</v>
      </c>
      <c r="B278" s="26" t="s">
        <v>420</v>
      </c>
      <c r="C278" s="27"/>
      <c r="D278" s="27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25">
        <v>70706.0</v>
      </c>
      <c r="B279" s="26" t="s">
        <v>313</v>
      </c>
      <c r="C279" s="27"/>
      <c r="D279" s="27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25">
        <v>70707.0</v>
      </c>
      <c r="B280" s="26" t="s">
        <v>314</v>
      </c>
      <c r="C280" s="27"/>
      <c r="D280" s="27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25">
        <v>70801.0</v>
      </c>
      <c r="B281" s="26" t="s">
        <v>315</v>
      </c>
      <c r="C281" s="27"/>
      <c r="D281" s="27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25">
        <v>70802.0</v>
      </c>
      <c r="B282" s="26" t="s">
        <v>421</v>
      </c>
      <c r="C282" s="27"/>
      <c r="D282" s="27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25">
        <v>70803.0</v>
      </c>
      <c r="B283" s="26" t="s">
        <v>422</v>
      </c>
      <c r="C283" s="27"/>
      <c r="D283" s="27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25">
        <v>70804.0</v>
      </c>
      <c r="B284" s="26" t="s">
        <v>423</v>
      </c>
      <c r="C284" s="27"/>
      <c r="D284" s="27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25">
        <v>70805.0</v>
      </c>
      <c r="B285" s="26" t="s">
        <v>319</v>
      </c>
      <c r="C285" s="27"/>
      <c r="D285" s="27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25">
        <v>70901.0</v>
      </c>
      <c r="B286" s="26" t="s">
        <v>320</v>
      </c>
      <c r="C286" s="27"/>
      <c r="D286" s="27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25">
        <v>70902.0</v>
      </c>
      <c r="B287" s="26" t="s">
        <v>424</v>
      </c>
      <c r="C287" s="27"/>
      <c r="D287" s="27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25">
        <v>70903.0</v>
      </c>
      <c r="B288" s="26" t="s">
        <v>322</v>
      </c>
      <c r="C288" s="27"/>
      <c r="D288" s="27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25">
        <v>70904.0</v>
      </c>
      <c r="B289" s="26" t="s">
        <v>323</v>
      </c>
      <c r="C289" s="27"/>
      <c r="D289" s="27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25">
        <v>71001.0</v>
      </c>
      <c r="B290" s="26" t="s">
        <v>324</v>
      </c>
      <c r="C290" s="27"/>
      <c r="D290" s="27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25">
        <v>71002.0</v>
      </c>
      <c r="B291" s="26" t="s">
        <v>425</v>
      </c>
      <c r="C291" s="27"/>
      <c r="D291" s="27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25">
        <v>71003.0</v>
      </c>
      <c r="B292" s="26" t="s">
        <v>326</v>
      </c>
      <c r="C292" s="27"/>
      <c r="D292" s="27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25">
        <v>71004.0</v>
      </c>
      <c r="B293" s="26" t="s">
        <v>426</v>
      </c>
      <c r="C293" s="27"/>
      <c r="D293" s="27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25">
        <v>71005.0</v>
      </c>
      <c r="B294" s="26" t="s">
        <v>328</v>
      </c>
      <c r="C294" s="27"/>
      <c r="D294" s="27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25">
        <v>71101.0</v>
      </c>
      <c r="B295" s="26" t="s">
        <v>329</v>
      </c>
      <c r="C295" s="27"/>
      <c r="D295" s="27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25">
        <v>71102.0</v>
      </c>
      <c r="B296" s="26" t="s">
        <v>330</v>
      </c>
      <c r="C296" s="27"/>
      <c r="D296" s="27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25">
        <v>71103.0</v>
      </c>
      <c r="B297" s="26" t="s">
        <v>331</v>
      </c>
      <c r="C297" s="27"/>
      <c r="D297" s="27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25">
        <v>71104.0</v>
      </c>
      <c r="B298" s="26" t="s">
        <v>332</v>
      </c>
      <c r="C298" s="27"/>
      <c r="D298" s="27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25">
        <v>71105.0</v>
      </c>
      <c r="B299" s="26" t="s">
        <v>427</v>
      </c>
      <c r="C299" s="27"/>
      <c r="D299" s="27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25">
        <v>71106.0</v>
      </c>
      <c r="B300" s="26" t="s">
        <v>334</v>
      </c>
      <c r="C300" s="27"/>
      <c r="D300" s="27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25">
        <v>71201.0</v>
      </c>
      <c r="B301" s="26" t="s">
        <v>335</v>
      </c>
      <c r="C301" s="27"/>
      <c r="D301" s="27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25">
        <v>71301.0</v>
      </c>
      <c r="B302" s="26" t="s">
        <v>336</v>
      </c>
      <c r="C302" s="27"/>
      <c r="D302" s="27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25">
        <v>71302.0</v>
      </c>
      <c r="B303" s="26" t="s">
        <v>337</v>
      </c>
      <c r="C303" s="27"/>
      <c r="D303" s="27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25">
        <v>71401.0</v>
      </c>
      <c r="B304" s="26" t="s">
        <v>338</v>
      </c>
      <c r="C304" s="27"/>
      <c r="D304" s="27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25">
        <v>71402.0</v>
      </c>
      <c r="B305" s="26" t="s">
        <v>339</v>
      </c>
      <c r="C305" s="27"/>
      <c r="D305" s="27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25">
        <v>71403.0</v>
      </c>
      <c r="B306" s="26" t="s">
        <v>428</v>
      </c>
      <c r="C306" s="27"/>
      <c r="D306" s="27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25">
        <v>71501.0</v>
      </c>
      <c r="B307" s="26" t="s">
        <v>429</v>
      </c>
      <c r="C307" s="27"/>
      <c r="D307" s="27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25">
        <v>71502.0</v>
      </c>
      <c r="B308" s="26" t="s">
        <v>342</v>
      </c>
      <c r="C308" s="27"/>
      <c r="D308" s="27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25">
        <v>71503.0</v>
      </c>
      <c r="B309" s="26" t="s">
        <v>287</v>
      </c>
      <c r="C309" s="27"/>
      <c r="D309" s="27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25">
        <v>80101.0</v>
      </c>
      <c r="B310" s="26" t="s">
        <v>343</v>
      </c>
      <c r="C310" s="27"/>
      <c r="D310" s="27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25">
        <v>80102.0</v>
      </c>
      <c r="B311" s="26" t="s">
        <v>330</v>
      </c>
      <c r="C311" s="27"/>
      <c r="D311" s="27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25">
        <v>80201.0</v>
      </c>
      <c r="B312" s="26" t="s">
        <v>344</v>
      </c>
      <c r="C312" s="27"/>
      <c r="D312" s="27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25">
        <v>80202.0</v>
      </c>
      <c r="B313" s="26" t="s">
        <v>345</v>
      </c>
      <c r="C313" s="27"/>
      <c r="D313" s="27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25">
        <v>80301.0</v>
      </c>
      <c r="B314" s="26" t="s">
        <v>346</v>
      </c>
      <c r="C314" s="27"/>
      <c r="D314" s="27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25">
        <v>80302.0</v>
      </c>
      <c r="B315" s="26" t="s">
        <v>347</v>
      </c>
      <c r="C315" s="27"/>
      <c r="D315" s="27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25">
        <v>80303.0</v>
      </c>
      <c r="B316" s="26" t="s">
        <v>348</v>
      </c>
      <c r="C316" s="27"/>
      <c r="D316" s="27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25">
        <v>80304.0</v>
      </c>
      <c r="B317" s="26" t="s">
        <v>430</v>
      </c>
      <c r="C317" s="27"/>
      <c r="D317" s="27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25">
        <v>80401.0</v>
      </c>
      <c r="B318" s="26" t="s">
        <v>431</v>
      </c>
      <c r="C318" s="27"/>
      <c r="D318" s="27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25">
        <v>80402.0</v>
      </c>
      <c r="B319" s="26" t="s">
        <v>351</v>
      </c>
      <c r="C319" s="27"/>
      <c r="D319" s="27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25">
        <v>80501.0</v>
      </c>
      <c r="B320" s="26" t="s">
        <v>352</v>
      </c>
      <c r="C320" s="27"/>
      <c r="D320" s="27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25">
        <v>80601.0</v>
      </c>
      <c r="B321" s="26" t="s">
        <v>353</v>
      </c>
      <c r="C321" s="27"/>
      <c r="D321" s="27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25">
        <v>80602.0</v>
      </c>
      <c r="B322" s="26" t="s">
        <v>354</v>
      </c>
      <c r="C322" s="27"/>
      <c r="D322" s="27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25">
        <v>80701.0</v>
      </c>
      <c r="B323" s="26" t="s">
        <v>355</v>
      </c>
      <c r="C323" s="27"/>
      <c r="D323" s="27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25">
        <v>80702.0</v>
      </c>
      <c r="B324" s="26" t="s">
        <v>331</v>
      </c>
      <c r="C324" s="27"/>
      <c r="D324" s="27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25">
        <v>80703.0</v>
      </c>
      <c r="B325" s="26" t="s">
        <v>356</v>
      </c>
      <c r="C325" s="27"/>
      <c r="D325" s="27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25">
        <v>80801.0</v>
      </c>
      <c r="B326" s="26" t="s">
        <v>357</v>
      </c>
      <c r="C326" s="27"/>
      <c r="D326" s="27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25">
        <v>80802.0</v>
      </c>
      <c r="B327" s="26" t="s">
        <v>358</v>
      </c>
      <c r="C327" s="27"/>
      <c r="D327" s="27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25">
        <v>80803.0</v>
      </c>
      <c r="B328" s="26" t="s">
        <v>359</v>
      </c>
      <c r="C328" s="27"/>
      <c r="D328" s="27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28">
        <v>80901.0</v>
      </c>
      <c r="B329" s="26" t="s">
        <v>360</v>
      </c>
      <c r="C329" s="27"/>
      <c r="D329" s="27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25">
        <v>90101.0</v>
      </c>
      <c r="B330" s="26" t="s">
        <v>432</v>
      </c>
      <c r="C330" s="27"/>
      <c r="D330" s="27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25">
        <v>90102.0</v>
      </c>
      <c r="B331" s="26" t="s">
        <v>362</v>
      </c>
      <c r="C331" s="27"/>
      <c r="D331" s="27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25">
        <v>90103.0</v>
      </c>
      <c r="B332" s="26" t="s">
        <v>363</v>
      </c>
      <c r="C332" s="27"/>
      <c r="D332" s="27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25">
        <v>90104.0</v>
      </c>
      <c r="B333" s="26" t="s">
        <v>364</v>
      </c>
      <c r="C333" s="27"/>
      <c r="D333" s="27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25">
        <v>90201.0</v>
      </c>
      <c r="B334" s="26" t="s">
        <v>433</v>
      </c>
      <c r="C334" s="27"/>
      <c r="D334" s="27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25">
        <v>90202.0</v>
      </c>
      <c r="B335" s="26" t="s">
        <v>328</v>
      </c>
      <c r="C335" s="27"/>
      <c r="D335" s="27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25">
        <v>90203.0</v>
      </c>
      <c r="B336" s="26" t="s">
        <v>366</v>
      </c>
      <c r="C336" s="27"/>
      <c r="D336" s="27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25">
        <v>90301.0</v>
      </c>
      <c r="B337" s="26" t="s">
        <v>434</v>
      </c>
      <c r="C337" s="27"/>
      <c r="D337" s="27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25">
        <v>90302.0</v>
      </c>
      <c r="B338" s="26" t="s">
        <v>368</v>
      </c>
      <c r="C338" s="27"/>
      <c r="D338" s="27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25">
        <v>90303.0</v>
      </c>
      <c r="B339" s="26" t="s">
        <v>369</v>
      </c>
      <c r="C339" s="27"/>
      <c r="D339" s="27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25">
        <v>90401.0</v>
      </c>
      <c r="B340" s="26" t="s">
        <v>348</v>
      </c>
      <c r="C340" s="27"/>
      <c r="D340" s="27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25">
        <v>90402.0</v>
      </c>
      <c r="B341" s="26" t="s">
        <v>371</v>
      </c>
      <c r="C341" s="27"/>
      <c r="D341" s="27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25">
        <v>90501.0</v>
      </c>
      <c r="B342" s="26" t="s">
        <v>372</v>
      </c>
      <c r="C342" s="27"/>
      <c r="D342" s="27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25">
        <v>90502.0</v>
      </c>
      <c r="B343" s="26" t="s">
        <v>435</v>
      </c>
      <c r="C343" s="27"/>
      <c r="D343" s="27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25">
        <v>90503.0</v>
      </c>
      <c r="B344" s="26" t="s">
        <v>374</v>
      </c>
      <c r="C344" s="27"/>
      <c r="D344" s="27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7"/>
      <c r="B345" s="29"/>
      <c r="C345" s="27"/>
      <c r="D345" s="27"/>
    </row>
    <row r="346" ht="15.75" customHeight="1">
      <c r="A346" s="17"/>
      <c r="B346" s="29"/>
      <c r="C346" s="27"/>
      <c r="D346" s="27"/>
    </row>
    <row r="347" ht="15.75" customHeight="1">
      <c r="A347" s="17"/>
      <c r="B347" s="29"/>
      <c r="C347" s="27"/>
      <c r="D347" s="27"/>
    </row>
    <row r="348" ht="15.75" customHeight="1">
      <c r="A348" s="17"/>
      <c r="B348" s="29"/>
      <c r="C348" s="27"/>
      <c r="D348" s="27"/>
    </row>
    <row r="349" ht="15.75" customHeight="1">
      <c r="A349" s="17"/>
      <c r="B349" s="29"/>
      <c r="C349" s="27"/>
      <c r="D349" s="27"/>
    </row>
    <row r="350" ht="15.75" customHeight="1">
      <c r="A350" s="17"/>
      <c r="B350" s="29"/>
      <c r="C350" s="27"/>
      <c r="D350" s="27"/>
    </row>
    <row r="351" ht="15.75" customHeight="1">
      <c r="A351" s="17"/>
      <c r="B351" s="29"/>
      <c r="C351" s="27"/>
      <c r="D351" s="27"/>
    </row>
    <row r="352" ht="15.75" customHeight="1">
      <c r="A352" s="17"/>
      <c r="B352" s="29"/>
      <c r="C352" s="27"/>
      <c r="D352" s="27"/>
    </row>
    <row r="353" ht="15.75" customHeight="1">
      <c r="A353" s="17"/>
      <c r="B353" s="29"/>
      <c r="C353" s="27"/>
      <c r="D353" s="27"/>
    </row>
    <row r="354" ht="15.75" customHeight="1">
      <c r="A354" s="17"/>
      <c r="B354" s="29"/>
      <c r="C354" s="27"/>
      <c r="D354" s="27"/>
    </row>
    <row r="355" ht="15.75" customHeight="1">
      <c r="A355" s="17"/>
      <c r="B355" s="29"/>
      <c r="C355" s="27"/>
      <c r="D355" s="27"/>
    </row>
    <row r="356" ht="15.75" customHeight="1">
      <c r="A356" s="17"/>
      <c r="B356" s="29"/>
      <c r="C356" s="27"/>
      <c r="D356" s="27"/>
    </row>
    <row r="357" ht="15.75" customHeight="1">
      <c r="A357" s="17"/>
      <c r="B357" s="29"/>
      <c r="C357" s="27"/>
      <c r="D357" s="27"/>
    </row>
    <row r="358" ht="15.75" customHeight="1">
      <c r="A358" s="17"/>
      <c r="B358" s="29"/>
      <c r="C358" s="27"/>
      <c r="D358" s="27"/>
    </row>
    <row r="359" ht="15.75" customHeight="1">
      <c r="A359" s="17"/>
      <c r="B359" s="29"/>
      <c r="C359" s="27"/>
      <c r="D359" s="27"/>
    </row>
    <row r="360" ht="15.75" customHeight="1">
      <c r="A360" s="17"/>
      <c r="B360" s="29"/>
      <c r="C360" s="27"/>
      <c r="D360" s="27"/>
    </row>
    <row r="361" ht="15.75" customHeight="1">
      <c r="A361" s="17"/>
      <c r="B361" s="29"/>
      <c r="C361" s="27"/>
      <c r="D361" s="27"/>
    </row>
    <row r="362" ht="15.75" customHeight="1">
      <c r="A362" s="17"/>
      <c r="B362" s="29"/>
      <c r="C362" s="27"/>
      <c r="D362" s="27"/>
    </row>
    <row r="363" ht="15.75" customHeight="1">
      <c r="A363" s="17"/>
      <c r="B363" s="29"/>
      <c r="C363" s="27"/>
      <c r="D363" s="27"/>
    </row>
    <row r="364" ht="15.75" customHeight="1">
      <c r="A364" s="17"/>
      <c r="B364" s="29"/>
      <c r="C364" s="27"/>
      <c r="D364" s="27"/>
    </row>
    <row r="365" ht="15.75" customHeight="1">
      <c r="A365" s="17"/>
      <c r="B365" s="29"/>
      <c r="C365" s="27"/>
      <c r="D365" s="27"/>
    </row>
    <row r="366" ht="15.75" customHeight="1">
      <c r="A366" s="17"/>
      <c r="B366" s="29"/>
      <c r="C366" s="27"/>
      <c r="D366" s="27"/>
    </row>
    <row r="367" ht="15.75" customHeight="1">
      <c r="A367" s="17"/>
      <c r="B367" s="29"/>
      <c r="C367" s="27"/>
      <c r="D367" s="27"/>
    </row>
    <row r="368" ht="15.75" customHeight="1">
      <c r="A368" s="17"/>
      <c r="B368" s="29"/>
      <c r="C368" s="27"/>
      <c r="D368" s="27"/>
    </row>
    <row r="369" ht="15.75" customHeight="1">
      <c r="A369" s="17"/>
      <c r="B369" s="29"/>
      <c r="C369" s="27"/>
      <c r="D369" s="27"/>
    </row>
    <row r="370" ht="15.75" customHeight="1">
      <c r="A370" s="17"/>
      <c r="B370" s="29"/>
      <c r="C370" s="27"/>
      <c r="D370" s="27"/>
    </row>
    <row r="371" ht="15.75" customHeight="1">
      <c r="A371" s="17"/>
      <c r="B371" s="29"/>
      <c r="C371" s="27"/>
      <c r="D371" s="27"/>
    </row>
    <row r="372" ht="15.75" customHeight="1">
      <c r="A372" s="17"/>
      <c r="B372" s="29"/>
      <c r="C372" s="27"/>
      <c r="D372" s="27"/>
    </row>
    <row r="373" ht="15.75" customHeight="1">
      <c r="A373" s="17"/>
      <c r="B373" s="29"/>
      <c r="C373" s="27"/>
      <c r="D373" s="27"/>
    </row>
    <row r="374" ht="15.75" customHeight="1">
      <c r="A374" s="17"/>
      <c r="B374" s="29"/>
      <c r="C374" s="27"/>
      <c r="D374" s="27"/>
    </row>
    <row r="375" ht="15.75" customHeight="1">
      <c r="A375" s="17"/>
      <c r="B375" s="29"/>
      <c r="C375" s="27"/>
      <c r="D375" s="27"/>
    </row>
    <row r="376" ht="15.75" customHeight="1">
      <c r="A376" s="17"/>
      <c r="B376" s="29"/>
      <c r="C376" s="27"/>
      <c r="D376" s="27"/>
    </row>
    <row r="377" ht="15.75" customHeight="1">
      <c r="A377" s="17"/>
      <c r="B377" s="29"/>
      <c r="C377" s="27"/>
      <c r="D377" s="27"/>
    </row>
    <row r="378" ht="15.75" customHeight="1">
      <c r="A378" s="17"/>
      <c r="B378" s="29"/>
      <c r="C378" s="27"/>
      <c r="D378" s="27"/>
    </row>
    <row r="379" ht="15.75" customHeight="1">
      <c r="A379" s="17"/>
      <c r="B379" s="29"/>
      <c r="C379" s="27"/>
      <c r="D379" s="27"/>
    </row>
    <row r="380" ht="15.75" customHeight="1">
      <c r="A380" s="17"/>
      <c r="B380" s="29"/>
      <c r="C380" s="27"/>
      <c r="D380" s="27"/>
    </row>
    <row r="381" ht="15.75" customHeight="1">
      <c r="A381" s="17"/>
      <c r="B381" s="29"/>
      <c r="C381" s="27"/>
      <c r="D381" s="27"/>
    </row>
    <row r="382" ht="15.75" customHeight="1">
      <c r="A382" s="17"/>
      <c r="B382" s="29"/>
      <c r="C382" s="27"/>
      <c r="D382" s="27"/>
    </row>
    <row r="383" ht="15.75" customHeight="1">
      <c r="A383" s="17"/>
      <c r="B383" s="29"/>
      <c r="C383" s="27"/>
      <c r="D383" s="27"/>
    </row>
    <row r="384" ht="15.75" customHeight="1">
      <c r="A384" s="17"/>
      <c r="B384" s="29"/>
      <c r="C384" s="27"/>
      <c r="D384" s="27"/>
    </row>
    <row r="385" ht="15.75" customHeight="1">
      <c r="A385" s="17"/>
      <c r="B385" s="29"/>
      <c r="C385" s="27"/>
      <c r="D385" s="27"/>
    </row>
    <row r="386" ht="15.75" customHeight="1">
      <c r="A386" s="17"/>
      <c r="B386" s="29"/>
      <c r="C386" s="27"/>
      <c r="D386" s="27"/>
    </row>
    <row r="387" ht="15.75" customHeight="1">
      <c r="A387" s="17"/>
      <c r="B387" s="29"/>
      <c r="C387" s="27"/>
      <c r="D387" s="27"/>
    </row>
    <row r="388" ht="15.75" customHeight="1">
      <c r="A388" s="17"/>
      <c r="B388" s="29"/>
      <c r="C388" s="27"/>
      <c r="D388" s="27"/>
    </row>
    <row r="389" ht="15.75" customHeight="1">
      <c r="A389" s="17"/>
      <c r="B389" s="29"/>
      <c r="C389" s="27"/>
      <c r="D389" s="27"/>
    </row>
    <row r="390" ht="15.75" customHeight="1">
      <c r="A390" s="17"/>
      <c r="B390" s="29"/>
      <c r="C390" s="27"/>
      <c r="D390" s="27"/>
    </row>
    <row r="391" ht="15.75" customHeight="1">
      <c r="A391" s="17"/>
      <c r="B391" s="29"/>
      <c r="C391" s="27"/>
      <c r="D391" s="27"/>
    </row>
    <row r="392" ht="15.75" customHeight="1">
      <c r="A392" s="17"/>
      <c r="B392" s="29"/>
      <c r="C392" s="27"/>
      <c r="D392" s="27"/>
    </row>
    <row r="393" ht="15.75" customHeight="1">
      <c r="A393" s="17"/>
      <c r="B393" s="29"/>
      <c r="C393" s="27"/>
      <c r="D393" s="27"/>
    </row>
    <row r="394" ht="15.75" customHeight="1">
      <c r="A394" s="17"/>
      <c r="B394" s="29"/>
      <c r="C394" s="27"/>
      <c r="D394" s="27"/>
    </row>
    <row r="395" ht="15.75" customHeight="1">
      <c r="A395" s="17"/>
      <c r="B395" s="29"/>
      <c r="C395" s="27"/>
      <c r="D395" s="27"/>
    </row>
    <row r="396" ht="15.75" customHeight="1">
      <c r="A396" s="17"/>
      <c r="B396" s="29"/>
      <c r="C396" s="27"/>
      <c r="D396" s="27"/>
    </row>
    <row r="397" ht="15.75" customHeight="1">
      <c r="A397" s="17"/>
      <c r="B397" s="29"/>
      <c r="C397" s="27"/>
      <c r="D397" s="27"/>
    </row>
    <row r="398" ht="15.75" customHeight="1">
      <c r="A398" s="17"/>
      <c r="B398" s="29"/>
      <c r="C398" s="27"/>
      <c r="D398" s="27"/>
    </row>
    <row r="399" ht="15.75" customHeight="1">
      <c r="A399" s="17"/>
      <c r="B399" s="29"/>
      <c r="C399" s="27"/>
      <c r="D399" s="27"/>
    </row>
    <row r="400" ht="15.75" customHeight="1">
      <c r="A400" s="17"/>
      <c r="B400" s="29"/>
      <c r="C400" s="27"/>
      <c r="D400" s="27"/>
    </row>
    <row r="401" ht="15.75" customHeight="1">
      <c r="A401" s="17"/>
      <c r="B401" s="29"/>
      <c r="C401" s="27"/>
      <c r="D401" s="27"/>
    </row>
    <row r="402" ht="15.75" customHeight="1">
      <c r="A402" s="17"/>
      <c r="B402" s="29"/>
      <c r="C402" s="27"/>
      <c r="D402" s="27"/>
    </row>
    <row r="403" ht="15.75" customHeight="1">
      <c r="A403" s="17"/>
      <c r="B403" s="29"/>
      <c r="C403" s="27"/>
      <c r="D403" s="27"/>
    </row>
    <row r="404" ht="15.75" customHeight="1">
      <c r="A404" s="17"/>
      <c r="B404" s="29"/>
      <c r="C404" s="27"/>
      <c r="D404" s="27"/>
    </row>
    <row r="405" ht="15.75" customHeight="1">
      <c r="A405" s="17"/>
      <c r="B405" s="29"/>
      <c r="C405" s="27"/>
      <c r="D405" s="27"/>
    </row>
    <row r="406" ht="15.75" customHeight="1">
      <c r="A406" s="17"/>
      <c r="B406" s="29"/>
      <c r="C406" s="27"/>
      <c r="D406" s="27"/>
    </row>
    <row r="407" ht="15.75" customHeight="1">
      <c r="A407" s="17"/>
      <c r="B407" s="29"/>
      <c r="C407" s="27"/>
      <c r="D407" s="27"/>
    </row>
    <row r="408" ht="15.75" customHeight="1">
      <c r="A408" s="17"/>
      <c r="B408" s="29"/>
      <c r="C408" s="27"/>
      <c r="D408" s="27"/>
    </row>
    <row r="409" ht="15.75" customHeight="1">
      <c r="A409" s="17"/>
      <c r="B409" s="29"/>
      <c r="C409" s="27"/>
      <c r="D409" s="27"/>
    </row>
    <row r="410" ht="15.75" customHeight="1">
      <c r="A410" s="17"/>
      <c r="B410" s="29"/>
      <c r="C410" s="27"/>
      <c r="D410" s="27"/>
    </row>
    <row r="411" ht="15.75" customHeight="1">
      <c r="A411" s="17"/>
      <c r="B411" s="29"/>
      <c r="C411" s="27"/>
      <c r="D411" s="27"/>
    </row>
    <row r="412" ht="15.75" customHeight="1">
      <c r="A412" s="17"/>
      <c r="B412" s="29"/>
      <c r="C412" s="27"/>
      <c r="D412" s="27"/>
    </row>
    <row r="413" ht="15.75" customHeight="1">
      <c r="A413" s="17"/>
      <c r="B413" s="29"/>
      <c r="C413" s="27"/>
      <c r="D413" s="27"/>
    </row>
    <row r="414" ht="15.75" customHeight="1">
      <c r="A414" s="17"/>
      <c r="B414" s="29"/>
      <c r="C414" s="27"/>
      <c r="D414" s="27"/>
    </row>
    <row r="415" ht="15.75" customHeight="1">
      <c r="A415" s="17"/>
      <c r="B415" s="29"/>
      <c r="C415" s="27"/>
      <c r="D415" s="27"/>
    </row>
    <row r="416" ht="15.75" customHeight="1">
      <c r="A416" s="17"/>
      <c r="B416" s="29"/>
      <c r="C416" s="27"/>
      <c r="D416" s="27"/>
    </row>
    <row r="417" ht="15.75" customHeight="1">
      <c r="A417" s="17"/>
      <c r="B417" s="29"/>
      <c r="C417" s="27"/>
      <c r="D417" s="27"/>
    </row>
    <row r="418" ht="15.75" customHeight="1">
      <c r="A418" s="17"/>
      <c r="B418" s="29"/>
      <c r="C418" s="27"/>
      <c r="D418" s="27"/>
    </row>
    <row r="419" ht="15.75" customHeight="1">
      <c r="A419" s="17"/>
      <c r="B419" s="29"/>
      <c r="C419" s="27"/>
      <c r="D419" s="27"/>
    </row>
    <row r="420" ht="15.75" customHeight="1">
      <c r="A420" s="17"/>
      <c r="B420" s="29"/>
      <c r="C420" s="27"/>
      <c r="D420" s="27"/>
    </row>
    <row r="421" ht="15.75" customHeight="1">
      <c r="A421" s="17"/>
      <c r="B421" s="29"/>
      <c r="C421" s="27"/>
      <c r="D421" s="27"/>
    </row>
    <row r="422" ht="15.75" customHeight="1">
      <c r="A422" s="17"/>
      <c r="B422" s="29"/>
      <c r="C422" s="27"/>
      <c r="D422" s="27"/>
    </row>
    <row r="423" ht="15.75" customHeight="1">
      <c r="A423" s="17"/>
      <c r="B423" s="29"/>
      <c r="C423" s="27"/>
      <c r="D423" s="27"/>
    </row>
    <row r="424" ht="15.75" customHeight="1">
      <c r="A424" s="17"/>
      <c r="B424" s="29"/>
      <c r="C424" s="27"/>
      <c r="D424" s="27"/>
    </row>
    <row r="425" ht="15.75" customHeight="1">
      <c r="A425" s="17"/>
      <c r="B425" s="29"/>
      <c r="C425" s="27"/>
      <c r="D425" s="27"/>
    </row>
    <row r="426" ht="15.75" customHeight="1">
      <c r="A426" s="17"/>
      <c r="B426" s="29"/>
      <c r="C426" s="27"/>
      <c r="D426" s="27"/>
    </row>
    <row r="427" ht="15.75" customHeight="1">
      <c r="A427" s="17"/>
      <c r="B427" s="29"/>
      <c r="C427" s="27"/>
      <c r="D427" s="27"/>
    </row>
    <row r="428" ht="15.75" customHeight="1">
      <c r="A428" s="17"/>
      <c r="B428" s="29"/>
      <c r="C428" s="27"/>
      <c r="D428" s="27"/>
    </row>
    <row r="429" ht="15.75" customHeight="1">
      <c r="A429" s="17"/>
      <c r="B429" s="29"/>
      <c r="C429" s="27"/>
      <c r="D429" s="27"/>
    </row>
    <row r="430" ht="15.75" customHeight="1">
      <c r="A430" s="17"/>
      <c r="B430" s="29"/>
      <c r="C430" s="27"/>
      <c r="D430" s="27"/>
    </row>
    <row r="431" ht="15.75" customHeight="1">
      <c r="A431" s="17"/>
      <c r="B431" s="29"/>
      <c r="C431" s="27"/>
      <c r="D431" s="27"/>
    </row>
    <row r="432" ht="15.75" customHeight="1">
      <c r="A432" s="17"/>
      <c r="B432" s="29"/>
      <c r="C432" s="27"/>
      <c r="D432" s="27"/>
    </row>
    <row r="433" ht="15.75" customHeight="1">
      <c r="A433" s="17"/>
      <c r="B433" s="29"/>
      <c r="C433" s="27"/>
      <c r="D433" s="27"/>
    </row>
    <row r="434" ht="15.75" customHeight="1">
      <c r="A434" s="17"/>
      <c r="B434" s="29"/>
      <c r="C434" s="27"/>
      <c r="D434" s="27"/>
    </row>
    <row r="435" ht="15.75" customHeight="1">
      <c r="A435" s="17"/>
      <c r="B435" s="29"/>
      <c r="C435" s="27"/>
      <c r="D435" s="27"/>
    </row>
    <row r="436" ht="15.75" customHeight="1">
      <c r="A436" s="17"/>
      <c r="B436" s="29"/>
      <c r="C436" s="27"/>
      <c r="D436" s="27"/>
    </row>
    <row r="437" ht="15.75" customHeight="1">
      <c r="A437" s="17"/>
      <c r="B437" s="29"/>
      <c r="C437" s="27"/>
      <c r="D437" s="27"/>
    </row>
    <row r="438" ht="15.75" customHeight="1">
      <c r="A438" s="17"/>
      <c r="B438" s="29"/>
      <c r="C438" s="27"/>
      <c r="D438" s="27"/>
    </row>
    <row r="439" ht="15.75" customHeight="1">
      <c r="A439" s="17"/>
      <c r="B439" s="29"/>
      <c r="C439" s="27"/>
      <c r="D439" s="27"/>
    </row>
    <row r="440" ht="15.75" customHeight="1">
      <c r="A440" s="17"/>
      <c r="B440" s="29"/>
      <c r="C440" s="27"/>
      <c r="D440" s="27"/>
    </row>
    <row r="441" ht="15.75" customHeight="1">
      <c r="A441" s="17"/>
      <c r="B441" s="29"/>
      <c r="C441" s="27"/>
      <c r="D441" s="27"/>
    </row>
    <row r="442" ht="15.75" customHeight="1">
      <c r="A442" s="17"/>
      <c r="B442" s="29"/>
      <c r="C442" s="27"/>
      <c r="D442" s="27"/>
    </row>
    <row r="443" ht="15.75" customHeight="1">
      <c r="A443" s="17"/>
      <c r="B443" s="29"/>
      <c r="C443" s="27"/>
      <c r="D443" s="27"/>
    </row>
    <row r="444" ht="15.75" customHeight="1">
      <c r="A444" s="17"/>
      <c r="B444" s="29"/>
      <c r="C444" s="27"/>
      <c r="D444" s="27"/>
    </row>
    <row r="445" ht="15.75" customHeight="1">
      <c r="A445" s="17"/>
      <c r="B445" s="29"/>
      <c r="C445" s="27"/>
      <c r="D445" s="27"/>
    </row>
    <row r="446" ht="15.75" customHeight="1">
      <c r="A446" s="17"/>
      <c r="B446" s="29"/>
      <c r="C446" s="27"/>
      <c r="D446" s="27"/>
    </row>
    <row r="447" ht="15.75" customHeight="1">
      <c r="A447" s="17"/>
      <c r="B447" s="29"/>
      <c r="C447" s="27"/>
      <c r="D447" s="27"/>
    </row>
    <row r="448" ht="15.75" customHeight="1">
      <c r="A448" s="17"/>
      <c r="B448" s="29"/>
      <c r="C448" s="27"/>
      <c r="D448" s="27"/>
    </row>
    <row r="449" ht="15.75" customHeight="1">
      <c r="A449" s="17"/>
      <c r="B449" s="29"/>
      <c r="C449" s="27"/>
      <c r="D449" s="27"/>
    </row>
    <row r="450" ht="15.75" customHeight="1">
      <c r="A450" s="17"/>
      <c r="B450" s="29"/>
      <c r="C450" s="27"/>
      <c r="D450" s="27"/>
    </row>
    <row r="451" ht="15.75" customHeight="1">
      <c r="A451" s="17"/>
      <c r="B451" s="29"/>
      <c r="C451" s="27"/>
      <c r="D451" s="27"/>
    </row>
    <row r="452" ht="15.75" customHeight="1">
      <c r="A452" s="17"/>
      <c r="B452" s="29"/>
      <c r="C452" s="27"/>
      <c r="D452" s="27"/>
    </row>
    <row r="453" ht="15.75" customHeight="1">
      <c r="A453" s="17"/>
      <c r="B453" s="29"/>
      <c r="C453" s="27"/>
      <c r="D453" s="27"/>
    </row>
    <row r="454" ht="15.75" customHeight="1">
      <c r="A454" s="17"/>
      <c r="B454" s="29"/>
      <c r="C454" s="27"/>
      <c r="D454" s="27"/>
    </row>
    <row r="455" ht="15.75" customHeight="1">
      <c r="A455" s="17"/>
      <c r="B455" s="29"/>
      <c r="C455" s="27"/>
      <c r="D455" s="27"/>
    </row>
    <row r="456" ht="15.75" customHeight="1">
      <c r="A456" s="17"/>
      <c r="B456" s="29"/>
      <c r="C456" s="27"/>
      <c r="D456" s="27"/>
    </row>
    <row r="457" ht="15.75" customHeight="1">
      <c r="A457" s="17"/>
      <c r="B457" s="29"/>
      <c r="C457" s="27"/>
      <c r="D457" s="27"/>
    </row>
    <row r="458" ht="15.75" customHeight="1">
      <c r="A458" s="17"/>
      <c r="B458" s="29"/>
      <c r="C458" s="27"/>
      <c r="D458" s="27"/>
    </row>
    <row r="459" ht="15.75" customHeight="1">
      <c r="A459" s="17"/>
      <c r="B459" s="29"/>
      <c r="C459" s="27"/>
      <c r="D459" s="27"/>
    </row>
    <row r="460" ht="15.75" customHeight="1">
      <c r="A460" s="17"/>
      <c r="B460" s="29"/>
      <c r="C460" s="27"/>
      <c r="D460" s="27"/>
    </row>
    <row r="461" ht="15.75" customHeight="1">
      <c r="A461" s="17"/>
      <c r="B461" s="29"/>
      <c r="C461" s="27"/>
      <c r="D461" s="27"/>
    </row>
    <row r="462" ht="15.75" customHeight="1">
      <c r="A462" s="17"/>
      <c r="B462" s="29"/>
      <c r="C462" s="27"/>
      <c r="D462" s="27"/>
    </row>
    <row r="463" ht="15.75" customHeight="1">
      <c r="A463" s="17"/>
      <c r="B463" s="29"/>
      <c r="C463" s="27"/>
      <c r="D463" s="27"/>
    </row>
    <row r="464" ht="15.75" customHeight="1">
      <c r="A464" s="17"/>
      <c r="B464" s="29"/>
      <c r="C464" s="27"/>
      <c r="D464" s="27"/>
    </row>
    <row r="465" ht="15.75" customHeight="1">
      <c r="A465" s="17"/>
      <c r="B465" s="29"/>
      <c r="C465" s="27"/>
      <c r="D465" s="27"/>
    </row>
    <row r="466" ht="15.75" customHeight="1">
      <c r="A466" s="17"/>
      <c r="B466" s="29"/>
      <c r="C466" s="27"/>
      <c r="D466" s="27"/>
    </row>
    <row r="467" ht="15.75" customHeight="1">
      <c r="A467" s="17"/>
      <c r="B467" s="29"/>
      <c r="C467" s="27"/>
      <c r="D467" s="27"/>
    </row>
    <row r="468" ht="15.75" customHeight="1">
      <c r="A468" s="17"/>
      <c r="B468" s="29"/>
      <c r="C468" s="27"/>
      <c r="D468" s="27"/>
    </row>
    <row r="469" ht="15.75" customHeight="1">
      <c r="A469" s="17"/>
      <c r="B469" s="29"/>
      <c r="C469" s="27"/>
      <c r="D469" s="27"/>
    </row>
    <row r="470" ht="15.75" customHeight="1">
      <c r="A470" s="17"/>
      <c r="B470" s="29"/>
      <c r="C470" s="27"/>
      <c r="D470" s="27"/>
    </row>
    <row r="471" ht="15.75" customHeight="1">
      <c r="A471" s="17"/>
      <c r="B471" s="29"/>
      <c r="C471" s="27"/>
      <c r="D471" s="27"/>
    </row>
    <row r="472" ht="15.75" customHeight="1">
      <c r="A472" s="17"/>
      <c r="B472" s="29"/>
      <c r="C472" s="27"/>
      <c r="D472" s="27"/>
    </row>
    <row r="473" ht="15.75" customHeight="1">
      <c r="A473" s="17"/>
      <c r="B473" s="29"/>
      <c r="C473" s="27"/>
      <c r="D473" s="27"/>
    </row>
    <row r="474" ht="15.75" customHeight="1">
      <c r="A474" s="17"/>
      <c r="B474" s="29"/>
      <c r="C474" s="27"/>
      <c r="D474" s="27"/>
    </row>
    <row r="475" ht="15.75" customHeight="1">
      <c r="A475" s="17"/>
      <c r="B475" s="29"/>
      <c r="C475" s="27"/>
      <c r="D475" s="27"/>
    </row>
    <row r="476" ht="15.75" customHeight="1">
      <c r="A476" s="17"/>
      <c r="B476" s="29"/>
      <c r="C476" s="27"/>
      <c r="D476" s="27"/>
    </row>
    <row r="477" ht="15.75" customHeight="1">
      <c r="A477" s="17"/>
      <c r="B477" s="29"/>
      <c r="C477" s="27"/>
      <c r="D477" s="27"/>
    </row>
    <row r="478" ht="15.75" customHeight="1">
      <c r="A478" s="17"/>
      <c r="B478" s="29"/>
      <c r="C478" s="27"/>
      <c r="D478" s="27"/>
    </row>
    <row r="479" ht="15.75" customHeight="1">
      <c r="A479" s="17"/>
      <c r="B479" s="29"/>
      <c r="C479" s="27"/>
      <c r="D479" s="27"/>
    </row>
    <row r="480" ht="15.75" customHeight="1">
      <c r="A480" s="17"/>
      <c r="B480" s="29"/>
      <c r="C480" s="27"/>
      <c r="D480" s="27"/>
    </row>
    <row r="481" ht="15.75" customHeight="1">
      <c r="A481" s="17"/>
      <c r="B481" s="29"/>
      <c r="C481" s="27"/>
      <c r="D481" s="27"/>
    </row>
    <row r="482" ht="15.75" customHeight="1">
      <c r="A482" s="17"/>
      <c r="B482" s="29"/>
      <c r="C482" s="27"/>
      <c r="D482" s="27"/>
    </row>
    <row r="483" ht="15.75" customHeight="1">
      <c r="A483" s="17"/>
      <c r="B483" s="29"/>
      <c r="C483" s="27"/>
      <c r="D483" s="27"/>
    </row>
    <row r="484" ht="15.75" customHeight="1">
      <c r="A484" s="17"/>
      <c r="B484" s="29"/>
      <c r="C484" s="27"/>
      <c r="D484" s="27"/>
    </row>
    <row r="485" ht="15.75" customHeight="1">
      <c r="A485" s="17"/>
      <c r="B485" s="29"/>
      <c r="C485" s="27"/>
      <c r="D485" s="27"/>
    </row>
    <row r="486" ht="15.75" customHeight="1">
      <c r="A486" s="17"/>
      <c r="B486" s="29"/>
      <c r="C486" s="27"/>
      <c r="D486" s="27"/>
    </row>
    <row r="487" ht="15.75" customHeight="1">
      <c r="A487" s="17"/>
      <c r="B487" s="29"/>
      <c r="C487" s="27"/>
      <c r="D487" s="27"/>
    </row>
    <row r="488" ht="15.75" customHeight="1">
      <c r="A488" s="17"/>
      <c r="B488" s="29"/>
      <c r="C488" s="27"/>
      <c r="D488" s="27"/>
    </row>
    <row r="489" ht="15.75" customHeight="1">
      <c r="A489" s="17"/>
      <c r="B489" s="29"/>
      <c r="C489" s="27"/>
      <c r="D489" s="27"/>
    </row>
    <row r="490" ht="15.75" customHeight="1">
      <c r="A490" s="17"/>
      <c r="B490" s="29"/>
      <c r="C490" s="27"/>
      <c r="D490" s="27"/>
    </row>
    <row r="491" ht="15.75" customHeight="1">
      <c r="A491" s="17"/>
      <c r="B491" s="29"/>
      <c r="C491" s="27"/>
      <c r="D491" s="27"/>
    </row>
    <row r="492" ht="15.75" customHeight="1">
      <c r="A492" s="17"/>
      <c r="B492" s="29"/>
      <c r="C492" s="27"/>
      <c r="D492" s="27"/>
    </row>
    <row r="493" ht="15.75" customHeight="1">
      <c r="A493" s="17"/>
      <c r="B493" s="29"/>
      <c r="C493" s="27"/>
      <c r="D493" s="27"/>
    </row>
    <row r="494" ht="15.75" customHeight="1">
      <c r="A494" s="17"/>
      <c r="B494" s="29"/>
      <c r="C494" s="27"/>
      <c r="D494" s="27"/>
    </row>
    <row r="495" ht="15.75" customHeight="1">
      <c r="A495" s="17"/>
      <c r="B495" s="29"/>
      <c r="C495" s="27"/>
      <c r="D495" s="27"/>
    </row>
    <row r="496" ht="15.75" customHeight="1">
      <c r="A496" s="17"/>
      <c r="B496" s="29"/>
      <c r="C496" s="27"/>
      <c r="D496" s="27"/>
    </row>
    <row r="497" ht="15.75" customHeight="1">
      <c r="A497" s="17"/>
      <c r="B497" s="29"/>
      <c r="C497" s="27"/>
      <c r="D497" s="27"/>
    </row>
    <row r="498" ht="15.75" customHeight="1">
      <c r="A498" s="17"/>
      <c r="B498" s="29"/>
      <c r="C498" s="27"/>
      <c r="D498" s="27"/>
    </row>
    <row r="499" ht="15.75" customHeight="1">
      <c r="A499" s="17"/>
      <c r="B499" s="29"/>
      <c r="C499" s="27"/>
      <c r="D499" s="27"/>
    </row>
    <row r="500" ht="15.75" customHeight="1">
      <c r="A500" s="17"/>
      <c r="B500" s="29"/>
      <c r="C500" s="27"/>
      <c r="D500" s="27"/>
    </row>
    <row r="501" ht="15.75" customHeight="1">
      <c r="A501" s="17"/>
      <c r="B501" s="29"/>
      <c r="C501" s="27"/>
      <c r="D501" s="27"/>
    </row>
    <row r="502" ht="15.75" customHeight="1">
      <c r="A502" s="17"/>
      <c r="B502" s="29"/>
      <c r="C502" s="27"/>
      <c r="D502" s="27"/>
    </row>
    <row r="503" ht="15.75" customHeight="1">
      <c r="A503" s="17"/>
      <c r="B503" s="29"/>
      <c r="C503" s="27"/>
      <c r="D503" s="27"/>
    </row>
    <row r="504" ht="15.75" customHeight="1">
      <c r="A504" s="17"/>
      <c r="B504" s="29"/>
      <c r="C504" s="27"/>
      <c r="D504" s="27"/>
    </row>
    <row r="505" ht="15.75" customHeight="1">
      <c r="A505" s="17"/>
      <c r="B505" s="29"/>
      <c r="C505" s="27"/>
      <c r="D505" s="27"/>
    </row>
    <row r="506" ht="15.75" customHeight="1">
      <c r="A506" s="17"/>
      <c r="B506" s="29"/>
      <c r="C506" s="27"/>
      <c r="D506" s="27"/>
    </row>
    <row r="507" ht="15.75" customHeight="1">
      <c r="A507" s="17"/>
      <c r="B507" s="29"/>
      <c r="C507" s="27"/>
      <c r="D507" s="27"/>
    </row>
    <row r="508" ht="15.75" customHeight="1">
      <c r="A508" s="17"/>
      <c r="B508" s="29"/>
      <c r="C508" s="27"/>
      <c r="D508" s="27"/>
    </row>
    <row r="509" ht="15.75" customHeight="1">
      <c r="A509" s="17"/>
      <c r="B509" s="29"/>
      <c r="C509" s="27"/>
      <c r="D509" s="27"/>
    </row>
    <row r="510" ht="15.75" customHeight="1">
      <c r="A510" s="17"/>
      <c r="B510" s="29"/>
      <c r="C510" s="27"/>
      <c r="D510" s="27"/>
    </row>
    <row r="511" ht="15.75" customHeight="1">
      <c r="A511" s="17"/>
      <c r="B511" s="29"/>
      <c r="C511" s="27"/>
      <c r="D511" s="27"/>
    </row>
    <row r="512" ht="15.75" customHeight="1">
      <c r="A512" s="17"/>
      <c r="B512" s="29"/>
      <c r="C512" s="27"/>
      <c r="D512" s="27"/>
    </row>
    <row r="513" ht="15.75" customHeight="1">
      <c r="A513" s="17"/>
      <c r="B513" s="29"/>
      <c r="C513" s="27"/>
      <c r="D513" s="27"/>
    </row>
    <row r="514" ht="15.75" customHeight="1">
      <c r="A514" s="17"/>
      <c r="B514" s="29"/>
      <c r="C514" s="27"/>
      <c r="D514" s="27"/>
    </row>
    <row r="515" ht="15.75" customHeight="1">
      <c r="A515" s="17"/>
      <c r="B515" s="29"/>
      <c r="C515" s="27"/>
      <c r="D515" s="27"/>
    </row>
    <row r="516" ht="15.75" customHeight="1">
      <c r="A516" s="17"/>
      <c r="B516" s="29"/>
      <c r="C516" s="27"/>
      <c r="D516" s="27"/>
    </row>
    <row r="517" ht="15.75" customHeight="1">
      <c r="A517" s="17"/>
      <c r="B517" s="29"/>
      <c r="C517" s="27"/>
      <c r="D517" s="27"/>
    </row>
    <row r="518" ht="15.75" customHeight="1">
      <c r="A518" s="17"/>
      <c r="B518" s="29"/>
      <c r="C518" s="27"/>
      <c r="D518" s="27"/>
    </row>
    <row r="519" ht="15.75" customHeight="1">
      <c r="A519" s="17"/>
      <c r="B519" s="29"/>
      <c r="C519" s="27"/>
      <c r="D519" s="27"/>
    </row>
    <row r="520" ht="15.75" customHeight="1">
      <c r="A520" s="17"/>
      <c r="B520" s="29"/>
      <c r="C520" s="27"/>
      <c r="D520" s="27"/>
    </row>
    <row r="521" ht="15.75" customHeight="1">
      <c r="A521" s="17"/>
      <c r="B521" s="29"/>
      <c r="C521" s="27"/>
      <c r="D521" s="27"/>
    </row>
    <row r="522" ht="15.75" customHeight="1">
      <c r="A522" s="17"/>
      <c r="B522" s="29"/>
      <c r="C522" s="27"/>
      <c r="D522" s="27"/>
    </row>
    <row r="523" ht="15.75" customHeight="1">
      <c r="A523" s="17"/>
      <c r="B523" s="29"/>
      <c r="C523" s="27"/>
      <c r="D523" s="27"/>
    </row>
    <row r="524" ht="15.75" customHeight="1">
      <c r="A524" s="17"/>
      <c r="B524" s="29"/>
      <c r="C524" s="27"/>
      <c r="D524" s="27"/>
    </row>
    <row r="525" ht="15.75" customHeight="1">
      <c r="A525" s="17"/>
      <c r="B525" s="29"/>
      <c r="C525" s="27"/>
      <c r="D525" s="27"/>
    </row>
    <row r="526" ht="15.75" customHeight="1">
      <c r="A526" s="17"/>
      <c r="B526" s="29"/>
      <c r="C526" s="27"/>
      <c r="D526" s="27"/>
    </row>
    <row r="527" ht="15.75" customHeight="1">
      <c r="A527" s="17"/>
      <c r="B527" s="29"/>
      <c r="C527" s="27"/>
      <c r="D527" s="27"/>
    </row>
    <row r="528" ht="15.75" customHeight="1">
      <c r="A528" s="17"/>
      <c r="B528" s="29"/>
      <c r="C528" s="27"/>
      <c r="D528" s="27"/>
    </row>
    <row r="529" ht="15.75" customHeight="1">
      <c r="A529" s="17"/>
      <c r="B529" s="29"/>
      <c r="C529" s="27"/>
      <c r="D529" s="27"/>
    </row>
    <row r="530" ht="15.75" customHeight="1">
      <c r="A530" s="17"/>
      <c r="B530" s="29"/>
      <c r="C530" s="27"/>
      <c r="D530" s="27"/>
    </row>
    <row r="531" ht="15.75" customHeight="1">
      <c r="A531" s="17"/>
      <c r="B531" s="29"/>
      <c r="C531" s="27"/>
      <c r="D531" s="27"/>
    </row>
    <row r="532" ht="15.75" customHeight="1">
      <c r="A532" s="17"/>
      <c r="B532" s="29"/>
      <c r="C532" s="27"/>
      <c r="D532" s="27"/>
    </row>
    <row r="533" ht="15.75" customHeight="1">
      <c r="A533" s="17"/>
      <c r="B533" s="29"/>
      <c r="C533" s="27"/>
      <c r="D533" s="27"/>
    </row>
    <row r="534" ht="15.75" customHeight="1">
      <c r="A534" s="17"/>
      <c r="B534" s="29"/>
      <c r="C534" s="27"/>
      <c r="D534" s="27"/>
    </row>
    <row r="535" ht="15.75" customHeight="1">
      <c r="A535" s="17"/>
      <c r="B535" s="29"/>
      <c r="C535" s="27"/>
      <c r="D535" s="27"/>
    </row>
    <row r="536" ht="15.75" customHeight="1">
      <c r="A536" s="17"/>
      <c r="B536" s="29"/>
      <c r="C536" s="27"/>
      <c r="D536" s="27"/>
    </row>
    <row r="537" ht="15.75" customHeight="1">
      <c r="A537" s="17"/>
      <c r="B537" s="29"/>
      <c r="C537" s="27"/>
      <c r="D537" s="27"/>
    </row>
    <row r="538" ht="15.75" customHeight="1">
      <c r="A538" s="17"/>
      <c r="B538" s="29"/>
      <c r="C538" s="27"/>
      <c r="D538" s="27"/>
    </row>
    <row r="539" ht="15.75" customHeight="1">
      <c r="A539" s="17"/>
      <c r="B539" s="29"/>
      <c r="C539" s="27"/>
      <c r="D539" s="27"/>
    </row>
    <row r="540" ht="15.75" customHeight="1">
      <c r="A540" s="17"/>
      <c r="B540" s="29"/>
      <c r="C540" s="27"/>
      <c r="D540" s="27"/>
    </row>
    <row r="541" ht="15.75" customHeight="1">
      <c r="A541" s="17"/>
      <c r="B541" s="29"/>
      <c r="C541" s="27"/>
      <c r="D541" s="27"/>
    </row>
    <row r="542" ht="15.75" customHeight="1">
      <c r="A542" s="17"/>
      <c r="B542" s="29"/>
      <c r="C542" s="27"/>
      <c r="D542" s="27"/>
    </row>
    <row r="543" ht="15.75" customHeight="1">
      <c r="A543" s="17"/>
      <c r="B543" s="29"/>
      <c r="C543" s="27"/>
      <c r="D543" s="27"/>
    </row>
    <row r="544" ht="15.75" customHeight="1">
      <c r="A544" s="17"/>
      <c r="B544" s="29"/>
      <c r="C544" s="27"/>
      <c r="D544" s="27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0" t="s">
        <v>436</v>
      </c>
      <c r="B1" s="31" t="s">
        <v>437</v>
      </c>
      <c r="C1" s="23" t="s">
        <v>35</v>
      </c>
      <c r="D1" s="23" t="s">
        <v>36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5">
        <v>1.0</v>
      </c>
      <c r="B2" s="26" t="s">
        <v>438</v>
      </c>
      <c r="C2" s="32">
        <v>0.7483320394508757</v>
      </c>
      <c r="D2" s="32">
        <v>1.841809460692707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25">
        <v>2.0</v>
      </c>
      <c r="B3" s="26" t="s">
        <v>66</v>
      </c>
      <c r="C3" s="32">
        <v>0.784670913230114</v>
      </c>
      <c r="D3" s="32">
        <v>1.6904409297792138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25">
        <v>3.0</v>
      </c>
      <c r="B4" s="26" t="s">
        <v>390</v>
      </c>
      <c r="C4" s="32">
        <v>0.7639353538007576</v>
      </c>
      <c r="D4" s="32">
        <v>1.7182395707845617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25">
        <v>4.0</v>
      </c>
      <c r="B5" s="26" t="s">
        <v>201</v>
      </c>
      <c r="C5" s="32">
        <v>0.8823414135406213</v>
      </c>
      <c r="D5" s="32">
        <v>2.0126302198919097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25">
        <v>5.0</v>
      </c>
      <c r="B6" s="26" t="s">
        <v>236</v>
      </c>
      <c r="C6" s="32">
        <v>0.8896012334100121</v>
      </c>
      <c r="D6" s="32">
        <v>1.8826527676624794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25">
        <v>6.0</v>
      </c>
      <c r="B7" s="26" t="s">
        <v>278</v>
      </c>
      <c r="C7" s="32">
        <v>0.7849842265223017</v>
      </c>
      <c r="D7" s="32">
        <v>1.4937486862774716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25">
        <v>7.0</v>
      </c>
      <c r="B8" s="26" t="s">
        <v>439</v>
      </c>
      <c r="C8" s="32">
        <v>0.6648482045302931</v>
      </c>
      <c r="D8" s="32">
        <v>1.2470917752664477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25">
        <v>8.0</v>
      </c>
      <c r="B9" s="26" t="s">
        <v>440</v>
      </c>
      <c r="C9" s="32">
        <v>0.754167463624591</v>
      </c>
      <c r="D9" s="32">
        <v>0.9260344788055017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25">
        <v>9.0</v>
      </c>
      <c r="B10" s="26" t="s">
        <v>441</v>
      </c>
      <c r="C10" s="32">
        <v>0.7010493993442989</v>
      </c>
      <c r="D10" s="32">
        <v>1.358705951158048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33">
        <v>10.0</v>
      </c>
      <c r="B11" s="29" t="s">
        <v>442</v>
      </c>
      <c r="C11" s="34">
        <v>0.7408226653826405</v>
      </c>
      <c r="D11" s="32">
        <v>1.4091724833768076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33">
        <v>11.0</v>
      </c>
      <c r="B12" s="29" t="s">
        <v>443</v>
      </c>
      <c r="C12" s="34">
        <v>0.77486391615915</v>
      </c>
      <c r="D12" s="32">
        <v>1.7002055608202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17"/>
      <c r="B13" s="29"/>
      <c r="C13" s="27"/>
      <c r="D13" s="27"/>
    </row>
    <row r="14" ht="15.75" customHeight="1">
      <c r="A14" s="17"/>
      <c r="B14" s="29"/>
      <c r="C14" s="27"/>
      <c r="D14" s="27"/>
    </row>
    <row r="15" ht="15.75" customHeight="1">
      <c r="A15" s="17"/>
      <c r="B15" s="29"/>
      <c r="C15" s="27"/>
      <c r="D15" s="27"/>
    </row>
    <row r="16" ht="15.75" customHeight="1">
      <c r="A16" s="17"/>
      <c r="B16" s="29"/>
      <c r="C16" s="27"/>
      <c r="D16" s="27"/>
    </row>
    <row r="17" ht="15.75" customHeight="1">
      <c r="A17" s="17"/>
      <c r="B17" s="29"/>
      <c r="C17" s="27"/>
      <c r="D17" s="27"/>
    </row>
    <row r="18" ht="15.75" customHeight="1">
      <c r="A18" s="17"/>
      <c r="B18" s="29"/>
      <c r="C18" s="27"/>
      <c r="D18" s="27"/>
    </row>
    <row r="19" ht="15.75" customHeight="1">
      <c r="A19" s="17"/>
      <c r="B19" s="29"/>
      <c r="C19" s="27"/>
      <c r="D19" s="27"/>
    </row>
    <row r="20" ht="15.75" customHeight="1">
      <c r="A20" s="17"/>
      <c r="B20" s="29"/>
      <c r="C20" s="27"/>
      <c r="D20" s="27"/>
    </row>
    <row r="21" ht="15.75" customHeight="1">
      <c r="A21" s="17"/>
      <c r="B21" s="29"/>
      <c r="C21" s="27"/>
      <c r="D21" s="27"/>
    </row>
    <row r="22" ht="15.75" customHeight="1">
      <c r="A22" s="17"/>
      <c r="B22" s="29"/>
      <c r="C22" s="27"/>
      <c r="D22" s="27"/>
    </row>
    <row r="23" ht="15.75" customHeight="1">
      <c r="A23" s="17"/>
      <c r="B23" s="29"/>
      <c r="C23" s="27"/>
      <c r="D23" s="27"/>
    </row>
    <row r="24" ht="15.75" customHeight="1">
      <c r="A24" s="17"/>
      <c r="B24" s="29"/>
      <c r="C24" s="27"/>
      <c r="D24" s="27"/>
    </row>
    <row r="25" ht="15.75" customHeight="1">
      <c r="A25" s="17"/>
      <c r="B25" s="29"/>
      <c r="C25" s="27"/>
      <c r="D25" s="27"/>
    </row>
    <row r="26" ht="15.75" customHeight="1">
      <c r="A26" s="17"/>
      <c r="B26" s="29"/>
      <c r="C26" s="27"/>
      <c r="D26" s="27"/>
    </row>
    <row r="27" ht="15.75" customHeight="1">
      <c r="A27" s="17"/>
      <c r="B27" s="29"/>
      <c r="C27" s="27"/>
      <c r="D27" s="27"/>
    </row>
    <row r="28" ht="15.75" customHeight="1">
      <c r="A28" s="17"/>
      <c r="B28" s="29"/>
      <c r="C28" s="27"/>
      <c r="D28" s="27"/>
    </row>
    <row r="29" ht="15.75" customHeight="1">
      <c r="A29" s="17"/>
      <c r="B29" s="29"/>
      <c r="C29" s="27"/>
      <c r="D29" s="27"/>
    </row>
    <row r="30" ht="15.75" customHeight="1">
      <c r="A30" s="17"/>
      <c r="B30" s="29"/>
      <c r="C30" s="27"/>
      <c r="D30" s="27"/>
    </row>
    <row r="31" ht="15.75" customHeight="1">
      <c r="A31" s="17"/>
      <c r="B31" s="29"/>
      <c r="C31" s="27"/>
      <c r="D31" s="27"/>
    </row>
    <row r="32" ht="15.75" customHeight="1">
      <c r="A32" s="17"/>
      <c r="B32" s="29"/>
      <c r="C32" s="27"/>
      <c r="D32" s="27"/>
    </row>
    <row r="33" ht="15.75" customHeight="1">
      <c r="A33" s="17"/>
      <c r="B33" s="29"/>
      <c r="C33" s="27"/>
      <c r="D33" s="27"/>
    </row>
    <row r="34" ht="15.75" customHeight="1">
      <c r="A34" s="17"/>
      <c r="B34" s="29"/>
      <c r="C34" s="27"/>
      <c r="D34" s="27"/>
    </row>
    <row r="35" ht="15.75" customHeight="1">
      <c r="A35" s="17"/>
      <c r="B35" s="29"/>
      <c r="C35" s="27"/>
      <c r="D35" s="27"/>
    </row>
    <row r="36" ht="15.75" customHeight="1">
      <c r="A36" s="17"/>
      <c r="B36" s="29"/>
      <c r="C36" s="27"/>
      <c r="D36" s="27"/>
    </row>
    <row r="37" ht="15.75" customHeight="1">
      <c r="A37" s="17"/>
      <c r="B37" s="29"/>
      <c r="C37" s="27"/>
      <c r="D37" s="27"/>
    </row>
    <row r="38" ht="15.75" customHeight="1">
      <c r="A38" s="17"/>
      <c r="B38" s="29"/>
      <c r="C38" s="27"/>
      <c r="D38" s="27"/>
    </row>
    <row r="39" ht="15.75" customHeight="1">
      <c r="A39" s="17"/>
      <c r="B39" s="29"/>
      <c r="C39" s="27"/>
      <c r="D39" s="27"/>
    </row>
    <row r="40" ht="15.75" customHeight="1">
      <c r="A40" s="17"/>
      <c r="B40" s="29"/>
      <c r="C40" s="27"/>
      <c r="D40" s="27"/>
    </row>
    <row r="41" ht="15.75" customHeight="1">
      <c r="A41" s="17"/>
      <c r="B41" s="29"/>
      <c r="C41" s="27"/>
      <c r="D41" s="27"/>
    </row>
    <row r="42" ht="15.75" customHeight="1">
      <c r="A42" s="17"/>
      <c r="B42" s="29"/>
      <c r="C42" s="27"/>
      <c r="D42" s="27"/>
    </row>
    <row r="43" ht="15.75" customHeight="1">
      <c r="A43" s="17"/>
      <c r="B43" s="29"/>
      <c r="C43" s="27"/>
      <c r="D43" s="27"/>
    </row>
    <row r="44" ht="15.75" customHeight="1">
      <c r="A44" s="17"/>
      <c r="B44" s="29"/>
      <c r="C44" s="27"/>
      <c r="D44" s="27"/>
    </row>
    <row r="45" ht="15.75" customHeight="1">
      <c r="A45" s="17"/>
      <c r="B45" s="29"/>
      <c r="C45" s="27"/>
      <c r="D45" s="27"/>
    </row>
    <row r="46" ht="15.75" customHeight="1">
      <c r="A46" s="17"/>
      <c r="B46" s="29"/>
      <c r="C46" s="27"/>
      <c r="D46" s="27"/>
    </row>
    <row r="47" ht="15.75" customHeight="1">
      <c r="A47" s="17"/>
      <c r="B47" s="29"/>
      <c r="C47" s="27"/>
      <c r="D47" s="27"/>
    </row>
    <row r="48" ht="15.75" customHeight="1">
      <c r="A48" s="17"/>
      <c r="B48" s="29"/>
      <c r="C48" s="27"/>
      <c r="D48" s="27"/>
    </row>
    <row r="49" ht="15.75" customHeight="1">
      <c r="A49" s="17"/>
      <c r="B49" s="29"/>
      <c r="C49" s="27"/>
      <c r="D49" s="27"/>
    </row>
    <row r="50" ht="15.75" customHeight="1">
      <c r="A50" s="17"/>
      <c r="B50" s="29"/>
      <c r="C50" s="27"/>
      <c r="D50" s="27"/>
    </row>
    <row r="51" ht="15.75" customHeight="1">
      <c r="A51" s="17"/>
      <c r="B51" s="29"/>
      <c r="C51" s="27"/>
      <c r="D51" s="27"/>
    </row>
    <row r="52" ht="15.75" customHeight="1">
      <c r="A52" s="17"/>
      <c r="B52" s="29"/>
      <c r="C52" s="27"/>
      <c r="D52" s="27"/>
    </row>
    <row r="53" ht="15.75" customHeight="1">
      <c r="A53" s="17"/>
      <c r="B53" s="29"/>
      <c r="C53" s="27"/>
      <c r="D53" s="27"/>
    </row>
    <row r="54" ht="15.75" customHeight="1">
      <c r="A54" s="17"/>
      <c r="B54" s="29"/>
      <c r="C54" s="27"/>
      <c r="D54" s="27"/>
    </row>
    <row r="55" ht="15.75" customHeight="1">
      <c r="A55" s="17"/>
      <c r="B55" s="29"/>
      <c r="C55" s="27"/>
      <c r="D55" s="27"/>
    </row>
    <row r="56" ht="15.75" customHeight="1">
      <c r="A56" s="17"/>
      <c r="B56" s="29"/>
      <c r="C56" s="27"/>
      <c r="D56" s="27"/>
    </row>
    <row r="57" ht="15.75" customHeight="1">
      <c r="A57" s="17"/>
      <c r="B57" s="29"/>
      <c r="C57" s="27"/>
      <c r="D57" s="27"/>
    </row>
    <row r="58" ht="15.75" customHeight="1">
      <c r="A58" s="17"/>
      <c r="B58" s="29"/>
      <c r="C58" s="27"/>
      <c r="D58" s="27"/>
    </row>
    <row r="59" ht="15.75" customHeight="1">
      <c r="A59" s="17"/>
      <c r="B59" s="29"/>
      <c r="C59" s="27"/>
      <c r="D59" s="27"/>
    </row>
    <row r="60" ht="15.75" customHeight="1">
      <c r="A60" s="17"/>
      <c r="B60" s="29"/>
      <c r="C60" s="27"/>
      <c r="D60" s="27"/>
    </row>
    <row r="61" ht="15.75" customHeight="1">
      <c r="A61" s="17"/>
      <c r="B61" s="29"/>
      <c r="C61" s="27"/>
      <c r="D61" s="27"/>
    </row>
    <row r="62" ht="15.75" customHeight="1">
      <c r="A62" s="17"/>
      <c r="B62" s="29"/>
      <c r="C62" s="27"/>
      <c r="D62" s="27"/>
    </row>
    <row r="63" ht="15.75" customHeight="1">
      <c r="A63" s="17"/>
      <c r="B63" s="29"/>
      <c r="C63" s="27"/>
      <c r="D63" s="27"/>
    </row>
    <row r="64" ht="15.75" customHeight="1">
      <c r="A64" s="17"/>
      <c r="B64" s="29"/>
      <c r="C64" s="27"/>
      <c r="D64" s="27"/>
    </row>
    <row r="65" ht="15.75" customHeight="1">
      <c r="A65" s="17"/>
      <c r="B65" s="29"/>
      <c r="C65" s="27"/>
      <c r="D65" s="27"/>
    </row>
    <row r="66" ht="15.75" customHeight="1">
      <c r="A66" s="17"/>
      <c r="B66" s="29"/>
      <c r="C66" s="27"/>
      <c r="D66" s="27"/>
    </row>
    <row r="67" ht="15.75" customHeight="1">
      <c r="A67" s="17"/>
      <c r="B67" s="29"/>
      <c r="C67" s="27"/>
      <c r="D67" s="27"/>
    </row>
    <row r="68" ht="15.75" customHeight="1">
      <c r="A68" s="17"/>
      <c r="B68" s="29"/>
      <c r="C68" s="27"/>
      <c r="D68" s="27"/>
    </row>
    <row r="69" ht="15.75" customHeight="1">
      <c r="A69" s="17"/>
      <c r="B69" s="29"/>
      <c r="C69" s="27"/>
      <c r="D69" s="27"/>
    </row>
    <row r="70" ht="15.75" customHeight="1">
      <c r="A70" s="17"/>
      <c r="B70" s="29"/>
      <c r="C70" s="27"/>
      <c r="D70" s="27"/>
    </row>
    <row r="71" ht="15.75" customHeight="1">
      <c r="A71" s="17"/>
      <c r="B71" s="29"/>
      <c r="C71" s="27"/>
      <c r="D71" s="27"/>
    </row>
    <row r="72" ht="15.75" customHeight="1">
      <c r="A72" s="17"/>
      <c r="B72" s="29"/>
      <c r="C72" s="27"/>
      <c r="D72" s="27"/>
    </row>
    <row r="73" ht="15.75" customHeight="1">
      <c r="A73" s="17"/>
      <c r="B73" s="29"/>
      <c r="C73" s="27"/>
      <c r="D73" s="27"/>
    </row>
    <row r="74" ht="15.75" customHeight="1">
      <c r="A74" s="17"/>
      <c r="B74" s="29"/>
      <c r="C74" s="27"/>
      <c r="D74" s="27"/>
    </row>
    <row r="75" ht="15.75" customHeight="1">
      <c r="A75" s="17"/>
      <c r="B75" s="29"/>
      <c r="C75" s="27"/>
      <c r="D75" s="27"/>
    </row>
    <row r="76" ht="15.75" customHeight="1">
      <c r="A76" s="17"/>
      <c r="B76" s="29"/>
      <c r="C76" s="27"/>
      <c r="D76" s="27"/>
    </row>
    <row r="77" ht="15.75" customHeight="1">
      <c r="A77" s="17"/>
      <c r="B77" s="29"/>
      <c r="C77" s="27"/>
      <c r="D77" s="27"/>
    </row>
    <row r="78" ht="15.75" customHeight="1">
      <c r="A78" s="17"/>
      <c r="B78" s="29"/>
      <c r="C78" s="27"/>
      <c r="D78" s="27"/>
    </row>
    <row r="79" ht="15.75" customHeight="1">
      <c r="A79" s="17"/>
      <c r="B79" s="29"/>
      <c r="C79" s="27"/>
      <c r="D79" s="27"/>
    </row>
    <row r="80" ht="15.75" customHeight="1">
      <c r="A80" s="17"/>
      <c r="B80" s="29"/>
      <c r="C80" s="27"/>
      <c r="D80" s="27"/>
    </row>
    <row r="81" ht="15.75" customHeight="1">
      <c r="A81" s="17"/>
      <c r="B81" s="29"/>
      <c r="C81" s="27"/>
      <c r="D81" s="27"/>
    </row>
    <row r="82" ht="15.75" customHeight="1">
      <c r="A82" s="17"/>
      <c r="B82" s="29"/>
      <c r="C82" s="27"/>
      <c r="D82" s="27"/>
    </row>
    <row r="83" ht="15.75" customHeight="1">
      <c r="A83" s="17"/>
      <c r="B83" s="29"/>
      <c r="C83" s="27"/>
      <c r="D83" s="27"/>
    </row>
    <row r="84" ht="15.75" customHeight="1">
      <c r="A84" s="17"/>
      <c r="B84" s="29"/>
      <c r="C84" s="27"/>
      <c r="D84" s="27"/>
    </row>
    <row r="85" ht="15.75" customHeight="1">
      <c r="A85" s="17"/>
      <c r="B85" s="29"/>
      <c r="C85" s="27"/>
      <c r="D85" s="27"/>
    </row>
    <row r="86" ht="15.75" customHeight="1">
      <c r="A86" s="17"/>
      <c r="B86" s="29"/>
      <c r="C86" s="27"/>
      <c r="D86" s="27"/>
    </row>
    <row r="87" ht="15.75" customHeight="1">
      <c r="A87" s="17"/>
      <c r="B87" s="29"/>
      <c r="C87" s="27"/>
      <c r="D87" s="27"/>
    </row>
    <row r="88" ht="15.75" customHeight="1">
      <c r="A88" s="17"/>
      <c r="B88" s="29"/>
      <c r="C88" s="27"/>
      <c r="D88" s="27"/>
    </row>
    <row r="89" ht="15.75" customHeight="1">
      <c r="A89" s="17"/>
      <c r="B89" s="29"/>
      <c r="C89" s="27"/>
      <c r="D89" s="27"/>
    </row>
    <row r="90" ht="15.75" customHeight="1">
      <c r="A90" s="17"/>
      <c r="B90" s="29"/>
      <c r="C90" s="27"/>
      <c r="D90" s="27"/>
    </row>
    <row r="91" ht="15.75" customHeight="1">
      <c r="A91" s="17"/>
      <c r="B91" s="29"/>
      <c r="C91" s="27"/>
      <c r="D91" s="27"/>
    </row>
    <row r="92" ht="15.75" customHeight="1">
      <c r="A92" s="17"/>
      <c r="B92" s="29"/>
      <c r="C92" s="27"/>
      <c r="D92" s="27"/>
    </row>
    <row r="93" ht="15.75" customHeight="1">
      <c r="A93" s="17"/>
      <c r="B93" s="29"/>
      <c r="C93" s="27"/>
      <c r="D93" s="27"/>
    </row>
    <row r="94" ht="15.75" customHeight="1">
      <c r="A94" s="17"/>
      <c r="B94" s="29"/>
      <c r="C94" s="27"/>
      <c r="D94" s="27"/>
    </row>
    <row r="95" ht="15.75" customHeight="1">
      <c r="A95" s="17"/>
      <c r="B95" s="29"/>
      <c r="C95" s="27"/>
      <c r="D95" s="27"/>
    </row>
    <row r="96" ht="15.75" customHeight="1">
      <c r="A96" s="17"/>
      <c r="B96" s="29"/>
      <c r="C96" s="27"/>
      <c r="D96" s="27"/>
    </row>
    <row r="97" ht="15.75" customHeight="1">
      <c r="A97" s="17"/>
      <c r="B97" s="29"/>
      <c r="C97" s="27"/>
      <c r="D97" s="27"/>
    </row>
    <row r="98" ht="15.75" customHeight="1">
      <c r="A98" s="17"/>
      <c r="B98" s="29"/>
      <c r="C98" s="27"/>
      <c r="D98" s="27"/>
    </row>
    <row r="99" ht="15.75" customHeight="1">
      <c r="A99" s="17"/>
      <c r="B99" s="29"/>
      <c r="C99" s="27"/>
      <c r="D99" s="27"/>
    </row>
    <row r="100" ht="15.75" customHeight="1">
      <c r="A100" s="17"/>
      <c r="B100" s="29"/>
      <c r="C100" s="27"/>
      <c r="D100" s="27"/>
    </row>
    <row r="101" ht="15.75" customHeight="1">
      <c r="A101" s="17"/>
      <c r="B101" s="29"/>
      <c r="C101" s="27"/>
      <c r="D101" s="27"/>
    </row>
    <row r="102" ht="15.75" customHeight="1">
      <c r="A102" s="17"/>
      <c r="B102" s="29"/>
      <c r="C102" s="27"/>
      <c r="D102" s="27"/>
    </row>
    <row r="103" ht="15.75" customHeight="1">
      <c r="A103" s="17"/>
      <c r="B103" s="29"/>
      <c r="C103" s="27"/>
      <c r="D103" s="27"/>
    </row>
    <row r="104" ht="15.75" customHeight="1">
      <c r="A104" s="17"/>
      <c r="B104" s="29"/>
      <c r="C104" s="27"/>
      <c r="D104" s="27"/>
    </row>
    <row r="105" ht="15.75" customHeight="1">
      <c r="A105" s="17"/>
      <c r="B105" s="29"/>
      <c r="C105" s="27"/>
      <c r="D105" s="27"/>
    </row>
    <row r="106" ht="15.75" customHeight="1">
      <c r="A106" s="17"/>
      <c r="B106" s="29"/>
      <c r="C106" s="27"/>
      <c r="D106" s="27"/>
    </row>
    <row r="107" ht="15.75" customHeight="1">
      <c r="A107" s="17"/>
      <c r="B107" s="29"/>
      <c r="C107" s="27"/>
      <c r="D107" s="27"/>
    </row>
    <row r="108" ht="15.75" customHeight="1">
      <c r="A108" s="17"/>
      <c r="B108" s="29"/>
      <c r="C108" s="27"/>
      <c r="D108" s="27"/>
    </row>
    <row r="109" ht="15.75" customHeight="1">
      <c r="A109" s="17"/>
      <c r="B109" s="29"/>
      <c r="C109" s="27"/>
      <c r="D109" s="27"/>
    </row>
    <row r="110" ht="15.75" customHeight="1">
      <c r="A110" s="17"/>
      <c r="B110" s="29"/>
      <c r="C110" s="27"/>
      <c r="D110" s="27"/>
    </row>
    <row r="111" ht="15.75" customHeight="1">
      <c r="A111" s="17"/>
      <c r="B111" s="29"/>
      <c r="C111" s="27"/>
      <c r="D111" s="27"/>
    </row>
    <row r="112" ht="15.75" customHeight="1">
      <c r="A112" s="17"/>
      <c r="B112" s="29"/>
      <c r="C112" s="27"/>
      <c r="D112" s="27"/>
    </row>
    <row r="113" ht="15.75" customHeight="1">
      <c r="A113" s="17"/>
      <c r="B113" s="29"/>
      <c r="C113" s="27"/>
      <c r="D113" s="27"/>
    </row>
    <row r="114" ht="15.75" customHeight="1">
      <c r="A114" s="17"/>
      <c r="B114" s="29"/>
      <c r="C114" s="27"/>
      <c r="D114" s="27"/>
    </row>
    <row r="115" ht="15.75" customHeight="1">
      <c r="A115" s="17"/>
      <c r="B115" s="29"/>
      <c r="C115" s="27"/>
      <c r="D115" s="27"/>
    </row>
    <row r="116" ht="15.75" customHeight="1">
      <c r="A116" s="17"/>
      <c r="B116" s="29"/>
      <c r="C116" s="27"/>
      <c r="D116" s="27"/>
    </row>
    <row r="117" ht="15.75" customHeight="1">
      <c r="A117" s="17"/>
      <c r="B117" s="29"/>
      <c r="C117" s="27"/>
      <c r="D117" s="27"/>
    </row>
    <row r="118" ht="15.75" customHeight="1">
      <c r="A118" s="17"/>
      <c r="B118" s="29"/>
      <c r="C118" s="27"/>
      <c r="D118" s="27"/>
    </row>
    <row r="119" ht="15.75" customHeight="1">
      <c r="A119" s="17"/>
      <c r="B119" s="29"/>
      <c r="C119" s="27"/>
      <c r="D119" s="27"/>
    </row>
    <row r="120" ht="15.75" customHeight="1">
      <c r="A120" s="17"/>
      <c r="B120" s="29"/>
      <c r="C120" s="27"/>
      <c r="D120" s="27"/>
    </row>
    <row r="121" ht="15.75" customHeight="1">
      <c r="A121" s="17"/>
      <c r="B121" s="29"/>
      <c r="C121" s="27"/>
      <c r="D121" s="27"/>
    </row>
    <row r="122" ht="15.75" customHeight="1">
      <c r="A122" s="17"/>
      <c r="B122" s="29"/>
      <c r="C122" s="27"/>
      <c r="D122" s="27"/>
    </row>
    <row r="123" ht="15.75" customHeight="1">
      <c r="A123" s="17"/>
      <c r="B123" s="29"/>
      <c r="C123" s="27"/>
      <c r="D123" s="27"/>
    </row>
    <row r="124" ht="15.75" customHeight="1">
      <c r="A124" s="17"/>
      <c r="B124" s="29"/>
      <c r="C124" s="27"/>
      <c r="D124" s="27"/>
    </row>
    <row r="125" ht="15.75" customHeight="1">
      <c r="A125" s="17"/>
      <c r="B125" s="29"/>
      <c r="C125" s="27"/>
      <c r="D125" s="27"/>
    </row>
    <row r="126" ht="15.75" customHeight="1">
      <c r="A126" s="17"/>
      <c r="B126" s="29"/>
      <c r="C126" s="27"/>
      <c r="D126" s="27"/>
    </row>
    <row r="127" ht="15.75" customHeight="1">
      <c r="A127" s="17"/>
      <c r="B127" s="29"/>
      <c r="C127" s="27"/>
      <c r="D127" s="27"/>
    </row>
    <row r="128" ht="15.75" customHeight="1">
      <c r="A128" s="17"/>
      <c r="B128" s="29"/>
      <c r="C128" s="27"/>
      <c r="D128" s="27"/>
    </row>
    <row r="129" ht="15.75" customHeight="1">
      <c r="A129" s="17"/>
      <c r="B129" s="29"/>
      <c r="C129" s="27"/>
      <c r="D129" s="27"/>
    </row>
    <row r="130" ht="15.75" customHeight="1">
      <c r="A130" s="17"/>
      <c r="B130" s="29"/>
      <c r="C130" s="27"/>
      <c r="D130" s="27"/>
    </row>
    <row r="131" ht="15.75" customHeight="1">
      <c r="A131" s="17"/>
      <c r="B131" s="29"/>
      <c r="C131" s="27"/>
      <c r="D131" s="27"/>
    </row>
    <row r="132" ht="15.75" customHeight="1">
      <c r="A132" s="17"/>
      <c r="B132" s="29"/>
      <c r="C132" s="27"/>
      <c r="D132" s="27"/>
    </row>
    <row r="133" ht="15.75" customHeight="1">
      <c r="A133" s="17"/>
      <c r="B133" s="29"/>
      <c r="C133" s="27"/>
      <c r="D133" s="27"/>
    </row>
    <row r="134" ht="15.75" customHeight="1">
      <c r="A134" s="17"/>
      <c r="B134" s="29"/>
      <c r="C134" s="27"/>
      <c r="D134" s="27"/>
    </row>
    <row r="135" ht="15.75" customHeight="1">
      <c r="A135" s="17"/>
      <c r="B135" s="29"/>
      <c r="C135" s="27"/>
      <c r="D135" s="27"/>
    </row>
    <row r="136" ht="15.75" customHeight="1">
      <c r="A136" s="17"/>
      <c r="B136" s="29"/>
      <c r="C136" s="27"/>
      <c r="D136" s="27"/>
    </row>
    <row r="137" ht="15.75" customHeight="1">
      <c r="A137" s="17"/>
      <c r="B137" s="29"/>
      <c r="C137" s="27"/>
      <c r="D137" s="27"/>
    </row>
    <row r="138" ht="15.75" customHeight="1">
      <c r="A138" s="17"/>
      <c r="B138" s="29"/>
      <c r="C138" s="27"/>
      <c r="D138" s="27"/>
    </row>
    <row r="139" ht="15.75" customHeight="1">
      <c r="A139" s="17"/>
      <c r="B139" s="29"/>
      <c r="C139" s="27"/>
      <c r="D139" s="27"/>
    </row>
    <row r="140" ht="15.75" customHeight="1">
      <c r="A140" s="17"/>
      <c r="B140" s="29"/>
      <c r="C140" s="27"/>
      <c r="D140" s="27"/>
    </row>
    <row r="141" ht="15.75" customHeight="1">
      <c r="A141" s="17"/>
      <c r="B141" s="29"/>
      <c r="C141" s="27"/>
      <c r="D141" s="27"/>
    </row>
    <row r="142" ht="15.75" customHeight="1">
      <c r="A142" s="17"/>
      <c r="B142" s="29"/>
      <c r="C142" s="27"/>
      <c r="D142" s="27"/>
    </row>
    <row r="143" ht="15.75" customHeight="1">
      <c r="A143" s="17"/>
      <c r="B143" s="29"/>
      <c r="C143" s="27"/>
      <c r="D143" s="27"/>
    </row>
    <row r="144" ht="15.75" customHeight="1">
      <c r="A144" s="17"/>
      <c r="B144" s="29"/>
      <c r="C144" s="27"/>
      <c r="D144" s="27"/>
    </row>
    <row r="145" ht="15.75" customHeight="1">
      <c r="A145" s="17"/>
      <c r="B145" s="29"/>
      <c r="C145" s="27"/>
      <c r="D145" s="27"/>
    </row>
    <row r="146" ht="15.75" customHeight="1">
      <c r="A146" s="17"/>
      <c r="B146" s="29"/>
      <c r="C146" s="27"/>
      <c r="D146" s="27"/>
    </row>
    <row r="147" ht="15.75" customHeight="1">
      <c r="A147" s="17"/>
      <c r="B147" s="29"/>
      <c r="C147" s="27"/>
      <c r="D147" s="27"/>
    </row>
    <row r="148" ht="15.75" customHeight="1">
      <c r="A148" s="17"/>
      <c r="B148" s="29"/>
      <c r="C148" s="27"/>
      <c r="D148" s="27"/>
    </row>
    <row r="149" ht="15.75" customHeight="1">
      <c r="A149" s="17"/>
      <c r="B149" s="29"/>
      <c r="C149" s="27"/>
      <c r="D149" s="27"/>
    </row>
    <row r="150" ht="15.75" customHeight="1">
      <c r="A150" s="17"/>
      <c r="B150" s="29"/>
      <c r="C150" s="27"/>
      <c r="D150" s="27"/>
    </row>
    <row r="151" ht="15.75" customHeight="1">
      <c r="A151" s="17"/>
      <c r="B151" s="29"/>
      <c r="C151" s="27"/>
      <c r="D151" s="27"/>
    </row>
    <row r="152" ht="15.75" customHeight="1">
      <c r="A152" s="17"/>
      <c r="B152" s="29"/>
      <c r="C152" s="27"/>
      <c r="D152" s="27"/>
    </row>
    <row r="153" ht="15.75" customHeight="1">
      <c r="A153" s="17"/>
      <c r="B153" s="29"/>
      <c r="C153" s="27"/>
      <c r="D153" s="27"/>
    </row>
    <row r="154" ht="15.75" customHeight="1">
      <c r="A154" s="17"/>
      <c r="B154" s="29"/>
      <c r="C154" s="27"/>
      <c r="D154" s="27"/>
    </row>
    <row r="155" ht="15.75" customHeight="1">
      <c r="A155" s="17"/>
      <c r="B155" s="29"/>
      <c r="C155" s="27"/>
      <c r="D155" s="27"/>
    </row>
    <row r="156" ht="15.75" customHeight="1">
      <c r="A156" s="17"/>
      <c r="B156" s="29"/>
      <c r="C156" s="27"/>
      <c r="D156" s="27"/>
    </row>
    <row r="157" ht="15.75" customHeight="1">
      <c r="A157" s="17"/>
      <c r="B157" s="29"/>
      <c r="C157" s="27"/>
      <c r="D157" s="27"/>
    </row>
    <row r="158" ht="15.75" customHeight="1">
      <c r="A158" s="17"/>
      <c r="B158" s="29"/>
      <c r="C158" s="27"/>
      <c r="D158" s="27"/>
    </row>
    <row r="159" ht="15.75" customHeight="1">
      <c r="A159" s="17"/>
      <c r="B159" s="29"/>
      <c r="C159" s="27"/>
      <c r="D159" s="27"/>
    </row>
    <row r="160" ht="15.75" customHeight="1">
      <c r="A160" s="17"/>
      <c r="B160" s="29"/>
      <c r="C160" s="27"/>
      <c r="D160" s="27"/>
    </row>
    <row r="161" ht="15.75" customHeight="1">
      <c r="A161" s="17"/>
      <c r="B161" s="29"/>
      <c r="C161" s="27"/>
      <c r="D161" s="27"/>
    </row>
    <row r="162" ht="15.75" customHeight="1">
      <c r="A162" s="17"/>
      <c r="B162" s="29"/>
      <c r="C162" s="27"/>
      <c r="D162" s="27"/>
    </row>
    <row r="163" ht="15.75" customHeight="1">
      <c r="A163" s="17"/>
      <c r="B163" s="29"/>
      <c r="C163" s="27"/>
      <c r="D163" s="27"/>
    </row>
    <row r="164" ht="15.75" customHeight="1">
      <c r="A164" s="17"/>
      <c r="B164" s="29"/>
      <c r="C164" s="27"/>
      <c r="D164" s="27"/>
    </row>
    <row r="165" ht="15.75" customHeight="1">
      <c r="A165" s="17"/>
      <c r="B165" s="29"/>
      <c r="C165" s="27"/>
      <c r="D165" s="27"/>
    </row>
    <row r="166" ht="15.75" customHeight="1">
      <c r="A166" s="17"/>
      <c r="B166" s="29"/>
      <c r="C166" s="27"/>
      <c r="D166" s="27"/>
    </row>
    <row r="167" ht="15.75" customHeight="1">
      <c r="A167" s="17"/>
      <c r="B167" s="29"/>
      <c r="C167" s="27"/>
      <c r="D167" s="27"/>
    </row>
    <row r="168" ht="15.75" customHeight="1">
      <c r="A168" s="17"/>
      <c r="B168" s="29"/>
      <c r="C168" s="27"/>
      <c r="D168" s="27"/>
    </row>
    <row r="169" ht="15.75" customHeight="1">
      <c r="A169" s="17"/>
      <c r="B169" s="29"/>
      <c r="C169" s="27"/>
      <c r="D169" s="27"/>
    </row>
    <row r="170" ht="15.75" customHeight="1">
      <c r="A170" s="17"/>
      <c r="B170" s="29"/>
      <c r="C170" s="27"/>
      <c r="D170" s="27"/>
    </row>
    <row r="171" ht="15.75" customHeight="1">
      <c r="A171" s="17"/>
      <c r="B171" s="29"/>
      <c r="C171" s="27"/>
      <c r="D171" s="27"/>
    </row>
    <row r="172" ht="15.75" customHeight="1">
      <c r="A172" s="17"/>
      <c r="B172" s="29"/>
      <c r="C172" s="27"/>
      <c r="D172" s="27"/>
    </row>
    <row r="173" ht="15.75" customHeight="1">
      <c r="A173" s="17"/>
      <c r="B173" s="29"/>
      <c r="C173" s="27"/>
      <c r="D173" s="27"/>
    </row>
    <row r="174" ht="15.75" customHeight="1">
      <c r="A174" s="17"/>
      <c r="B174" s="29"/>
      <c r="C174" s="27"/>
      <c r="D174" s="27"/>
    </row>
    <row r="175" ht="15.75" customHeight="1">
      <c r="A175" s="17"/>
      <c r="B175" s="29"/>
      <c r="C175" s="27"/>
      <c r="D175" s="27"/>
    </row>
    <row r="176" ht="15.75" customHeight="1">
      <c r="A176" s="17"/>
      <c r="B176" s="29"/>
      <c r="C176" s="27"/>
      <c r="D176" s="27"/>
    </row>
    <row r="177" ht="15.75" customHeight="1">
      <c r="A177" s="17"/>
      <c r="B177" s="29"/>
      <c r="C177" s="27"/>
      <c r="D177" s="27"/>
    </row>
    <row r="178" ht="15.75" customHeight="1">
      <c r="A178" s="17"/>
      <c r="B178" s="29"/>
      <c r="C178" s="27"/>
      <c r="D178" s="27"/>
    </row>
    <row r="179" ht="15.75" customHeight="1">
      <c r="A179" s="17"/>
      <c r="B179" s="29"/>
      <c r="C179" s="27"/>
      <c r="D179" s="27"/>
    </row>
    <row r="180" ht="15.75" customHeight="1">
      <c r="A180" s="17"/>
      <c r="B180" s="29"/>
      <c r="C180" s="27"/>
      <c r="D180" s="27"/>
    </row>
    <row r="181" ht="15.75" customHeight="1">
      <c r="A181" s="17"/>
      <c r="B181" s="29"/>
      <c r="C181" s="27"/>
      <c r="D181" s="27"/>
    </row>
    <row r="182" ht="15.75" customHeight="1">
      <c r="A182" s="17"/>
      <c r="B182" s="29"/>
      <c r="C182" s="27"/>
      <c r="D182" s="27"/>
    </row>
    <row r="183" ht="15.75" customHeight="1">
      <c r="A183" s="17"/>
      <c r="B183" s="29"/>
      <c r="C183" s="27"/>
      <c r="D183" s="27"/>
    </row>
    <row r="184" ht="15.75" customHeight="1">
      <c r="A184" s="17"/>
      <c r="B184" s="29"/>
      <c r="C184" s="27"/>
      <c r="D184" s="27"/>
    </row>
    <row r="185" ht="15.75" customHeight="1">
      <c r="A185" s="17"/>
      <c r="B185" s="29"/>
      <c r="C185" s="27"/>
      <c r="D185" s="27"/>
    </row>
    <row r="186" ht="15.75" customHeight="1">
      <c r="A186" s="17"/>
      <c r="B186" s="29"/>
      <c r="C186" s="27"/>
      <c r="D186" s="27"/>
    </row>
    <row r="187" ht="15.75" customHeight="1">
      <c r="A187" s="17"/>
      <c r="B187" s="29"/>
      <c r="C187" s="27"/>
      <c r="D187" s="27"/>
    </row>
    <row r="188" ht="15.75" customHeight="1">
      <c r="A188" s="17"/>
      <c r="B188" s="29"/>
      <c r="C188" s="27"/>
      <c r="D188" s="27"/>
    </row>
    <row r="189" ht="15.75" customHeight="1">
      <c r="A189" s="17"/>
      <c r="B189" s="29"/>
      <c r="C189" s="27"/>
      <c r="D189" s="27"/>
    </row>
    <row r="190" ht="15.75" customHeight="1">
      <c r="A190" s="17"/>
      <c r="B190" s="29"/>
      <c r="C190" s="27"/>
      <c r="D190" s="27"/>
    </row>
    <row r="191" ht="15.75" customHeight="1">
      <c r="A191" s="17"/>
      <c r="B191" s="29"/>
      <c r="C191" s="27"/>
      <c r="D191" s="27"/>
    </row>
    <row r="192" ht="15.75" customHeight="1">
      <c r="A192" s="17"/>
      <c r="B192" s="29"/>
      <c r="C192" s="27"/>
      <c r="D192" s="27"/>
    </row>
    <row r="193" ht="15.75" customHeight="1">
      <c r="A193" s="17"/>
      <c r="B193" s="29"/>
      <c r="C193" s="27"/>
      <c r="D193" s="27"/>
    </row>
    <row r="194" ht="15.75" customHeight="1">
      <c r="A194" s="17"/>
      <c r="B194" s="29"/>
      <c r="C194" s="27"/>
      <c r="D194" s="27"/>
    </row>
    <row r="195" ht="15.75" customHeight="1">
      <c r="A195" s="17"/>
      <c r="B195" s="29"/>
      <c r="C195" s="27"/>
      <c r="D195" s="27"/>
    </row>
    <row r="196" ht="15.75" customHeight="1">
      <c r="A196" s="17"/>
      <c r="B196" s="29"/>
      <c r="C196" s="27"/>
      <c r="D196" s="27"/>
    </row>
    <row r="197" ht="15.75" customHeight="1">
      <c r="A197" s="17"/>
      <c r="B197" s="29"/>
      <c r="C197" s="27"/>
      <c r="D197" s="27"/>
    </row>
    <row r="198" ht="15.75" customHeight="1">
      <c r="A198" s="17"/>
      <c r="B198" s="29"/>
      <c r="C198" s="27"/>
      <c r="D198" s="27"/>
    </row>
    <row r="199" ht="15.75" customHeight="1">
      <c r="A199" s="17"/>
      <c r="B199" s="29"/>
      <c r="C199" s="27"/>
      <c r="D199" s="27"/>
    </row>
    <row r="200" ht="15.75" customHeight="1">
      <c r="A200" s="17"/>
      <c r="B200" s="29"/>
      <c r="C200" s="27"/>
      <c r="D200" s="27"/>
    </row>
    <row r="201" ht="15.75" customHeight="1">
      <c r="A201" s="17"/>
      <c r="B201" s="29"/>
      <c r="C201" s="27"/>
      <c r="D201" s="27"/>
    </row>
    <row r="202" ht="15.75" customHeight="1">
      <c r="A202" s="17"/>
      <c r="B202" s="29"/>
      <c r="C202" s="27"/>
      <c r="D202" s="27"/>
    </row>
    <row r="203" ht="15.75" customHeight="1">
      <c r="A203" s="17"/>
      <c r="B203" s="29"/>
      <c r="C203" s="27"/>
      <c r="D203" s="27"/>
    </row>
    <row r="204" ht="15.75" customHeight="1">
      <c r="A204" s="17"/>
      <c r="B204" s="29"/>
      <c r="C204" s="27"/>
      <c r="D204" s="27"/>
    </row>
    <row r="205" ht="15.75" customHeight="1">
      <c r="A205" s="17"/>
      <c r="B205" s="29"/>
      <c r="C205" s="27"/>
      <c r="D205" s="27"/>
    </row>
    <row r="206" ht="15.75" customHeight="1">
      <c r="A206" s="17"/>
      <c r="B206" s="29"/>
      <c r="C206" s="27"/>
      <c r="D206" s="27"/>
    </row>
    <row r="207" ht="15.75" customHeight="1">
      <c r="A207" s="17"/>
      <c r="B207" s="29"/>
      <c r="C207" s="27"/>
      <c r="D207" s="27"/>
    </row>
    <row r="208" ht="15.75" customHeight="1">
      <c r="A208" s="17"/>
      <c r="B208" s="29"/>
      <c r="C208" s="27"/>
      <c r="D208" s="27"/>
    </row>
    <row r="209" ht="15.75" customHeight="1">
      <c r="A209" s="17"/>
      <c r="B209" s="29"/>
      <c r="C209" s="27"/>
      <c r="D209" s="27"/>
    </row>
    <row r="210" ht="15.75" customHeight="1">
      <c r="A210" s="17"/>
      <c r="B210" s="29"/>
      <c r="C210" s="27"/>
      <c r="D210" s="27"/>
    </row>
    <row r="211" ht="15.75" customHeight="1">
      <c r="A211" s="17"/>
      <c r="B211" s="29"/>
      <c r="C211" s="27"/>
      <c r="D211" s="27"/>
    </row>
    <row r="212" ht="15.75" customHeight="1">
      <c r="A212" s="17"/>
      <c r="B212" s="29"/>
      <c r="C212" s="27"/>
      <c r="D212" s="27"/>
    </row>
    <row r="213" ht="15.75" customHeight="1">
      <c r="A213" s="17"/>
      <c r="B213" s="29"/>
      <c r="C213" s="27"/>
      <c r="D213" s="27"/>
    </row>
    <row r="214" ht="15.75" customHeight="1">
      <c r="A214" s="17"/>
      <c r="B214" s="29"/>
      <c r="C214" s="27"/>
      <c r="D214" s="27"/>
    </row>
    <row r="215" ht="15.75" customHeight="1">
      <c r="A215" s="17"/>
      <c r="B215" s="29"/>
      <c r="C215" s="27"/>
      <c r="D215" s="27"/>
    </row>
    <row r="216" ht="15.75" customHeight="1">
      <c r="A216" s="17"/>
      <c r="B216" s="29"/>
      <c r="C216" s="27"/>
      <c r="D216" s="27"/>
    </row>
    <row r="217" ht="15.75" customHeight="1">
      <c r="A217" s="17"/>
      <c r="B217" s="29"/>
      <c r="C217" s="27"/>
      <c r="D217" s="27"/>
    </row>
    <row r="218" ht="15.75" customHeight="1">
      <c r="A218" s="17"/>
      <c r="B218" s="29"/>
      <c r="C218" s="27"/>
      <c r="D218" s="27"/>
    </row>
    <row r="219" ht="15.75" customHeight="1">
      <c r="A219" s="17"/>
      <c r="B219" s="29"/>
      <c r="C219" s="27"/>
      <c r="D219" s="27"/>
    </row>
    <row r="220" ht="15.75" customHeight="1">
      <c r="A220" s="17"/>
      <c r="B220" s="29"/>
      <c r="C220" s="27"/>
      <c r="D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31</v>
      </c>
      <c r="B1" s="22" t="s">
        <v>437</v>
      </c>
      <c r="C1" s="23" t="s">
        <v>35</v>
      </c>
      <c r="D1" s="23" t="s">
        <v>36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36">
        <v>1.0</v>
      </c>
      <c r="B2" s="26" t="s">
        <v>438</v>
      </c>
      <c r="C2" s="27"/>
      <c r="D2" s="27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36">
        <v>2.0</v>
      </c>
      <c r="B3" s="26" t="s">
        <v>66</v>
      </c>
      <c r="C3" s="27"/>
      <c r="D3" s="27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36">
        <v>3.0</v>
      </c>
      <c r="B4" s="26" t="s">
        <v>390</v>
      </c>
      <c r="C4" s="27"/>
      <c r="D4" s="27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36">
        <v>4.0</v>
      </c>
      <c r="B5" s="26" t="s">
        <v>201</v>
      </c>
      <c r="C5" s="27"/>
      <c r="D5" s="27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36">
        <v>5.0</v>
      </c>
      <c r="B6" s="26" t="s">
        <v>236</v>
      </c>
      <c r="C6" s="27"/>
      <c r="D6" s="27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36">
        <v>6.0</v>
      </c>
      <c r="B7" s="26" t="s">
        <v>278</v>
      </c>
      <c r="C7" s="27"/>
      <c r="D7" s="27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36">
        <v>7.0</v>
      </c>
      <c r="B8" s="26" t="s">
        <v>439</v>
      </c>
      <c r="C8" s="27"/>
      <c r="D8" s="27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36">
        <v>8.0</v>
      </c>
      <c r="B9" s="26" t="s">
        <v>440</v>
      </c>
      <c r="C9" s="27"/>
      <c r="D9" s="27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36">
        <v>9.0</v>
      </c>
      <c r="B10" s="26" t="s">
        <v>441</v>
      </c>
      <c r="C10" s="27"/>
      <c r="D10" s="2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37">
        <v>10.0</v>
      </c>
      <c r="B11" s="29" t="s">
        <v>442</v>
      </c>
      <c r="C11" s="27"/>
      <c r="D11" s="2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37">
        <v>11.0</v>
      </c>
      <c r="B12" s="29" t="s">
        <v>443</v>
      </c>
      <c r="C12" s="27"/>
      <c r="D12" s="27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38"/>
      <c r="B13" s="29"/>
      <c r="C13" s="27"/>
      <c r="D13" s="27"/>
    </row>
    <row r="14" ht="15.75" customHeight="1">
      <c r="A14" s="38"/>
      <c r="B14" s="29"/>
      <c r="C14" s="27"/>
      <c r="D14" s="27"/>
    </row>
    <row r="15" ht="15.75" customHeight="1">
      <c r="A15" s="38"/>
      <c r="B15" s="29"/>
      <c r="C15" s="27"/>
      <c r="D15" s="27"/>
    </row>
    <row r="16" ht="15.75" customHeight="1">
      <c r="A16" s="38"/>
      <c r="B16" s="29"/>
      <c r="C16" s="27"/>
      <c r="D16" s="27"/>
    </row>
    <row r="17" ht="15.75" customHeight="1">
      <c r="A17" s="38"/>
      <c r="B17" s="29"/>
      <c r="C17" s="27"/>
      <c r="D17" s="27"/>
    </row>
    <row r="18" ht="15.75" customHeight="1">
      <c r="A18" s="38"/>
      <c r="B18" s="29"/>
      <c r="C18" s="27"/>
      <c r="D18" s="27"/>
    </row>
    <row r="19" ht="15.75" customHeight="1">
      <c r="A19" s="38"/>
      <c r="B19" s="29"/>
      <c r="C19" s="27"/>
      <c r="D19" s="27"/>
    </row>
    <row r="20" ht="15.75" customHeight="1">
      <c r="A20" s="38"/>
      <c r="B20" s="29"/>
      <c r="C20" s="27"/>
      <c r="D20" s="27"/>
    </row>
    <row r="21" ht="15.75" customHeight="1">
      <c r="A21" s="38"/>
      <c r="B21" s="29"/>
      <c r="C21" s="27"/>
      <c r="D21" s="27"/>
    </row>
    <row r="22" ht="15.75" customHeight="1">
      <c r="A22" s="38"/>
      <c r="B22" s="29"/>
      <c r="C22" s="27"/>
      <c r="D22" s="27"/>
    </row>
    <row r="23" ht="15.75" customHeight="1">
      <c r="A23" s="38"/>
      <c r="B23" s="29"/>
      <c r="C23" s="27"/>
      <c r="D23" s="27"/>
    </row>
    <row r="24" ht="15.75" customHeight="1">
      <c r="A24" s="38"/>
      <c r="B24" s="29"/>
      <c r="C24" s="27"/>
      <c r="D24" s="27"/>
    </row>
    <row r="25" ht="15.75" customHeight="1">
      <c r="A25" s="38"/>
      <c r="B25" s="29"/>
      <c r="C25" s="27"/>
      <c r="D25" s="27"/>
    </row>
    <row r="26" ht="15.75" customHeight="1">
      <c r="A26" s="38"/>
      <c r="B26" s="29"/>
      <c r="C26" s="27"/>
      <c r="D26" s="27"/>
    </row>
    <row r="27" ht="15.75" customHeight="1">
      <c r="A27" s="38"/>
      <c r="B27" s="29"/>
      <c r="C27" s="27"/>
      <c r="D27" s="27"/>
    </row>
    <row r="28" ht="15.75" customHeight="1">
      <c r="A28" s="38"/>
      <c r="B28" s="29"/>
      <c r="C28" s="27"/>
      <c r="D28" s="27"/>
    </row>
    <row r="29" ht="15.75" customHeight="1">
      <c r="A29" s="38"/>
      <c r="B29" s="29"/>
      <c r="C29" s="27"/>
      <c r="D29" s="27"/>
    </row>
    <row r="30" ht="15.75" customHeight="1">
      <c r="A30" s="38"/>
      <c r="B30" s="29"/>
      <c r="C30" s="27"/>
      <c r="D30" s="27"/>
    </row>
    <row r="31" ht="15.75" customHeight="1">
      <c r="A31" s="38"/>
      <c r="B31" s="29"/>
      <c r="C31" s="27"/>
      <c r="D31" s="27"/>
    </row>
    <row r="32" ht="15.75" customHeight="1">
      <c r="A32" s="38"/>
      <c r="B32" s="29"/>
      <c r="C32" s="27"/>
      <c r="D32" s="27"/>
    </row>
    <row r="33" ht="15.75" customHeight="1">
      <c r="A33" s="38"/>
      <c r="B33" s="29"/>
      <c r="C33" s="27"/>
      <c r="D33" s="27"/>
    </row>
    <row r="34" ht="15.75" customHeight="1">
      <c r="A34" s="38"/>
      <c r="B34" s="29"/>
      <c r="C34" s="27"/>
      <c r="D34" s="27"/>
    </row>
    <row r="35" ht="15.75" customHeight="1">
      <c r="A35" s="38"/>
      <c r="B35" s="29"/>
      <c r="C35" s="27"/>
      <c r="D35" s="27"/>
    </row>
    <row r="36" ht="15.75" customHeight="1">
      <c r="A36" s="38"/>
      <c r="B36" s="29"/>
      <c r="C36" s="27"/>
      <c r="D36" s="27"/>
    </row>
    <row r="37" ht="15.75" customHeight="1">
      <c r="A37" s="38"/>
      <c r="B37" s="29"/>
      <c r="C37" s="27"/>
      <c r="D37" s="27"/>
    </row>
    <row r="38" ht="15.75" customHeight="1">
      <c r="A38" s="38"/>
      <c r="B38" s="29"/>
      <c r="C38" s="27"/>
      <c r="D38" s="27"/>
    </row>
    <row r="39" ht="15.75" customHeight="1">
      <c r="A39" s="38"/>
      <c r="B39" s="29"/>
      <c r="C39" s="27"/>
      <c r="D39" s="27"/>
    </row>
    <row r="40" ht="15.75" customHeight="1">
      <c r="A40" s="38"/>
      <c r="B40" s="29"/>
      <c r="C40" s="27"/>
      <c r="D40" s="27"/>
    </row>
    <row r="41" ht="15.75" customHeight="1">
      <c r="A41" s="38"/>
      <c r="B41" s="29"/>
      <c r="C41" s="27"/>
      <c r="D41" s="27"/>
    </row>
    <row r="42" ht="15.75" customHeight="1">
      <c r="A42" s="38"/>
      <c r="B42" s="29"/>
      <c r="C42" s="27"/>
      <c r="D42" s="27"/>
    </row>
    <row r="43" ht="15.75" customHeight="1">
      <c r="A43" s="38"/>
      <c r="B43" s="29"/>
      <c r="C43" s="27"/>
      <c r="D43" s="27"/>
    </row>
    <row r="44" ht="15.75" customHeight="1">
      <c r="A44" s="38"/>
      <c r="B44" s="29"/>
      <c r="C44" s="27"/>
      <c r="D44" s="27"/>
    </row>
    <row r="45" ht="15.75" customHeight="1">
      <c r="A45" s="38"/>
      <c r="B45" s="29"/>
      <c r="C45" s="27"/>
      <c r="D45" s="27"/>
    </row>
    <row r="46" ht="15.75" customHeight="1">
      <c r="A46" s="38"/>
      <c r="B46" s="29"/>
      <c r="C46" s="27"/>
      <c r="D46" s="27"/>
    </row>
    <row r="47" ht="15.75" customHeight="1">
      <c r="A47" s="38"/>
      <c r="B47" s="29"/>
      <c r="C47" s="27"/>
      <c r="D47" s="27"/>
    </row>
    <row r="48" ht="15.75" customHeight="1">
      <c r="A48" s="38"/>
      <c r="B48" s="29"/>
      <c r="C48" s="27"/>
      <c r="D48" s="27"/>
    </row>
    <row r="49" ht="15.75" customHeight="1">
      <c r="A49" s="38"/>
      <c r="B49" s="29"/>
      <c r="C49" s="27"/>
      <c r="D49" s="27"/>
    </row>
    <row r="50" ht="15.75" customHeight="1">
      <c r="A50" s="38"/>
      <c r="B50" s="29"/>
      <c r="C50" s="27"/>
      <c r="D50" s="27"/>
    </row>
    <row r="51" ht="15.75" customHeight="1">
      <c r="A51" s="38"/>
      <c r="B51" s="29"/>
      <c r="C51" s="27"/>
      <c r="D51" s="27"/>
    </row>
    <row r="52" ht="15.75" customHeight="1">
      <c r="A52" s="38"/>
      <c r="B52" s="29"/>
      <c r="C52" s="27"/>
      <c r="D52" s="27"/>
    </row>
    <row r="53" ht="15.75" customHeight="1">
      <c r="A53" s="38"/>
      <c r="B53" s="29"/>
      <c r="C53" s="27"/>
      <c r="D53" s="27"/>
    </row>
    <row r="54" ht="15.75" customHeight="1">
      <c r="A54" s="38"/>
      <c r="B54" s="29"/>
      <c r="C54" s="27"/>
      <c r="D54" s="27"/>
    </row>
    <row r="55" ht="15.75" customHeight="1">
      <c r="A55" s="38"/>
      <c r="B55" s="29"/>
      <c r="C55" s="27"/>
      <c r="D55" s="27"/>
    </row>
    <row r="56" ht="15.75" customHeight="1">
      <c r="A56" s="38"/>
      <c r="B56" s="29"/>
      <c r="C56" s="27"/>
      <c r="D56" s="27"/>
    </row>
    <row r="57" ht="15.75" customHeight="1">
      <c r="A57" s="38"/>
      <c r="B57" s="29"/>
      <c r="C57" s="27"/>
      <c r="D57" s="27"/>
    </row>
    <row r="58" ht="15.75" customHeight="1">
      <c r="A58" s="38"/>
      <c r="B58" s="29"/>
      <c r="C58" s="27"/>
      <c r="D58" s="27"/>
    </row>
    <row r="59" ht="15.75" customHeight="1">
      <c r="A59" s="38"/>
      <c r="B59" s="29"/>
      <c r="C59" s="27"/>
      <c r="D59" s="27"/>
    </row>
    <row r="60" ht="15.75" customHeight="1">
      <c r="A60" s="38"/>
      <c r="B60" s="29"/>
      <c r="C60" s="27"/>
      <c r="D60" s="27"/>
    </row>
    <row r="61" ht="15.75" customHeight="1">
      <c r="A61" s="38"/>
      <c r="B61" s="29"/>
      <c r="C61" s="27"/>
      <c r="D61" s="27"/>
    </row>
    <row r="62" ht="15.75" customHeight="1">
      <c r="A62" s="38"/>
      <c r="B62" s="29"/>
      <c r="C62" s="27"/>
      <c r="D62" s="27"/>
    </row>
    <row r="63" ht="15.75" customHeight="1">
      <c r="A63" s="38"/>
      <c r="B63" s="29"/>
      <c r="C63" s="27"/>
      <c r="D63" s="27"/>
    </row>
    <row r="64" ht="15.75" customHeight="1">
      <c r="A64" s="38"/>
      <c r="B64" s="29"/>
      <c r="C64" s="27"/>
      <c r="D64" s="27"/>
    </row>
    <row r="65" ht="15.75" customHeight="1">
      <c r="A65" s="38"/>
      <c r="B65" s="29"/>
      <c r="C65" s="27"/>
      <c r="D65" s="27"/>
    </row>
    <row r="66" ht="15.75" customHeight="1">
      <c r="A66" s="38"/>
      <c r="B66" s="29"/>
      <c r="C66" s="27"/>
      <c r="D66" s="27"/>
    </row>
    <row r="67" ht="15.75" customHeight="1">
      <c r="A67" s="38"/>
      <c r="B67" s="29"/>
      <c r="C67" s="27"/>
      <c r="D67" s="27"/>
    </row>
    <row r="68" ht="15.75" customHeight="1">
      <c r="A68" s="38"/>
      <c r="B68" s="29"/>
      <c r="C68" s="27"/>
      <c r="D68" s="27"/>
    </row>
    <row r="69" ht="15.75" customHeight="1">
      <c r="A69" s="38"/>
      <c r="B69" s="29"/>
      <c r="C69" s="27"/>
      <c r="D69" s="27"/>
    </row>
    <row r="70" ht="15.75" customHeight="1">
      <c r="A70" s="38"/>
      <c r="B70" s="29"/>
      <c r="C70" s="27"/>
      <c r="D70" s="27"/>
    </row>
    <row r="71" ht="15.75" customHeight="1">
      <c r="A71" s="38"/>
      <c r="B71" s="29"/>
      <c r="C71" s="27"/>
      <c r="D71" s="27"/>
    </row>
    <row r="72" ht="15.75" customHeight="1">
      <c r="A72" s="38"/>
      <c r="B72" s="29"/>
      <c r="C72" s="27"/>
      <c r="D72" s="27"/>
    </row>
    <row r="73" ht="15.75" customHeight="1">
      <c r="A73" s="38"/>
      <c r="B73" s="29"/>
      <c r="C73" s="27"/>
      <c r="D73" s="27"/>
    </row>
    <row r="74" ht="15.75" customHeight="1">
      <c r="A74" s="38"/>
      <c r="B74" s="29"/>
      <c r="C74" s="27"/>
      <c r="D74" s="27"/>
    </row>
    <row r="75" ht="15.75" customHeight="1">
      <c r="A75" s="38"/>
      <c r="B75" s="29"/>
      <c r="C75" s="27"/>
      <c r="D75" s="27"/>
    </row>
    <row r="76" ht="15.75" customHeight="1">
      <c r="A76" s="38"/>
      <c r="B76" s="29"/>
      <c r="C76" s="27"/>
      <c r="D76" s="27"/>
    </row>
    <row r="77" ht="15.75" customHeight="1">
      <c r="A77" s="38"/>
      <c r="B77" s="29"/>
      <c r="C77" s="27"/>
      <c r="D77" s="27"/>
    </row>
    <row r="78" ht="15.75" customHeight="1">
      <c r="A78" s="38"/>
      <c r="B78" s="29"/>
      <c r="C78" s="27"/>
      <c r="D78" s="27"/>
    </row>
    <row r="79" ht="15.75" customHeight="1">
      <c r="A79" s="38"/>
      <c r="B79" s="29"/>
      <c r="C79" s="27"/>
      <c r="D79" s="27"/>
    </row>
    <row r="80" ht="15.75" customHeight="1">
      <c r="A80" s="38"/>
      <c r="B80" s="29"/>
      <c r="C80" s="27"/>
      <c r="D80" s="27"/>
    </row>
    <row r="81" ht="15.75" customHeight="1">
      <c r="A81" s="38"/>
      <c r="B81" s="29"/>
      <c r="C81" s="27"/>
      <c r="D81" s="27"/>
    </row>
    <row r="82" ht="15.75" customHeight="1">
      <c r="A82" s="38"/>
      <c r="B82" s="29"/>
      <c r="C82" s="27"/>
      <c r="D82" s="27"/>
    </row>
    <row r="83" ht="15.75" customHeight="1">
      <c r="A83" s="38"/>
      <c r="B83" s="29"/>
      <c r="C83" s="27"/>
      <c r="D83" s="27"/>
    </row>
    <row r="84" ht="15.75" customHeight="1">
      <c r="A84" s="38"/>
      <c r="B84" s="29"/>
      <c r="C84" s="27"/>
      <c r="D84" s="27"/>
    </row>
    <row r="85" ht="15.75" customHeight="1">
      <c r="A85" s="38"/>
      <c r="B85" s="29"/>
      <c r="C85" s="27"/>
      <c r="D85" s="27"/>
    </row>
    <row r="86" ht="15.75" customHeight="1">
      <c r="A86" s="38"/>
      <c r="B86" s="29"/>
      <c r="C86" s="27"/>
      <c r="D86" s="27"/>
    </row>
    <row r="87" ht="15.75" customHeight="1">
      <c r="A87" s="38"/>
      <c r="B87" s="29"/>
      <c r="C87" s="27"/>
      <c r="D87" s="27"/>
    </row>
    <row r="88" ht="15.75" customHeight="1">
      <c r="A88" s="38"/>
      <c r="B88" s="29"/>
      <c r="C88" s="27"/>
      <c r="D88" s="27"/>
    </row>
    <row r="89" ht="15.75" customHeight="1">
      <c r="A89" s="38"/>
      <c r="B89" s="29"/>
      <c r="C89" s="27"/>
      <c r="D89" s="27"/>
    </row>
    <row r="90" ht="15.75" customHeight="1">
      <c r="A90" s="38"/>
      <c r="B90" s="29"/>
      <c r="C90" s="27"/>
      <c r="D90" s="27"/>
    </row>
    <row r="91" ht="15.75" customHeight="1">
      <c r="A91" s="38"/>
      <c r="B91" s="29"/>
      <c r="C91" s="27"/>
      <c r="D91" s="27"/>
    </row>
    <row r="92" ht="15.75" customHeight="1">
      <c r="A92" s="38"/>
      <c r="B92" s="29"/>
      <c r="C92" s="27"/>
      <c r="D92" s="27"/>
    </row>
    <row r="93" ht="15.75" customHeight="1">
      <c r="A93" s="38"/>
      <c r="B93" s="29"/>
      <c r="C93" s="27"/>
      <c r="D93" s="27"/>
    </row>
    <row r="94" ht="15.75" customHeight="1">
      <c r="A94" s="38"/>
      <c r="B94" s="29"/>
      <c r="C94" s="27"/>
      <c r="D94" s="27"/>
    </row>
    <row r="95" ht="15.75" customHeight="1">
      <c r="A95" s="38"/>
      <c r="B95" s="29"/>
      <c r="C95" s="27"/>
      <c r="D95" s="27"/>
    </row>
    <row r="96" ht="15.75" customHeight="1">
      <c r="A96" s="38"/>
      <c r="B96" s="29"/>
      <c r="C96" s="27"/>
      <c r="D96" s="27"/>
    </row>
    <row r="97" ht="15.75" customHeight="1">
      <c r="A97" s="38"/>
      <c r="B97" s="29"/>
      <c r="C97" s="27"/>
      <c r="D97" s="27"/>
    </row>
    <row r="98" ht="15.75" customHeight="1">
      <c r="A98" s="38"/>
      <c r="B98" s="29"/>
      <c r="C98" s="27"/>
      <c r="D98" s="27"/>
    </row>
    <row r="99" ht="15.75" customHeight="1">
      <c r="A99" s="38"/>
      <c r="B99" s="29"/>
      <c r="C99" s="27"/>
      <c r="D99" s="27"/>
    </row>
    <row r="100" ht="15.75" customHeight="1">
      <c r="A100" s="38"/>
      <c r="B100" s="29"/>
      <c r="C100" s="27"/>
      <c r="D100" s="27"/>
    </row>
    <row r="101" ht="15.75" customHeight="1">
      <c r="A101" s="38"/>
      <c r="B101" s="29"/>
      <c r="C101" s="27"/>
      <c r="D101" s="27"/>
    </row>
    <row r="102" ht="15.75" customHeight="1">
      <c r="A102" s="38"/>
      <c r="B102" s="29"/>
      <c r="C102" s="27"/>
      <c r="D102" s="27"/>
    </row>
    <row r="103" ht="15.75" customHeight="1">
      <c r="A103" s="38"/>
      <c r="B103" s="29"/>
      <c r="C103" s="27"/>
      <c r="D103" s="27"/>
    </row>
    <row r="104" ht="15.75" customHeight="1">
      <c r="A104" s="38"/>
      <c r="B104" s="29"/>
      <c r="C104" s="27"/>
      <c r="D104" s="27"/>
    </row>
    <row r="105" ht="15.75" customHeight="1">
      <c r="A105" s="38"/>
      <c r="B105" s="29"/>
      <c r="C105" s="27"/>
      <c r="D105" s="27"/>
    </row>
    <row r="106" ht="15.75" customHeight="1">
      <c r="A106" s="38"/>
      <c r="B106" s="29"/>
      <c r="C106" s="27"/>
      <c r="D106" s="27"/>
    </row>
    <row r="107" ht="15.75" customHeight="1">
      <c r="A107" s="38"/>
      <c r="B107" s="29"/>
      <c r="C107" s="27"/>
      <c r="D107" s="27"/>
    </row>
    <row r="108" ht="15.75" customHeight="1">
      <c r="A108" s="38"/>
      <c r="B108" s="29"/>
      <c r="C108" s="27"/>
      <c r="D108" s="27"/>
    </row>
    <row r="109" ht="15.75" customHeight="1">
      <c r="A109" s="38"/>
      <c r="B109" s="29"/>
      <c r="C109" s="27"/>
      <c r="D109" s="27"/>
    </row>
    <row r="110" ht="15.75" customHeight="1">
      <c r="A110" s="38"/>
      <c r="B110" s="29"/>
      <c r="C110" s="27"/>
      <c r="D110" s="27"/>
    </row>
    <row r="111" ht="15.75" customHeight="1">
      <c r="A111" s="38"/>
      <c r="B111" s="29"/>
      <c r="C111" s="27"/>
      <c r="D111" s="27"/>
    </row>
    <row r="112" ht="15.75" customHeight="1">
      <c r="A112" s="38"/>
      <c r="B112" s="29"/>
      <c r="C112" s="27"/>
      <c r="D112" s="27"/>
    </row>
    <row r="113" ht="15.75" customHeight="1">
      <c r="A113" s="38"/>
      <c r="B113" s="29"/>
      <c r="C113" s="27"/>
      <c r="D113" s="27"/>
    </row>
    <row r="114" ht="15.75" customHeight="1">
      <c r="A114" s="38"/>
      <c r="B114" s="29"/>
      <c r="C114" s="27"/>
      <c r="D114" s="27"/>
    </row>
    <row r="115" ht="15.75" customHeight="1">
      <c r="A115" s="38"/>
      <c r="B115" s="29"/>
      <c r="C115" s="27"/>
      <c r="D115" s="27"/>
    </row>
    <row r="116" ht="15.75" customHeight="1">
      <c r="A116" s="38"/>
      <c r="B116" s="29"/>
      <c r="C116" s="27"/>
      <c r="D116" s="27"/>
    </row>
    <row r="117" ht="15.75" customHeight="1">
      <c r="A117" s="38"/>
      <c r="B117" s="29"/>
      <c r="C117" s="27"/>
      <c r="D117" s="27"/>
    </row>
    <row r="118" ht="15.75" customHeight="1">
      <c r="A118" s="38"/>
      <c r="B118" s="29"/>
      <c r="C118" s="27"/>
      <c r="D118" s="27"/>
    </row>
    <row r="119" ht="15.75" customHeight="1">
      <c r="A119" s="38"/>
      <c r="B119" s="29"/>
      <c r="C119" s="27"/>
      <c r="D119" s="27"/>
    </row>
    <row r="120" ht="15.75" customHeight="1">
      <c r="A120" s="38"/>
      <c r="B120" s="29"/>
      <c r="C120" s="27"/>
      <c r="D120" s="27"/>
    </row>
    <row r="121" ht="15.75" customHeight="1">
      <c r="A121" s="38"/>
      <c r="B121" s="29"/>
      <c r="C121" s="27"/>
      <c r="D121" s="27"/>
    </row>
    <row r="122" ht="15.75" customHeight="1">
      <c r="A122" s="38"/>
      <c r="B122" s="29"/>
      <c r="C122" s="27"/>
      <c r="D122" s="27"/>
    </row>
    <row r="123" ht="15.75" customHeight="1">
      <c r="A123" s="38"/>
      <c r="B123" s="29"/>
      <c r="C123" s="27"/>
      <c r="D123" s="27"/>
    </row>
    <row r="124" ht="15.75" customHeight="1">
      <c r="A124" s="38"/>
      <c r="B124" s="29"/>
      <c r="C124" s="27"/>
      <c r="D124" s="27"/>
    </row>
    <row r="125" ht="15.75" customHeight="1">
      <c r="A125" s="38"/>
      <c r="B125" s="29"/>
      <c r="C125" s="27"/>
      <c r="D125" s="27"/>
    </row>
    <row r="126" ht="15.75" customHeight="1">
      <c r="A126" s="38"/>
      <c r="B126" s="29"/>
      <c r="C126" s="27"/>
      <c r="D126" s="27"/>
    </row>
    <row r="127" ht="15.75" customHeight="1">
      <c r="A127" s="38"/>
      <c r="B127" s="29"/>
      <c r="C127" s="27"/>
      <c r="D127" s="27"/>
    </row>
    <row r="128" ht="15.75" customHeight="1">
      <c r="A128" s="38"/>
      <c r="B128" s="29"/>
      <c r="C128" s="27"/>
      <c r="D128" s="27"/>
    </row>
    <row r="129" ht="15.75" customHeight="1">
      <c r="A129" s="38"/>
      <c r="B129" s="29"/>
      <c r="C129" s="27"/>
      <c r="D129" s="27"/>
    </row>
    <row r="130" ht="15.75" customHeight="1">
      <c r="A130" s="38"/>
      <c r="B130" s="29"/>
      <c r="C130" s="27"/>
      <c r="D130" s="27"/>
    </row>
    <row r="131" ht="15.75" customHeight="1">
      <c r="A131" s="38"/>
      <c r="B131" s="29"/>
      <c r="C131" s="27"/>
      <c r="D131" s="27"/>
    </row>
    <row r="132" ht="15.75" customHeight="1">
      <c r="A132" s="38"/>
      <c r="B132" s="29"/>
      <c r="C132" s="27"/>
      <c r="D132" s="27"/>
    </row>
    <row r="133" ht="15.75" customHeight="1">
      <c r="A133" s="38"/>
      <c r="B133" s="29"/>
      <c r="C133" s="27"/>
      <c r="D133" s="27"/>
    </row>
    <row r="134" ht="15.75" customHeight="1">
      <c r="A134" s="38"/>
      <c r="B134" s="29"/>
      <c r="C134" s="27"/>
      <c r="D134" s="27"/>
    </row>
    <row r="135" ht="15.75" customHeight="1">
      <c r="A135" s="38"/>
      <c r="B135" s="29"/>
      <c r="C135" s="27"/>
      <c r="D135" s="27"/>
    </row>
    <row r="136" ht="15.75" customHeight="1">
      <c r="A136" s="38"/>
      <c r="B136" s="29"/>
      <c r="C136" s="27"/>
      <c r="D136" s="27"/>
    </row>
    <row r="137" ht="15.75" customHeight="1">
      <c r="A137" s="38"/>
      <c r="B137" s="29"/>
      <c r="C137" s="27"/>
      <c r="D137" s="27"/>
    </row>
    <row r="138" ht="15.75" customHeight="1">
      <c r="A138" s="38"/>
      <c r="B138" s="29"/>
      <c r="C138" s="27"/>
      <c r="D138" s="27"/>
    </row>
    <row r="139" ht="15.75" customHeight="1">
      <c r="A139" s="38"/>
      <c r="B139" s="29"/>
      <c r="C139" s="27"/>
      <c r="D139" s="27"/>
    </row>
    <row r="140" ht="15.75" customHeight="1">
      <c r="A140" s="38"/>
      <c r="B140" s="29"/>
      <c r="C140" s="27"/>
      <c r="D140" s="27"/>
    </row>
    <row r="141" ht="15.75" customHeight="1">
      <c r="A141" s="38"/>
      <c r="B141" s="29"/>
      <c r="C141" s="27"/>
      <c r="D141" s="27"/>
    </row>
    <row r="142" ht="15.75" customHeight="1">
      <c r="A142" s="38"/>
      <c r="B142" s="29"/>
      <c r="C142" s="27"/>
      <c r="D142" s="27"/>
    </row>
    <row r="143" ht="15.75" customHeight="1">
      <c r="A143" s="38"/>
      <c r="B143" s="29"/>
      <c r="C143" s="27"/>
      <c r="D143" s="27"/>
    </row>
    <row r="144" ht="15.75" customHeight="1">
      <c r="A144" s="38"/>
      <c r="B144" s="29"/>
      <c r="C144" s="27"/>
      <c r="D144" s="27"/>
    </row>
    <row r="145" ht="15.75" customHeight="1">
      <c r="A145" s="38"/>
      <c r="B145" s="29"/>
      <c r="C145" s="27"/>
      <c r="D145" s="27"/>
    </row>
    <row r="146" ht="15.75" customHeight="1">
      <c r="A146" s="38"/>
      <c r="B146" s="29"/>
      <c r="C146" s="27"/>
      <c r="D146" s="27"/>
    </row>
    <row r="147" ht="15.75" customHeight="1">
      <c r="A147" s="38"/>
      <c r="B147" s="29"/>
      <c r="C147" s="27"/>
      <c r="D147" s="27"/>
    </row>
    <row r="148" ht="15.75" customHeight="1">
      <c r="A148" s="38"/>
      <c r="B148" s="29"/>
      <c r="C148" s="27"/>
      <c r="D148" s="27"/>
    </row>
    <row r="149" ht="15.75" customHeight="1">
      <c r="A149" s="38"/>
      <c r="B149" s="29"/>
      <c r="C149" s="27"/>
      <c r="D149" s="27"/>
    </row>
    <row r="150" ht="15.75" customHeight="1">
      <c r="A150" s="38"/>
      <c r="B150" s="29"/>
      <c r="C150" s="27"/>
      <c r="D150" s="27"/>
    </row>
    <row r="151" ht="15.75" customHeight="1">
      <c r="A151" s="38"/>
      <c r="B151" s="29"/>
      <c r="C151" s="27"/>
      <c r="D151" s="27"/>
    </row>
    <row r="152" ht="15.75" customHeight="1">
      <c r="A152" s="38"/>
      <c r="B152" s="29"/>
      <c r="C152" s="27"/>
      <c r="D152" s="27"/>
    </row>
    <row r="153" ht="15.75" customHeight="1">
      <c r="A153" s="38"/>
      <c r="B153" s="29"/>
      <c r="C153" s="27"/>
      <c r="D153" s="27"/>
    </row>
    <row r="154" ht="15.75" customHeight="1">
      <c r="A154" s="38"/>
      <c r="B154" s="29"/>
      <c r="C154" s="27"/>
      <c r="D154" s="27"/>
    </row>
    <row r="155" ht="15.75" customHeight="1">
      <c r="A155" s="38"/>
      <c r="B155" s="29"/>
      <c r="C155" s="27"/>
      <c r="D155" s="27"/>
    </row>
    <row r="156" ht="15.75" customHeight="1">
      <c r="A156" s="38"/>
      <c r="B156" s="29"/>
      <c r="C156" s="27"/>
      <c r="D156" s="27"/>
    </row>
    <row r="157" ht="15.75" customHeight="1">
      <c r="A157" s="38"/>
      <c r="B157" s="29"/>
      <c r="C157" s="27"/>
      <c r="D157" s="27"/>
    </row>
    <row r="158" ht="15.75" customHeight="1">
      <c r="A158" s="38"/>
      <c r="B158" s="29"/>
      <c r="C158" s="27"/>
      <c r="D158" s="27"/>
    </row>
    <row r="159" ht="15.75" customHeight="1">
      <c r="A159" s="38"/>
      <c r="B159" s="29"/>
      <c r="C159" s="27"/>
      <c r="D159" s="27"/>
    </row>
    <row r="160" ht="15.75" customHeight="1">
      <c r="A160" s="38"/>
      <c r="B160" s="29"/>
      <c r="C160" s="27"/>
      <c r="D160" s="27"/>
    </row>
    <row r="161" ht="15.75" customHeight="1">
      <c r="A161" s="38"/>
      <c r="B161" s="29"/>
      <c r="C161" s="27"/>
      <c r="D161" s="27"/>
    </row>
    <row r="162" ht="15.75" customHeight="1">
      <c r="A162" s="38"/>
      <c r="B162" s="29"/>
      <c r="C162" s="27"/>
      <c r="D162" s="27"/>
    </row>
    <row r="163" ht="15.75" customHeight="1">
      <c r="A163" s="38"/>
      <c r="B163" s="29"/>
      <c r="C163" s="27"/>
      <c r="D163" s="27"/>
    </row>
    <row r="164" ht="15.75" customHeight="1">
      <c r="A164" s="38"/>
      <c r="B164" s="29"/>
      <c r="C164" s="27"/>
      <c r="D164" s="27"/>
    </row>
    <row r="165" ht="15.75" customHeight="1">
      <c r="A165" s="38"/>
      <c r="B165" s="29"/>
      <c r="C165" s="27"/>
      <c r="D165" s="27"/>
    </row>
    <row r="166" ht="15.75" customHeight="1">
      <c r="A166" s="38"/>
      <c r="B166" s="29"/>
      <c r="C166" s="27"/>
      <c r="D166" s="27"/>
    </row>
    <row r="167" ht="15.75" customHeight="1">
      <c r="A167" s="38"/>
      <c r="B167" s="29"/>
      <c r="C167" s="27"/>
      <c r="D167" s="27"/>
    </row>
    <row r="168" ht="15.75" customHeight="1">
      <c r="A168" s="38"/>
      <c r="B168" s="29"/>
      <c r="C168" s="27"/>
      <c r="D168" s="27"/>
    </row>
    <row r="169" ht="15.75" customHeight="1">
      <c r="A169" s="38"/>
      <c r="B169" s="29"/>
      <c r="C169" s="27"/>
      <c r="D169" s="27"/>
    </row>
    <row r="170" ht="15.75" customHeight="1">
      <c r="A170" s="38"/>
      <c r="B170" s="29"/>
      <c r="C170" s="27"/>
      <c r="D170" s="27"/>
    </row>
    <row r="171" ht="15.75" customHeight="1">
      <c r="A171" s="38"/>
      <c r="B171" s="29"/>
      <c r="C171" s="27"/>
      <c r="D171" s="27"/>
    </row>
    <row r="172" ht="15.75" customHeight="1">
      <c r="A172" s="38"/>
      <c r="B172" s="29"/>
      <c r="C172" s="27"/>
      <c r="D172" s="27"/>
    </row>
    <row r="173" ht="15.75" customHeight="1">
      <c r="A173" s="38"/>
      <c r="B173" s="29"/>
      <c r="C173" s="27"/>
      <c r="D173" s="27"/>
    </row>
    <row r="174" ht="15.75" customHeight="1">
      <c r="A174" s="38"/>
      <c r="B174" s="29"/>
      <c r="C174" s="27"/>
      <c r="D174" s="27"/>
    </row>
    <row r="175" ht="15.75" customHeight="1">
      <c r="A175" s="38"/>
      <c r="B175" s="29"/>
      <c r="C175" s="27"/>
      <c r="D175" s="27"/>
    </row>
    <row r="176" ht="15.75" customHeight="1">
      <c r="A176" s="38"/>
      <c r="B176" s="29"/>
      <c r="C176" s="27"/>
      <c r="D176" s="27"/>
    </row>
    <row r="177" ht="15.75" customHeight="1">
      <c r="A177" s="38"/>
      <c r="B177" s="29"/>
      <c r="C177" s="27"/>
      <c r="D177" s="27"/>
    </row>
    <row r="178" ht="15.75" customHeight="1">
      <c r="A178" s="38"/>
      <c r="B178" s="29"/>
      <c r="C178" s="27"/>
      <c r="D178" s="27"/>
    </row>
    <row r="179" ht="15.75" customHeight="1">
      <c r="A179" s="38"/>
      <c r="B179" s="29"/>
      <c r="C179" s="27"/>
      <c r="D179" s="27"/>
    </row>
    <row r="180" ht="15.75" customHeight="1">
      <c r="A180" s="38"/>
      <c r="B180" s="29"/>
      <c r="C180" s="27"/>
      <c r="D180" s="27"/>
    </row>
    <row r="181" ht="15.75" customHeight="1">
      <c r="A181" s="38"/>
      <c r="B181" s="29"/>
      <c r="C181" s="27"/>
      <c r="D181" s="27"/>
    </row>
    <row r="182" ht="15.75" customHeight="1">
      <c r="A182" s="38"/>
      <c r="B182" s="29"/>
      <c r="C182" s="27"/>
      <c r="D182" s="27"/>
    </row>
    <row r="183" ht="15.75" customHeight="1">
      <c r="A183" s="38"/>
      <c r="B183" s="29"/>
      <c r="C183" s="27"/>
      <c r="D183" s="27"/>
    </row>
    <row r="184" ht="15.75" customHeight="1">
      <c r="A184" s="38"/>
      <c r="B184" s="29"/>
      <c r="C184" s="27"/>
      <c r="D184" s="27"/>
    </row>
    <row r="185" ht="15.75" customHeight="1">
      <c r="A185" s="38"/>
      <c r="B185" s="29"/>
      <c r="C185" s="27"/>
      <c r="D185" s="27"/>
    </row>
    <row r="186" ht="15.75" customHeight="1">
      <c r="A186" s="38"/>
      <c r="B186" s="29"/>
      <c r="C186" s="27"/>
      <c r="D186" s="27"/>
    </row>
    <row r="187" ht="15.75" customHeight="1">
      <c r="A187" s="38"/>
      <c r="B187" s="29"/>
      <c r="C187" s="27"/>
      <c r="D187" s="27"/>
    </row>
    <row r="188" ht="15.75" customHeight="1">
      <c r="A188" s="38"/>
      <c r="B188" s="29"/>
      <c r="C188" s="27"/>
      <c r="D188" s="27"/>
    </row>
    <row r="189" ht="15.75" customHeight="1">
      <c r="A189" s="38"/>
      <c r="B189" s="29"/>
      <c r="C189" s="27"/>
      <c r="D189" s="27"/>
    </row>
    <row r="190" ht="15.75" customHeight="1">
      <c r="A190" s="38"/>
      <c r="B190" s="29"/>
      <c r="C190" s="27"/>
      <c r="D190" s="27"/>
    </row>
    <row r="191" ht="15.75" customHeight="1">
      <c r="A191" s="38"/>
      <c r="B191" s="29"/>
      <c r="C191" s="27"/>
      <c r="D191" s="27"/>
    </row>
    <row r="192" ht="15.75" customHeight="1">
      <c r="A192" s="38"/>
      <c r="B192" s="29"/>
      <c r="C192" s="27"/>
      <c r="D192" s="27"/>
    </row>
    <row r="193" ht="15.75" customHeight="1">
      <c r="A193" s="38"/>
      <c r="B193" s="29"/>
      <c r="C193" s="27"/>
      <c r="D193" s="27"/>
    </row>
    <row r="194" ht="15.75" customHeight="1">
      <c r="A194" s="38"/>
      <c r="B194" s="29"/>
      <c r="C194" s="27"/>
      <c r="D194" s="27"/>
    </row>
    <row r="195" ht="15.75" customHeight="1">
      <c r="A195" s="38"/>
      <c r="B195" s="29"/>
      <c r="C195" s="27"/>
      <c r="D195" s="27"/>
    </row>
    <row r="196" ht="15.75" customHeight="1">
      <c r="A196" s="38"/>
      <c r="B196" s="29"/>
      <c r="C196" s="27"/>
      <c r="D196" s="27"/>
    </row>
    <row r="197" ht="15.75" customHeight="1">
      <c r="A197" s="38"/>
      <c r="B197" s="29"/>
      <c r="C197" s="27"/>
      <c r="D197" s="27"/>
    </row>
    <row r="198" ht="15.75" customHeight="1">
      <c r="A198" s="38"/>
      <c r="B198" s="29"/>
      <c r="C198" s="27"/>
      <c r="D198" s="27"/>
    </row>
    <row r="199" ht="15.75" customHeight="1">
      <c r="A199" s="38"/>
      <c r="B199" s="29"/>
      <c r="C199" s="27"/>
      <c r="D199" s="27"/>
    </row>
    <row r="200" ht="15.75" customHeight="1">
      <c r="A200" s="38"/>
      <c r="B200" s="29"/>
      <c r="C200" s="27"/>
      <c r="D200" s="27"/>
    </row>
    <row r="201" ht="15.75" customHeight="1">
      <c r="A201" s="38"/>
      <c r="B201" s="29"/>
      <c r="C201" s="27"/>
      <c r="D201" s="27"/>
    </row>
    <row r="202" ht="15.75" customHeight="1">
      <c r="A202" s="38"/>
      <c r="B202" s="29"/>
      <c r="C202" s="27"/>
      <c r="D202" s="27"/>
    </row>
    <row r="203" ht="15.75" customHeight="1">
      <c r="A203" s="38"/>
      <c r="B203" s="29"/>
      <c r="C203" s="27"/>
      <c r="D203" s="27"/>
    </row>
    <row r="204" ht="15.75" customHeight="1">
      <c r="A204" s="38"/>
      <c r="B204" s="29"/>
      <c r="C204" s="27"/>
      <c r="D204" s="27"/>
    </row>
    <row r="205" ht="15.75" customHeight="1">
      <c r="A205" s="38"/>
      <c r="B205" s="29"/>
      <c r="C205" s="27"/>
      <c r="D205" s="27"/>
    </row>
    <row r="206" ht="15.75" customHeight="1">
      <c r="A206" s="38"/>
      <c r="B206" s="29"/>
      <c r="C206" s="27"/>
      <c r="D206" s="27"/>
    </row>
    <row r="207" ht="15.75" customHeight="1">
      <c r="A207" s="38"/>
      <c r="B207" s="29"/>
      <c r="C207" s="27"/>
      <c r="D207" s="27"/>
    </row>
    <row r="208" ht="15.75" customHeight="1">
      <c r="A208" s="38"/>
      <c r="B208" s="29"/>
      <c r="C208" s="27"/>
      <c r="D208" s="27"/>
    </row>
    <row r="209" ht="15.75" customHeight="1">
      <c r="A209" s="38"/>
      <c r="B209" s="29"/>
      <c r="C209" s="27"/>
      <c r="D209" s="27"/>
    </row>
    <row r="210" ht="15.75" customHeight="1">
      <c r="A210" s="38"/>
      <c r="B210" s="29"/>
      <c r="C210" s="27"/>
      <c r="D210" s="27"/>
    </row>
    <row r="211" ht="15.75" customHeight="1">
      <c r="A211" s="38"/>
      <c r="B211" s="29"/>
      <c r="C211" s="27"/>
      <c r="D211" s="27"/>
    </row>
    <row r="212" ht="15.75" customHeight="1">
      <c r="A212" s="38"/>
      <c r="B212" s="29"/>
      <c r="C212" s="27"/>
      <c r="D212" s="27"/>
    </row>
    <row r="213" ht="15.75" customHeight="1">
      <c r="A213" s="38"/>
      <c r="B213" s="29"/>
      <c r="C213" s="27"/>
      <c r="D213" s="27"/>
    </row>
    <row r="214" ht="15.75" customHeight="1">
      <c r="A214" s="38"/>
      <c r="B214" s="29"/>
      <c r="C214" s="27"/>
      <c r="D214" s="27"/>
    </row>
    <row r="215" ht="15.75" customHeight="1">
      <c r="A215" s="38"/>
      <c r="B215" s="29"/>
      <c r="C215" s="27"/>
      <c r="D215" s="27"/>
    </row>
    <row r="216" ht="15.75" customHeight="1">
      <c r="A216" s="38"/>
      <c r="B216" s="29"/>
      <c r="C216" s="27"/>
      <c r="D216" s="27"/>
    </row>
    <row r="217" ht="15.75" customHeight="1">
      <c r="A217" s="38"/>
      <c r="B217" s="29"/>
      <c r="C217" s="27"/>
      <c r="D217" s="27"/>
    </row>
    <row r="218" ht="15.75" customHeight="1">
      <c r="A218" s="38"/>
      <c r="B218" s="29"/>
      <c r="C218" s="27"/>
      <c r="D218" s="27"/>
    </row>
    <row r="219" ht="15.75" customHeight="1">
      <c r="A219" s="38"/>
      <c r="B219" s="29"/>
      <c r="C219" s="27"/>
      <c r="D219" s="27"/>
    </row>
    <row r="220" ht="15.75" customHeight="1">
      <c r="A220" s="38"/>
      <c r="B220" s="29"/>
      <c r="C220" s="27"/>
      <c r="D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9" t="s">
        <v>444</v>
      </c>
      <c r="B1" s="39" t="s">
        <v>445</v>
      </c>
      <c r="C1" s="40" t="s">
        <v>446</v>
      </c>
      <c r="D1" s="40" t="s">
        <v>447</v>
      </c>
      <c r="E1" s="41" t="s">
        <v>448</v>
      </c>
      <c r="F1" s="41" t="s">
        <v>449</v>
      </c>
      <c r="G1" s="42" t="s">
        <v>450</v>
      </c>
      <c r="H1" s="42" t="s">
        <v>451</v>
      </c>
      <c r="I1" s="43" t="s">
        <v>452</v>
      </c>
      <c r="J1" s="43" t="s">
        <v>453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44">
        <v>10.0</v>
      </c>
      <c r="B2" s="45" t="s">
        <v>454</v>
      </c>
      <c r="C2" s="44">
        <v>1.0</v>
      </c>
      <c r="D2" s="46">
        <v>0.96</v>
      </c>
      <c r="E2" s="46">
        <v>0.96</v>
      </c>
      <c r="F2" s="46">
        <v>0.65</v>
      </c>
      <c r="G2" s="46">
        <v>0.65</v>
      </c>
      <c r="H2" s="46">
        <v>0.35</v>
      </c>
      <c r="I2" s="46">
        <v>0.35</v>
      </c>
      <c r="J2" s="44">
        <v>0.0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/>
    <row r="4" ht="15.75" customHeight="1"/>
    <row r="5" ht="15.75" customHeight="1">
      <c r="C5" s="18"/>
    </row>
    <row r="6" ht="15.75" customHeight="1"/>
    <row r="7" ht="15.75" customHeight="1">
      <c r="C7" s="1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