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RUNA\Downloads\"/>
    </mc:Choice>
  </mc:AlternateContent>
  <xr:revisionPtr revIDLastSave="0" documentId="13_ncr:1_{A1DC8E78-ED86-455E-A4A9-426EA8DE427F}" xr6:coauthVersionLast="47" xr6:coauthVersionMax="47" xr10:uidLastSave="{00000000-0000-0000-0000-000000000000}"/>
  <bookViews>
    <workbookView xWindow="-108" yWindow="-108" windowWidth="23256" windowHeight="12576" firstSheet="2" activeTab="4" xr2:uid="{00000000-000D-0000-FFFF-FFFF00000000}"/>
  </bookViews>
  <sheets>
    <sheet name="Datos procesados 2012" sheetId="1" r:id="rId1"/>
    <sheet name="Datos procesados 2024" sheetId="2" r:id="rId2"/>
    <sheet name="Indicador_MUN" sheetId="3" r:id="rId3"/>
    <sheet name="Absoluto_MUN" sheetId="4" r:id="rId4"/>
    <sheet name="Indicador_DEP" sheetId="5" r:id="rId5"/>
    <sheet name="Absoluto_DEP" sheetId="6" r:id="rId6"/>
    <sheet name="Umbral" sheetId="7" r:id="rId7"/>
    <sheet name="Mapa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AG8YIycE8254W2E7hJxtEMPAJJNTImC1H7m1IPhzqAk="/>
    </ext>
  </extLst>
</workbook>
</file>

<file path=xl/calcChain.xml><?xml version="1.0" encoding="utf-8"?>
<calcChain xmlns="http://schemas.openxmlformats.org/spreadsheetml/2006/main">
  <c r="J346" i="2" l="1"/>
  <c r="I346" i="2"/>
  <c r="L346" i="2" s="1"/>
  <c r="H346" i="2"/>
  <c r="K346" i="2" s="1"/>
  <c r="M346" i="2" s="1"/>
  <c r="F346" i="2"/>
  <c r="D346" i="2"/>
  <c r="C346" i="2"/>
  <c r="B346" i="2"/>
  <c r="E346" i="2" s="1"/>
  <c r="M345" i="2"/>
  <c r="N345" i="2" s="1"/>
  <c r="K345" i="2"/>
  <c r="J345" i="2"/>
  <c r="I345" i="2"/>
  <c r="L345" i="2" s="1"/>
  <c r="H345" i="2"/>
  <c r="D345" i="2"/>
  <c r="C345" i="2"/>
  <c r="F345" i="2" s="1"/>
  <c r="B345" i="2"/>
  <c r="E345" i="2" s="1"/>
  <c r="G345" i="2" s="1"/>
  <c r="L344" i="2"/>
  <c r="K344" i="2"/>
  <c r="M344" i="2" s="1"/>
  <c r="G344" i="2"/>
  <c r="F344" i="2"/>
  <c r="E344" i="2"/>
  <c r="M343" i="2"/>
  <c r="L343" i="2"/>
  <c r="K343" i="2"/>
  <c r="F343" i="2"/>
  <c r="G343" i="2" s="1"/>
  <c r="E343" i="2"/>
  <c r="M342" i="2"/>
  <c r="L342" i="2"/>
  <c r="K342" i="2"/>
  <c r="F342" i="2"/>
  <c r="E342" i="2"/>
  <c r="G342" i="2" s="1"/>
  <c r="L341" i="2"/>
  <c r="K341" i="2"/>
  <c r="F341" i="2"/>
  <c r="E341" i="2"/>
  <c r="L340" i="2"/>
  <c r="K340" i="2"/>
  <c r="M340" i="2" s="1"/>
  <c r="N340" i="2" s="1"/>
  <c r="F340" i="2"/>
  <c r="E340" i="2"/>
  <c r="G340" i="2" s="1"/>
  <c r="L339" i="2"/>
  <c r="K339" i="2"/>
  <c r="M339" i="2" s="1"/>
  <c r="N339" i="2" s="1"/>
  <c r="G339" i="2"/>
  <c r="F339" i="2"/>
  <c r="E339" i="2"/>
  <c r="M338" i="2"/>
  <c r="L338" i="2"/>
  <c r="K338" i="2"/>
  <c r="G338" i="2"/>
  <c r="N338" i="2" s="1"/>
  <c r="F338" i="2"/>
  <c r="E338" i="2"/>
  <c r="L337" i="2"/>
  <c r="M337" i="2" s="1"/>
  <c r="N337" i="2" s="1"/>
  <c r="K337" i="2"/>
  <c r="F337" i="2"/>
  <c r="E337" i="2"/>
  <c r="G337" i="2" s="1"/>
  <c r="L336" i="2"/>
  <c r="K336" i="2"/>
  <c r="G336" i="2"/>
  <c r="F336" i="2"/>
  <c r="E336" i="2"/>
  <c r="L335" i="2"/>
  <c r="K335" i="2"/>
  <c r="M335" i="2" s="1"/>
  <c r="N335" i="2" s="1"/>
  <c r="F335" i="2"/>
  <c r="G335" i="2" s="1"/>
  <c r="E335" i="2"/>
  <c r="L334" i="2"/>
  <c r="M334" i="2" s="1"/>
  <c r="K334" i="2"/>
  <c r="F334" i="2"/>
  <c r="E334" i="2"/>
  <c r="G334" i="2" s="1"/>
  <c r="N334" i="2" s="1"/>
  <c r="M333" i="2"/>
  <c r="L333" i="2"/>
  <c r="K333" i="2"/>
  <c r="F333" i="2"/>
  <c r="E333" i="2"/>
  <c r="L332" i="2"/>
  <c r="K332" i="2"/>
  <c r="M332" i="2" s="1"/>
  <c r="N332" i="2" s="1"/>
  <c r="G332" i="2"/>
  <c r="F332" i="2"/>
  <c r="E332" i="2"/>
  <c r="M331" i="2"/>
  <c r="L331" i="2"/>
  <c r="K331" i="2"/>
  <c r="G331" i="2"/>
  <c r="N331" i="2" s="1"/>
  <c r="F331" i="2"/>
  <c r="E331" i="2"/>
  <c r="L330" i="2"/>
  <c r="M330" i="2" s="1"/>
  <c r="N330" i="2" s="1"/>
  <c r="K330" i="2"/>
  <c r="F330" i="2"/>
  <c r="E330" i="2"/>
  <c r="G330" i="2" s="1"/>
  <c r="M329" i="2"/>
  <c r="L329" i="2"/>
  <c r="K329" i="2"/>
  <c r="F329" i="2"/>
  <c r="E329" i="2"/>
  <c r="G329" i="2" s="1"/>
  <c r="L328" i="2"/>
  <c r="K328" i="2"/>
  <c r="G328" i="2"/>
  <c r="F328" i="2"/>
  <c r="E328" i="2"/>
  <c r="M327" i="2"/>
  <c r="L327" i="2"/>
  <c r="K327" i="2"/>
  <c r="F327" i="2"/>
  <c r="G327" i="2" s="1"/>
  <c r="E327" i="2"/>
  <c r="L326" i="2"/>
  <c r="M326" i="2" s="1"/>
  <c r="N326" i="2" s="1"/>
  <c r="K326" i="2"/>
  <c r="F326" i="2"/>
  <c r="E326" i="2"/>
  <c r="G326" i="2" s="1"/>
  <c r="L325" i="2"/>
  <c r="K325" i="2"/>
  <c r="F325" i="2"/>
  <c r="E325" i="2"/>
  <c r="L324" i="2"/>
  <c r="K324" i="2"/>
  <c r="F324" i="2"/>
  <c r="E324" i="2"/>
  <c r="G324" i="2" s="1"/>
  <c r="L323" i="2"/>
  <c r="K323" i="2"/>
  <c r="M323" i="2" s="1"/>
  <c r="N323" i="2" s="1"/>
  <c r="G323" i="2"/>
  <c r="F323" i="2"/>
  <c r="E323" i="2"/>
  <c r="M322" i="2"/>
  <c r="L322" i="2"/>
  <c r="K322" i="2"/>
  <c r="G322" i="2"/>
  <c r="N322" i="2" s="1"/>
  <c r="F322" i="2"/>
  <c r="E322" i="2"/>
  <c r="L321" i="2"/>
  <c r="K321" i="2"/>
  <c r="F321" i="2"/>
  <c r="E321" i="2"/>
  <c r="G321" i="2" s="1"/>
  <c r="L320" i="2"/>
  <c r="K320" i="2"/>
  <c r="F320" i="2"/>
  <c r="E320" i="2"/>
  <c r="G320" i="2" s="1"/>
  <c r="L319" i="2"/>
  <c r="K319" i="2"/>
  <c r="M319" i="2" s="1"/>
  <c r="F319" i="2"/>
  <c r="G319" i="2" s="1"/>
  <c r="E319" i="2"/>
  <c r="L318" i="2"/>
  <c r="M318" i="2" s="1"/>
  <c r="K318" i="2"/>
  <c r="F318" i="2"/>
  <c r="E318" i="2"/>
  <c r="G318" i="2" s="1"/>
  <c r="M317" i="2"/>
  <c r="L317" i="2"/>
  <c r="K317" i="2"/>
  <c r="F317" i="2"/>
  <c r="E317" i="2"/>
  <c r="L316" i="2"/>
  <c r="K316" i="2"/>
  <c r="M316" i="2" s="1"/>
  <c r="G316" i="2"/>
  <c r="F316" i="2"/>
  <c r="E316" i="2"/>
  <c r="M315" i="2"/>
  <c r="N315" i="2" s="1"/>
  <c r="L315" i="2"/>
  <c r="K315" i="2"/>
  <c r="F315" i="2"/>
  <c r="G315" i="2" s="1"/>
  <c r="E315" i="2"/>
  <c r="L314" i="2"/>
  <c r="M314" i="2" s="1"/>
  <c r="K314" i="2"/>
  <c r="F314" i="2"/>
  <c r="E314" i="2"/>
  <c r="M313" i="2"/>
  <c r="L313" i="2"/>
  <c r="K313" i="2"/>
  <c r="F313" i="2"/>
  <c r="E313" i="2"/>
  <c r="G313" i="2" s="1"/>
  <c r="L312" i="2"/>
  <c r="K312" i="2"/>
  <c r="F312" i="2"/>
  <c r="E312" i="2"/>
  <c r="G312" i="2" s="1"/>
  <c r="L311" i="2"/>
  <c r="K311" i="2"/>
  <c r="M311" i="2" s="1"/>
  <c r="N311" i="2" s="1"/>
  <c r="G311" i="2"/>
  <c r="F311" i="2"/>
  <c r="E311" i="2"/>
  <c r="M310" i="2"/>
  <c r="L310" i="2"/>
  <c r="K310" i="2"/>
  <c r="G310" i="2"/>
  <c r="N310" i="2" s="1"/>
  <c r="F310" i="2"/>
  <c r="E310" i="2"/>
  <c r="L309" i="2"/>
  <c r="K309" i="2"/>
  <c r="M309" i="2" s="1"/>
  <c r="F309" i="2"/>
  <c r="E309" i="2"/>
  <c r="L308" i="2"/>
  <c r="K308" i="2"/>
  <c r="F308" i="2"/>
  <c r="E308" i="2"/>
  <c r="G308" i="2" s="1"/>
  <c r="N307" i="2"/>
  <c r="L307" i="2"/>
  <c r="K307" i="2"/>
  <c r="M307" i="2" s="1"/>
  <c r="G307" i="2"/>
  <c r="F307" i="2"/>
  <c r="E307" i="2"/>
  <c r="M306" i="2"/>
  <c r="L306" i="2"/>
  <c r="K306" i="2"/>
  <c r="F306" i="2"/>
  <c r="G306" i="2" s="1"/>
  <c r="E306" i="2"/>
  <c r="L305" i="2"/>
  <c r="K305" i="2"/>
  <c r="M305" i="2" s="1"/>
  <c r="N305" i="2" s="1"/>
  <c r="F305" i="2"/>
  <c r="E305" i="2"/>
  <c r="G305" i="2" s="1"/>
  <c r="L304" i="2"/>
  <c r="K304" i="2"/>
  <c r="F304" i="2"/>
  <c r="E304" i="2"/>
  <c r="G304" i="2" s="1"/>
  <c r="M303" i="2"/>
  <c r="N303" i="2" s="1"/>
  <c r="L303" i="2"/>
  <c r="K303" i="2"/>
  <c r="F303" i="2"/>
  <c r="G303" i="2" s="1"/>
  <c r="E303" i="2"/>
  <c r="L302" i="2"/>
  <c r="M302" i="2" s="1"/>
  <c r="K302" i="2"/>
  <c r="G302" i="2"/>
  <c r="N302" i="2" s="1"/>
  <c r="F302" i="2"/>
  <c r="E302" i="2"/>
  <c r="M301" i="2"/>
  <c r="L301" i="2"/>
  <c r="K301" i="2"/>
  <c r="F301" i="2"/>
  <c r="E301" i="2"/>
  <c r="G301" i="2" s="1"/>
  <c r="L300" i="2"/>
  <c r="K300" i="2"/>
  <c r="M300" i="2" s="1"/>
  <c r="G300" i="2"/>
  <c r="N300" i="2" s="1"/>
  <c r="F300" i="2"/>
  <c r="E300" i="2"/>
  <c r="M299" i="2"/>
  <c r="N299" i="2" s="1"/>
  <c r="L299" i="2"/>
  <c r="K299" i="2"/>
  <c r="F299" i="2"/>
  <c r="G299" i="2" s="1"/>
  <c r="E299" i="2"/>
  <c r="M298" i="2"/>
  <c r="L298" i="2"/>
  <c r="K298" i="2"/>
  <c r="F298" i="2"/>
  <c r="E298" i="2"/>
  <c r="L297" i="2"/>
  <c r="K297" i="2"/>
  <c r="M297" i="2" s="1"/>
  <c r="F297" i="2"/>
  <c r="E297" i="2"/>
  <c r="L296" i="2"/>
  <c r="K296" i="2"/>
  <c r="M296" i="2" s="1"/>
  <c r="F296" i="2"/>
  <c r="E296" i="2"/>
  <c r="G296" i="2" s="1"/>
  <c r="L295" i="2"/>
  <c r="K295" i="2"/>
  <c r="M295" i="2" s="1"/>
  <c r="N295" i="2" s="1"/>
  <c r="G295" i="2"/>
  <c r="F295" i="2"/>
  <c r="E295" i="2"/>
  <c r="M294" i="2"/>
  <c r="L294" i="2"/>
  <c r="K294" i="2"/>
  <c r="G294" i="2"/>
  <c r="N294" i="2" s="1"/>
  <c r="F294" i="2"/>
  <c r="E294" i="2"/>
  <c r="L293" i="2"/>
  <c r="K293" i="2"/>
  <c r="M293" i="2" s="1"/>
  <c r="F293" i="2"/>
  <c r="E293" i="2"/>
  <c r="L292" i="2"/>
  <c r="K292" i="2"/>
  <c r="M292" i="2" s="1"/>
  <c r="N292" i="2" s="1"/>
  <c r="F292" i="2"/>
  <c r="E292" i="2"/>
  <c r="G292" i="2" s="1"/>
  <c r="N291" i="2"/>
  <c r="L291" i="2"/>
  <c r="K291" i="2"/>
  <c r="M291" i="2" s="1"/>
  <c r="G291" i="2"/>
  <c r="F291" i="2"/>
  <c r="E291" i="2"/>
  <c r="M290" i="2"/>
  <c r="L290" i="2"/>
  <c r="K290" i="2"/>
  <c r="G290" i="2"/>
  <c r="N290" i="2" s="1"/>
  <c r="F290" i="2"/>
  <c r="E290" i="2"/>
  <c r="M289" i="2"/>
  <c r="L289" i="2"/>
  <c r="K289" i="2"/>
  <c r="F289" i="2"/>
  <c r="E289" i="2"/>
  <c r="G289" i="2" s="1"/>
  <c r="L288" i="2"/>
  <c r="K288" i="2"/>
  <c r="G288" i="2"/>
  <c r="F288" i="2"/>
  <c r="E288" i="2"/>
  <c r="M287" i="2"/>
  <c r="N287" i="2" s="1"/>
  <c r="L287" i="2"/>
  <c r="K287" i="2"/>
  <c r="F287" i="2"/>
  <c r="G287" i="2" s="1"/>
  <c r="E287" i="2"/>
  <c r="L286" i="2"/>
  <c r="M286" i="2" s="1"/>
  <c r="K286" i="2"/>
  <c r="G286" i="2"/>
  <c r="N286" i="2" s="1"/>
  <c r="F286" i="2"/>
  <c r="E286" i="2"/>
  <c r="L285" i="2"/>
  <c r="M285" i="2" s="1"/>
  <c r="N285" i="2" s="1"/>
  <c r="K285" i="2"/>
  <c r="F285" i="2"/>
  <c r="E285" i="2"/>
  <c r="G285" i="2" s="1"/>
  <c r="N284" i="2"/>
  <c r="L284" i="2"/>
  <c r="K284" i="2"/>
  <c r="M284" i="2" s="1"/>
  <c r="G284" i="2"/>
  <c r="F284" i="2"/>
  <c r="E284" i="2"/>
  <c r="M283" i="2"/>
  <c r="L283" i="2"/>
  <c r="K283" i="2"/>
  <c r="F283" i="2"/>
  <c r="G283" i="2" s="1"/>
  <c r="E283" i="2"/>
  <c r="M282" i="2"/>
  <c r="L282" i="2"/>
  <c r="K282" i="2"/>
  <c r="F282" i="2"/>
  <c r="E282" i="2"/>
  <c r="G282" i="2" s="1"/>
  <c r="L281" i="2"/>
  <c r="K281" i="2"/>
  <c r="M281" i="2" s="1"/>
  <c r="F281" i="2"/>
  <c r="E281" i="2"/>
  <c r="L280" i="2"/>
  <c r="K280" i="2"/>
  <c r="M280" i="2" s="1"/>
  <c r="N280" i="2" s="1"/>
  <c r="G280" i="2"/>
  <c r="F280" i="2"/>
  <c r="E280" i="2"/>
  <c r="M279" i="2"/>
  <c r="L279" i="2"/>
  <c r="K279" i="2"/>
  <c r="G279" i="2"/>
  <c r="N279" i="2" s="1"/>
  <c r="F279" i="2"/>
  <c r="E279" i="2"/>
  <c r="L278" i="2"/>
  <c r="M278" i="2" s="1"/>
  <c r="N278" i="2" s="1"/>
  <c r="K278" i="2"/>
  <c r="F278" i="2"/>
  <c r="E278" i="2"/>
  <c r="G278" i="2" s="1"/>
  <c r="L277" i="2"/>
  <c r="K277" i="2"/>
  <c r="M277" i="2" s="1"/>
  <c r="F277" i="2"/>
  <c r="E277" i="2"/>
  <c r="L276" i="2"/>
  <c r="K276" i="2"/>
  <c r="M276" i="2" s="1"/>
  <c r="N276" i="2" s="1"/>
  <c r="F276" i="2"/>
  <c r="E276" i="2"/>
  <c r="G276" i="2" s="1"/>
  <c r="L275" i="2"/>
  <c r="K275" i="2"/>
  <c r="M275" i="2" s="1"/>
  <c r="N275" i="2" s="1"/>
  <c r="G275" i="2"/>
  <c r="F275" i="2"/>
  <c r="E275" i="2"/>
  <c r="M274" i="2"/>
  <c r="L274" i="2"/>
  <c r="K274" i="2"/>
  <c r="G274" i="2"/>
  <c r="N274" i="2" s="1"/>
  <c r="F274" i="2"/>
  <c r="E274" i="2"/>
  <c r="M273" i="2"/>
  <c r="L273" i="2"/>
  <c r="K273" i="2"/>
  <c r="F273" i="2"/>
  <c r="E273" i="2"/>
  <c r="G273" i="2" s="1"/>
  <c r="L272" i="2"/>
  <c r="K272" i="2"/>
  <c r="G272" i="2"/>
  <c r="F272" i="2"/>
  <c r="E272" i="2"/>
  <c r="L271" i="2"/>
  <c r="K271" i="2"/>
  <c r="M271" i="2" s="1"/>
  <c r="N271" i="2" s="1"/>
  <c r="F271" i="2"/>
  <c r="G271" i="2" s="1"/>
  <c r="E271" i="2"/>
  <c r="L270" i="2"/>
  <c r="M270" i="2" s="1"/>
  <c r="K270" i="2"/>
  <c r="F270" i="2"/>
  <c r="E270" i="2"/>
  <c r="G270" i="2" s="1"/>
  <c r="N270" i="2" s="1"/>
  <c r="M269" i="2"/>
  <c r="L269" i="2"/>
  <c r="K269" i="2"/>
  <c r="F269" i="2"/>
  <c r="E269" i="2"/>
  <c r="L268" i="2"/>
  <c r="K268" i="2"/>
  <c r="M268" i="2" s="1"/>
  <c r="N268" i="2" s="1"/>
  <c r="G268" i="2"/>
  <c r="F268" i="2"/>
  <c r="E268" i="2"/>
  <c r="M267" i="2"/>
  <c r="L267" i="2"/>
  <c r="K267" i="2"/>
  <c r="G267" i="2"/>
  <c r="N267" i="2" s="1"/>
  <c r="F267" i="2"/>
  <c r="E267" i="2"/>
  <c r="L266" i="2"/>
  <c r="M266" i="2" s="1"/>
  <c r="N266" i="2" s="1"/>
  <c r="K266" i="2"/>
  <c r="F266" i="2"/>
  <c r="E266" i="2"/>
  <c r="G266" i="2" s="1"/>
  <c r="M265" i="2"/>
  <c r="L265" i="2"/>
  <c r="K265" i="2"/>
  <c r="F265" i="2"/>
  <c r="E265" i="2"/>
  <c r="G265" i="2" s="1"/>
  <c r="L264" i="2"/>
  <c r="K264" i="2"/>
  <c r="G264" i="2"/>
  <c r="F264" i="2"/>
  <c r="E264" i="2"/>
  <c r="M263" i="2"/>
  <c r="N263" i="2" s="1"/>
  <c r="L263" i="2"/>
  <c r="K263" i="2"/>
  <c r="F263" i="2"/>
  <c r="G263" i="2" s="1"/>
  <c r="E263" i="2"/>
  <c r="L262" i="2"/>
  <c r="M262" i="2" s="1"/>
  <c r="K262" i="2"/>
  <c r="F262" i="2"/>
  <c r="E262" i="2"/>
  <c r="G262" i="2" s="1"/>
  <c r="L261" i="2"/>
  <c r="K261" i="2"/>
  <c r="F261" i="2"/>
  <c r="E261" i="2"/>
  <c r="L260" i="2"/>
  <c r="K260" i="2"/>
  <c r="F260" i="2"/>
  <c r="E260" i="2"/>
  <c r="G260" i="2" s="1"/>
  <c r="L259" i="2"/>
  <c r="K259" i="2"/>
  <c r="M259" i="2" s="1"/>
  <c r="G259" i="2"/>
  <c r="F259" i="2"/>
  <c r="E259" i="2"/>
  <c r="M258" i="2"/>
  <c r="L258" i="2"/>
  <c r="K258" i="2"/>
  <c r="F258" i="2"/>
  <c r="G258" i="2" s="1"/>
  <c r="E258" i="2"/>
  <c r="L257" i="2"/>
  <c r="K257" i="2"/>
  <c r="M257" i="2" s="1"/>
  <c r="N257" i="2" s="1"/>
  <c r="F257" i="2"/>
  <c r="E257" i="2"/>
  <c r="G257" i="2" s="1"/>
  <c r="L256" i="2"/>
  <c r="K256" i="2"/>
  <c r="F256" i="2"/>
  <c r="E256" i="2"/>
  <c r="G256" i="2" s="1"/>
  <c r="L255" i="2"/>
  <c r="K255" i="2"/>
  <c r="M255" i="2" s="1"/>
  <c r="N255" i="2" s="1"/>
  <c r="F255" i="2"/>
  <c r="G255" i="2" s="1"/>
  <c r="E255" i="2"/>
  <c r="L254" i="2"/>
  <c r="M254" i="2" s="1"/>
  <c r="N254" i="2" s="1"/>
  <c r="K254" i="2"/>
  <c r="F254" i="2"/>
  <c r="E254" i="2"/>
  <c r="G254" i="2" s="1"/>
  <c r="M253" i="2"/>
  <c r="L253" i="2"/>
  <c r="K253" i="2"/>
  <c r="F253" i="2"/>
  <c r="E253" i="2"/>
  <c r="G253" i="2" s="1"/>
  <c r="L252" i="2"/>
  <c r="K252" i="2"/>
  <c r="M252" i="2" s="1"/>
  <c r="N252" i="2" s="1"/>
  <c r="G252" i="2"/>
  <c r="F252" i="2"/>
  <c r="E252" i="2"/>
  <c r="M251" i="2"/>
  <c r="L251" i="2"/>
  <c r="K251" i="2"/>
  <c r="G251" i="2"/>
  <c r="N251" i="2" s="1"/>
  <c r="F251" i="2"/>
  <c r="E251" i="2"/>
  <c r="L250" i="2"/>
  <c r="M250" i="2" s="1"/>
  <c r="K250" i="2"/>
  <c r="F250" i="2"/>
  <c r="E250" i="2"/>
  <c r="M249" i="2"/>
  <c r="L249" i="2"/>
  <c r="K249" i="2"/>
  <c r="F249" i="2"/>
  <c r="E249" i="2"/>
  <c r="G249" i="2" s="1"/>
  <c r="L248" i="2"/>
  <c r="K248" i="2"/>
  <c r="F248" i="2"/>
  <c r="E248" i="2"/>
  <c r="G248" i="2" s="1"/>
  <c r="L247" i="2"/>
  <c r="K247" i="2"/>
  <c r="M247" i="2" s="1"/>
  <c r="N247" i="2" s="1"/>
  <c r="G247" i="2"/>
  <c r="F247" i="2"/>
  <c r="E247" i="2"/>
  <c r="M246" i="2"/>
  <c r="L246" i="2"/>
  <c r="K246" i="2"/>
  <c r="G246" i="2"/>
  <c r="N246" i="2" s="1"/>
  <c r="F246" i="2"/>
  <c r="E246" i="2"/>
  <c r="L245" i="2"/>
  <c r="K245" i="2"/>
  <c r="M245" i="2" s="1"/>
  <c r="F245" i="2"/>
  <c r="E245" i="2"/>
  <c r="L244" i="2"/>
  <c r="K244" i="2"/>
  <c r="F244" i="2"/>
  <c r="E244" i="2"/>
  <c r="G244" i="2" s="1"/>
  <c r="N243" i="2"/>
  <c r="L243" i="2"/>
  <c r="K243" i="2"/>
  <c r="M243" i="2" s="1"/>
  <c r="G243" i="2"/>
  <c r="F243" i="2"/>
  <c r="E243" i="2"/>
  <c r="M242" i="2"/>
  <c r="L242" i="2"/>
  <c r="K242" i="2"/>
  <c r="F242" i="2"/>
  <c r="G242" i="2" s="1"/>
  <c r="E242" i="2"/>
  <c r="L241" i="2"/>
  <c r="K241" i="2"/>
  <c r="M241" i="2" s="1"/>
  <c r="N241" i="2" s="1"/>
  <c r="F241" i="2"/>
  <c r="E241" i="2"/>
  <c r="G241" i="2" s="1"/>
  <c r="L240" i="2"/>
  <c r="K240" i="2"/>
  <c r="F240" i="2"/>
  <c r="E240" i="2"/>
  <c r="G240" i="2" s="1"/>
  <c r="M239" i="2"/>
  <c r="L239" i="2"/>
  <c r="K239" i="2"/>
  <c r="F239" i="2"/>
  <c r="G239" i="2" s="1"/>
  <c r="E239" i="2"/>
  <c r="L238" i="2"/>
  <c r="M238" i="2" s="1"/>
  <c r="K238" i="2"/>
  <c r="G238" i="2"/>
  <c r="N238" i="2" s="1"/>
  <c r="F238" i="2"/>
  <c r="E238" i="2"/>
  <c r="L237" i="2"/>
  <c r="M237" i="2" s="1"/>
  <c r="N237" i="2" s="1"/>
  <c r="K237" i="2"/>
  <c r="F237" i="2"/>
  <c r="E237" i="2"/>
  <c r="G237" i="2" s="1"/>
  <c r="L236" i="2"/>
  <c r="K236" i="2"/>
  <c r="M236" i="2" s="1"/>
  <c r="F236" i="2"/>
  <c r="G236" i="2" s="1"/>
  <c r="N236" i="2" s="1"/>
  <c r="E236" i="2"/>
  <c r="L235" i="2"/>
  <c r="M235" i="2" s="1"/>
  <c r="N235" i="2" s="1"/>
  <c r="K235" i="2"/>
  <c r="F235" i="2"/>
  <c r="E235" i="2"/>
  <c r="G235" i="2" s="1"/>
  <c r="L234" i="2"/>
  <c r="K234" i="2"/>
  <c r="M234" i="2" s="1"/>
  <c r="F234" i="2"/>
  <c r="E234" i="2"/>
  <c r="L233" i="2"/>
  <c r="K233" i="2"/>
  <c r="F233" i="2"/>
  <c r="E233" i="2"/>
  <c r="G233" i="2" s="1"/>
  <c r="N232" i="2"/>
  <c r="L232" i="2"/>
  <c r="K232" i="2"/>
  <c r="M232" i="2" s="1"/>
  <c r="G232" i="2"/>
  <c r="F232" i="2"/>
  <c r="E232" i="2"/>
  <c r="M231" i="2"/>
  <c r="L231" i="2"/>
  <c r="K231" i="2"/>
  <c r="F231" i="2"/>
  <c r="G231" i="2" s="1"/>
  <c r="E231" i="2"/>
  <c r="L230" i="2"/>
  <c r="K230" i="2"/>
  <c r="F230" i="2"/>
  <c r="E230" i="2"/>
  <c r="L229" i="2"/>
  <c r="K229" i="2"/>
  <c r="F229" i="2"/>
  <c r="E229" i="2"/>
  <c r="G229" i="2" s="1"/>
  <c r="M228" i="2"/>
  <c r="L228" i="2"/>
  <c r="K228" i="2"/>
  <c r="G228" i="2"/>
  <c r="E228" i="2"/>
  <c r="L227" i="2"/>
  <c r="K227" i="2"/>
  <c r="M227" i="2" s="1"/>
  <c r="N227" i="2" s="1"/>
  <c r="F227" i="2"/>
  <c r="E227" i="2"/>
  <c r="G227" i="2" s="1"/>
  <c r="L226" i="2"/>
  <c r="K226" i="2"/>
  <c r="M226" i="2" s="1"/>
  <c r="N226" i="2" s="1"/>
  <c r="G226" i="2"/>
  <c r="F226" i="2"/>
  <c r="E226" i="2"/>
  <c r="M225" i="2"/>
  <c r="L225" i="2"/>
  <c r="K225" i="2"/>
  <c r="G225" i="2"/>
  <c r="N225" i="2" s="1"/>
  <c r="F225" i="2"/>
  <c r="E225" i="2"/>
  <c r="L224" i="2"/>
  <c r="M224" i="2" s="1"/>
  <c r="N224" i="2" s="1"/>
  <c r="K224" i="2"/>
  <c r="F224" i="2"/>
  <c r="E224" i="2"/>
  <c r="G224" i="2" s="1"/>
  <c r="L223" i="2"/>
  <c r="K223" i="2"/>
  <c r="F223" i="2"/>
  <c r="E223" i="2"/>
  <c r="G223" i="2" s="1"/>
  <c r="N222" i="2"/>
  <c r="L222" i="2"/>
  <c r="K222" i="2"/>
  <c r="M222" i="2" s="1"/>
  <c r="G222" i="2"/>
  <c r="F222" i="2"/>
  <c r="E222" i="2"/>
  <c r="M221" i="2"/>
  <c r="L221" i="2"/>
  <c r="K221" i="2"/>
  <c r="F221" i="2"/>
  <c r="G221" i="2" s="1"/>
  <c r="E221" i="2"/>
  <c r="M220" i="2"/>
  <c r="L220" i="2"/>
  <c r="K220" i="2"/>
  <c r="F220" i="2"/>
  <c r="E220" i="2"/>
  <c r="L219" i="2"/>
  <c r="K219" i="2"/>
  <c r="M219" i="2" s="1"/>
  <c r="N219" i="2" s="1"/>
  <c r="F219" i="2"/>
  <c r="E219" i="2"/>
  <c r="G219" i="2" s="1"/>
  <c r="L218" i="2"/>
  <c r="K218" i="2"/>
  <c r="M218" i="2" s="1"/>
  <c r="N218" i="2" s="1"/>
  <c r="G218" i="2"/>
  <c r="F218" i="2"/>
  <c r="E218" i="2"/>
  <c r="M217" i="2"/>
  <c r="L217" i="2"/>
  <c r="K217" i="2"/>
  <c r="G217" i="2"/>
  <c r="N217" i="2" s="1"/>
  <c r="F217" i="2"/>
  <c r="E217" i="2"/>
  <c r="L216" i="2"/>
  <c r="M216" i="2" s="1"/>
  <c r="N216" i="2" s="1"/>
  <c r="K216" i="2"/>
  <c r="F216" i="2"/>
  <c r="E216" i="2"/>
  <c r="G216" i="2" s="1"/>
  <c r="L215" i="2"/>
  <c r="K215" i="2"/>
  <c r="F215" i="2"/>
  <c r="E215" i="2"/>
  <c r="G215" i="2" s="1"/>
  <c r="N214" i="2"/>
  <c r="L214" i="2"/>
  <c r="K214" i="2"/>
  <c r="M214" i="2" s="1"/>
  <c r="G214" i="2"/>
  <c r="F214" i="2"/>
  <c r="E214" i="2"/>
  <c r="M213" i="2"/>
  <c r="L213" i="2"/>
  <c r="K213" i="2"/>
  <c r="F213" i="2"/>
  <c r="G213" i="2" s="1"/>
  <c r="E213" i="2"/>
  <c r="M212" i="2"/>
  <c r="L212" i="2"/>
  <c r="K212" i="2"/>
  <c r="F212" i="2"/>
  <c r="E212" i="2"/>
  <c r="L211" i="2"/>
  <c r="K211" i="2"/>
  <c r="M211" i="2" s="1"/>
  <c r="N211" i="2" s="1"/>
  <c r="F211" i="2"/>
  <c r="E211" i="2"/>
  <c r="G211" i="2" s="1"/>
  <c r="L210" i="2"/>
  <c r="K210" i="2"/>
  <c r="M210" i="2" s="1"/>
  <c r="N210" i="2" s="1"/>
  <c r="G210" i="2"/>
  <c r="F210" i="2"/>
  <c r="E210" i="2"/>
  <c r="M209" i="2"/>
  <c r="L209" i="2"/>
  <c r="K209" i="2"/>
  <c r="G209" i="2"/>
  <c r="N209" i="2" s="1"/>
  <c r="F209" i="2"/>
  <c r="E209" i="2"/>
  <c r="L208" i="2"/>
  <c r="M208" i="2" s="1"/>
  <c r="N208" i="2" s="1"/>
  <c r="K208" i="2"/>
  <c r="F208" i="2"/>
  <c r="E208" i="2"/>
  <c r="G208" i="2" s="1"/>
  <c r="L207" i="2"/>
  <c r="K207" i="2"/>
  <c r="F207" i="2"/>
  <c r="E207" i="2"/>
  <c r="G207" i="2" s="1"/>
  <c r="N206" i="2"/>
  <c r="L206" i="2"/>
  <c r="K206" i="2"/>
  <c r="M206" i="2" s="1"/>
  <c r="G206" i="2"/>
  <c r="F206" i="2"/>
  <c r="E206" i="2"/>
  <c r="M205" i="2"/>
  <c r="N205" i="2" s="1"/>
  <c r="L205" i="2"/>
  <c r="K205" i="2"/>
  <c r="F205" i="2"/>
  <c r="G205" i="2" s="1"/>
  <c r="E205" i="2"/>
  <c r="M204" i="2"/>
  <c r="L204" i="2"/>
  <c r="K204" i="2"/>
  <c r="F204" i="2"/>
  <c r="E204" i="2"/>
  <c r="L203" i="2"/>
  <c r="K203" i="2"/>
  <c r="M203" i="2" s="1"/>
  <c r="N203" i="2" s="1"/>
  <c r="F203" i="2"/>
  <c r="E203" i="2"/>
  <c r="G203" i="2" s="1"/>
  <c r="L202" i="2"/>
  <c r="K202" i="2"/>
  <c r="M202" i="2" s="1"/>
  <c r="N202" i="2" s="1"/>
  <c r="G202" i="2"/>
  <c r="F202" i="2"/>
  <c r="E202" i="2"/>
  <c r="M201" i="2"/>
  <c r="L201" i="2"/>
  <c r="K201" i="2"/>
  <c r="G201" i="2"/>
  <c r="N201" i="2" s="1"/>
  <c r="F201" i="2"/>
  <c r="E201" i="2"/>
  <c r="M200" i="2"/>
  <c r="L200" i="2"/>
  <c r="K200" i="2"/>
  <c r="F200" i="2"/>
  <c r="E200" i="2"/>
  <c r="G200" i="2" s="1"/>
  <c r="L199" i="2"/>
  <c r="K199" i="2"/>
  <c r="F199" i="2"/>
  <c r="E199" i="2"/>
  <c r="G199" i="2" s="1"/>
  <c r="L198" i="2"/>
  <c r="K198" i="2"/>
  <c r="M198" i="2" s="1"/>
  <c r="G198" i="2"/>
  <c r="N198" i="2" s="1"/>
  <c r="F198" i="2"/>
  <c r="E198" i="2"/>
  <c r="M197" i="2"/>
  <c r="N197" i="2" s="1"/>
  <c r="L197" i="2"/>
  <c r="K197" i="2"/>
  <c r="F197" i="2"/>
  <c r="G197" i="2" s="1"/>
  <c r="E197" i="2"/>
  <c r="M196" i="2"/>
  <c r="L196" i="2"/>
  <c r="K196" i="2"/>
  <c r="F196" i="2"/>
  <c r="E196" i="2"/>
  <c r="L195" i="2"/>
  <c r="K195" i="2"/>
  <c r="M195" i="2" s="1"/>
  <c r="N195" i="2" s="1"/>
  <c r="F195" i="2"/>
  <c r="E195" i="2"/>
  <c r="G195" i="2" s="1"/>
  <c r="L194" i="2"/>
  <c r="K194" i="2"/>
  <c r="M194" i="2" s="1"/>
  <c r="N194" i="2" s="1"/>
  <c r="G194" i="2"/>
  <c r="F194" i="2"/>
  <c r="E194" i="2"/>
  <c r="M193" i="2"/>
  <c r="L193" i="2"/>
  <c r="K193" i="2"/>
  <c r="G193" i="2"/>
  <c r="N193" i="2" s="1"/>
  <c r="F193" i="2"/>
  <c r="E193" i="2"/>
  <c r="L192" i="2"/>
  <c r="M192" i="2" s="1"/>
  <c r="N192" i="2" s="1"/>
  <c r="K192" i="2"/>
  <c r="F192" i="2"/>
  <c r="E192" i="2"/>
  <c r="G192" i="2" s="1"/>
  <c r="L191" i="2"/>
  <c r="K191" i="2"/>
  <c r="F191" i="2"/>
  <c r="E191" i="2"/>
  <c r="G191" i="2" s="1"/>
  <c r="L190" i="2"/>
  <c r="K190" i="2"/>
  <c r="G190" i="2"/>
  <c r="F190" i="2"/>
  <c r="E190" i="2"/>
  <c r="L189" i="2"/>
  <c r="K189" i="2"/>
  <c r="G189" i="2"/>
  <c r="E189" i="2"/>
  <c r="M188" i="2"/>
  <c r="L188" i="2"/>
  <c r="K188" i="2"/>
  <c r="G188" i="2"/>
  <c r="N188" i="2" s="1"/>
  <c r="F188" i="2"/>
  <c r="E188" i="2"/>
  <c r="L187" i="2"/>
  <c r="M187" i="2" s="1"/>
  <c r="N187" i="2" s="1"/>
  <c r="K187" i="2"/>
  <c r="F187" i="2"/>
  <c r="E187" i="2"/>
  <c r="G187" i="2" s="1"/>
  <c r="L186" i="2"/>
  <c r="K186" i="2"/>
  <c r="F186" i="2"/>
  <c r="E186" i="2"/>
  <c r="G186" i="2" s="1"/>
  <c r="N185" i="2"/>
  <c r="L185" i="2"/>
  <c r="K185" i="2"/>
  <c r="M185" i="2" s="1"/>
  <c r="G185" i="2"/>
  <c r="F185" i="2"/>
  <c r="E185" i="2"/>
  <c r="M184" i="2"/>
  <c r="L184" i="2"/>
  <c r="K184" i="2"/>
  <c r="F184" i="2"/>
  <c r="G184" i="2" s="1"/>
  <c r="E184" i="2"/>
  <c r="M183" i="2"/>
  <c r="L183" i="2"/>
  <c r="K183" i="2"/>
  <c r="F183" i="2"/>
  <c r="E183" i="2"/>
  <c r="L182" i="2"/>
  <c r="K182" i="2"/>
  <c r="M182" i="2" s="1"/>
  <c r="N182" i="2" s="1"/>
  <c r="F182" i="2"/>
  <c r="E182" i="2"/>
  <c r="G182" i="2" s="1"/>
  <c r="L181" i="2"/>
  <c r="K181" i="2"/>
  <c r="M181" i="2" s="1"/>
  <c r="N181" i="2" s="1"/>
  <c r="G181" i="2"/>
  <c r="F181" i="2"/>
  <c r="E181" i="2"/>
  <c r="M180" i="2"/>
  <c r="L180" i="2"/>
  <c r="K180" i="2"/>
  <c r="G180" i="2"/>
  <c r="N180" i="2" s="1"/>
  <c r="F180" i="2"/>
  <c r="E180" i="2"/>
  <c r="L179" i="2"/>
  <c r="M179" i="2" s="1"/>
  <c r="N179" i="2" s="1"/>
  <c r="K179" i="2"/>
  <c r="F179" i="2"/>
  <c r="E179" i="2"/>
  <c r="G179" i="2" s="1"/>
  <c r="L178" i="2"/>
  <c r="K178" i="2"/>
  <c r="F178" i="2"/>
  <c r="E178" i="2"/>
  <c r="G178" i="2" s="1"/>
  <c r="N177" i="2"/>
  <c r="L177" i="2"/>
  <c r="K177" i="2"/>
  <c r="M177" i="2" s="1"/>
  <c r="G177" i="2"/>
  <c r="F177" i="2"/>
  <c r="E177" i="2"/>
  <c r="M176" i="2"/>
  <c r="N176" i="2" s="1"/>
  <c r="L176" i="2"/>
  <c r="K176" i="2"/>
  <c r="F176" i="2"/>
  <c r="G176" i="2" s="1"/>
  <c r="E176" i="2"/>
  <c r="M175" i="2"/>
  <c r="L175" i="2"/>
  <c r="K175" i="2"/>
  <c r="F175" i="2"/>
  <c r="E175" i="2"/>
  <c r="L174" i="2"/>
  <c r="K174" i="2"/>
  <c r="M174" i="2" s="1"/>
  <c r="N174" i="2" s="1"/>
  <c r="F174" i="2"/>
  <c r="E174" i="2"/>
  <c r="G174" i="2" s="1"/>
  <c r="L173" i="2"/>
  <c r="K173" i="2"/>
  <c r="M173" i="2" s="1"/>
  <c r="N173" i="2" s="1"/>
  <c r="G173" i="2"/>
  <c r="F173" i="2"/>
  <c r="E173" i="2"/>
  <c r="M172" i="2"/>
  <c r="L172" i="2"/>
  <c r="K172" i="2"/>
  <c r="G172" i="2"/>
  <c r="N172" i="2" s="1"/>
  <c r="F172" i="2"/>
  <c r="E172" i="2"/>
  <c r="M171" i="2"/>
  <c r="L171" i="2"/>
  <c r="K171" i="2"/>
  <c r="F171" i="2"/>
  <c r="E171" i="2"/>
  <c r="G171" i="2" s="1"/>
  <c r="L170" i="2"/>
  <c r="K170" i="2"/>
  <c r="F170" i="2"/>
  <c r="E170" i="2"/>
  <c r="G170" i="2" s="1"/>
  <c r="L169" i="2"/>
  <c r="K169" i="2"/>
  <c r="M169" i="2" s="1"/>
  <c r="G169" i="2"/>
  <c r="N169" i="2" s="1"/>
  <c r="F169" i="2"/>
  <c r="E169" i="2"/>
  <c r="M168" i="2"/>
  <c r="N168" i="2" s="1"/>
  <c r="L168" i="2"/>
  <c r="K168" i="2"/>
  <c r="F168" i="2"/>
  <c r="G168" i="2" s="1"/>
  <c r="E168" i="2"/>
  <c r="M167" i="2"/>
  <c r="L167" i="2"/>
  <c r="K167" i="2"/>
  <c r="F167" i="2"/>
  <c r="E167" i="2"/>
  <c r="L166" i="2"/>
  <c r="K166" i="2"/>
  <c r="M166" i="2" s="1"/>
  <c r="N166" i="2" s="1"/>
  <c r="F166" i="2"/>
  <c r="E166" i="2"/>
  <c r="G166" i="2" s="1"/>
  <c r="L165" i="2"/>
  <c r="K165" i="2"/>
  <c r="M165" i="2" s="1"/>
  <c r="N165" i="2" s="1"/>
  <c r="G165" i="2"/>
  <c r="F165" i="2"/>
  <c r="E165" i="2"/>
  <c r="M164" i="2"/>
  <c r="L164" i="2"/>
  <c r="K164" i="2"/>
  <c r="G164" i="2"/>
  <c r="N164" i="2" s="1"/>
  <c r="F164" i="2"/>
  <c r="E164" i="2"/>
  <c r="L163" i="2"/>
  <c r="M163" i="2" s="1"/>
  <c r="N163" i="2" s="1"/>
  <c r="K163" i="2"/>
  <c r="F163" i="2"/>
  <c r="E163" i="2"/>
  <c r="G163" i="2" s="1"/>
  <c r="L162" i="2"/>
  <c r="K162" i="2"/>
  <c r="F162" i="2"/>
  <c r="E162" i="2"/>
  <c r="G162" i="2" s="1"/>
  <c r="N161" i="2"/>
  <c r="L161" i="2"/>
  <c r="K161" i="2"/>
  <c r="M161" i="2" s="1"/>
  <c r="G161" i="2"/>
  <c r="F161" i="2"/>
  <c r="E161" i="2"/>
  <c r="M160" i="2"/>
  <c r="N160" i="2" s="1"/>
  <c r="L160" i="2"/>
  <c r="K160" i="2"/>
  <c r="F160" i="2"/>
  <c r="G160" i="2" s="1"/>
  <c r="E160" i="2"/>
  <c r="M159" i="2"/>
  <c r="L159" i="2"/>
  <c r="K159" i="2"/>
  <c r="F159" i="2"/>
  <c r="E159" i="2"/>
  <c r="L158" i="2"/>
  <c r="K158" i="2"/>
  <c r="M158" i="2" s="1"/>
  <c r="N158" i="2" s="1"/>
  <c r="F158" i="2"/>
  <c r="E158" i="2"/>
  <c r="G158" i="2" s="1"/>
  <c r="L157" i="2"/>
  <c r="K157" i="2"/>
  <c r="M157" i="2" s="1"/>
  <c r="N157" i="2" s="1"/>
  <c r="G157" i="2"/>
  <c r="F157" i="2"/>
  <c r="E157" i="2"/>
  <c r="M156" i="2"/>
  <c r="L156" i="2"/>
  <c r="K156" i="2"/>
  <c r="G156" i="2"/>
  <c r="N156" i="2" s="1"/>
  <c r="F156" i="2"/>
  <c r="E156" i="2"/>
  <c r="L155" i="2"/>
  <c r="M155" i="2" s="1"/>
  <c r="N155" i="2" s="1"/>
  <c r="K155" i="2"/>
  <c r="F155" i="2"/>
  <c r="E155" i="2"/>
  <c r="G155" i="2" s="1"/>
  <c r="L154" i="2"/>
  <c r="K154" i="2"/>
  <c r="F154" i="2"/>
  <c r="E154" i="2"/>
  <c r="G154" i="2" s="1"/>
  <c r="N153" i="2"/>
  <c r="L153" i="2"/>
  <c r="K153" i="2"/>
  <c r="M153" i="2" s="1"/>
  <c r="G153" i="2"/>
  <c r="F153" i="2"/>
  <c r="E153" i="2"/>
  <c r="M152" i="2"/>
  <c r="L152" i="2"/>
  <c r="K152" i="2"/>
  <c r="F152" i="2"/>
  <c r="G152" i="2" s="1"/>
  <c r="E152" i="2"/>
  <c r="M151" i="2"/>
  <c r="L151" i="2"/>
  <c r="K151" i="2"/>
  <c r="F151" i="2"/>
  <c r="E151" i="2"/>
  <c r="L150" i="2"/>
  <c r="K150" i="2"/>
  <c r="M150" i="2" s="1"/>
  <c r="N150" i="2" s="1"/>
  <c r="F150" i="2"/>
  <c r="E150" i="2"/>
  <c r="G150" i="2" s="1"/>
  <c r="L149" i="2"/>
  <c r="K149" i="2"/>
  <c r="M149" i="2" s="1"/>
  <c r="N149" i="2" s="1"/>
  <c r="G149" i="2"/>
  <c r="F149" i="2"/>
  <c r="E149" i="2"/>
  <c r="M148" i="2"/>
  <c r="L148" i="2"/>
  <c r="K148" i="2"/>
  <c r="G148" i="2"/>
  <c r="N148" i="2" s="1"/>
  <c r="F148" i="2"/>
  <c r="E148" i="2"/>
  <c r="L147" i="2"/>
  <c r="M147" i="2" s="1"/>
  <c r="N147" i="2" s="1"/>
  <c r="K147" i="2"/>
  <c r="F147" i="2"/>
  <c r="E147" i="2"/>
  <c r="G147" i="2" s="1"/>
  <c r="L146" i="2"/>
  <c r="K146" i="2"/>
  <c r="F146" i="2"/>
  <c r="E146" i="2"/>
  <c r="G146" i="2" s="1"/>
  <c r="N145" i="2"/>
  <c r="L145" i="2"/>
  <c r="K145" i="2"/>
  <c r="M145" i="2" s="1"/>
  <c r="G145" i="2"/>
  <c r="F145" i="2"/>
  <c r="E145" i="2"/>
  <c r="M144" i="2"/>
  <c r="N144" i="2" s="1"/>
  <c r="L144" i="2"/>
  <c r="K144" i="2"/>
  <c r="F144" i="2"/>
  <c r="G144" i="2" s="1"/>
  <c r="E144" i="2"/>
  <c r="M143" i="2"/>
  <c r="L143" i="2"/>
  <c r="K143" i="2"/>
  <c r="F143" i="2"/>
  <c r="E143" i="2"/>
  <c r="L142" i="2"/>
  <c r="K142" i="2"/>
  <c r="M142" i="2" s="1"/>
  <c r="N142" i="2" s="1"/>
  <c r="F142" i="2"/>
  <c r="E142" i="2"/>
  <c r="G142" i="2" s="1"/>
  <c r="L141" i="2"/>
  <c r="K141" i="2"/>
  <c r="M141" i="2" s="1"/>
  <c r="N141" i="2" s="1"/>
  <c r="G141" i="2"/>
  <c r="F141" i="2"/>
  <c r="E141" i="2"/>
  <c r="M140" i="2"/>
  <c r="L140" i="2"/>
  <c r="K140" i="2"/>
  <c r="G140" i="2"/>
  <c r="N140" i="2" s="1"/>
  <c r="F140" i="2"/>
  <c r="E140" i="2"/>
  <c r="M139" i="2"/>
  <c r="L139" i="2"/>
  <c r="K139" i="2"/>
  <c r="F139" i="2"/>
  <c r="E139" i="2"/>
  <c r="G139" i="2" s="1"/>
  <c r="L138" i="2"/>
  <c r="K138" i="2"/>
  <c r="F138" i="2"/>
  <c r="E138" i="2"/>
  <c r="G138" i="2" s="1"/>
  <c r="L137" i="2"/>
  <c r="K137" i="2"/>
  <c r="M137" i="2" s="1"/>
  <c r="G137" i="2"/>
  <c r="N137" i="2" s="1"/>
  <c r="F137" i="2"/>
  <c r="E137" i="2"/>
  <c r="M136" i="2"/>
  <c r="N136" i="2" s="1"/>
  <c r="L136" i="2"/>
  <c r="K136" i="2"/>
  <c r="F136" i="2"/>
  <c r="G136" i="2" s="1"/>
  <c r="E136" i="2"/>
  <c r="M135" i="2"/>
  <c r="L135" i="2"/>
  <c r="K135" i="2"/>
  <c r="F135" i="2"/>
  <c r="E135" i="2"/>
  <c r="L134" i="2"/>
  <c r="K134" i="2"/>
  <c r="M134" i="2" s="1"/>
  <c r="N134" i="2" s="1"/>
  <c r="F134" i="2"/>
  <c r="E134" i="2"/>
  <c r="G134" i="2" s="1"/>
  <c r="L133" i="2"/>
  <c r="K133" i="2"/>
  <c r="M133" i="2" s="1"/>
  <c r="N133" i="2" s="1"/>
  <c r="G133" i="2"/>
  <c r="F133" i="2"/>
  <c r="E133" i="2"/>
  <c r="M132" i="2"/>
  <c r="L132" i="2"/>
  <c r="K132" i="2"/>
  <c r="G132" i="2"/>
  <c r="N132" i="2" s="1"/>
  <c r="F132" i="2"/>
  <c r="E132" i="2"/>
  <c r="L131" i="2"/>
  <c r="M131" i="2" s="1"/>
  <c r="N131" i="2" s="1"/>
  <c r="K131" i="2"/>
  <c r="F131" i="2"/>
  <c r="E131" i="2"/>
  <c r="G131" i="2" s="1"/>
  <c r="L130" i="2"/>
  <c r="K130" i="2"/>
  <c r="F130" i="2"/>
  <c r="E130" i="2"/>
  <c r="G130" i="2" s="1"/>
  <c r="N129" i="2"/>
  <c r="L129" i="2"/>
  <c r="K129" i="2"/>
  <c r="M129" i="2" s="1"/>
  <c r="G129" i="2"/>
  <c r="F129" i="2"/>
  <c r="E129" i="2"/>
  <c r="M128" i="2"/>
  <c r="N128" i="2" s="1"/>
  <c r="L128" i="2"/>
  <c r="K128" i="2"/>
  <c r="F128" i="2"/>
  <c r="G128" i="2" s="1"/>
  <c r="E128" i="2"/>
  <c r="M127" i="2"/>
  <c r="L127" i="2"/>
  <c r="K127" i="2"/>
  <c r="F127" i="2"/>
  <c r="E127" i="2"/>
  <c r="L126" i="2"/>
  <c r="K126" i="2"/>
  <c r="M126" i="2" s="1"/>
  <c r="N126" i="2" s="1"/>
  <c r="F126" i="2"/>
  <c r="E126" i="2"/>
  <c r="G126" i="2" s="1"/>
  <c r="L125" i="2"/>
  <c r="K125" i="2"/>
  <c r="M125" i="2" s="1"/>
  <c r="N125" i="2" s="1"/>
  <c r="G125" i="2"/>
  <c r="F125" i="2"/>
  <c r="E125" i="2"/>
  <c r="M124" i="2"/>
  <c r="L124" i="2"/>
  <c r="K124" i="2"/>
  <c r="G124" i="2"/>
  <c r="N124" i="2" s="1"/>
  <c r="F124" i="2"/>
  <c r="E124" i="2"/>
  <c r="L123" i="2"/>
  <c r="M123" i="2" s="1"/>
  <c r="N123" i="2" s="1"/>
  <c r="K123" i="2"/>
  <c r="F123" i="2"/>
  <c r="E123" i="2"/>
  <c r="G123" i="2" s="1"/>
  <c r="L122" i="2"/>
  <c r="K122" i="2"/>
  <c r="F122" i="2"/>
  <c r="E122" i="2"/>
  <c r="G122" i="2" s="1"/>
  <c r="N121" i="2"/>
  <c r="L121" i="2"/>
  <c r="K121" i="2"/>
  <c r="M121" i="2" s="1"/>
  <c r="G121" i="2"/>
  <c r="F121" i="2"/>
  <c r="E121" i="2"/>
  <c r="M120" i="2"/>
  <c r="L120" i="2"/>
  <c r="K120" i="2"/>
  <c r="F120" i="2"/>
  <c r="G120" i="2" s="1"/>
  <c r="E120" i="2"/>
  <c r="M119" i="2"/>
  <c r="L119" i="2"/>
  <c r="K119" i="2"/>
  <c r="F119" i="2"/>
  <c r="E119" i="2"/>
  <c r="L118" i="2"/>
  <c r="K118" i="2"/>
  <c r="M118" i="2" s="1"/>
  <c r="N118" i="2" s="1"/>
  <c r="F118" i="2"/>
  <c r="E118" i="2"/>
  <c r="G118" i="2" s="1"/>
  <c r="L117" i="2"/>
  <c r="K117" i="2"/>
  <c r="M117" i="2" s="1"/>
  <c r="N117" i="2" s="1"/>
  <c r="G117" i="2"/>
  <c r="F117" i="2"/>
  <c r="E117" i="2"/>
  <c r="M116" i="2"/>
  <c r="L116" i="2"/>
  <c r="K116" i="2"/>
  <c r="G116" i="2"/>
  <c r="N116" i="2" s="1"/>
  <c r="F116" i="2"/>
  <c r="E116" i="2"/>
  <c r="L115" i="2"/>
  <c r="M115" i="2" s="1"/>
  <c r="N115" i="2" s="1"/>
  <c r="K115" i="2"/>
  <c r="F115" i="2"/>
  <c r="E115" i="2"/>
  <c r="G115" i="2" s="1"/>
  <c r="L114" i="2"/>
  <c r="K114" i="2"/>
  <c r="F114" i="2"/>
  <c r="E114" i="2"/>
  <c r="G114" i="2" s="1"/>
  <c r="N113" i="2"/>
  <c r="L113" i="2"/>
  <c r="K113" i="2"/>
  <c r="M113" i="2" s="1"/>
  <c r="G113" i="2"/>
  <c r="F113" i="2"/>
  <c r="E113" i="2"/>
  <c r="M112" i="2"/>
  <c r="N112" i="2" s="1"/>
  <c r="L112" i="2"/>
  <c r="K112" i="2"/>
  <c r="F112" i="2"/>
  <c r="G112" i="2" s="1"/>
  <c r="E112" i="2"/>
  <c r="M111" i="2"/>
  <c r="L111" i="2"/>
  <c r="K111" i="2"/>
  <c r="F111" i="2"/>
  <c r="E111" i="2"/>
  <c r="L110" i="2"/>
  <c r="K110" i="2"/>
  <c r="M110" i="2" s="1"/>
  <c r="N110" i="2" s="1"/>
  <c r="F110" i="2"/>
  <c r="E110" i="2"/>
  <c r="G110" i="2" s="1"/>
  <c r="L109" i="2"/>
  <c r="K109" i="2"/>
  <c r="M109" i="2" s="1"/>
  <c r="N109" i="2" s="1"/>
  <c r="G109" i="2"/>
  <c r="F109" i="2"/>
  <c r="E109" i="2"/>
  <c r="M108" i="2"/>
  <c r="L108" i="2"/>
  <c r="K108" i="2"/>
  <c r="G108" i="2"/>
  <c r="N108" i="2" s="1"/>
  <c r="F108" i="2"/>
  <c r="E108" i="2"/>
  <c r="M107" i="2"/>
  <c r="L107" i="2"/>
  <c r="K107" i="2"/>
  <c r="F107" i="2"/>
  <c r="E107" i="2"/>
  <c r="G107" i="2" s="1"/>
  <c r="L106" i="2"/>
  <c r="K106" i="2"/>
  <c r="F106" i="2"/>
  <c r="E106" i="2"/>
  <c r="G106" i="2" s="1"/>
  <c r="L105" i="2"/>
  <c r="K105" i="2"/>
  <c r="M105" i="2" s="1"/>
  <c r="G105" i="2"/>
  <c r="N105" i="2" s="1"/>
  <c r="F105" i="2"/>
  <c r="E105" i="2"/>
  <c r="M104" i="2"/>
  <c r="N104" i="2" s="1"/>
  <c r="L104" i="2"/>
  <c r="K104" i="2"/>
  <c r="F104" i="2"/>
  <c r="G104" i="2" s="1"/>
  <c r="E104" i="2"/>
  <c r="M103" i="2"/>
  <c r="L103" i="2"/>
  <c r="K103" i="2"/>
  <c r="F103" i="2"/>
  <c r="E103" i="2"/>
  <c r="L102" i="2"/>
  <c r="K102" i="2"/>
  <c r="M102" i="2" s="1"/>
  <c r="N102" i="2" s="1"/>
  <c r="F102" i="2"/>
  <c r="E102" i="2"/>
  <c r="G102" i="2" s="1"/>
  <c r="L101" i="2"/>
  <c r="K101" i="2"/>
  <c r="M101" i="2" s="1"/>
  <c r="N101" i="2" s="1"/>
  <c r="G101" i="2"/>
  <c r="F101" i="2"/>
  <c r="E101" i="2"/>
  <c r="M100" i="2"/>
  <c r="L100" i="2"/>
  <c r="K100" i="2"/>
  <c r="G100" i="2"/>
  <c r="N100" i="2" s="1"/>
  <c r="F100" i="2"/>
  <c r="E100" i="2"/>
  <c r="L99" i="2"/>
  <c r="M99" i="2" s="1"/>
  <c r="N99" i="2" s="1"/>
  <c r="K99" i="2"/>
  <c r="F99" i="2"/>
  <c r="E99" i="2"/>
  <c r="G99" i="2" s="1"/>
  <c r="L98" i="2"/>
  <c r="K98" i="2"/>
  <c r="F98" i="2"/>
  <c r="E98" i="2"/>
  <c r="G98" i="2" s="1"/>
  <c r="L97" i="2"/>
  <c r="K97" i="2"/>
  <c r="M97" i="2" s="1"/>
  <c r="G97" i="2"/>
  <c r="N97" i="2" s="1"/>
  <c r="F97" i="2"/>
  <c r="E97" i="2"/>
  <c r="M96" i="2"/>
  <c r="N96" i="2" s="1"/>
  <c r="L96" i="2"/>
  <c r="K96" i="2"/>
  <c r="F96" i="2"/>
  <c r="G96" i="2" s="1"/>
  <c r="E96" i="2"/>
  <c r="M95" i="2"/>
  <c r="L95" i="2"/>
  <c r="K95" i="2"/>
  <c r="F95" i="2"/>
  <c r="E95" i="2"/>
  <c r="L94" i="2"/>
  <c r="K94" i="2"/>
  <c r="M94" i="2" s="1"/>
  <c r="N94" i="2" s="1"/>
  <c r="F94" i="2"/>
  <c r="E94" i="2"/>
  <c r="G94" i="2" s="1"/>
  <c r="L93" i="2"/>
  <c r="K93" i="2"/>
  <c r="M93" i="2" s="1"/>
  <c r="N93" i="2" s="1"/>
  <c r="G93" i="2"/>
  <c r="F93" i="2"/>
  <c r="E93" i="2"/>
  <c r="M92" i="2"/>
  <c r="L92" i="2"/>
  <c r="K92" i="2"/>
  <c r="G92" i="2"/>
  <c r="N92" i="2" s="1"/>
  <c r="F92" i="2"/>
  <c r="E92" i="2"/>
  <c r="L91" i="2"/>
  <c r="M91" i="2" s="1"/>
  <c r="N91" i="2" s="1"/>
  <c r="K91" i="2"/>
  <c r="F91" i="2"/>
  <c r="E91" i="2"/>
  <c r="G91" i="2" s="1"/>
  <c r="L90" i="2"/>
  <c r="K90" i="2"/>
  <c r="F90" i="2"/>
  <c r="E90" i="2"/>
  <c r="G90" i="2" s="1"/>
  <c r="N89" i="2"/>
  <c r="L89" i="2"/>
  <c r="K89" i="2"/>
  <c r="M89" i="2" s="1"/>
  <c r="G89" i="2"/>
  <c r="F89" i="2"/>
  <c r="E89" i="2"/>
  <c r="M88" i="2"/>
  <c r="L88" i="2"/>
  <c r="K88" i="2"/>
  <c r="F88" i="2"/>
  <c r="G88" i="2" s="1"/>
  <c r="E88" i="2"/>
  <c r="M87" i="2"/>
  <c r="L87" i="2"/>
  <c r="K87" i="2"/>
  <c r="F87" i="2"/>
  <c r="E87" i="2"/>
  <c r="L86" i="2"/>
  <c r="K86" i="2"/>
  <c r="M86" i="2" s="1"/>
  <c r="N86" i="2" s="1"/>
  <c r="F86" i="2"/>
  <c r="E86" i="2"/>
  <c r="G86" i="2" s="1"/>
  <c r="L85" i="2"/>
  <c r="K85" i="2"/>
  <c r="M85" i="2" s="1"/>
  <c r="N85" i="2" s="1"/>
  <c r="G85" i="2"/>
  <c r="F85" i="2"/>
  <c r="E85" i="2"/>
  <c r="M84" i="2"/>
  <c r="L84" i="2"/>
  <c r="K84" i="2"/>
  <c r="G84" i="2"/>
  <c r="N84" i="2" s="1"/>
  <c r="F84" i="2"/>
  <c r="E84" i="2"/>
  <c r="L83" i="2"/>
  <c r="M83" i="2" s="1"/>
  <c r="N83" i="2" s="1"/>
  <c r="K83" i="2"/>
  <c r="F83" i="2"/>
  <c r="E83" i="2"/>
  <c r="G83" i="2" s="1"/>
  <c r="L82" i="2"/>
  <c r="K82" i="2"/>
  <c r="F82" i="2"/>
  <c r="E82" i="2"/>
  <c r="G82" i="2" s="1"/>
  <c r="N81" i="2"/>
  <c r="L81" i="2"/>
  <c r="K81" i="2"/>
  <c r="M81" i="2" s="1"/>
  <c r="G81" i="2"/>
  <c r="F81" i="2"/>
  <c r="E81" i="2"/>
  <c r="M80" i="2"/>
  <c r="L80" i="2"/>
  <c r="K80" i="2"/>
  <c r="F80" i="2"/>
  <c r="G80" i="2" s="1"/>
  <c r="E80" i="2"/>
  <c r="M79" i="2"/>
  <c r="L79" i="2"/>
  <c r="K79" i="2"/>
  <c r="F79" i="2"/>
  <c r="E79" i="2"/>
  <c r="L78" i="2"/>
  <c r="K78" i="2"/>
  <c r="M78" i="2" s="1"/>
  <c r="N78" i="2" s="1"/>
  <c r="F78" i="2"/>
  <c r="E78" i="2"/>
  <c r="G78" i="2" s="1"/>
  <c r="L77" i="2"/>
  <c r="K77" i="2"/>
  <c r="M77" i="2" s="1"/>
  <c r="N77" i="2" s="1"/>
  <c r="G77" i="2"/>
  <c r="F77" i="2"/>
  <c r="E77" i="2"/>
  <c r="M76" i="2"/>
  <c r="L76" i="2"/>
  <c r="K76" i="2"/>
  <c r="G76" i="2"/>
  <c r="N76" i="2" s="1"/>
  <c r="F76" i="2"/>
  <c r="E76" i="2"/>
  <c r="M75" i="2"/>
  <c r="L75" i="2"/>
  <c r="K75" i="2"/>
  <c r="F75" i="2"/>
  <c r="E75" i="2"/>
  <c r="G75" i="2" s="1"/>
  <c r="L74" i="2"/>
  <c r="K74" i="2"/>
  <c r="F74" i="2"/>
  <c r="E74" i="2"/>
  <c r="G74" i="2" s="1"/>
  <c r="L73" i="2"/>
  <c r="K73" i="2"/>
  <c r="M73" i="2" s="1"/>
  <c r="G73" i="2"/>
  <c r="N73" i="2" s="1"/>
  <c r="F73" i="2"/>
  <c r="E73" i="2"/>
  <c r="M72" i="2"/>
  <c r="N72" i="2" s="1"/>
  <c r="L72" i="2"/>
  <c r="K72" i="2"/>
  <c r="F72" i="2"/>
  <c r="G72" i="2" s="1"/>
  <c r="E72" i="2"/>
  <c r="M71" i="2"/>
  <c r="L71" i="2"/>
  <c r="K71" i="2"/>
  <c r="F71" i="2"/>
  <c r="E71" i="2"/>
  <c r="L70" i="2"/>
  <c r="K70" i="2"/>
  <c r="M70" i="2" s="1"/>
  <c r="N70" i="2" s="1"/>
  <c r="F70" i="2"/>
  <c r="E70" i="2"/>
  <c r="G70" i="2" s="1"/>
  <c r="L69" i="2"/>
  <c r="K69" i="2"/>
  <c r="M69" i="2" s="1"/>
  <c r="N69" i="2" s="1"/>
  <c r="G69" i="2"/>
  <c r="F69" i="2"/>
  <c r="E69" i="2"/>
  <c r="M68" i="2"/>
  <c r="L68" i="2"/>
  <c r="K68" i="2"/>
  <c r="G68" i="2"/>
  <c r="N68" i="2" s="1"/>
  <c r="F68" i="2"/>
  <c r="E68" i="2"/>
  <c r="M67" i="2"/>
  <c r="L67" i="2"/>
  <c r="K67" i="2"/>
  <c r="F67" i="2"/>
  <c r="E67" i="2"/>
  <c r="G67" i="2" s="1"/>
  <c r="L66" i="2"/>
  <c r="K66" i="2"/>
  <c r="F66" i="2"/>
  <c r="E66" i="2"/>
  <c r="G66" i="2" s="1"/>
  <c r="L65" i="2"/>
  <c r="K65" i="2"/>
  <c r="M65" i="2" s="1"/>
  <c r="G65" i="2"/>
  <c r="N65" i="2" s="1"/>
  <c r="F65" i="2"/>
  <c r="E65" i="2"/>
  <c r="M64" i="2"/>
  <c r="N64" i="2" s="1"/>
  <c r="L64" i="2"/>
  <c r="K64" i="2"/>
  <c r="F64" i="2"/>
  <c r="G64" i="2" s="1"/>
  <c r="E64" i="2"/>
  <c r="M63" i="2"/>
  <c r="L63" i="2"/>
  <c r="K63" i="2"/>
  <c r="F63" i="2"/>
  <c r="E63" i="2"/>
  <c r="L62" i="2"/>
  <c r="K62" i="2"/>
  <c r="M62" i="2" s="1"/>
  <c r="N62" i="2" s="1"/>
  <c r="F62" i="2"/>
  <c r="E62" i="2"/>
  <c r="G62" i="2" s="1"/>
  <c r="L61" i="2"/>
  <c r="K61" i="2"/>
  <c r="M61" i="2" s="1"/>
  <c r="N61" i="2" s="1"/>
  <c r="G61" i="2"/>
  <c r="F61" i="2"/>
  <c r="E61" i="2"/>
  <c r="M60" i="2"/>
  <c r="L60" i="2"/>
  <c r="K60" i="2"/>
  <c r="G60" i="2"/>
  <c r="N60" i="2" s="1"/>
  <c r="F60" i="2"/>
  <c r="E60" i="2"/>
  <c r="L59" i="2"/>
  <c r="M59" i="2" s="1"/>
  <c r="N59" i="2" s="1"/>
  <c r="K59" i="2"/>
  <c r="F59" i="2"/>
  <c r="E59" i="2"/>
  <c r="G59" i="2" s="1"/>
  <c r="L58" i="2"/>
  <c r="K58" i="2"/>
  <c r="F58" i="2"/>
  <c r="E58" i="2"/>
  <c r="G58" i="2" s="1"/>
  <c r="N57" i="2"/>
  <c r="L57" i="2"/>
  <c r="K57" i="2"/>
  <c r="M57" i="2" s="1"/>
  <c r="G57" i="2"/>
  <c r="F57" i="2"/>
  <c r="E57" i="2"/>
  <c r="M56" i="2"/>
  <c r="L56" i="2"/>
  <c r="K56" i="2"/>
  <c r="F56" i="2"/>
  <c r="G56" i="2" s="1"/>
  <c r="E56" i="2"/>
  <c r="M55" i="2"/>
  <c r="L55" i="2"/>
  <c r="K55" i="2"/>
  <c r="F55" i="2"/>
  <c r="E55" i="2"/>
  <c r="L54" i="2"/>
  <c r="K54" i="2"/>
  <c r="M54" i="2" s="1"/>
  <c r="N54" i="2" s="1"/>
  <c r="F54" i="2"/>
  <c r="E54" i="2"/>
  <c r="G54" i="2" s="1"/>
  <c r="L53" i="2"/>
  <c r="K53" i="2"/>
  <c r="M53" i="2" s="1"/>
  <c r="N53" i="2" s="1"/>
  <c r="G53" i="2"/>
  <c r="F53" i="2"/>
  <c r="E53" i="2"/>
  <c r="M52" i="2"/>
  <c r="L52" i="2"/>
  <c r="K52" i="2"/>
  <c r="G52" i="2"/>
  <c r="N52" i="2" s="1"/>
  <c r="F52" i="2"/>
  <c r="E52" i="2"/>
  <c r="L51" i="2"/>
  <c r="M51" i="2" s="1"/>
  <c r="N51" i="2" s="1"/>
  <c r="K51" i="2"/>
  <c r="F51" i="2"/>
  <c r="E51" i="2"/>
  <c r="G51" i="2" s="1"/>
  <c r="L50" i="2"/>
  <c r="K50" i="2"/>
  <c r="F50" i="2"/>
  <c r="E50" i="2"/>
  <c r="G50" i="2" s="1"/>
  <c r="N49" i="2"/>
  <c r="L49" i="2"/>
  <c r="K49" i="2"/>
  <c r="M49" i="2" s="1"/>
  <c r="G49" i="2"/>
  <c r="F49" i="2"/>
  <c r="E49" i="2"/>
  <c r="M48" i="2"/>
  <c r="N48" i="2" s="1"/>
  <c r="L48" i="2"/>
  <c r="K48" i="2"/>
  <c r="F48" i="2"/>
  <c r="G48" i="2" s="1"/>
  <c r="E48" i="2"/>
  <c r="M47" i="2"/>
  <c r="L47" i="2"/>
  <c r="K47" i="2"/>
  <c r="F47" i="2"/>
  <c r="E47" i="2"/>
  <c r="L46" i="2"/>
  <c r="K46" i="2"/>
  <c r="M46" i="2" s="1"/>
  <c r="N46" i="2" s="1"/>
  <c r="F46" i="2"/>
  <c r="E46" i="2"/>
  <c r="G46" i="2" s="1"/>
  <c r="L45" i="2"/>
  <c r="K45" i="2"/>
  <c r="M45" i="2" s="1"/>
  <c r="N45" i="2" s="1"/>
  <c r="G45" i="2"/>
  <c r="F45" i="2"/>
  <c r="E45" i="2"/>
  <c r="M44" i="2"/>
  <c r="L44" i="2"/>
  <c r="K44" i="2"/>
  <c r="G44" i="2"/>
  <c r="N44" i="2" s="1"/>
  <c r="F44" i="2"/>
  <c r="E44" i="2"/>
  <c r="M43" i="2"/>
  <c r="L43" i="2"/>
  <c r="K43" i="2"/>
  <c r="F43" i="2"/>
  <c r="E43" i="2"/>
  <c r="G43" i="2" s="1"/>
  <c r="L42" i="2"/>
  <c r="K42" i="2"/>
  <c r="F42" i="2"/>
  <c r="E42" i="2"/>
  <c r="G42" i="2" s="1"/>
  <c r="L41" i="2"/>
  <c r="K41" i="2"/>
  <c r="M41" i="2" s="1"/>
  <c r="G41" i="2"/>
  <c r="N41" i="2" s="1"/>
  <c r="F41" i="2"/>
  <c r="E41" i="2"/>
  <c r="M40" i="2"/>
  <c r="N40" i="2" s="1"/>
  <c r="L40" i="2"/>
  <c r="K40" i="2"/>
  <c r="F40" i="2"/>
  <c r="G40" i="2" s="1"/>
  <c r="E40" i="2"/>
  <c r="M39" i="2"/>
  <c r="L39" i="2"/>
  <c r="K39" i="2"/>
  <c r="F39" i="2"/>
  <c r="E39" i="2"/>
  <c r="L38" i="2"/>
  <c r="K38" i="2"/>
  <c r="M38" i="2" s="1"/>
  <c r="N38" i="2" s="1"/>
  <c r="F38" i="2"/>
  <c r="E38" i="2"/>
  <c r="G38" i="2" s="1"/>
  <c r="L37" i="2"/>
  <c r="K37" i="2"/>
  <c r="M37" i="2" s="1"/>
  <c r="N37" i="2" s="1"/>
  <c r="G37" i="2"/>
  <c r="F37" i="2"/>
  <c r="E37" i="2"/>
  <c r="M36" i="2"/>
  <c r="L36" i="2"/>
  <c r="K36" i="2"/>
  <c r="G36" i="2"/>
  <c r="N36" i="2" s="1"/>
  <c r="F36" i="2"/>
  <c r="E36" i="2"/>
  <c r="L35" i="2"/>
  <c r="M35" i="2" s="1"/>
  <c r="N35" i="2" s="1"/>
  <c r="K35" i="2"/>
  <c r="F35" i="2"/>
  <c r="E35" i="2"/>
  <c r="G35" i="2" s="1"/>
  <c r="L34" i="2"/>
  <c r="K34" i="2"/>
  <c r="F34" i="2"/>
  <c r="E34" i="2"/>
  <c r="G34" i="2" s="1"/>
  <c r="N33" i="2"/>
  <c r="L33" i="2"/>
  <c r="K33" i="2"/>
  <c r="M33" i="2" s="1"/>
  <c r="G33" i="2"/>
  <c r="F33" i="2"/>
  <c r="E33" i="2"/>
  <c r="M32" i="2"/>
  <c r="N32" i="2" s="1"/>
  <c r="L32" i="2"/>
  <c r="K32" i="2"/>
  <c r="F32" i="2"/>
  <c r="G32" i="2" s="1"/>
  <c r="E32" i="2"/>
  <c r="M31" i="2"/>
  <c r="L31" i="2"/>
  <c r="K31" i="2"/>
  <c r="F31" i="2"/>
  <c r="E31" i="2"/>
  <c r="L30" i="2"/>
  <c r="K30" i="2"/>
  <c r="M30" i="2" s="1"/>
  <c r="N30" i="2" s="1"/>
  <c r="F30" i="2"/>
  <c r="E30" i="2"/>
  <c r="G30" i="2" s="1"/>
  <c r="L29" i="2"/>
  <c r="K29" i="2"/>
  <c r="M29" i="2" s="1"/>
  <c r="N29" i="2" s="1"/>
  <c r="G29" i="2"/>
  <c r="F29" i="2"/>
  <c r="E29" i="2"/>
  <c r="M28" i="2"/>
  <c r="L28" i="2"/>
  <c r="K28" i="2"/>
  <c r="G28" i="2"/>
  <c r="N28" i="2" s="1"/>
  <c r="F28" i="2"/>
  <c r="E28" i="2"/>
  <c r="L27" i="2"/>
  <c r="M27" i="2" s="1"/>
  <c r="N27" i="2" s="1"/>
  <c r="K27" i="2"/>
  <c r="F27" i="2"/>
  <c r="E27" i="2"/>
  <c r="G27" i="2" s="1"/>
  <c r="L26" i="2"/>
  <c r="K26" i="2"/>
  <c r="F26" i="2"/>
  <c r="E26" i="2"/>
  <c r="G26" i="2" s="1"/>
  <c r="N25" i="2"/>
  <c r="L25" i="2"/>
  <c r="K25" i="2"/>
  <c r="M25" i="2" s="1"/>
  <c r="G25" i="2"/>
  <c r="F25" i="2"/>
  <c r="E25" i="2"/>
  <c r="M24" i="2"/>
  <c r="L24" i="2"/>
  <c r="K24" i="2"/>
  <c r="F24" i="2"/>
  <c r="G24" i="2" s="1"/>
  <c r="E24" i="2"/>
  <c r="M23" i="2"/>
  <c r="L23" i="2"/>
  <c r="K23" i="2"/>
  <c r="F23" i="2"/>
  <c r="E23" i="2"/>
  <c r="U22" i="2"/>
  <c r="T22" i="2"/>
  <c r="V22" i="2" s="1"/>
  <c r="W10" i="2" s="1"/>
  <c r="L22" i="2"/>
  <c r="K22" i="2"/>
  <c r="M22" i="2" s="1"/>
  <c r="G22" i="2"/>
  <c r="N22" i="2" s="1"/>
  <c r="F22" i="2"/>
  <c r="E22" i="2"/>
  <c r="U21" i="2"/>
  <c r="V21" i="2" s="1"/>
  <c r="T21" i="2"/>
  <c r="M21" i="2"/>
  <c r="L21" i="2"/>
  <c r="K21" i="2"/>
  <c r="F21" i="2"/>
  <c r="E21" i="2"/>
  <c r="U20" i="2"/>
  <c r="T20" i="2"/>
  <c r="V20" i="2" s="1"/>
  <c r="W8" i="2" s="1"/>
  <c r="N20" i="2"/>
  <c r="L20" i="2"/>
  <c r="K20" i="2"/>
  <c r="M20" i="2" s="1"/>
  <c r="G20" i="2"/>
  <c r="F20" i="2"/>
  <c r="E20" i="2"/>
  <c r="U19" i="2"/>
  <c r="V19" i="2" s="1"/>
  <c r="T19" i="2"/>
  <c r="M19" i="2"/>
  <c r="L19" i="2"/>
  <c r="K19" i="2"/>
  <c r="F19" i="2"/>
  <c r="E19" i="2"/>
  <c r="U18" i="2"/>
  <c r="T18" i="2"/>
  <c r="V18" i="2" s="1"/>
  <c r="N18" i="2"/>
  <c r="L18" i="2"/>
  <c r="K18" i="2"/>
  <c r="M18" i="2" s="1"/>
  <c r="G18" i="2"/>
  <c r="F18" i="2"/>
  <c r="E18" i="2"/>
  <c r="U17" i="2"/>
  <c r="V17" i="2" s="1"/>
  <c r="T17" i="2"/>
  <c r="M17" i="2"/>
  <c r="L17" i="2"/>
  <c r="K17" i="2"/>
  <c r="F17" i="2"/>
  <c r="E17" i="2"/>
  <c r="U16" i="2"/>
  <c r="T16" i="2"/>
  <c r="V16" i="2" s="1"/>
  <c r="N16" i="2"/>
  <c r="L16" i="2"/>
  <c r="K16" i="2"/>
  <c r="M16" i="2" s="1"/>
  <c r="G16" i="2"/>
  <c r="F16" i="2"/>
  <c r="E16" i="2"/>
  <c r="U15" i="2"/>
  <c r="V15" i="2" s="1"/>
  <c r="W3" i="2" s="1"/>
  <c r="T15" i="2"/>
  <c r="M15" i="2"/>
  <c r="L15" i="2"/>
  <c r="K15" i="2"/>
  <c r="F15" i="2"/>
  <c r="E15" i="2"/>
  <c r="U14" i="2"/>
  <c r="T14" i="2"/>
  <c r="V14" i="2" s="1"/>
  <c r="W2" i="2" s="1"/>
  <c r="L14" i="2"/>
  <c r="K14" i="2"/>
  <c r="M14" i="2" s="1"/>
  <c r="G14" i="2"/>
  <c r="N14" i="2" s="1"/>
  <c r="F14" i="2"/>
  <c r="E14" i="2"/>
  <c r="L13" i="2"/>
  <c r="M13" i="2" s="1"/>
  <c r="N13" i="2" s="1"/>
  <c r="K13" i="2"/>
  <c r="F13" i="2"/>
  <c r="E13" i="2"/>
  <c r="G13" i="2" s="1"/>
  <c r="L12" i="2"/>
  <c r="K12" i="2"/>
  <c r="F12" i="2"/>
  <c r="E12" i="2"/>
  <c r="G12" i="2" s="1"/>
  <c r="N11" i="2"/>
  <c r="L11" i="2"/>
  <c r="K11" i="2"/>
  <c r="M11" i="2" s="1"/>
  <c r="G11" i="2"/>
  <c r="F11" i="2"/>
  <c r="E11" i="2"/>
  <c r="V10" i="2"/>
  <c r="U10" i="2"/>
  <c r="T10" i="2"/>
  <c r="M10" i="2"/>
  <c r="N10" i="2" s="1"/>
  <c r="L10" i="2"/>
  <c r="K10" i="2"/>
  <c r="F10" i="2"/>
  <c r="G10" i="2" s="1"/>
  <c r="E10" i="2"/>
  <c r="U9" i="2"/>
  <c r="V9" i="2" s="1"/>
  <c r="T9" i="2"/>
  <c r="M9" i="2"/>
  <c r="L9" i="2"/>
  <c r="K9" i="2"/>
  <c r="F9" i="2"/>
  <c r="E9" i="2"/>
  <c r="G9" i="2" s="1"/>
  <c r="U8" i="2"/>
  <c r="T8" i="2"/>
  <c r="V8" i="2" s="1"/>
  <c r="L8" i="2"/>
  <c r="K8" i="2"/>
  <c r="M8" i="2" s="1"/>
  <c r="N8" i="2" s="1"/>
  <c r="F8" i="2"/>
  <c r="E8" i="2"/>
  <c r="G8" i="2" s="1"/>
  <c r="W7" i="2"/>
  <c r="U7" i="2"/>
  <c r="T7" i="2"/>
  <c r="V7" i="2" s="1"/>
  <c r="L7" i="2"/>
  <c r="K7" i="2"/>
  <c r="M7" i="2" s="1"/>
  <c r="N7" i="2" s="1"/>
  <c r="G7" i="2"/>
  <c r="F7" i="2"/>
  <c r="E7" i="2"/>
  <c r="W6" i="2"/>
  <c r="V6" i="2"/>
  <c r="U6" i="2"/>
  <c r="T6" i="2"/>
  <c r="M6" i="2"/>
  <c r="L6" i="2"/>
  <c r="K6" i="2"/>
  <c r="G6" i="2"/>
  <c r="N6" i="2" s="1"/>
  <c r="F6" i="2"/>
  <c r="E6" i="2"/>
  <c r="U5" i="2"/>
  <c r="V5" i="2" s="1"/>
  <c r="T5" i="2"/>
  <c r="L5" i="2"/>
  <c r="M5" i="2" s="1"/>
  <c r="N5" i="2" s="1"/>
  <c r="K5" i="2"/>
  <c r="F5" i="2"/>
  <c r="E5" i="2"/>
  <c r="G5" i="2" s="1"/>
  <c r="U4" i="2"/>
  <c r="T4" i="2"/>
  <c r="V4" i="2" s="1"/>
  <c r="L4" i="2"/>
  <c r="K4" i="2"/>
  <c r="M4" i="2" s="1"/>
  <c r="F4" i="2"/>
  <c r="E4" i="2"/>
  <c r="G4" i="2" s="1"/>
  <c r="U3" i="2"/>
  <c r="T3" i="2"/>
  <c r="V3" i="2" s="1"/>
  <c r="N3" i="2"/>
  <c r="L3" i="2"/>
  <c r="K3" i="2"/>
  <c r="M3" i="2" s="1"/>
  <c r="G3" i="2"/>
  <c r="F3" i="2"/>
  <c r="E3" i="2"/>
  <c r="V2" i="2"/>
  <c r="U2" i="2"/>
  <c r="T2" i="2"/>
  <c r="M2" i="2"/>
  <c r="N2" i="2" s="1"/>
  <c r="L2" i="2"/>
  <c r="K2" i="2"/>
  <c r="F2" i="2"/>
  <c r="G2" i="2" s="1"/>
  <c r="E2" i="2"/>
  <c r="J346" i="1"/>
  <c r="I346" i="1"/>
  <c r="L346" i="1" s="1"/>
  <c r="H346" i="1"/>
  <c r="K346" i="1" s="1"/>
  <c r="M346" i="1" s="1"/>
  <c r="D346" i="1"/>
  <c r="E346" i="1" s="1"/>
  <c r="G346" i="1" s="1"/>
  <c r="C346" i="1"/>
  <c r="B346" i="1"/>
  <c r="F346" i="1" s="1"/>
  <c r="J345" i="1"/>
  <c r="K345" i="1" s="1"/>
  <c r="M345" i="1" s="1"/>
  <c r="N345" i="1" s="1"/>
  <c r="I345" i="1"/>
  <c r="L345" i="1" s="1"/>
  <c r="H345" i="1"/>
  <c r="E345" i="1"/>
  <c r="G345" i="1" s="1"/>
  <c r="D345" i="1"/>
  <c r="C345" i="1"/>
  <c r="B345" i="1"/>
  <c r="F345" i="1" s="1"/>
  <c r="N344" i="1"/>
  <c r="L344" i="1"/>
  <c r="K344" i="1"/>
  <c r="M344" i="1" s="1"/>
  <c r="G344" i="1"/>
  <c r="F344" i="1"/>
  <c r="E344" i="1"/>
  <c r="M343" i="1"/>
  <c r="N343" i="1" s="1"/>
  <c r="L343" i="1"/>
  <c r="K343" i="1"/>
  <c r="F343" i="1"/>
  <c r="G343" i="1" s="1"/>
  <c r="E343" i="1"/>
  <c r="L342" i="1"/>
  <c r="M342" i="1" s="1"/>
  <c r="K342" i="1"/>
  <c r="F342" i="1"/>
  <c r="E342" i="1"/>
  <c r="L341" i="1"/>
  <c r="K341" i="1"/>
  <c r="M341" i="1" s="1"/>
  <c r="N341" i="1" s="1"/>
  <c r="F341" i="1"/>
  <c r="E341" i="1"/>
  <c r="G341" i="1" s="1"/>
  <c r="L340" i="1"/>
  <c r="K340" i="1"/>
  <c r="M340" i="1" s="1"/>
  <c r="N340" i="1" s="1"/>
  <c r="G340" i="1"/>
  <c r="F340" i="1"/>
  <c r="E340" i="1"/>
  <c r="M339" i="1"/>
  <c r="L339" i="1"/>
  <c r="K339" i="1"/>
  <c r="G339" i="1"/>
  <c r="N339" i="1" s="1"/>
  <c r="F339" i="1"/>
  <c r="E339" i="1"/>
  <c r="L338" i="1"/>
  <c r="M338" i="1" s="1"/>
  <c r="N338" i="1" s="1"/>
  <c r="K338" i="1"/>
  <c r="F338" i="1"/>
  <c r="E338" i="1"/>
  <c r="G338" i="1" s="1"/>
  <c r="L337" i="1"/>
  <c r="K337" i="1"/>
  <c r="F337" i="1"/>
  <c r="E337" i="1"/>
  <c r="G337" i="1" s="1"/>
  <c r="N336" i="1"/>
  <c r="L336" i="1"/>
  <c r="K336" i="1"/>
  <c r="M336" i="1" s="1"/>
  <c r="G336" i="1"/>
  <c r="F336" i="1"/>
  <c r="E336" i="1"/>
  <c r="M335" i="1"/>
  <c r="N335" i="1" s="1"/>
  <c r="L335" i="1"/>
  <c r="K335" i="1"/>
  <c r="F335" i="1"/>
  <c r="G335" i="1" s="1"/>
  <c r="E335" i="1"/>
  <c r="L334" i="1"/>
  <c r="M334" i="1" s="1"/>
  <c r="K334" i="1"/>
  <c r="F334" i="1"/>
  <c r="E334" i="1"/>
  <c r="L333" i="1"/>
  <c r="K333" i="1"/>
  <c r="M333" i="1" s="1"/>
  <c r="N333" i="1" s="1"/>
  <c r="F333" i="1"/>
  <c r="E333" i="1"/>
  <c r="G333" i="1" s="1"/>
  <c r="L332" i="1"/>
  <c r="K332" i="1"/>
  <c r="M332" i="1" s="1"/>
  <c r="N332" i="1" s="1"/>
  <c r="G332" i="1"/>
  <c r="F332" i="1"/>
  <c r="E332" i="1"/>
  <c r="M331" i="1"/>
  <c r="L331" i="1"/>
  <c r="K331" i="1"/>
  <c r="G331" i="1"/>
  <c r="N331" i="1" s="1"/>
  <c r="F331" i="1"/>
  <c r="E331" i="1"/>
  <c r="L330" i="1"/>
  <c r="M330" i="1" s="1"/>
  <c r="N330" i="1" s="1"/>
  <c r="K330" i="1"/>
  <c r="F330" i="1"/>
  <c r="E330" i="1"/>
  <c r="G330" i="1" s="1"/>
  <c r="L329" i="1"/>
  <c r="K329" i="1"/>
  <c r="F329" i="1"/>
  <c r="E329" i="1"/>
  <c r="G329" i="1" s="1"/>
  <c r="N328" i="1"/>
  <c r="L328" i="1"/>
  <c r="K328" i="1"/>
  <c r="M328" i="1" s="1"/>
  <c r="G328" i="1"/>
  <c r="F328" i="1"/>
  <c r="E328" i="1"/>
  <c r="M327" i="1"/>
  <c r="N327" i="1" s="1"/>
  <c r="L327" i="1"/>
  <c r="K327" i="1"/>
  <c r="F327" i="1"/>
  <c r="G327" i="1" s="1"/>
  <c r="E327" i="1"/>
  <c r="L326" i="1"/>
  <c r="M326" i="1" s="1"/>
  <c r="K326" i="1"/>
  <c r="F326" i="1"/>
  <c r="E326" i="1"/>
  <c r="L325" i="1"/>
  <c r="K325" i="1"/>
  <c r="M325" i="1" s="1"/>
  <c r="N325" i="1" s="1"/>
  <c r="F325" i="1"/>
  <c r="E325" i="1"/>
  <c r="G325" i="1" s="1"/>
  <c r="L324" i="1"/>
  <c r="K324" i="1"/>
  <c r="M324" i="1" s="1"/>
  <c r="N324" i="1" s="1"/>
  <c r="G324" i="1"/>
  <c r="F324" i="1"/>
  <c r="E324" i="1"/>
  <c r="M323" i="1"/>
  <c r="L323" i="1"/>
  <c r="K323" i="1"/>
  <c r="G323" i="1"/>
  <c r="N323" i="1" s="1"/>
  <c r="F323" i="1"/>
  <c r="E323" i="1"/>
  <c r="L322" i="1"/>
  <c r="M322" i="1" s="1"/>
  <c r="N322" i="1" s="1"/>
  <c r="K322" i="1"/>
  <c r="F322" i="1"/>
  <c r="E322" i="1"/>
  <c r="G322" i="1" s="1"/>
  <c r="L321" i="1"/>
  <c r="K321" i="1"/>
  <c r="F321" i="1"/>
  <c r="E321" i="1"/>
  <c r="G321" i="1" s="1"/>
  <c r="N320" i="1"/>
  <c r="L320" i="1"/>
  <c r="K320" i="1"/>
  <c r="M320" i="1" s="1"/>
  <c r="G320" i="1"/>
  <c r="F320" i="1"/>
  <c r="E320" i="1"/>
  <c r="M319" i="1"/>
  <c r="L319" i="1"/>
  <c r="K319" i="1"/>
  <c r="F319" i="1"/>
  <c r="G319" i="1" s="1"/>
  <c r="E319" i="1"/>
  <c r="L318" i="1"/>
  <c r="M318" i="1" s="1"/>
  <c r="K318" i="1"/>
  <c r="F318" i="1"/>
  <c r="E318" i="1"/>
  <c r="L317" i="1"/>
  <c r="K317" i="1"/>
  <c r="M317" i="1" s="1"/>
  <c r="N317" i="1" s="1"/>
  <c r="F317" i="1"/>
  <c r="E317" i="1"/>
  <c r="G317" i="1" s="1"/>
  <c r="L316" i="1"/>
  <c r="K316" i="1"/>
  <c r="M316" i="1" s="1"/>
  <c r="N316" i="1" s="1"/>
  <c r="G316" i="1"/>
  <c r="F316" i="1"/>
  <c r="E316" i="1"/>
  <c r="M315" i="1"/>
  <c r="L315" i="1"/>
  <c r="K315" i="1"/>
  <c r="G315" i="1"/>
  <c r="N315" i="1" s="1"/>
  <c r="F315" i="1"/>
  <c r="E315" i="1"/>
  <c r="L314" i="1"/>
  <c r="M314" i="1" s="1"/>
  <c r="N314" i="1" s="1"/>
  <c r="K314" i="1"/>
  <c r="F314" i="1"/>
  <c r="E314" i="1"/>
  <c r="G314" i="1" s="1"/>
  <c r="L313" i="1"/>
  <c r="K313" i="1"/>
  <c r="F313" i="1"/>
  <c r="E313" i="1"/>
  <c r="G313" i="1" s="1"/>
  <c r="N312" i="1"/>
  <c r="L312" i="1"/>
  <c r="K312" i="1"/>
  <c r="M312" i="1" s="1"/>
  <c r="G312" i="1"/>
  <c r="F312" i="1"/>
  <c r="E312" i="1"/>
  <c r="M311" i="1"/>
  <c r="N311" i="1" s="1"/>
  <c r="L311" i="1"/>
  <c r="K311" i="1"/>
  <c r="F311" i="1"/>
  <c r="G311" i="1" s="1"/>
  <c r="E311" i="1"/>
  <c r="L310" i="1"/>
  <c r="M310" i="1" s="1"/>
  <c r="K310" i="1"/>
  <c r="F310" i="1"/>
  <c r="E310" i="1"/>
  <c r="L309" i="1"/>
  <c r="K309" i="1"/>
  <c r="M309" i="1" s="1"/>
  <c r="N309" i="1" s="1"/>
  <c r="F309" i="1"/>
  <c r="E309" i="1"/>
  <c r="G309" i="1" s="1"/>
  <c r="L308" i="1"/>
  <c r="K308" i="1"/>
  <c r="M308" i="1" s="1"/>
  <c r="N308" i="1" s="1"/>
  <c r="G308" i="1"/>
  <c r="F308" i="1"/>
  <c r="E308" i="1"/>
  <c r="M307" i="1"/>
  <c r="L307" i="1"/>
  <c r="K307" i="1"/>
  <c r="G307" i="1"/>
  <c r="N307" i="1" s="1"/>
  <c r="F307" i="1"/>
  <c r="E307" i="1"/>
  <c r="L306" i="1"/>
  <c r="M306" i="1" s="1"/>
  <c r="N306" i="1" s="1"/>
  <c r="K306" i="1"/>
  <c r="F306" i="1"/>
  <c r="E306" i="1"/>
  <c r="G306" i="1" s="1"/>
  <c r="L305" i="1"/>
  <c r="K305" i="1"/>
  <c r="F305" i="1"/>
  <c r="E305" i="1"/>
  <c r="G305" i="1" s="1"/>
  <c r="N304" i="1"/>
  <c r="L304" i="1"/>
  <c r="K304" i="1"/>
  <c r="M304" i="1" s="1"/>
  <c r="G304" i="1"/>
  <c r="F304" i="1"/>
  <c r="E304" i="1"/>
  <c r="M303" i="1"/>
  <c r="N303" i="1" s="1"/>
  <c r="L303" i="1"/>
  <c r="K303" i="1"/>
  <c r="F303" i="1"/>
  <c r="G303" i="1" s="1"/>
  <c r="E303" i="1"/>
  <c r="L302" i="1"/>
  <c r="M302" i="1" s="1"/>
  <c r="K302" i="1"/>
  <c r="F302" i="1"/>
  <c r="E302" i="1"/>
  <c r="L301" i="1"/>
  <c r="K301" i="1"/>
  <c r="M301" i="1" s="1"/>
  <c r="N301" i="1" s="1"/>
  <c r="F301" i="1"/>
  <c r="E301" i="1"/>
  <c r="G301" i="1" s="1"/>
  <c r="L300" i="1"/>
  <c r="K300" i="1"/>
  <c r="M300" i="1" s="1"/>
  <c r="N300" i="1" s="1"/>
  <c r="G300" i="1"/>
  <c r="F300" i="1"/>
  <c r="E300" i="1"/>
  <c r="M299" i="1"/>
  <c r="L299" i="1"/>
  <c r="K299" i="1"/>
  <c r="G299" i="1"/>
  <c r="N299" i="1" s="1"/>
  <c r="F299" i="1"/>
  <c r="E299" i="1"/>
  <c r="L298" i="1"/>
  <c r="M298" i="1" s="1"/>
  <c r="N298" i="1" s="1"/>
  <c r="K298" i="1"/>
  <c r="F298" i="1"/>
  <c r="E298" i="1"/>
  <c r="G298" i="1" s="1"/>
  <c r="L297" i="1"/>
  <c r="K297" i="1"/>
  <c r="F297" i="1"/>
  <c r="E297" i="1"/>
  <c r="G297" i="1" s="1"/>
  <c r="N296" i="1"/>
  <c r="L296" i="1"/>
  <c r="K296" i="1"/>
  <c r="M296" i="1" s="1"/>
  <c r="G296" i="1"/>
  <c r="F296" i="1"/>
  <c r="E296" i="1"/>
  <c r="M295" i="1"/>
  <c r="N295" i="1" s="1"/>
  <c r="L295" i="1"/>
  <c r="K295" i="1"/>
  <c r="F295" i="1"/>
  <c r="G295" i="1" s="1"/>
  <c r="E295" i="1"/>
  <c r="L294" i="1"/>
  <c r="M294" i="1" s="1"/>
  <c r="K294" i="1"/>
  <c r="F294" i="1"/>
  <c r="E294" i="1"/>
  <c r="L293" i="1"/>
  <c r="K293" i="1"/>
  <c r="M293" i="1" s="1"/>
  <c r="N293" i="1" s="1"/>
  <c r="F293" i="1"/>
  <c r="E293" i="1"/>
  <c r="G293" i="1" s="1"/>
  <c r="L292" i="1"/>
  <c r="K292" i="1"/>
  <c r="M292" i="1" s="1"/>
  <c r="N292" i="1" s="1"/>
  <c r="G292" i="1"/>
  <c r="F292" i="1"/>
  <c r="E292" i="1"/>
  <c r="M291" i="1"/>
  <c r="L291" i="1"/>
  <c r="K291" i="1"/>
  <c r="G291" i="1"/>
  <c r="N291" i="1" s="1"/>
  <c r="F291" i="1"/>
  <c r="E291" i="1"/>
  <c r="L290" i="1"/>
  <c r="M290" i="1" s="1"/>
  <c r="N290" i="1" s="1"/>
  <c r="K290" i="1"/>
  <c r="F290" i="1"/>
  <c r="E290" i="1"/>
  <c r="G290" i="1" s="1"/>
  <c r="L289" i="1"/>
  <c r="K289" i="1"/>
  <c r="F289" i="1"/>
  <c r="E289" i="1"/>
  <c r="G289" i="1" s="1"/>
  <c r="N288" i="1"/>
  <c r="L288" i="1"/>
  <c r="K288" i="1"/>
  <c r="M288" i="1" s="1"/>
  <c r="G288" i="1"/>
  <c r="F288" i="1"/>
  <c r="E288" i="1"/>
  <c r="M287" i="1"/>
  <c r="L287" i="1"/>
  <c r="K287" i="1"/>
  <c r="F287" i="1"/>
  <c r="G287" i="1" s="1"/>
  <c r="E287" i="1"/>
  <c r="L286" i="1"/>
  <c r="M286" i="1" s="1"/>
  <c r="K286" i="1"/>
  <c r="F286" i="1"/>
  <c r="E286" i="1"/>
  <c r="L285" i="1"/>
  <c r="K285" i="1"/>
  <c r="M285" i="1" s="1"/>
  <c r="N285" i="1" s="1"/>
  <c r="F285" i="1"/>
  <c r="E285" i="1"/>
  <c r="G285" i="1" s="1"/>
  <c r="L284" i="1"/>
  <c r="K284" i="1"/>
  <c r="M284" i="1" s="1"/>
  <c r="N284" i="1" s="1"/>
  <c r="G284" i="1"/>
  <c r="F284" i="1"/>
  <c r="E284" i="1"/>
  <c r="M283" i="1"/>
  <c r="L283" i="1"/>
  <c r="K283" i="1"/>
  <c r="G283" i="1"/>
  <c r="N283" i="1" s="1"/>
  <c r="F283" i="1"/>
  <c r="E283" i="1"/>
  <c r="L282" i="1"/>
  <c r="M282" i="1" s="1"/>
  <c r="N282" i="1" s="1"/>
  <c r="K282" i="1"/>
  <c r="F282" i="1"/>
  <c r="E282" i="1"/>
  <c r="G282" i="1" s="1"/>
  <c r="L281" i="1"/>
  <c r="K281" i="1"/>
  <c r="F281" i="1"/>
  <c r="E281" i="1"/>
  <c r="G281" i="1" s="1"/>
  <c r="N280" i="1"/>
  <c r="L280" i="1"/>
  <c r="K280" i="1"/>
  <c r="M280" i="1" s="1"/>
  <c r="G280" i="1"/>
  <c r="F280" i="1"/>
  <c r="E280" i="1"/>
  <c r="M279" i="1"/>
  <c r="N279" i="1" s="1"/>
  <c r="L279" i="1"/>
  <c r="K279" i="1"/>
  <c r="F279" i="1"/>
  <c r="G279" i="1" s="1"/>
  <c r="E279" i="1"/>
  <c r="L278" i="1"/>
  <c r="M278" i="1" s="1"/>
  <c r="K278" i="1"/>
  <c r="F278" i="1"/>
  <c r="E278" i="1"/>
  <c r="L277" i="1"/>
  <c r="K277" i="1"/>
  <c r="M277" i="1" s="1"/>
  <c r="N277" i="1" s="1"/>
  <c r="F277" i="1"/>
  <c r="E277" i="1"/>
  <c r="G277" i="1" s="1"/>
  <c r="L276" i="1"/>
  <c r="K276" i="1"/>
  <c r="M276" i="1" s="1"/>
  <c r="N276" i="1" s="1"/>
  <c r="G276" i="1"/>
  <c r="F276" i="1"/>
  <c r="E276" i="1"/>
  <c r="M275" i="1"/>
  <c r="L275" i="1"/>
  <c r="K275" i="1"/>
  <c r="G275" i="1"/>
  <c r="N275" i="1" s="1"/>
  <c r="F275" i="1"/>
  <c r="E275" i="1"/>
  <c r="L274" i="1"/>
  <c r="M274" i="1" s="1"/>
  <c r="N274" i="1" s="1"/>
  <c r="K274" i="1"/>
  <c r="F274" i="1"/>
  <c r="E274" i="1"/>
  <c r="G274" i="1" s="1"/>
  <c r="L273" i="1"/>
  <c r="K273" i="1"/>
  <c r="F273" i="1"/>
  <c r="E273" i="1"/>
  <c r="G273" i="1" s="1"/>
  <c r="N272" i="1"/>
  <c r="L272" i="1"/>
  <c r="K272" i="1"/>
  <c r="M272" i="1" s="1"/>
  <c r="G272" i="1"/>
  <c r="F272" i="1"/>
  <c r="E272" i="1"/>
  <c r="M271" i="1"/>
  <c r="N271" i="1" s="1"/>
  <c r="L271" i="1"/>
  <c r="K271" i="1"/>
  <c r="F271" i="1"/>
  <c r="G271" i="1" s="1"/>
  <c r="E271" i="1"/>
  <c r="L270" i="1"/>
  <c r="M270" i="1" s="1"/>
  <c r="K270" i="1"/>
  <c r="F270" i="1"/>
  <c r="E270" i="1"/>
  <c r="L269" i="1"/>
  <c r="K269" i="1"/>
  <c r="M269" i="1" s="1"/>
  <c r="N269" i="1" s="1"/>
  <c r="F269" i="1"/>
  <c r="E269" i="1"/>
  <c r="G269" i="1" s="1"/>
  <c r="L268" i="1"/>
  <c r="K268" i="1"/>
  <c r="M268" i="1" s="1"/>
  <c r="N268" i="1" s="1"/>
  <c r="G268" i="1"/>
  <c r="F268" i="1"/>
  <c r="E268" i="1"/>
  <c r="M267" i="1"/>
  <c r="L267" i="1"/>
  <c r="K267" i="1"/>
  <c r="G267" i="1"/>
  <c r="N267" i="1" s="1"/>
  <c r="F267" i="1"/>
  <c r="E267" i="1"/>
  <c r="L266" i="1"/>
  <c r="M266" i="1" s="1"/>
  <c r="N266" i="1" s="1"/>
  <c r="K266" i="1"/>
  <c r="F266" i="1"/>
  <c r="E266" i="1"/>
  <c r="G266" i="1" s="1"/>
  <c r="L265" i="1"/>
  <c r="K265" i="1"/>
  <c r="F265" i="1"/>
  <c r="E265" i="1"/>
  <c r="G265" i="1" s="1"/>
  <c r="N264" i="1"/>
  <c r="L264" i="1"/>
  <c r="K264" i="1"/>
  <c r="M264" i="1" s="1"/>
  <c r="G264" i="1"/>
  <c r="F264" i="1"/>
  <c r="E264" i="1"/>
  <c r="M263" i="1"/>
  <c r="L263" i="1"/>
  <c r="K263" i="1"/>
  <c r="F263" i="1"/>
  <c r="G263" i="1" s="1"/>
  <c r="E263" i="1"/>
  <c r="L262" i="1"/>
  <c r="M262" i="1" s="1"/>
  <c r="K262" i="1"/>
  <c r="F262" i="1"/>
  <c r="E262" i="1"/>
  <c r="L261" i="1"/>
  <c r="K261" i="1"/>
  <c r="M261" i="1" s="1"/>
  <c r="N261" i="1" s="1"/>
  <c r="F261" i="1"/>
  <c r="E261" i="1"/>
  <c r="G261" i="1" s="1"/>
  <c r="L260" i="1"/>
  <c r="K260" i="1"/>
  <c r="M260" i="1" s="1"/>
  <c r="N260" i="1" s="1"/>
  <c r="G260" i="1"/>
  <c r="F260" i="1"/>
  <c r="E260" i="1"/>
  <c r="M259" i="1"/>
  <c r="L259" i="1"/>
  <c r="K259" i="1"/>
  <c r="G259" i="1"/>
  <c r="N259" i="1" s="1"/>
  <c r="F259" i="1"/>
  <c r="E259" i="1"/>
  <c r="L258" i="1"/>
  <c r="M258" i="1" s="1"/>
  <c r="N258" i="1" s="1"/>
  <c r="K258" i="1"/>
  <c r="F258" i="1"/>
  <c r="E258" i="1"/>
  <c r="G258" i="1" s="1"/>
  <c r="L257" i="1"/>
  <c r="K257" i="1"/>
  <c r="F257" i="1"/>
  <c r="E257" i="1"/>
  <c r="G257" i="1" s="1"/>
  <c r="N256" i="1"/>
  <c r="L256" i="1"/>
  <c r="K256" i="1"/>
  <c r="M256" i="1" s="1"/>
  <c r="G256" i="1"/>
  <c r="F256" i="1"/>
  <c r="E256" i="1"/>
  <c r="M255" i="1"/>
  <c r="L255" i="1"/>
  <c r="K255" i="1"/>
  <c r="F255" i="1"/>
  <c r="G255" i="1" s="1"/>
  <c r="E255" i="1"/>
  <c r="L254" i="1"/>
  <c r="M254" i="1" s="1"/>
  <c r="K254" i="1"/>
  <c r="F254" i="1"/>
  <c r="E254" i="1"/>
  <c r="L253" i="1"/>
  <c r="K253" i="1"/>
  <c r="M253" i="1" s="1"/>
  <c r="N253" i="1" s="1"/>
  <c r="F253" i="1"/>
  <c r="E253" i="1"/>
  <c r="G253" i="1" s="1"/>
  <c r="L252" i="1"/>
  <c r="K252" i="1"/>
  <c r="M252" i="1" s="1"/>
  <c r="N252" i="1" s="1"/>
  <c r="G252" i="1"/>
  <c r="F252" i="1"/>
  <c r="E252" i="1"/>
  <c r="M251" i="1"/>
  <c r="L251" i="1"/>
  <c r="K251" i="1"/>
  <c r="G251" i="1"/>
  <c r="N251" i="1" s="1"/>
  <c r="F251" i="1"/>
  <c r="E251" i="1"/>
  <c r="L250" i="1"/>
  <c r="M250" i="1" s="1"/>
  <c r="N250" i="1" s="1"/>
  <c r="K250" i="1"/>
  <c r="F250" i="1"/>
  <c r="E250" i="1"/>
  <c r="G250" i="1" s="1"/>
  <c r="L249" i="1"/>
  <c r="K249" i="1"/>
  <c r="F249" i="1"/>
  <c r="E249" i="1"/>
  <c r="G249" i="1" s="1"/>
  <c r="N248" i="1"/>
  <c r="L248" i="1"/>
  <c r="K248" i="1"/>
  <c r="M248" i="1" s="1"/>
  <c r="G248" i="1"/>
  <c r="F248" i="1"/>
  <c r="E248" i="1"/>
  <c r="M247" i="1"/>
  <c r="N247" i="1" s="1"/>
  <c r="L247" i="1"/>
  <c r="K247" i="1"/>
  <c r="F247" i="1"/>
  <c r="G247" i="1" s="1"/>
  <c r="E247" i="1"/>
  <c r="L246" i="1"/>
  <c r="M246" i="1" s="1"/>
  <c r="K246" i="1"/>
  <c r="G246" i="1"/>
  <c r="F246" i="1"/>
  <c r="E246" i="1"/>
  <c r="L245" i="1"/>
  <c r="M245" i="1" s="1"/>
  <c r="N245" i="1" s="1"/>
  <c r="K245" i="1"/>
  <c r="F245" i="1"/>
  <c r="E245" i="1"/>
  <c r="G245" i="1" s="1"/>
  <c r="L244" i="1"/>
  <c r="K244" i="1"/>
  <c r="M244" i="1" s="1"/>
  <c r="N244" i="1" s="1"/>
  <c r="G244" i="1"/>
  <c r="F244" i="1"/>
  <c r="E244" i="1"/>
  <c r="M243" i="1"/>
  <c r="N243" i="1" s="1"/>
  <c r="L243" i="1"/>
  <c r="K243" i="1"/>
  <c r="F243" i="1"/>
  <c r="G243" i="1" s="1"/>
  <c r="E243" i="1"/>
  <c r="L242" i="1"/>
  <c r="M242" i="1" s="1"/>
  <c r="K242" i="1"/>
  <c r="F242" i="1"/>
  <c r="E242" i="1"/>
  <c r="G242" i="1" s="1"/>
  <c r="L241" i="1"/>
  <c r="K241" i="1"/>
  <c r="M241" i="1" s="1"/>
  <c r="F241" i="1"/>
  <c r="E241" i="1"/>
  <c r="G241" i="1" s="1"/>
  <c r="L240" i="1"/>
  <c r="K240" i="1"/>
  <c r="M240" i="1" s="1"/>
  <c r="N240" i="1" s="1"/>
  <c r="G240" i="1"/>
  <c r="F240" i="1"/>
  <c r="E240" i="1"/>
  <c r="M239" i="1"/>
  <c r="N239" i="1" s="1"/>
  <c r="L239" i="1"/>
  <c r="K239" i="1"/>
  <c r="F239" i="1"/>
  <c r="G239" i="1" s="1"/>
  <c r="E239" i="1"/>
  <c r="L238" i="1"/>
  <c r="M238" i="1" s="1"/>
  <c r="N238" i="1" s="1"/>
  <c r="K238" i="1"/>
  <c r="F238" i="1"/>
  <c r="E238" i="1"/>
  <c r="G238" i="1" s="1"/>
  <c r="L237" i="1"/>
  <c r="K237" i="1"/>
  <c r="M237" i="1" s="1"/>
  <c r="F237" i="1"/>
  <c r="E237" i="1"/>
  <c r="G237" i="1" s="1"/>
  <c r="N236" i="1"/>
  <c r="L236" i="1"/>
  <c r="K236" i="1"/>
  <c r="M236" i="1" s="1"/>
  <c r="G236" i="1"/>
  <c r="F236" i="1"/>
  <c r="E236" i="1"/>
  <c r="M235" i="1"/>
  <c r="L235" i="1"/>
  <c r="K235" i="1"/>
  <c r="F235" i="1"/>
  <c r="G235" i="1" s="1"/>
  <c r="E235" i="1"/>
  <c r="L234" i="1"/>
  <c r="M234" i="1" s="1"/>
  <c r="N234" i="1" s="1"/>
  <c r="K234" i="1"/>
  <c r="F234" i="1"/>
  <c r="E234" i="1"/>
  <c r="G234" i="1" s="1"/>
  <c r="L233" i="1"/>
  <c r="K233" i="1"/>
  <c r="M233" i="1" s="1"/>
  <c r="N233" i="1" s="1"/>
  <c r="F233" i="1"/>
  <c r="E233" i="1"/>
  <c r="G233" i="1" s="1"/>
  <c r="N232" i="1"/>
  <c r="L232" i="1"/>
  <c r="K232" i="1"/>
  <c r="M232" i="1" s="1"/>
  <c r="G232" i="1"/>
  <c r="F232" i="1"/>
  <c r="E232" i="1"/>
  <c r="M231" i="1"/>
  <c r="L231" i="1"/>
  <c r="K231" i="1"/>
  <c r="F231" i="1"/>
  <c r="G231" i="1" s="1"/>
  <c r="E231" i="1"/>
  <c r="L230" i="1"/>
  <c r="M230" i="1" s="1"/>
  <c r="K230" i="1"/>
  <c r="F230" i="1"/>
  <c r="E230" i="1"/>
  <c r="G230" i="1" s="1"/>
  <c r="L229" i="1"/>
  <c r="K229" i="1"/>
  <c r="M229" i="1" s="1"/>
  <c r="N229" i="1" s="1"/>
  <c r="F229" i="1"/>
  <c r="E229" i="1"/>
  <c r="G229" i="1" s="1"/>
  <c r="L228" i="1"/>
  <c r="K228" i="1"/>
  <c r="M228" i="1" s="1"/>
  <c r="N228" i="1" s="1"/>
  <c r="G228" i="1"/>
  <c r="F228" i="1"/>
  <c r="E228" i="1"/>
  <c r="M227" i="1"/>
  <c r="N227" i="1" s="1"/>
  <c r="L227" i="1"/>
  <c r="K227" i="1"/>
  <c r="F227" i="1"/>
  <c r="G227" i="1" s="1"/>
  <c r="E227" i="1"/>
  <c r="L226" i="1"/>
  <c r="M226" i="1" s="1"/>
  <c r="K226" i="1"/>
  <c r="F226" i="1"/>
  <c r="E226" i="1"/>
  <c r="G226" i="1" s="1"/>
  <c r="L225" i="1"/>
  <c r="K225" i="1"/>
  <c r="M225" i="1" s="1"/>
  <c r="F225" i="1"/>
  <c r="E225" i="1"/>
  <c r="G225" i="1" s="1"/>
  <c r="L224" i="1"/>
  <c r="K224" i="1"/>
  <c r="M224" i="1" s="1"/>
  <c r="N224" i="1" s="1"/>
  <c r="G224" i="1"/>
  <c r="F224" i="1"/>
  <c r="E224" i="1"/>
  <c r="M223" i="1"/>
  <c r="N223" i="1" s="1"/>
  <c r="L223" i="1"/>
  <c r="K223" i="1"/>
  <c r="F223" i="1"/>
  <c r="G223" i="1" s="1"/>
  <c r="E223" i="1"/>
  <c r="L222" i="1"/>
  <c r="M222" i="1" s="1"/>
  <c r="N222" i="1" s="1"/>
  <c r="K222" i="1"/>
  <c r="F222" i="1"/>
  <c r="E222" i="1"/>
  <c r="G222" i="1" s="1"/>
  <c r="L221" i="1"/>
  <c r="K221" i="1"/>
  <c r="M221" i="1" s="1"/>
  <c r="F221" i="1"/>
  <c r="E221" i="1"/>
  <c r="G221" i="1" s="1"/>
  <c r="N220" i="1"/>
  <c r="L220" i="1"/>
  <c r="K220" i="1"/>
  <c r="M220" i="1" s="1"/>
  <c r="G220" i="1"/>
  <c r="F220" i="1"/>
  <c r="E220" i="1"/>
  <c r="M219" i="1"/>
  <c r="L219" i="1"/>
  <c r="K219" i="1"/>
  <c r="F219" i="1"/>
  <c r="G219" i="1" s="1"/>
  <c r="E219" i="1"/>
  <c r="L218" i="1"/>
  <c r="M218" i="1" s="1"/>
  <c r="N218" i="1" s="1"/>
  <c r="K218" i="1"/>
  <c r="F218" i="1"/>
  <c r="E218" i="1"/>
  <c r="G218" i="1" s="1"/>
  <c r="L217" i="1"/>
  <c r="K217" i="1"/>
  <c r="M217" i="1" s="1"/>
  <c r="N217" i="1" s="1"/>
  <c r="F217" i="1"/>
  <c r="E217" i="1"/>
  <c r="G217" i="1" s="1"/>
  <c r="N216" i="1"/>
  <c r="L216" i="1"/>
  <c r="K216" i="1"/>
  <c r="M216" i="1" s="1"/>
  <c r="G216" i="1"/>
  <c r="F216" i="1"/>
  <c r="E216" i="1"/>
  <c r="M215" i="1"/>
  <c r="L215" i="1"/>
  <c r="K215" i="1"/>
  <c r="F215" i="1"/>
  <c r="G215" i="1" s="1"/>
  <c r="E215" i="1"/>
  <c r="L214" i="1"/>
  <c r="M214" i="1" s="1"/>
  <c r="K214" i="1"/>
  <c r="F214" i="1"/>
  <c r="E214" i="1"/>
  <c r="G214" i="1" s="1"/>
  <c r="L213" i="1"/>
  <c r="K213" i="1"/>
  <c r="M213" i="1" s="1"/>
  <c r="N213" i="1" s="1"/>
  <c r="F213" i="1"/>
  <c r="E213" i="1"/>
  <c r="G213" i="1" s="1"/>
  <c r="L212" i="1"/>
  <c r="K212" i="1"/>
  <c r="M212" i="1" s="1"/>
  <c r="N212" i="1" s="1"/>
  <c r="G212" i="1"/>
  <c r="F212" i="1"/>
  <c r="E212" i="1"/>
  <c r="M211" i="1"/>
  <c r="N211" i="1" s="1"/>
  <c r="L211" i="1"/>
  <c r="K211" i="1"/>
  <c r="F211" i="1"/>
  <c r="G211" i="1" s="1"/>
  <c r="E211" i="1"/>
  <c r="L210" i="1"/>
  <c r="M210" i="1" s="1"/>
  <c r="K210" i="1"/>
  <c r="F210" i="1"/>
  <c r="E210" i="1"/>
  <c r="G210" i="1" s="1"/>
  <c r="L209" i="1"/>
  <c r="K209" i="1"/>
  <c r="M209" i="1" s="1"/>
  <c r="F209" i="1"/>
  <c r="E209" i="1"/>
  <c r="G209" i="1" s="1"/>
  <c r="L208" i="1"/>
  <c r="K208" i="1"/>
  <c r="M208" i="1" s="1"/>
  <c r="N208" i="1" s="1"/>
  <c r="G208" i="1"/>
  <c r="F208" i="1"/>
  <c r="E208" i="1"/>
  <c r="M207" i="1"/>
  <c r="N207" i="1" s="1"/>
  <c r="L207" i="1"/>
  <c r="K207" i="1"/>
  <c r="F207" i="1"/>
  <c r="G207" i="1" s="1"/>
  <c r="E207" i="1"/>
  <c r="L206" i="1"/>
  <c r="M206" i="1" s="1"/>
  <c r="N206" i="1" s="1"/>
  <c r="K206" i="1"/>
  <c r="F206" i="1"/>
  <c r="E206" i="1"/>
  <c r="G206" i="1" s="1"/>
  <c r="L205" i="1"/>
  <c r="K205" i="1"/>
  <c r="M205" i="1" s="1"/>
  <c r="F205" i="1"/>
  <c r="E205" i="1"/>
  <c r="G205" i="1" s="1"/>
  <c r="N204" i="1"/>
  <c r="L204" i="1"/>
  <c r="K204" i="1"/>
  <c r="M204" i="1" s="1"/>
  <c r="G204" i="1"/>
  <c r="F204" i="1"/>
  <c r="E204" i="1"/>
  <c r="M203" i="1"/>
  <c r="L203" i="1"/>
  <c r="K203" i="1"/>
  <c r="F203" i="1"/>
  <c r="G203" i="1" s="1"/>
  <c r="E203" i="1"/>
  <c r="L202" i="1"/>
  <c r="M202" i="1" s="1"/>
  <c r="N202" i="1" s="1"/>
  <c r="K202" i="1"/>
  <c r="F202" i="1"/>
  <c r="E202" i="1"/>
  <c r="G202" i="1" s="1"/>
  <c r="L201" i="1"/>
  <c r="K201" i="1"/>
  <c r="M201" i="1" s="1"/>
  <c r="N201" i="1" s="1"/>
  <c r="F201" i="1"/>
  <c r="E201" i="1"/>
  <c r="G201" i="1" s="1"/>
  <c r="N200" i="1"/>
  <c r="L200" i="1"/>
  <c r="K200" i="1"/>
  <c r="M200" i="1" s="1"/>
  <c r="G200" i="1"/>
  <c r="F200" i="1"/>
  <c r="E200" i="1"/>
  <c r="M199" i="1"/>
  <c r="L199" i="1"/>
  <c r="K199" i="1"/>
  <c r="F199" i="1"/>
  <c r="G199" i="1" s="1"/>
  <c r="E199" i="1"/>
  <c r="L198" i="1"/>
  <c r="M198" i="1" s="1"/>
  <c r="K198" i="1"/>
  <c r="F198" i="1"/>
  <c r="E198" i="1"/>
  <c r="G198" i="1" s="1"/>
  <c r="L197" i="1"/>
  <c r="K197" i="1"/>
  <c r="M197" i="1" s="1"/>
  <c r="N197" i="1" s="1"/>
  <c r="F197" i="1"/>
  <c r="E197" i="1"/>
  <c r="G197" i="1" s="1"/>
  <c r="L196" i="1"/>
  <c r="K196" i="1"/>
  <c r="M196" i="1" s="1"/>
  <c r="N196" i="1" s="1"/>
  <c r="G196" i="1"/>
  <c r="F196" i="1"/>
  <c r="E196" i="1"/>
  <c r="M195" i="1"/>
  <c r="N195" i="1" s="1"/>
  <c r="L195" i="1"/>
  <c r="K195" i="1"/>
  <c r="F195" i="1"/>
  <c r="G195" i="1" s="1"/>
  <c r="E195" i="1"/>
  <c r="L194" i="1"/>
  <c r="M194" i="1" s="1"/>
  <c r="K194" i="1"/>
  <c r="F194" i="1"/>
  <c r="E194" i="1"/>
  <c r="G194" i="1" s="1"/>
  <c r="L193" i="1"/>
  <c r="K193" i="1"/>
  <c r="M193" i="1" s="1"/>
  <c r="F193" i="1"/>
  <c r="E193" i="1"/>
  <c r="G193" i="1" s="1"/>
  <c r="L192" i="1"/>
  <c r="K192" i="1"/>
  <c r="M192" i="1" s="1"/>
  <c r="N192" i="1" s="1"/>
  <c r="G192" i="1"/>
  <c r="F192" i="1"/>
  <c r="E192" i="1"/>
  <c r="M191" i="1"/>
  <c r="N191" i="1" s="1"/>
  <c r="L191" i="1"/>
  <c r="K191" i="1"/>
  <c r="F191" i="1"/>
  <c r="G191" i="1" s="1"/>
  <c r="E191" i="1"/>
  <c r="L190" i="1"/>
  <c r="M190" i="1" s="1"/>
  <c r="N190" i="1" s="1"/>
  <c r="K190" i="1"/>
  <c r="F190" i="1"/>
  <c r="E190" i="1"/>
  <c r="G190" i="1" s="1"/>
  <c r="L189" i="1"/>
  <c r="K189" i="1"/>
  <c r="M189" i="1" s="1"/>
  <c r="F189" i="1"/>
  <c r="E189" i="1"/>
  <c r="G189" i="1" s="1"/>
  <c r="N188" i="1"/>
  <c r="L188" i="1"/>
  <c r="K188" i="1"/>
  <c r="M188" i="1" s="1"/>
  <c r="G188" i="1"/>
  <c r="F188" i="1"/>
  <c r="E188" i="1"/>
  <c r="M187" i="1"/>
  <c r="L187" i="1"/>
  <c r="K187" i="1"/>
  <c r="F187" i="1"/>
  <c r="G187" i="1" s="1"/>
  <c r="E187" i="1"/>
  <c r="L186" i="1"/>
  <c r="M186" i="1" s="1"/>
  <c r="N186" i="1" s="1"/>
  <c r="K186" i="1"/>
  <c r="F186" i="1"/>
  <c r="E186" i="1"/>
  <c r="G186" i="1" s="1"/>
  <c r="L185" i="1"/>
  <c r="K185" i="1"/>
  <c r="M185" i="1" s="1"/>
  <c r="N185" i="1" s="1"/>
  <c r="F185" i="1"/>
  <c r="E185" i="1"/>
  <c r="G185" i="1" s="1"/>
  <c r="N184" i="1"/>
  <c r="L184" i="1"/>
  <c r="K184" i="1"/>
  <c r="M184" i="1" s="1"/>
  <c r="G184" i="1"/>
  <c r="F184" i="1"/>
  <c r="E184" i="1"/>
  <c r="M183" i="1"/>
  <c r="L183" i="1"/>
  <c r="K183" i="1"/>
  <c r="F183" i="1"/>
  <c r="G183" i="1" s="1"/>
  <c r="E183" i="1"/>
  <c r="L182" i="1"/>
  <c r="M182" i="1" s="1"/>
  <c r="K182" i="1"/>
  <c r="F182" i="1"/>
  <c r="E182" i="1"/>
  <c r="G182" i="1" s="1"/>
  <c r="L181" i="1"/>
  <c r="K181" i="1"/>
  <c r="M181" i="1" s="1"/>
  <c r="N181" i="1" s="1"/>
  <c r="F181" i="1"/>
  <c r="E181" i="1"/>
  <c r="G181" i="1" s="1"/>
  <c r="L180" i="1"/>
  <c r="K180" i="1"/>
  <c r="M180" i="1" s="1"/>
  <c r="N180" i="1" s="1"/>
  <c r="G180" i="1"/>
  <c r="F180" i="1"/>
  <c r="E180" i="1"/>
  <c r="M179" i="1"/>
  <c r="N179" i="1" s="1"/>
  <c r="L179" i="1"/>
  <c r="K179" i="1"/>
  <c r="F179" i="1"/>
  <c r="G179" i="1" s="1"/>
  <c r="E179" i="1"/>
  <c r="L178" i="1"/>
  <c r="M178" i="1" s="1"/>
  <c r="K178" i="1"/>
  <c r="F178" i="1"/>
  <c r="E178" i="1"/>
  <c r="G178" i="1" s="1"/>
  <c r="L177" i="1"/>
  <c r="K177" i="1"/>
  <c r="M177" i="1" s="1"/>
  <c r="F177" i="1"/>
  <c r="E177" i="1"/>
  <c r="G177" i="1" s="1"/>
  <c r="L176" i="1"/>
  <c r="K176" i="1"/>
  <c r="M176" i="1" s="1"/>
  <c r="N176" i="1" s="1"/>
  <c r="G176" i="1"/>
  <c r="F176" i="1"/>
  <c r="E176" i="1"/>
  <c r="M175" i="1"/>
  <c r="N175" i="1" s="1"/>
  <c r="L175" i="1"/>
  <c r="K175" i="1"/>
  <c r="F175" i="1"/>
  <c r="G175" i="1" s="1"/>
  <c r="E175" i="1"/>
  <c r="L174" i="1"/>
  <c r="M174" i="1" s="1"/>
  <c r="N174" i="1" s="1"/>
  <c r="K174" i="1"/>
  <c r="F174" i="1"/>
  <c r="E174" i="1"/>
  <c r="G174" i="1" s="1"/>
  <c r="L173" i="1"/>
  <c r="K173" i="1"/>
  <c r="M173" i="1" s="1"/>
  <c r="F173" i="1"/>
  <c r="E173" i="1"/>
  <c r="G173" i="1" s="1"/>
  <c r="N172" i="1"/>
  <c r="L172" i="1"/>
  <c r="K172" i="1"/>
  <c r="M172" i="1" s="1"/>
  <c r="G172" i="1"/>
  <c r="F172" i="1"/>
  <c r="E172" i="1"/>
  <c r="M171" i="1"/>
  <c r="L171" i="1"/>
  <c r="K171" i="1"/>
  <c r="F171" i="1"/>
  <c r="G171" i="1" s="1"/>
  <c r="E171" i="1"/>
  <c r="L170" i="1"/>
  <c r="M170" i="1" s="1"/>
  <c r="N170" i="1" s="1"/>
  <c r="K170" i="1"/>
  <c r="F170" i="1"/>
  <c r="E170" i="1"/>
  <c r="G170" i="1" s="1"/>
  <c r="L169" i="1"/>
  <c r="K169" i="1"/>
  <c r="M169" i="1" s="1"/>
  <c r="N169" i="1" s="1"/>
  <c r="F169" i="1"/>
  <c r="E169" i="1"/>
  <c r="G169" i="1" s="1"/>
  <c r="N168" i="1"/>
  <c r="L168" i="1"/>
  <c r="K168" i="1"/>
  <c r="M168" i="1" s="1"/>
  <c r="G168" i="1"/>
  <c r="F168" i="1"/>
  <c r="E168" i="1"/>
  <c r="M167" i="1"/>
  <c r="L167" i="1"/>
  <c r="K167" i="1"/>
  <c r="F167" i="1"/>
  <c r="G167" i="1" s="1"/>
  <c r="E167" i="1"/>
  <c r="L166" i="1"/>
  <c r="M166" i="1" s="1"/>
  <c r="K166" i="1"/>
  <c r="F166" i="1"/>
  <c r="E166" i="1"/>
  <c r="G166" i="1" s="1"/>
  <c r="L165" i="1"/>
  <c r="K165" i="1"/>
  <c r="M165" i="1" s="1"/>
  <c r="N165" i="1" s="1"/>
  <c r="F165" i="1"/>
  <c r="E165" i="1"/>
  <c r="G165" i="1" s="1"/>
  <c r="L164" i="1"/>
  <c r="K164" i="1"/>
  <c r="M164" i="1" s="1"/>
  <c r="N164" i="1" s="1"/>
  <c r="G164" i="1"/>
  <c r="F164" i="1"/>
  <c r="E164" i="1"/>
  <c r="M163" i="1"/>
  <c r="N163" i="1" s="1"/>
  <c r="L163" i="1"/>
  <c r="K163" i="1"/>
  <c r="F163" i="1"/>
  <c r="G163" i="1" s="1"/>
  <c r="E163" i="1"/>
  <c r="L162" i="1"/>
  <c r="M162" i="1" s="1"/>
  <c r="K162" i="1"/>
  <c r="F162" i="1"/>
  <c r="E162" i="1"/>
  <c r="G162" i="1" s="1"/>
  <c r="L161" i="1"/>
  <c r="K161" i="1"/>
  <c r="M161" i="1" s="1"/>
  <c r="F161" i="1"/>
  <c r="E161" i="1"/>
  <c r="G161" i="1" s="1"/>
  <c r="L160" i="1"/>
  <c r="K160" i="1"/>
  <c r="M160" i="1" s="1"/>
  <c r="N160" i="1" s="1"/>
  <c r="G160" i="1"/>
  <c r="F160" i="1"/>
  <c r="E160" i="1"/>
  <c r="M159" i="1"/>
  <c r="N159" i="1" s="1"/>
  <c r="L159" i="1"/>
  <c r="K159" i="1"/>
  <c r="F159" i="1"/>
  <c r="G159" i="1" s="1"/>
  <c r="E159" i="1"/>
  <c r="L158" i="1"/>
  <c r="M158" i="1" s="1"/>
  <c r="N158" i="1" s="1"/>
  <c r="K158" i="1"/>
  <c r="F158" i="1"/>
  <c r="E158" i="1"/>
  <c r="G158" i="1" s="1"/>
  <c r="L157" i="1"/>
  <c r="K157" i="1"/>
  <c r="M157" i="1" s="1"/>
  <c r="F157" i="1"/>
  <c r="E157" i="1"/>
  <c r="G157" i="1" s="1"/>
  <c r="N156" i="1"/>
  <c r="L156" i="1"/>
  <c r="K156" i="1"/>
  <c r="M156" i="1" s="1"/>
  <c r="G156" i="1"/>
  <c r="F156" i="1"/>
  <c r="E156" i="1"/>
  <c r="M155" i="1"/>
  <c r="L155" i="1"/>
  <c r="K155" i="1"/>
  <c r="F155" i="1"/>
  <c r="G155" i="1" s="1"/>
  <c r="E155" i="1"/>
  <c r="L154" i="1"/>
  <c r="M154" i="1" s="1"/>
  <c r="N154" i="1" s="1"/>
  <c r="K154" i="1"/>
  <c r="F154" i="1"/>
  <c r="E154" i="1"/>
  <c r="G154" i="1" s="1"/>
  <c r="L153" i="1"/>
  <c r="K153" i="1"/>
  <c r="M153" i="1" s="1"/>
  <c r="N153" i="1" s="1"/>
  <c r="F153" i="1"/>
  <c r="E153" i="1"/>
  <c r="G153" i="1" s="1"/>
  <c r="N152" i="1"/>
  <c r="L152" i="1"/>
  <c r="K152" i="1"/>
  <c r="M152" i="1" s="1"/>
  <c r="G152" i="1"/>
  <c r="F152" i="1"/>
  <c r="E152" i="1"/>
  <c r="M151" i="1"/>
  <c r="L151" i="1"/>
  <c r="K151" i="1"/>
  <c r="F151" i="1"/>
  <c r="G151" i="1" s="1"/>
  <c r="E151" i="1"/>
  <c r="L150" i="1"/>
  <c r="M150" i="1" s="1"/>
  <c r="K150" i="1"/>
  <c r="F150" i="1"/>
  <c r="E150" i="1"/>
  <c r="G150" i="1" s="1"/>
  <c r="L149" i="1"/>
  <c r="K149" i="1"/>
  <c r="M149" i="1" s="1"/>
  <c r="N149" i="1" s="1"/>
  <c r="F149" i="1"/>
  <c r="E149" i="1"/>
  <c r="G149" i="1" s="1"/>
  <c r="L148" i="1"/>
  <c r="K148" i="1"/>
  <c r="M148" i="1" s="1"/>
  <c r="N148" i="1" s="1"/>
  <c r="G148" i="1"/>
  <c r="F148" i="1"/>
  <c r="E148" i="1"/>
  <c r="M147" i="1"/>
  <c r="N147" i="1" s="1"/>
  <c r="L147" i="1"/>
  <c r="K147" i="1"/>
  <c r="F147" i="1"/>
  <c r="G147" i="1" s="1"/>
  <c r="E147" i="1"/>
  <c r="L146" i="1"/>
  <c r="M146" i="1" s="1"/>
  <c r="K146" i="1"/>
  <c r="F146" i="1"/>
  <c r="E146" i="1"/>
  <c r="G146" i="1" s="1"/>
  <c r="L145" i="1"/>
  <c r="K145" i="1"/>
  <c r="M145" i="1" s="1"/>
  <c r="F145" i="1"/>
  <c r="E145" i="1"/>
  <c r="G145" i="1" s="1"/>
  <c r="L144" i="1"/>
  <c r="K144" i="1"/>
  <c r="M144" i="1" s="1"/>
  <c r="N144" i="1" s="1"/>
  <c r="G144" i="1"/>
  <c r="F144" i="1"/>
  <c r="E144" i="1"/>
  <c r="M143" i="1"/>
  <c r="N143" i="1" s="1"/>
  <c r="L143" i="1"/>
  <c r="K143" i="1"/>
  <c r="F143" i="1"/>
  <c r="G143" i="1" s="1"/>
  <c r="E143" i="1"/>
  <c r="L142" i="1"/>
  <c r="M142" i="1" s="1"/>
  <c r="N142" i="1" s="1"/>
  <c r="K142" i="1"/>
  <c r="F142" i="1"/>
  <c r="E142" i="1"/>
  <c r="G142" i="1" s="1"/>
  <c r="L141" i="1"/>
  <c r="K141" i="1"/>
  <c r="M141" i="1" s="1"/>
  <c r="F141" i="1"/>
  <c r="E141" i="1"/>
  <c r="G141" i="1" s="1"/>
  <c r="N140" i="1"/>
  <c r="L140" i="1"/>
  <c r="K140" i="1"/>
  <c r="M140" i="1" s="1"/>
  <c r="G140" i="1"/>
  <c r="F140" i="1"/>
  <c r="E140" i="1"/>
  <c r="M139" i="1"/>
  <c r="L139" i="1"/>
  <c r="K139" i="1"/>
  <c r="F139" i="1"/>
  <c r="G139" i="1" s="1"/>
  <c r="E139" i="1"/>
  <c r="L138" i="1"/>
  <c r="M138" i="1" s="1"/>
  <c r="N138" i="1" s="1"/>
  <c r="K138" i="1"/>
  <c r="F138" i="1"/>
  <c r="E138" i="1"/>
  <c r="G138" i="1" s="1"/>
  <c r="L137" i="1"/>
  <c r="K137" i="1"/>
  <c r="M137" i="1" s="1"/>
  <c r="N137" i="1" s="1"/>
  <c r="F137" i="1"/>
  <c r="E137" i="1"/>
  <c r="G137" i="1" s="1"/>
  <c r="N136" i="1"/>
  <c r="L136" i="1"/>
  <c r="K136" i="1"/>
  <c r="M136" i="1" s="1"/>
  <c r="G136" i="1"/>
  <c r="F136" i="1"/>
  <c r="E136" i="1"/>
  <c r="M135" i="1"/>
  <c r="L135" i="1"/>
  <c r="K135" i="1"/>
  <c r="F135" i="1"/>
  <c r="G135" i="1" s="1"/>
  <c r="E135" i="1"/>
  <c r="L134" i="1"/>
  <c r="M134" i="1" s="1"/>
  <c r="K134" i="1"/>
  <c r="F134" i="1"/>
  <c r="E134" i="1"/>
  <c r="G134" i="1" s="1"/>
  <c r="L133" i="1"/>
  <c r="K133" i="1"/>
  <c r="M133" i="1" s="1"/>
  <c r="N133" i="1" s="1"/>
  <c r="F133" i="1"/>
  <c r="E133" i="1"/>
  <c r="G133" i="1" s="1"/>
  <c r="L132" i="1"/>
  <c r="K132" i="1"/>
  <c r="M132" i="1" s="1"/>
  <c r="N132" i="1" s="1"/>
  <c r="G132" i="1"/>
  <c r="F132" i="1"/>
  <c r="E132" i="1"/>
  <c r="M131" i="1"/>
  <c r="N131" i="1" s="1"/>
  <c r="L131" i="1"/>
  <c r="K131" i="1"/>
  <c r="F131" i="1"/>
  <c r="G131" i="1" s="1"/>
  <c r="E131" i="1"/>
  <c r="L130" i="1"/>
  <c r="M130" i="1" s="1"/>
  <c r="K130" i="1"/>
  <c r="F130" i="1"/>
  <c r="E130" i="1"/>
  <c r="G130" i="1" s="1"/>
  <c r="L129" i="1"/>
  <c r="K129" i="1"/>
  <c r="M129" i="1" s="1"/>
  <c r="F129" i="1"/>
  <c r="E129" i="1"/>
  <c r="G129" i="1" s="1"/>
  <c r="L128" i="1"/>
  <c r="K128" i="1"/>
  <c r="M128" i="1" s="1"/>
  <c r="N128" i="1" s="1"/>
  <c r="G128" i="1"/>
  <c r="F128" i="1"/>
  <c r="E128" i="1"/>
  <c r="M127" i="1"/>
  <c r="N127" i="1" s="1"/>
  <c r="L127" i="1"/>
  <c r="K127" i="1"/>
  <c r="F127" i="1"/>
  <c r="G127" i="1" s="1"/>
  <c r="E127" i="1"/>
  <c r="L126" i="1"/>
  <c r="M126" i="1" s="1"/>
  <c r="N126" i="1" s="1"/>
  <c r="K126" i="1"/>
  <c r="F126" i="1"/>
  <c r="E126" i="1"/>
  <c r="G126" i="1" s="1"/>
  <c r="L125" i="1"/>
  <c r="K125" i="1"/>
  <c r="M125" i="1" s="1"/>
  <c r="F125" i="1"/>
  <c r="E125" i="1"/>
  <c r="G125" i="1" s="1"/>
  <c r="N124" i="1"/>
  <c r="L124" i="1"/>
  <c r="K124" i="1"/>
  <c r="M124" i="1" s="1"/>
  <c r="G124" i="1"/>
  <c r="F124" i="1"/>
  <c r="E124" i="1"/>
  <c r="M123" i="1"/>
  <c r="L123" i="1"/>
  <c r="K123" i="1"/>
  <c r="F123" i="1"/>
  <c r="G123" i="1" s="1"/>
  <c r="E123" i="1"/>
  <c r="L122" i="1"/>
  <c r="M122" i="1" s="1"/>
  <c r="N122" i="1" s="1"/>
  <c r="K122" i="1"/>
  <c r="F122" i="1"/>
  <c r="E122" i="1"/>
  <c r="G122" i="1" s="1"/>
  <c r="L121" i="1"/>
  <c r="K121" i="1"/>
  <c r="M121" i="1" s="1"/>
  <c r="N121" i="1" s="1"/>
  <c r="F121" i="1"/>
  <c r="E121" i="1"/>
  <c r="G121" i="1" s="1"/>
  <c r="N120" i="1"/>
  <c r="L120" i="1"/>
  <c r="K120" i="1"/>
  <c r="M120" i="1" s="1"/>
  <c r="G120" i="1"/>
  <c r="F120" i="1"/>
  <c r="E120" i="1"/>
  <c r="M119" i="1"/>
  <c r="L119" i="1"/>
  <c r="K119" i="1"/>
  <c r="F119" i="1"/>
  <c r="G119" i="1" s="1"/>
  <c r="E119" i="1"/>
  <c r="L118" i="1"/>
  <c r="M118" i="1" s="1"/>
  <c r="K118" i="1"/>
  <c r="F118" i="1"/>
  <c r="E118" i="1"/>
  <c r="G118" i="1" s="1"/>
  <c r="L117" i="1"/>
  <c r="K117" i="1"/>
  <c r="M117" i="1" s="1"/>
  <c r="N117" i="1" s="1"/>
  <c r="F117" i="1"/>
  <c r="E117" i="1"/>
  <c r="G117" i="1" s="1"/>
  <c r="L116" i="1"/>
  <c r="K116" i="1"/>
  <c r="M116" i="1" s="1"/>
  <c r="N116" i="1" s="1"/>
  <c r="G116" i="1"/>
  <c r="F116" i="1"/>
  <c r="E116" i="1"/>
  <c r="M115" i="1"/>
  <c r="N115" i="1" s="1"/>
  <c r="L115" i="1"/>
  <c r="K115" i="1"/>
  <c r="F115" i="1"/>
  <c r="G115" i="1" s="1"/>
  <c r="E115" i="1"/>
  <c r="L114" i="1"/>
  <c r="M114" i="1" s="1"/>
  <c r="K114" i="1"/>
  <c r="F114" i="1"/>
  <c r="E114" i="1"/>
  <c r="G114" i="1" s="1"/>
  <c r="L113" i="1"/>
  <c r="K113" i="1"/>
  <c r="M113" i="1" s="1"/>
  <c r="F113" i="1"/>
  <c r="E113" i="1"/>
  <c r="G113" i="1" s="1"/>
  <c r="L112" i="1"/>
  <c r="K112" i="1"/>
  <c r="M112" i="1" s="1"/>
  <c r="N112" i="1" s="1"/>
  <c r="G112" i="1"/>
  <c r="F112" i="1"/>
  <c r="E112" i="1"/>
  <c r="M111" i="1"/>
  <c r="N111" i="1" s="1"/>
  <c r="L111" i="1"/>
  <c r="K111" i="1"/>
  <c r="F111" i="1"/>
  <c r="G111" i="1" s="1"/>
  <c r="E111" i="1"/>
  <c r="L110" i="1"/>
  <c r="M110" i="1" s="1"/>
  <c r="N110" i="1" s="1"/>
  <c r="K110" i="1"/>
  <c r="F110" i="1"/>
  <c r="E110" i="1"/>
  <c r="G110" i="1" s="1"/>
  <c r="L109" i="1"/>
  <c r="K109" i="1"/>
  <c r="M109" i="1" s="1"/>
  <c r="F109" i="1"/>
  <c r="E109" i="1"/>
  <c r="G109" i="1" s="1"/>
  <c r="N108" i="1"/>
  <c r="L108" i="1"/>
  <c r="K108" i="1"/>
  <c r="M108" i="1" s="1"/>
  <c r="G108" i="1"/>
  <c r="F108" i="1"/>
  <c r="E108" i="1"/>
  <c r="M107" i="1"/>
  <c r="L107" i="1"/>
  <c r="K107" i="1"/>
  <c r="F107" i="1"/>
  <c r="G107" i="1" s="1"/>
  <c r="E107" i="1"/>
  <c r="L106" i="1"/>
  <c r="M106" i="1" s="1"/>
  <c r="N106" i="1" s="1"/>
  <c r="K106" i="1"/>
  <c r="F106" i="1"/>
  <c r="E106" i="1"/>
  <c r="G106" i="1" s="1"/>
  <c r="L105" i="1"/>
  <c r="K105" i="1"/>
  <c r="M105" i="1" s="1"/>
  <c r="N105" i="1" s="1"/>
  <c r="F105" i="1"/>
  <c r="E105" i="1"/>
  <c r="G105" i="1" s="1"/>
  <c r="N104" i="1"/>
  <c r="L104" i="1"/>
  <c r="K104" i="1"/>
  <c r="M104" i="1" s="1"/>
  <c r="G104" i="1"/>
  <c r="F104" i="1"/>
  <c r="E104" i="1"/>
  <c r="M103" i="1"/>
  <c r="L103" i="1"/>
  <c r="K103" i="1"/>
  <c r="F103" i="1"/>
  <c r="G103" i="1" s="1"/>
  <c r="E103" i="1"/>
  <c r="L102" i="1"/>
  <c r="M102" i="1" s="1"/>
  <c r="K102" i="1"/>
  <c r="F102" i="1"/>
  <c r="E102" i="1"/>
  <c r="G102" i="1" s="1"/>
  <c r="L101" i="1"/>
  <c r="K101" i="1"/>
  <c r="M101" i="1" s="1"/>
  <c r="N101" i="1" s="1"/>
  <c r="F101" i="1"/>
  <c r="E101" i="1"/>
  <c r="G101" i="1" s="1"/>
  <c r="L100" i="1"/>
  <c r="K100" i="1"/>
  <c r="M100" i="1" s="1"/>
  <c r="N100" i="1" s="1"/>
  <c r="G100" i="1"/>
  <c r="F100" i="1"/>
  <c r="E100" i="1"/>
  <c r="M99" i="1"/>
  <c r="N99" i="1" s="1"/>
  <c r="L99" i="1"/>
  <c r="K99" i="1"/>
  <c r="F99" i="1"/>
  <c r="G99" i="1" s="1"/>
  <c r="E99" i="1"/>
  <c r="L98" i="1"/>
  <c r="M98" i="1" s="1"/>
  <c r="K98" i="1"/>
  <c r="F98" i="1"/>
  <c r="E98" i="1"/>
  <c r="G98" i="1" s="1"/>
  <c r="L97" i="1"/>
  <c r="K97" i="1"/>
  <c r="M97" i="1" s="1"/>
  <c r="F97" i="1"/>
  <c r="E97" i="1"/>
  <c r="G97" i="1" s="1"/>
  <c r="L96" i="1"/>
  <c r="K96" i="1"/>
  <c r="M96" i="1" s="1"/>
  <c r="N96" i="1" s="1"/>
  <c r="G96" i="1"/>
  <c r="F96" i="1"/>
  <c r="E96" i="1"/>
  <c r="M95" i="1"/>
  <c r="N95" i="1" s="1"/>
  <c r="L95" i="1"/>
  <c r="K95" i="1"/>
  <c r="F95" i="1"/>
  <c r="G95" i="1" s="1"/>
  <c r="E95" i="1"/>
  <c r="L94" i="1"/>
  <c r="M94" i="1" s="1"/>
  <c r="N94" i="1" s="1"/>
  <c r="K94" i="1"/>
  <c r="F94" i="1"/>
  <c r="E94" i="1"/>
  <c r="G94" i="1" s="1"/>
  <c r="L93" i="1"/>
  <c r="K93" i="1"/>
  <c r="M93" i="1" s="1"/>
  <c r="F93" i="1"/>
  <c r="E93" i="1"/>
  <c r="G93" i="1" s="1"/>
  <c r="N92" i="1"/>
  <c r="L92" i="1"/>
  <c r="K92" i="1"/>
  <c r="M92" i="1" s="1"/>
  <c r="G92" i="1"/>
  <c r="F92" i="1"/>
  <c r="E92" i="1"/>
  <c r="M91" i="1"/>
  <c r="L91" i="1"/>
  <c r="K91" i="1"/>
  <c r="F91" i="1"/>
  <c r="G91" i="1" s="1"/>
  <c r="E91" i="1"/>
  <c r="L90" i="1"/>
  <c r="M90" i="1" s="1"/>
  <c r="N90" i="1" s="1"/>
  <c r="K90" i="1"/>
  <c r="F90" i="1"/>
  <c r="E90" i="1"/>
  <c r="G90" i="1" s="1"/>
  <c r="L89" i="1"/>
  <c r="K89" i="1"/>
  <c r="M89" i="1" s="1"/>
  <c r="N89" i="1" s="1"/>
  <c r="F89" i="1"/>
  <c r="E89" i="1"/>
  <c r="G89" i="1" s="1"/>
  <c r="N88" i="1"/>
  <c r="L88" i="1"/>
  <c r="K88" i="1"/>
  <c r="M88" i="1" s="1"/>
  <c r="G88" i="1"/>
  <c r="F88" i="1"/>
  <c r="E88" i="1"/>
  <c r="M87" i="1"/>
  <c r="L87" i="1"/>
  <c r="K87" i="1"/>
  <c r="F87" i="1"/>
  <c r="G87" i="1" s="1"/>
  <c r="E87" i="1"/>
  <c r="L86" i="1"/>
  <c r="M86" i="1" s="1"/>
  <c r="K86" i="1"/>
  <c r="F86" i="1"/>
  <c r="E86" i="1"/>
  <c r="G86" i="1" s="1"/>
  <c r="L85" i="1"/>
  <c r="K85" i="1"/>
  <c r="M85" i="1" s="1"/>
  <c r="N85" i="1" s="1"/>
  <c r="F85" i="1"/>
  <c r="E85" i="1"/>
  <c r="G85" i="1" s="1"/>
  <c r="L84" i="1"/>
  <c r="K84" i="1"/>
  <c r="M84" i="1" s="1"/>
  <c r="N84" i="1" s="1"/>
  <c r="G84" i="1"/>
  <c r="F84" i="1"/>
  <c r="E84" i="1"/>
  <c r="M83" i="1"/>
  <c r="N83" i="1" s="1"/>
  <c r="L83" i="1"/>
  <c r="K83" i="1"/>
  <c r="F83" i="1"/>
  <c r="G83" i="1" s="1"/>
  <c r="E83" i="1"/>
  <c r="L82" i="1"/>
  <c r="M82" i="1" s="1"/>
  <c r="K82" i="1"/>
  <c r="F82" i="1"/>
  <c r="E82" i="1"/>
  <c r="G82" i="1" s="1"/>
  <c r="L81" i="1"/>
  <c r="K81" i="1"/>
  <c r="M81" i="1" s="1"/>
  <c r="F81" i="1"/>
  <c r="E81" i="1"/>
  <c r="G81" i="1" s="1"/>
  <c r="L80" i="1"/>
  <c r="K80" i="1"/>
  <c r="M80" i="1" s="1"/>
  <c r="N80" i="1" s="1"/>
  <c r="G80" i="1"/>
  <c r="F80" i="1"/>
  <c r="E80" i="1"/>
  <c r="M79" i="1"/>
  <c r="N79" i="1" s="1"/>
  <c r="L79" i="1"/>
  <c r="K79" i="1"/>
  <c r="F79" i="1"/>
  <c r="G79" i="1" s="1"/>
  <c r="E79" i="1"/>
  <c r="L78" i="1"/>
  <c r="M78" i="1" s="1"/>
  <c r="N78" i="1" s="1"/>
  <c r="K78" i="1"/>
  <c r="F78" i="1"/>
  <c r="E78" i="1"/>
  <c r="G78" i="1" s="1"/>
  <c r="L77" i="1"/>
  <c r="K77" i="1"/>
  <c r="M77" i="1" s="1"/>
  <c r="F77" i="1"/>
  <c r="E77" i="1"/>
  <c r="G77" i="1" s="1"/>
  <c r="N76" i="1"/>
  <c r="L76" i="1"/>
  <c r="K76" i="1"/>
  <c r="M76" i="1" s="1"/>
  <c r="G76" i="1"/>
  <c r="F76" i="1"/>
  <c r="E76" i="1"/>
  <c r="M75" i="1"/>
  <c r="L75" i="1"/>
  <c r="K75" i="1"/>
  <c r="F75" i="1"/>
  <c r="G75" i="1" s="1"/>
  <c r="E75" i="1"/>
  <c r="L74" i="1"/>
  <c r="M74" i="1" s="1"/>
  <c r="N74" i="1" s="1"/>
  <c r="K74" i="1"/>
  <c r="F74" i="1"/>
  <c r="E74" i="1"/>
  <c r="G74" i="1" s="1"/>
  <c r="L73" i="1"/>
  <c r="K73" i="1"/>
  <c r="M73" i="1" s="1"/>
  <c r="N73" i="1" s="1"/>
  <c r="F73" i="1"/>
  <c r="E73" i="1"/>
  <c r="G73" i="1" s="1"/>
  <c r="N72" i="1"/>
  <c r="L72" i="1"/>
  <c r="K72" i="1"/>
  <c r="M72" i="1" s="1"/>
  <c r="G72" i="1"/>
  <c r="F72" i="1"/>
  <c r="E72" i="1"/>
  <c r="M71" i="1"/>
  <c r="L71" i="1"/>
  <c r="K71" i="1"/>
  <c r="G71" i="1"/>
  <c r="F71" i="1"/>
  <c r="E71" i="1"/>
  <c r="L70" i="1"/>
  <c r="M70" i="1" s="1"/>
  <c r="N70" i="1" s="1"/>
  <c r="K70" i="1"/>
  <c r="F70" i="1"/>
  <c r="E70" i="1"/>
  <c r="G70" i="1" s="1"/>
  <c r="L69" i="1"/>
  <c r="K69" i="1"/>
  <c r="F69" i="1"/>
  <c r="E69" i="1"/>
  <c r="G69" i="1" s="1"/>
  <c r="N68" i="1"/>
  <c r="L68" i="1"/>
  <c r="K68" i="1"/>
  <c r="M68" i="1" s="1"/>
  <c r="G68" i="1"/>
  <c r="F68" i="1"/>
  <c r="E68" i="1"/>
  <c r="M67" i="1"/>
  <c r="N67" i="1" s="1"/>
  <c r="L67" i="1"/>
  <c r="K67" i="1"/>
  <c r="F67" i="1"/>
  <c r="G67" i="1" s="1"/>
  <c r="E67" i="1"/>
  <c r="M66" i="1"/>
  <c r="L66" i="1"/>
  <c r="K66" i="1"/>
  <c r="F66" i="1"/>
  <c r="E66" i="1"/>
  <c r="L65" i="1"/>
  <c r="K65" i="1"/>
  <c r="M65" i="1" s="1"/>
  <c r="N65" i="1" s="1"/>
  <c r="F65" i="1"/>
  <c r="E65" i="1"/>
  <c r="G65" i="1" s="1"/>
  <c r="L64" i="1"/>
  <c r="K64" i="1"/>
  <c r="M64" i="1" s="1"/>
  <c r="N64" i="1" s="1"/>
  <c r="G64" i="1"/>
  <c r="F64" i="1"/>
  <c r="E64" i="1"/>
  <c r="M63" i="1"/>
  <c r="L63" i="1"/>
  <c r="K63" i="1"/>
  <c r="G63" i="1"/>
  <c r="N63" i="1" s="1"/>
  <c r="F63" i="1"/>
  <c r="E63" i="1"/>
  <c r="L62" i="1"/>
  <c r="M62" i="1" s="1"/>
  <c r="N62" i="1" s="1"/>
  <c r="K62" i="1"/>
  <c r="F62" i="1"/>
  <c r="E62" i="1"/>
  <c r="G62" i="1" s="1"/>
  <c r="L61" i="1"/>
  <c r="K61" i="1"/>
  <c r="F61" i="1"/>
  <c r="E61" i="1"/>
  <c r="G61" i="1" s="1"/>
  <c r="N60" i="1"/>
  <c r="L60" i="1"/>
  <c r="K60" i="1"/>
  <c r="M60" i="1" s="1"/>
  <c r="G60" i="1"/>
  <c r="F60" i="1"/>
  <c r="E60" i="1"/>
  <c r="M59" i="1"/>
  <c r="N59" i="1" s="1"/>
  <c r="L59" i="1"/>
  <c r="K59" i="1"/>
  <c r="F59" i="1"/>
  <c r="G59" i="1" s="1"/>
  <c r="E59" i="1"/>
  <c r="M58" i="1"/>
  <c r="L58" i="1"/>
  <c r="K58" i="1"/>
  <c r="F58" i="1"/>
  <c r="E58" i="1"/>
  <c r="L57" i="1"/>
  <c r="K57" i="1"/>
  <c r="M57" i="1" s="1"/>
  <c r="N57" i="1" s="1"/>
  <c r="F57" i="1"/>
  <c r="E57" i="1"/>
  <c r="G57" i="1" s="1"/>
  <c r="L56" i="1"/>
  <c r="K56" i="1"/>
  <c r="M56" i="1" s="1"/>
  <c r="N56" i="1" s="1"/>
  <c r="G56" i="1"/>
  <c r="F56" i="1"/>
  <c r="E56" i="1"/>
  <c r="M55" i="1"/>
  <c r="L55" i="1"/>
  <c r="K55" i="1"/>
  <c r="G55" i="1"/>
  <c r="N55" i="1" s="1"/>
  <c r="F55" i="1"/>
  <c r="E55" i="1"/>
  <c r="L54" i="1"/>
  <c r="M54" i="1" s="1"/>
  <c r="N54" i="1" s="1"/>
  <c r="K54" i="1"/>
  <c r="F54" i="1"/>
  <c r="E54" i="1"/>
  <c r="G54" i="1" s="1"/>
  <c r="L53" i="1"/>
  <c r="K53" i="1"/>
  <c r="F53" i="1"/>
  <c r="E53" i="1"/>
  <c r="G53" i="1" s="1"/>
  <c r="N52" i="1"/>
  <c r="L52" i="1"/>
  <c r="K52" i="1"/>
  <c r="M52" i="1" s="1"/>
  <c r="G52" i="1"/>
  <c r="F52" i="1"/>
  <c r="E52" i="1"/>
  <c r="M51" i="1"/>
  <c r="N51" i="1" s="1"/>
  <c r="L51" i="1"/>
  <c r="K51" i="1"/>
  <c r="F51" i="1"/>
  <c r="G51" i="1" s="1"/>
  <c r="E51" i="1"/>
  <c r="M50" i="1"/>
  <c r="L50" i="1"/>
  <c r="K50" i="1"/>
  <c r="F50" i="1"/>
  <c r="E50" i="1"/>
  <c r="L49" i="1"/>
  <c r="K49" i="1"/>
  <c r="M49" i="1" s="1"/>
  <c r="N49" i="1" s="1"/>
  <c r="F49" i="1"/>
  <c r="E49" i="1"/>
  <c r="G49" i="1" s="1"/>
  <c r="L48" i="1"/>
  <c r="K48" i="1"/>
  <c r="M48" i="1" s="1"/>
  <c r="N48" i="1" s="1"/>
  <c r="G48" i="1"/>
  <c r="F48" i="1"/>
  <c r="E48" i="1"/>
  <c r="M47" i="1"/>
  <c r="L47" i="1"/>
  <c r="K47" i="1"/>
  <c r="G47" i="1"/>
  <c r="N47" i="1" s="1"/>
  <c r="F47" i="1"/>
  <c r="E47" i="1"/>
  <c r="L46" i="1"/>
  <c r="M46" i="1" s="1"/>
  <c r="N46" i="1" s="1"/>
  <c r="K46" i="1"/>
  <c r="F46" i="1"/>
  <c r="E46" i="1"/>
  <c r="G46" i="1" s="1"/>
  <c r="L45" i="1"/>
  <c r="K45" i="1"/>
  <c r="F45" i="1"/>
  <c r="E45" i="1"/>
  <c r="G45" i="1" s="1"/>
  <c r="N44" i="1"/>
  <c r="L44" i="1"/>
  <c r="K44" i="1"/>
  <c r="M44" i="1" s="1"/>
  <c r="G44" i="1"/>
  <c r="F44" i="1"/>
  <c r="E44" i="1"/>
  <c r="M43" i="1"/>
  <c r="L43" i="1"/>
  <c r="K43" i="1"/>
  <c r="F43" i="1"/>
  <c r="G43" i="1" s="1"/>
  <c r="E43" i="1"/>
  <c r="M42" i="1"/>
  <c r="L42" i="1"/>
  <c r="K42" i="1"/>
  <c r="F42" i="1"/>
  <c r="E42" i="1"/>
  <c r="L41" i="1"/>
  <c r="K41" i="1"/>
  <c r="M41" i="1" s="1"/>
  <c r="N41" i="1" s="1"/>
  <c r="F41" i="1"/>
  <c r="E41" i="1"/>
  <c r="G41" i="1" s="1"/>
  <c r="L40" i="1"/>
  <c r="K40" i="1"/>
  <c r="M40" i="1" s="1"/>
  <c r="N40" i="1" s="1"/>
  <c r="G40" i="1"/>
  <c r="F40" i="1"/>
  <c r="E40" i="1"/>
  <c r="M39" i="1"/>
  <c r="L39" i="1"/>
  <c r="K39" i="1"/>
  <c r="G39" i="1"/>
  <c r="N39" i="1" s="1"/>
  <c r="F39" i="1"/>
  <c r="E39" i="1"/>
  <c r="L38" i="1"/>
  <c r="M38" i="1" s="1"/>
  <c r="N38" i="1" s="1"/>
  <c r="K38" i="1"/>
  <c r="F38" i="1"/>
  <c r="E38" i="1"/>
  <c r="G38" i="1" s="1"/>
  <c r="L37" i="1"/>
  <c r="K37" i="1"/>
  <c r="F37" i="1"/>
  <c r="E37" i="1"/>
  <c r="G37" i="1" s="1"/>
  <c r="N36" i="1"/>
  <c r="L36" i="1"/>
  <c r="K36" i="1"/>
  <c r="M36" i="1" s="1"/>
  <c r="G36" i="1"/>
  <c r="F36" i="1"/>
  <c r="E36" i="1"/>
  <c r="M35" i="1"/>
  <c r="N35" i="1" s="1"/>
  <c r="L35" i="1"/>
  <c r="K35" i="1"/>
  <c r="F35" i="1"/>
  <c r="G35" i="1" s="1"/>
  <c r="E35" i="1"/>
  <c r="M34" i="1"/>
  <c r="L34" i="1"/>
  <c r="K34" i="1"/>
  <c r="F34" i="1"/>
  <c r="E34" i="1"/>
  <c r="L33" i="1"/>
  <c r="K33" i="1"/>
  <c r="M33" i="1" s="1"/>
  <c r="N33" i="1" s="1"/>
  <c r="F33" i="1"/>
  <c r="E33" i="1"/>
  <c r="G33" i="1" s="1"/>
  <c r="L32" i="1"/>
  <c r="K32" i="1"/>
  <c r="M32" i="1" s="1"/>
  <c r="N32" i="1" s="1"/>
  <c r="G32" i="1"/>
  <c r="F32" i="1"/>
  <c r="E32" i="1"/>
  <c r="M31" i="1"/>
  <c r="L31" i="1"/>
  <c r="K31" i="1"/>
  <c r="G31" i="1"/>
  <c r="N31" i="1" s="1"/>
  <c r="F31" i="1"/>
  <c r="E31" i="1"/>
  <c r="L30" i="1"/>
  <c r="M30" i="1" s="1"/>
  <c r="N30" i="1" s="1"/>
  <c r="K30" i="1"/>
  <c r="F30" i="1"/>
  <c r="E30" i="1"/>
  <c r="G30" i="1" s="1"/>
  <c r="L29" i="1"/>
  <c r="K29" i="1"/>
  <c r="F29" i="1"/>
  <c r="E29" i="1"/>
  <c r="G29" i="1" s="1"/>
  <c r="N28" i="1"/>
  <c r="L28" i="1"/>
  <c r="K28" i="1"/>
  <c r="M28" i="1" s="1"/>
  <c r="G28" i="1"/>
  <c r="F28" i="1"/>
  <c r="E28" i="1"/>
  <c r="M27" i="1"/>
  <c r="N27" i="1" s="1"/>
  <c r="L27" i="1"/>
  <c r="K27" i="1"/>
  <c r="F27" i="1"/>
  <c r="G27" i="1" s="1"/>
  <c r="E27" i="1"/>
  <c r="M26" i="1"/>
  <c r="L26" i="1"/>
  <c r="K26" i="1"/>
  <c r="F26" i="1"/>
  <c r="E26" i="1"/>
  <c r="U25" i="1"/>
  <c r="T25" i="1"/>
  <c r="V25" i="1" s="1"/>
  <c r="W10" i="1" s="1"/>
  <c r="N25" i="1"/>
  <c r="L25" i="1"/>
  <c r="K25" i="1"/>
  <c r="M25" i="1" s="1"/>
  <c r="G25" i="1"/>
  <c r="F25" i="1"/>
  <c r="E25" i="1"/>
  <c r="U24" i="1"/>
  <c r="V24" i="1" s="1"/>
  <c r="W9" i="1" s="1"/>
  <c r="T24" i="1"/>
  <c r="M24" i="1"/>
  <c r="L24" i="1"/>
  <c r="K24" i="1"/>
  <c r="F24" i="1"/>
  <c r="E24" i="1"/>
  <c r="U23" i="1"/>
  <c r="T23" i="1"/>
  <c r="V23" i="1" s="1"/>
  <c r="N23" i="1"/>
  <c r="L23" i="1"/>
  <c r="K23" i="1"/>
  <c r="M23" i="1" s="1"/>
  <c r="G23" i="1"/>
  <c r="F23" i="1"/>
  <c r="E23" i="1"/>
  <c r="U22" i="1"/>
  <c r="V22" i="1" s="1"/>
  <c r="W7" i="1" s="1"/>
  <c r="T22" i="1"/>
  <c r="M22" i="1"/>
  <c r="L22" i="1"/>
  <c r="K22" i="1"/>
  <c r="F22" i="1"/>
  <c r="E22" i="1"/>
  <c r="U21" i="1"/>
  <c r="T21" i="1"/>
  <c r="V21" i="1" s="1"/>
  <c r="N21" i="1"/>
  <c r="L21" i="1"/>
  <c r="K21" i="1"/>
  <c r="M21" i="1" s="1"/>
  <c r="G21" i="1"/>
  <c r="F21" i="1"/>
  <c r="E21" i="1"/>
  <c r="U20" i="1"/>
  <c r="V20" i="1" s="1"/>
  <c r="T20" i="1"/>
  <c r="M20" i="1"/>
  <c r="L20" i="1"/>
  <c r="K20" i="1"/>
  <c r="F20" i="1"/>
  <c r="E20" i="1"/>
  <c r="U19" i="1"/>
  <c r="T19" i="1"/>
  <c r="V19" i="1" s="1"/>
  <c r="N19" i="1"/>
  <c r="L19" i="1"/>
  <c r="K19" i="1"/>
  <c r="M19" i="1" s="1"/>
  <c r="G19" i="1"/>
  <c r="F19" i="1"/>
  <c r="E19" i="1"/>
  <c r="U18" i="1"/>
  <c r="V18" i="1" s="1"/>
  <c r="W3" i="1" s="1"/>
  <c r="T18" i="1"/>
  <c r="M18" i="1"/>
  <c r="L18" i="1"/>
  <c r="K18" i="1"/>
  <c r="F18" i="1"/>
  <c r="E18" i="1"/>
  <c r="U17" i="1"/>
  <c r="T17" i="1"/>
  <c r="V17" i="1" s="1"/>
  <c r="W2" i="1" s="1"/>
  <c r="N17" i="1"/>
  <c r="L17" i="1"/>
  <c r="K17" i="1"/>
  <c r="M17" i="1" s="1"/>
  <c r="G17" i="1"/>
  <c r="F17" i="1"/>
  <c r="E17" i="1"/>
  <c r="M16" i="1"/>
  <c r="L16" i="1"/>
  <c r="K16" i="1"/>
  <c r="F16" i="1"/>
  <c r="G16" i="1" s="1"/>
  <c r="E16" i="1"/>
  <c r="M15" i="1"/>
  <c r="L15" i="1"/>
  <c r="K15" i="1"/>
  <c r="F15" i="1"/>
  <c r="E15" i="1"/>
  <c r="L14" i="1"/>
  <c r="K14" i="1"/>
  <c r="M14" i="1" s="1"/>
  <c r="N14" i="1" s="1"/>
  <c r="F14" i="1"/>
  <c r="E14" i="1"/>
  <c r="G14" i="1" s="1"/>
  <c r="L13" i="1"/>
  <c r="K13" i="1"/>
  <c r="M13" i="1" s="1"/>
  <c r="N13" i="1" s="1"/>
  <c r="G13" i="1"/>
  <c r="F13" i="1"/>
  <c r="E13" i="1"/>
  <c r="W12" i="1"/>
  <c r="L12" i="1"/>
  <c r="K12" i="1"/>
  <c r="M12" i="1" s="1"/>
  <c r="N12" i="1" s="1"/>
  <c r="G12" i="1"/>
  <c r="F12" i="1"/>
  <c r="E12" i="1"/>
  <c r="W11" i="1"/>
  <c r="N11" i="1"/>
  <c r="L11" i="1"/>
  <c r="K11" i="1"/>
  <c r="M11" i="1" s="1"/>
  <c r="G11" i="1"/>
  <c r="F11" i="1"/>
  <c r="E11" i="1"/>
  <c r="V10" i="1"/>
  <c r="U10" i="1"/>
  <c r="T10" i="1"/>
  <c r="M10" i="1"/>
  <c r="N10" i="1" s="1"/>
  <c r="L10" i="1"/>
  <c r="K10" i="1"/>
  <c r="F10" i="1"/>
  <c r="G10" i="1" s="1"/>
  <c r="E10" i="1"/>
  <c r="V9" i="1"/>
  <c r="U9" i="1"/>
  <c r="T9" i="1"/>
  <c r="M9" i="1"/>
  <c r="L9" i="1"/>
  <c r="K9" i="1"/>
  <c r="F9" i="1"/>
  <c r="E9" i="1"/>
  <c r="G9" i="1" s="1"/>
  <c r="U8" i="1"/>
  <c r="T8" i="1"/>
  <c r="L8" i="1"/>
  <c r="K8" i="1"/>
  <c r="M8" i="1" s="1"/>
  <c r="N8" i="1" s="1"/>
  <c r="F8" i="1"/>
  <c r="E8" i="1"/>
  <c r="G8" i="1" s="1"/>
  <c r="U7" i="1"/>
  <c r="T7" i="1"/>
  <c r="V7" i="1" s="1"/>
  <c r="L7" i="1"/>
  <c r="K7" i="1"/>
  <c r="M7" i="1" s="1"/>
  <c r="N7" i="1" s="1"/>
  <c r="G7" i="1"/>
  <c r="F7" i="1"/>
  <c r="E7" i="1"/>
  <c r="W6" i="1"/>
  <c r="V6" i="1"/>
  <c r="U6" i="1"/>
  <c r="T6" i="1"/>
  <c r="M6" i="1"/>
  <c r="L6" i="1"/>
  <c r="K6" i="1"/>
  <c r="G6" i="1"/>
  <c r="N6" i="1" s="1"/>
  <c r="F6" i="1"/>
  <c r="E6" i="1"/>
  <c r="U5" i="1"/>
  <c r="V5" i="1" s="1"/>
  <c r="T5" i="1"/>
  <c r="L5" i="1"/>
  <c r="M5" i="1" s="1"/>
  <c r="K5" i="1"/>
  <c r="F5" i="1"/>
  <c r="E5" i="1"/>
  <c r="U4" i="1"/>
  <c r="T4" i="1"/>
  <c r="V4" i="1" s="1"/>
  <c r="L4" i="1"/>
  <c r="K4" i="1"/>
  <c r="F4" i="1"/>
  <c r="E4" i="1"/>
  <c r="G4" i="1" s="1"/>
  <c r="U3" i="1"/>
  <c r="T3" i="1"/>
  <c r="V3" i="1" s="1"/>
  <c r="N3" i="1"/>
  <c r="L3" i="1"/>
  <c r="K3" i="1"/>
  <c r="M3" i="1" s="1"/>
  <c r="G3" i="1"/>
  <c r="F3" i="1"/>
  <c r="E3" i="1"/>
  <c r="V2" i="1"/>
  <c r="U2" i="1"/>
  <c r="T2" i="1"/>
  <c r="M2" i="1"/>
  <c r="N2" i="1" s="1"/>
  <c r="L2" i="1"/>
  <c r="K2" i="1"/>
  <c r="F2" i="1"/>
  <c r="G2" i="1" s="1"/>
  <c r="E2" i="1"/>
  <c r="W5" i="1" l="1"/>
  <c r="N16" i="1"/>
  <c r="N43" i="1"/>
  <c r="N171" i="2"/>
  <c r="W4" i="1"/>
  <c r="N326" i="1"/>
  <c r="N346" i="1"/>
  <c r="N9" i="2"/>
  <c r="N43" i="2"/>
  <c r="M4" i="1"/>
  <c r="N4" i="1" s="1"/>
  <c r="G5" i="1"/>
  <c r="N5" i="1" s="1"/>
  <c r="V8" i="1"/>
  <c r="W8" i="1" s="1"/>
  <c r="N75" i="1"/>
  <c r="N81" i="1"/>
  <c r="N86" i="1"/>
  <c r="N91" i="1"/>
  <c r="N97" i="1"/>
  <c r="N102" i="1"/>
  <c r="N107" i="1"/>
  <c r="N113" i="1"/>
  <c r="N118" i="1"/>
  <c r="N123" i="1"/>
  <c r="N129" i="1"/>
  <c r="N134" i="1"/>
  <c r="N139" i="1"/>
  <c r="N145" i="1"/>
  <c r="N150" i="1"/>
  <c r="N155" i="1"/>
  <c r="N161" i="1"/>
  <c r="N166" i="1"/>
  <c r="N171" i="1"/>
  <c r="N177" i="1"/>
  <c r="N182" i="1"/>
  <c r="N187" i="1"/>
  <c r="N193" i="1"/>
  <c r="N198" i="1"/>
  <c r="N203" i="1"/>
  <c r="N209" i="1"/>
  <c r="N214" i="1"/>
  <c r="N219" i="1"/>
  <c r="N225" i="1"/>
  <c r="N230" i="1"/>
  <c r="N235" i="1"/>
  <c r="N241" i="1"/>
  <c r="N263" i="1"/>
  <c r="N75" i="2"/>
  <c r="N107" i="2"/>
  <c r="N281" i="2"/>
  <c r="N9" i="1"/>
  <c r="N262" i="1"/>
  <c r="G15" i="1"/>
  <c r="N15" i="1"/>
  <c r="G18" i="1"/>
  <c r="N18" i="1"/>
  <c r="G20" i="1"/>
  <c r="N20" i="1"/>
  <c r="G22" i="1"/>
  <c r="N22" i="1"/>
  <c r="G24" i="1"/>
  <c r="N24" i="1"/>
  <c r="G26" i="1"/>
  <c r="N26" i="1"/>
  <c r="M29" i="1"/>
  <c r="N29" i="1" s="1"/>
  <c r="G34" i="1"/>
  <c r="N34" i="1"/>
  <c r="M37" i="1"/>
  <c r="N37" i="1" s="1"/>
  <c r="G42" i="1"/>
  <c r="N42" i="1"/>
  <c r="M45" i="1"/>
  <c r="N45" i="1" s="1"/>
  <c r="G50" i="1"/>
  <c r="N50" i="1" s="1"/>
  <c r="M53" i="1"/>
  <c r="N53" i="1" s="1"/>
  <c r="G58" i="1"/>
  <c r="N58" i="1"/>
  <c r="M61" i="1"/>
  <c r="N61" i="1" s="1"/>
  <c r="G66" i="1"/>
  <c r="N66" i="1"/>
  <c r="M69" i="1"/>
  <c r="N69" i="1" s="1"/>
  <c r="N71" i="1"/>
  <c r="N77" i="1"/>
  <c r="N82" i="1"/>
  <c r="N87" i="1"/>
  <c r="N93" i="1"/>
  <c r="N98" i="1"/>
  <c r="N103" i="1"/>
  <c r="N109" i="1"/>
  <c r="N114" i="1"/>
  <c r="N119" i="1"/>
  <c r="N125" i="1"/>
  <c r="N130" i="1"/>
  <c r="N135" i="1"/>
  <c r="N141" i="1"/>
  <c r="N146" i="1"/>
  <c r="N151" i="1"/>
  <c r="N157" i="1"/>
  <c r="N162" i="1"/>
  <c r="N167" i="1"/>
  <c r="N173" i="1"/>
  <c r="N178" i="1"/>
  <c r="N183" i="1"/>
  <c r="N189" i="1"/>
  <c r="N194" i="1"/>
  <c r="N199" i="1"/>
  <c r="N205" i="1"/>
  <c r="N210" i="1"/>
  <c r="N215" i="1"/>
  <c r="N221" i="1"/>
  <c r="N226" i="1"/>
  <c r="N231" i="1"/>
  <c r="N237" i="1"/>
  <c r="N242" i="1"/>
  <c r="N246" i="1"/>
  <c r="N255" i="1"/>
  <c r="N278" i="1"/>
  <c r="N287" i="1"/>
  <c r="N319" i="1"/>
  <c r="N342" i="1"/>
  <c r="N139" i="2"/>
  <c r="W9" i="2"/>
  <c r="N200" i="2"/>
  <c r="N346" i="2"/>
  <c r="N4" i="2"/>
  <c r="N80" i="2"/>
  <c r="N249" i="2"/>
  <c r="N250" i="2"/>
  <c r="N253" i="2"/>
  <c r="G346" i="2"/>
  <c r="M249" i="1"/>
  <c r="N249" i="1" s="1"/>
  <c r="G254" i="1"/>
  <c r="N254" i="1" s="1"/>
  <c r="M257" i="1"/>
  <c r="N257" i="1" s="1"/>
  <c r="G262" i="1"/>
  <c r="M265" i="1"/>
  <c r="N265" i="1" s="1"/>
  <c r="G270" i="1"/>
  <c r="N270" i="1" s="1"/>
  <c r="M273" i="1"/>
  <c r="N273" i="1" s="1"/>
  <c r="G278" i="1"/>
  <c r="M281" i="1"/>
  <c r="N281" i="1" s="1"/>
  <c r="G286" i="1"/>
  <c r="N286" i="1" s="1"/>
  <c r="M289" i="1"/>
  <c r="N289" i="1" s="1"/>
  <c r="G294" i="1"/>
  <c r="N294" i="1" s="1"/>
  <c r="M297" i="1"/>
  <c r="N297" i="1" s="1"/>
  <c r="G302" i="1"/>
  <c r="N302" i="1" s="1"/>
  <c r="M305" i="1"/>
  <c r="N305" i="1" s="1"/>
  <c r="G310" i="1"/>
  <c r="N310" i="1" s="1"/>
  <c r="M313" i="1"/>
  <c r="N313" i="1" s="1"/>
  <c r="G318" i="1"/>
  <c r="N318" i="1" s="1"/>
  <c r="M321" i="1"/>
  <c r="N321" i="1" s="1"/>
  <c r="G326" i="1"/>
  <c r="M329" i="1"/>
  <c r="N329" i="1" s="1"/>
  <c r="G334" i="1"/>
  <c r="N334" i="1" s="1"/>
  <c r="M337" i="1"/>
  <c r="N337" i="1" s="1"/>
  <c r="G342" i="1"/>
  <c r="M12" i="2"/>
  <c r="N12" i="2" s="1"/>
  <c r="W4" i="2"/>
  <c r="W5" i="2"/>
  <c r="N24" i="2"/>
  <c r="N56" i="2"/>
  <c r="N67" i="2"/>
  <c r="N88" i="2"/>
  <c r="N120" i="2"/>
  <c r="N152" i="2"/>
  <c r="N184" i="2"/>
  <c r="N221" i="2"/>
  <c r="N258" i="2"/>
  <c r="N231" i="2"/>
  <c r="N242" i="2"/>
  <c r="N273" i="2"/>
  <c r="N301" i="2"/>
  <c r="N342" i="2"/>
  <c r="G15" i="2"/>
  <c r="N15" i="2" s="1"/>
  <c r="G17" i="2"/>
  <c r="N17" i="2"/>
  <c r="G19" i="2"/>
  <c r="N19" i="2" s="1"/>
  <c r="G21" i="2"/>
  <c r="N21" i="2"/>
  <c r="G23" i="2"/>
  <c r="N23" i="2" s="1"/>
  <c r="M26" i="2"/>
  <c r="N26" i="2" s="1"/>
  <c r="G31" i="2"/>
  <c r="N31" i="2" s="1"/>
  <c r="M34" i="2"/>
  <c r="N34" i="2" s="1"/>
  <c r="G39" i="2"/>
  <c r="N39" i="2"/>
  <c r="M42" i="2"/>
  <c r="N42" i="2" s="1"/>
  <c r="G47" i="2"/>
  <c r="N47" i="2"/>
  <c r="M50" i="2"/>
  <c r="N50" i="2" s="1"/>
  <c r="G55" i="2"/>
  <c r="N55" i="2" s="1"/>
  <c r="M58" i="2"/>
  <c r="N58" i="2" s="1"/>
  <c r="G63" i="2"/>
  <c r="N63" i="2" s="1"/>
  <c r="M66" i="2"/>
  <c r="N66" i="2" s="1"/>
  <c r="G71" i="2"/>
  <c r="N71" i="2"/>
  <c r="M74" i="2"/>
  <c r="N74" i="2" s="1"/>
  <c r="G79" i="2"/>
  <c r="N79" i="2"/>
  <c r="M82" i="2"/>
  <c r="N82" i="2" s="1"/>
  <c r="G87" i="2"/>
  <c r="N87" i="2" s="1"/>
  <c r="M90" i="2"/>
  <c r="N90" i="2" s="1"/>
  <c r="G95" i="2"/>
  <c r="N95" i="2" s="1"/>
  <c r="M98" i="2"/>
  <c r="N98" i="2" s="1"/>
  <c r="G103" i="2"/>
  <c r="N103" i="2"/>
  <c r="M106" i="2"/>
  <c r="N106" i="2" s="1"/>
  <c r="G111" i="2"/>
  <c r="N111" i="2"/>
  <c r="M114" i="2"/>
  <c r="N114" i="2" s="1"/>
  <c r="G119" i="2"/>
  <c r="N119" i="2" s="1"/>
  <c r="M122" i="2"/>
  <c r="N122" i="2" s="1"/>
  <c r="G127" i="2"/>
  <c r="N127" i="2" s="1"/>
  <c r="M130" i="2"/>
  <c r="N130" i="2" s="1"/>
  <c r="G135" i="2"/>
  <c r="N135" i="2"/>
  <c r="M138" i="2"/>
  <c r="N138" i="2" s="1"/>
  <c r="G143" i="2"/>
  <c r="N143" i="2"/>
  <c r="M146" i="2"/>
  <c r="N146" i="2" s="1"/>
  <c r="G151" i="2"/>
  <c r="N151" i="2" s="1"/>
  <c r="M154" i="2"/>
  <c r="N154" i="2" s="1"/>
  <c r="G159" i="2"/>
  <c r="N159" i="2" s="1"/>
  <c r="M162" i="2"/>
  <c r="N162" i="2" s="1"/>
  <c r="G167" i="2"/>
  <c r="N167" i="2"/>
  <c r="M170" i="2"/>
  <c r="N170" i="2" s="1"/>
  <c r="G175" i="2"/>
  <c r="N175" i="2"/>
  <c r="M178" i="2"/>
  <c r="N178" i="2" s="1"/>
  <c r="G183" i="2"/>
  <c r="N183" i="2" s="1"/>
  <c r="M186" i="2"/>
  <c r="N186" i="2" s="1"/>
  <c r="M189" i="2"/>
  <c r="N213" i="2"/>
  <c r="M233" i="2"/>
  <c r="N233" i="2" s="1"/>
  <c r="N234" i="2"/>
  <c r="N259" i="2"/>
  <c r="G317" i="2"/>
  <c r="N317" i="2" s="1"/>
  <c r="N318" i="2"/>
  <c r="M321" i="2"/>
  <c r="N321" i="2" s="1"/>
  <c r="N329" i="2"/>
  <c r="N343" i="2"/>
  <c r="M190" i="2"/>
  <c r="N190" i="2" s="1"/>
  <c r="N265" i="2"/>
  <c r="N282" i="2"/>
  <c r="N289" i="2"/>
  <c r="N296" i="2"/>
  <c r="N316" i="2"/>
  <c r="M191" i="2"/>
  <c r="N191" i="2" s="1"/>
  <c r="G196" i="2"/>
  <c r="N196" i="2" s="1"/>
  <c r="M199" i="2"/>
  <c r="N199" i="2" s="1"/>
  <c r="G204" i="2"/>
  <c r="N204" i="2"/>
  <c r="M207" i="2"/>
  <c r="N207" i="2" s="1"/>
  <c r="G212" i="2"/>
  <c r="N212" i="2"/>
  <c r="M215" i="2"/>
  <c r="N215" i="2" s="1"/>
  <c r="G220" i="2"/>
  <c r="N220" i="2" s="1"/>
  <c r="M223" i="2"/>
  <c r="N223" i="2" s="1"/>
  <c r="M230" i="2"/>
  <c r="N230" i="2" s="1"/>
  <c r="N239" i="2"/>
  <c r="N262" i="2"/>
  <c r="N283" i="2"/>
  <c r="N306" i="2"/>
  <c r="N313" i="2"/>
  <c r="N319" i="2"/>
  <c r="N327" i="2"/>
  <c r="N344" i="2"/>
  <c r="G230" i="2"/>
  <c r="G250" i="2"/>
  <c r="M260" i="2"/>
  <c r="N260" i="2" s="1"/>
  <c r="M264" i="2"/>
  <c r="N264" i="2" s="1"/>
  <c r="G297" i="2"/>
  <c r="N297" i="2" s="1"/>
  <c r="G314" i="2"/>
  <c r="N314" i="2" s="1"/>
  <c r="M324" i="2"/>
  <c r="N324" i="2" s="1"/>
  <c r="M328" i="2"/>
  <c r="N328" i="2" s="1"/>
  <c r="M341" i="2"/>
  <c r="M229" i="2"/>
  <c r="N229" i="2" s="1"/>
  <c r="G234" i="2"/>
  <c r="M244" i="2"/>
  <c r="N244" i="2" s="1"/>
  <c r="M248" i="2"/>
  <c r="N248" i="2" s="1"/>
  <c r="M261" i="2"/>
  <c r="N261" i="2" s="1"/>
  <c r="G269" i="2"/>
  <c r="N269" i="2" s="1"/>
  <c r="G281" i="2"/>
  <c r="G298" i="2"/>
  <c r="N298" i="2" s="1"/>
  <c r="M308" i="2"/>
  <c r="N308" i="2" s="1"/>
  <c r="M312" i="2"/>
  <c r="N312" i="2" s="1"/>
  <c r="M325" i="2"/>
  <c r="N325" i="2" s="1"/>
  <c r="G333" i="2"/>
  <c r="N333" i="2" s="1"/>
  <c r="M240" i="2"/>
  <c r="N240" i="2" s="1"/>
  <c r="G245" i="2"/>
  <c r="N245" i="2" s="1"/>
  <c r="M256" i="2"/>
  <c r="N256" i="2" s="1"/>
  <c r="G261" i="2"/>
  <c r="M272" i="2"/>
  <c r="N272" i="2" s="1"/>
  <c r="G277" i="2"/>
  <c r="N277" i="2" s="1"/>
  <c r="M288" i="2"/>
  <c r="N288" i="2" s="1"/>
  <c r="G293" i="2"/>
  <c r="N293" i="2" s="1"/>
  <c r="M304" i="2"/>
  <c r="N304" i="2" s="1"/>
  <c r="G309" i="2"/>
  <c r="N309" i="2" s="1"/>
  <c r="M320" i="2"/>
  <c r="N320" i="2" s="1"/>
  <c r="G325" i="2"/>
  <c r="M336" i="2"/>
  <c r="N336" i="2" s="1"/>
  <c r="G341" i="2"/>
  <c r="N341" i="2" l="1"/>
</calcChain>
</file>

<file path=xl/sharedStrings.xml><?xml version="1.0" encoding="utf-8"?>
<sst xmlns="http://schemas.openxmlformats.org/spreadsheetml/2006/main" count="793" uniqueCount="442">
  <si>
    <t>MUN</t>
  </si>
  <si>
    <t>Cantidad de pobres que son migrantes</t>
  </si>
  <si>
    <t xml:space="preserve">Suma de privaciones de los migrantes </t>
  </si>
  <si>
    <t>Cantidad de personas migrantes</t>
  </si>
  <si>
    <t>H de personas migrantes</t>
  </si>
  <si>
    <t>A de personas migrantes</t>
  </si>
  <si>
    <t>IPM de personas migrantes 2012</t>
  </si>
  <si>
    <t>Cantidad de pobres que NO son migrantes</t>
  </si>
  <si>
    <t>Suma de privaciones de pobres que NO son migrantes</t>
  </si>
  <si>
    <t>Cantidad de personas que NO son migrantes</t>
  </si>
  <si>
    <t>H de personas que NO son migrantes</t>
  </si>
  <si>
    <t>A de personas que NO son migrantes</t>
  </si>
  <si>
    <t>IPM de personas que NO son migrantes 2012</t>
  </si>
  <si>
    <t>Brecha 2012</t>
  </si>
  <si>
    <t>dep_res_cod</t>
  </si>
  <si>
    <t>codigo_nuevo</t>
  </si>
  <si>
    <t>IPM de personas migrantes 2024</t>
  </si>
  <si>
    <t>IPM de personas que NO son migrantes 2024</t>
  </si>
  <si>
    <t>Brecha 2024</t>
  </si>
  <si>
    <t>idep</t>
  </si>
  <si>
    <t>id</t>
  </si>
  <si>
    <t>Municipio</t>
  </si>
  <si>
    <t>Brecha de pobreza migrantes/no-migrantes 2012</t>
  </si>
  <si>
    <t>Brecha de pobreza migrantes/no-migrantes 2024</t>
  </si>
  <si>
    <t>Sucre</t>
  </si>
  <si>
    <t>Yotala</t>
  </si>
  <si>
    <t>Poroma</t>
  </si>
  <si>
    <t>Azurduy</t>
  </si>
  <si>
    <t>Tarvita</t>
  </si>
  <si>
    <t>Zudáñez</t>
  </si>
  <si>
    <t>Presto</t>
  </si>
  <si>
    <t>Mojocoya</t>
  </si>
  <si>
    <t>Icla</t>
  </si>
  <si>
    <t>Padilla</t>
  </si>
  <si>
    <t>Tomina</t>
  </si>
  <si>
    <t>Sopachuy</t>
  </si>
  <si>
    <t>Villa Alcalá</t>
  </si>
  <si>
    <t>El Villar</t>
  </si>
  <si>
    <t>Monteagudo</t>
  </si>
  <si>
    <t>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</si>
  <si>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</si>
  <si>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</si>
  <si>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</si>
  <si>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</si>
  <si>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</si>
  <si>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</si>
  <si>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</si>
  <si>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 (Camataqui)</t>
  </si>
  <si>
    <t>Culpina</t>
  </si>
  <si>
    <t>Las Carreras</t>
  </si>
  <si>
    <t>Muyupampa (Villa Vaca Gúzman)</t>
  </si>
  <si>
    <t>Huacaya</t>
  </si>
  <si>
    <t>Macharéti</t>
  </si>
  <si>
    <t>La Paz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</si>
  <si>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</si>
  <si>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</si>
  <si>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</si>
  <si>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</si>
  <si>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</si>
  <si>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</si>
  <si>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</si>
  <si>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</si>
  <si>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</si>
  <si>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</si>
  <si>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Corocoro</t>
  </si>
  <si>
    <t>Caquiaviri</t>
  </si>
  <si>
    <t>Calacoto</t>
  </si>
  <si>
    <t>Comanche</t>
  </si>
  <si>
    <t>Charaña</t>
  </si>
  <si>
    <t>Waldo Ballivián</t>
  </si>
  <si>
    <t>Nazacara de Pacajes</t>
  </si>
  <si>
    <t>Callapa</t>
  </si>
  <si>
    <t>Puerto Acosta</t>
  </si>
  <si>
    <t>Mocomoco</t>
  </si>
  <si>
    <t>Pto.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</si>
  <si>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</si>
  <si>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</si>
  <si>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</si>
  <si>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</si>
  <si>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</si>
  <si>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</si>
  <si>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</si>
  <si>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</si>
  <si>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</si>
  <si>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</si>
  <si>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</si>
  <si>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</si>
  <si>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</si>
  <si>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</si>
  <si>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</si>
  <si>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</si>
  <si>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</si>
  <si>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Tiawanacu</t>
  </si>
  <si>
    <t>Desaguadero</t>
  </si>
  <si>
    <t>San Andres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</si>
  <si>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</si>
  <si>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</si>
  <si>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</si>
  <si>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</si>
  <si>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</si>
  <si>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</si>
  <si>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</si>
  <si>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</si>
  <si>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</si>
  <si>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</si>
  <si>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</si>
  <si>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</si>
  <si>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</si>
  <si>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</si>
  <si>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</si>
  <si>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</si>
  <si>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</si>
  <si>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</si>
  <si>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</si>
  <si>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</si>
  <si>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</si>
  <si>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</si>
  <si>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</si>
  <si>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</si>
  <si>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</si>
  <si>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</si>
  <si>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</si>
  <si>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</si>
  <si>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</si>
  <si>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</si>
  <si>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</si>
  <si>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 xml:space="preserve">Ixiamas </t>
  </si>
  <si>
    <t>San Buenaventura</t>
  </si>
  <si>
    <t>Charazani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</si>
  <si>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</si>
  <si>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</si>
  <si>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</si>
  <si>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</si>
  <si>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</si>
  <si>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</si>
  <si>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</si>
  <si>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</si>
  <si>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</si>
  <si>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</si>
  <si>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</si>
  <si>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 xml:space="preserve">Cochabamba </t>
  </si>
  <si>
    <t>Aiquile</t>
  </si>
  <si>
    <t>Pasorapa</t>
  </si>
  <si>
    <t>Omereque</t>
  </si>
  <si>
    <t>Independencia</t>
  </si>
  <si>
    <t>Morochata</t>
  </si>
  <si>
    <t>Cocapata</t>
  </si>
  <si>
    <t xml:space="preserve">Tarata </t>
  </si>
  <si>
    <t>Anzaldo</t>
  </si>
  <si>
    <t>Arbieto</t>
  </si>
  <si>
    <t>Sacabamba</t>
  </si>
  <si>
    <t>Arani</t>
  </si>
  <si>
    <t>Vacas</t>
  </si>
  <si>
    <t xml:space="preserve">Arque </t>
  </si>
  <si>
    <t>Tacopaya</t>
  </si>
  <si>
    <t>Capinota</t>
  </si>
  <si>
    <t>Santivañez</t>
  </si>
  <si>
    <t>Sicaya</t>
  </si>
  <si>
    <t>Cliza</t>
  </si>
  <si>
    <t>Toko</t>
  </si>
  <si>
    <t>Tolata</t>
  </si>
  <si>
    <t>Quillacollo</t>
  </si>
  <si>
    <t>Sipesipe</t>
  </si>
  <si>
    <t>Tiquipaya</t>
  </si>
  <si>
    <t xml:space="preserve">Vinto </t>
  </si>
  <si>
    <t>Colcapirhua</t>
  </si>
  <si>
    <t>Sacaba</t>
  </si>
  <si>
    <t>Colomi</t>
  </si>
  <si>
    <t>Villa Tunari</t>
  </si>
  <si>
    <t>Tapacarí</t>
  </si>
  <si>
    <t xml:space="preserve">Totora 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</si>
  <si>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</si>
  <si>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</si>
  <si>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</si>
  <si>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</si>
  <si>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</si>
  <si>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</si>
  <si>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</si>
  <si>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</si>
  <si>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</si>
  <si>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</si>
  <si>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</si>
  <si>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</si>
  <si>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</si>
  <si>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</t>
  </si>
  <si>
    <t>Bolivar</t>
  </si>
  <si>
    <t>Tiraque</t>
  </si>
  <si>
    <t>Shinahota</t>
  </si>
  <si>
    <t>Oruro</t>
  </si>
  <si>
    <t>Caracollo</t>
  </si>
  <si>
    <t>El Choro</t>
  </si>
  <si>
    <t>Pari - Paría - Soracachi</t>
  </si>
  <si>
    <t>Challapata</t>
  </si>
  <si>
    <t>Quillacas</t>
  </si>
  <si>
    <t>Corque</t>
  </si>
  <si>
    <t>Choque Cota</t>
  </si>
  <si>
    <t>Curahuara de Carangas</t>
  </si>
  <si>
    <t>Turco</t>
  </si>
  <si>
    <t>Huachacalla</t>
  </si>
  <si>
    <t>Escara</t>
  </si>
  <si>
    <t>Cruz de Machacamarca</t>
  </si>
  <si>
    <t>Yunguyo de Litoral</t>
  </si>
  <si>
    <t>Esmeralda</t>
  </si>
  <si>
    <t>Poopó</t>
  </si>
  <si>
    <t>Pazña</t>
  </si>
  <si>
    <t>Antequera</t>
  </si>
  <si>
    <t>Huanuni</t>
  </si>
  <si>
    <t>Machacamarca</t>
  </si>
  <si>
    <t>Salinas de García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</si>
  <si>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</si>
  <si>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</si>
  <si>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</si>
  <si>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</si>
  <si>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</si>
  <si>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</si>
  <si>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</si>
  <si>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</si>
  <si>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</si>
  <si>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Huari</t>
  </si>
  <si>
    <t>La Rivera</t>
  </si>
  <si>
    <t>Todos Santos</t>
  </si>
  <si>
    <t>Carangas</t>
  </si>
  <si>
    <t>Huayllamarca</t>
  </si>
  <si>
    <t>Potosí</t>
  </si>
  <si>
    <t>Tinguipaya</t>
  </si>
  <si>
    <t>Yocalla</t>
  </si>
  <si>
    <t>Urmiri</t>
  </si>
  <si>
    <t xml:space="preserve">Uncía </t>
  </si>
  <si>
    <t>Chayanta</t>
  </si>
  <si>
    <t>Llallagua</t>
  </si>
  <si>
    <t>Chuquiuta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</si>
  <si>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</si>
  <si>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</si>
  <si>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</si>
  <si>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</si>
  <si>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</si>
  <si>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</si>
  <si>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</si>
  <si>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</si>
  <si>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S. P. de Buena Vista</t>
  </si>
  <si>
    <t>Toro Toro</t>
  </si>
  <si>
    <t>Cotagaita</t>
  </si>
  <si>
    <t>Vitichi</t>
  </si>
  <si>
    <t>Villa de Sacaca</t>
  </si>
  <si>
    <t>Caripuyo</t>
  </si>
  <si>
    <t>Tupiza</t>
  </si>
  <si>
    <t>Atocha</t>
  </si>
  <si>
    <t>Colcha "K"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</si>
  <si>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</si>
  <si>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</si>
  <si>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</si>
  <si>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</si>
  <si>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</si>
  <si>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</si>
  <si>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</si>
  <si>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</si>
  <si>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</si>
  <si>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</si>
  <si>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TIOC-Jatun Ayllu Yura</t>
  </si>
  <si>
    <t>Arampampa</t>
  </si>
  <si>
    <t>Acasio</t>
  </si>
  <si>
    <t>Llica</t>
  </si>
  <si>
    <t>Tahua</t>
  </si>
  <si>
    <t>Villazón</t>
  </si>
  <si>
    <t>San Agustín</t>
  </si>
  <si>
    <t>Tarija</t>
  </si>
  <si>
    <t>Padcaya</t>
  </si>
  <si>
    <t>Bermejo</t>
  </si>
  <si>
    <t>Yacuiba</t>
  </si>
  <si>
    <t>Caraparí</t>
  </si>
  <si>
    <t>Villamontes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</si>
  <si>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</si>
  <si>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</si>
  <si>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</si>
  <si>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</si>
  <si>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</si>
  <si>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</si>
  <si>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</si>
  <si>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</si>
  <si>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</si>
  <si>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</si>
  <si>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</si>
  <si>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Velazco</t>
  </si>
  <si>
    <t>San Miguel de Velazco</t>
  </si>
  <si>
    <t>San Rafael</t>
  </si>
  <si>
    <t>Buena Vista</t>
  </si>
  <si>
    <t>San Carlos</t>
  </si>
  <si>
    <t>Yapacaní</t>
  </si>
  <si>
    <t>San Juan de Yapacaní</t>
  </si>
  <si>
    <t>San José de Chiquitos</t>
  </si>
  <si>
    <t>Pailón</t>
  </si>
  <si>
    <t>Roboré</t>
  </si>
  <si>
    <t>Portachuelo</t>
  </si>
  <si>
    <t>Santa Rosa del Sara</t>
  </si>
  <si>
    <t>Colpa Belgica</t>
  </si>
  <si>
    <t>Lagunillas</t>
  </si>
  <si>
    <t>Charagua</t>
  </si>
  <si>
    <t>Cabezas</t>
  </si>
  <si>
    <t xml:space="preserve">Cuevo </t>
  </si>
  <si>
    <t>Gutiérrez</t>
  </si>
  <si>
    <t>Camiri</t>
  </si>
  <si>
    <t>Boyuibe</t>
  </si>
  <si>
    <t>Vallegrande</t>
  </si>
  <si>
    <t xml:space="preserve">Trigal </t>
  </si>
  <si>
    <t>Moro Moro</t>
  </si>
  <si>
    <t>Postrer Valle</t>
  </si>
  <si>
    <t>Pucará</t>
  </si>
  <si>
    <t>Samaipata</t>
  </si>
  <si>
    <t>Pampa Grande</t>
  </si>
  <si>
    <t>Mairana</t>
  </si>
  <si>
    <t>Quirusillas</t>
  </si>
  <si>
    <t>Montero</t>
  </si>
  <si>
    <t>Gral. Saavedra</t>
  </si>
  <si>
    <t>Mineros</t>
  </si>
  <si>
    <t>Fernández Alonzo</t>
  </si>
  <si>
    <t>San Pedro</t>
  </si>
  <si>
    <t>Concepción</t>
  </si>
  <si>
    <t>San Javier</t>
  </si>
  <si>
    <t>San Ramón</t>
  </si>
  <si>
    <t>San Julián</t>
  </si>
  <si>
    <t>San Antonio de Lomerío</t>
  </si>
  <si>
    <t>Cuatro Cañadas</t>
  </si>
  <si>
    <t>San Matías</t>
  </si>
  <si>
    <t>Comarapa</t>
  </si>
  <si>
    <t>Saipina</t>
  </si>
  <si>
    <t>Puerto Suárez</t>
  </si>
  <si>
    <t>Puerto Quijarro</t>
  </si>
  <si>
    <t>Carmen Rivero Tórrez</t>
  </si>
  <si>
    <t>Ascensión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</si>
  <si>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</si>
  <si>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</si>
  <si>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</si>
  <si>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</si>
  <si>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</si>
  <si>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</si>
  <si>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</si>
  <si>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</si>
  <si>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</si>
  <si>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</si>
  <si>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</si>
  <si>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</si>
  <si>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</si>
  <si>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</si>
  <si>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</si>
  <si>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</si>
  <si>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</si>
  <si>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</si>
  <si>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TIOC-Territorio Indígena Multiétnico</t>
  </si>
  <si>
    <t xml:space="preserve">Cobija </t>
  </si>
  <si>
    <t>Porvenir</t>
  </si>
  <si>
    <t>Bolpebra</t>
  </si>
  <si>
    <t>Bella Flor</t>
  </si>
  <si>
    <t xml:space="preserve">Puerto Rico </t>
  </si>
  <si>
    <t>Filadelfia</t>
  </si>
  <si>
    <t>Puerto Gonzalez Moreno</t>
  </si>
  <si>
    <t>San Lorenzo</t>
  </si>
  <si>
    <t>Sena</t>
  </si>
  <si>
    <t xml:space="preserve">Santa Rosa </t>
  </si>
  <si>
    <t>Ingavi</t>
  </si>
  <si>
    <t>Nueva Esperanza</t>
  </si>
  <si>
    <t>Villa Nueva (Loma Alta)</t>
  </si>
  <si>
    <t>Santos Mercado</t>
  </si>
  <si>
    <t>Alcalá</t>
  </si>
  <si>
    <t>Villa Abecia</t>
  </si>
  <si>
    <t>Villa Vaca Guzmán</t>
  </si>
  <si>
    <t>Huacaya (Autonomía Guaraní Chaqueño de Huacaya)</t>
  </si>
  <si>
    <t>Macharetí</t>
  </si>
  <si>
    <t>Nuestra Señora de La Paz</t>
  </si>
  <si>
    <t>Villa Ancoraimes</t>
  </si>
  <si>
    <t>Santiago de Callapa</t>
  </si>
  <si>
    <t>Puerto Mayor de Carabuco</t>
  </si>
  <si>
    <t>Puerto Mayor de Guaqui</t>
  </si>
  <si>
    <t>Tiahuanacu</t>
  </si>
  <si>
    <t>La (Marka) San Andrés de Machaca</t>
  </si>
  <si>
    <t>Jesús de Machaka</t>
  </si>
  <si>
    <t>Sicasica</t>
  </si>
  <si>
    <t>Ixiamas</t>
  </si>
  <si>
    <t>Cochabamba</t>
  </si>
  <si>
    <t>Ayopaya</t>
  </si>
  <si>
    <t>Tarata</t>
  </si>
  <si>
    <t>Arque</t>
  </si>
  <si>
    <t>Santiváñez</t>
  </si>
  <si>
    <t>Toco</t>
  </si>
  <si>
    <t>Vinto</t>
  </si>
  <si>
    <t>Totora</t>
  </si>
  <si>
    <t>Villa Gualberto Villarroel</t>
  </si>
  <si>
    <t>Bolívar</t>
  </si>
  <si>
    <t>Paria</t>
  </si>
  <si>
    <t>Santuario de Quillacas</t>
  </si>
  <si>
    <t>Choquecota</t>
  </si>
  <si>
    <t>Yunguyo del Litoral</t>
  </si>
  <si>
    <t>Salinas de Garci Mendoza (Autonomía Indígena Originario Campesina de Salinas)</t>
  </si>
  <si>
    <t>Uru Chipaya (Nación Originaria Uru Chipaya)</t>
  </si>
  <si>
    <t>Andamarca</t>
  </si>
  <si>
    <t>Santiago de Huari</t>
  </si>
  <si>
    <t>Santiago de Huayllamarca</t>
  </si>
  <si>
    <t>Uncía</t>
  </si>
  <si>
    <t>Chuquihuta Ayllu Jucumani</t>
  </si>
  <si>
    <t>Sacaca</t>
  </si>
  <si>
    <t>San Pablo</t>
  </si>
  <si>
    <t>Villa Montes</t>
  </si>
  <si>
    <t>San Miguel</t>
  </si>
  <si>
    <t>San Juan</t>
  </si>
  <si>
    <t>San José</t>
  </si>
  <si>
    <t>Colpa Bélgica</t>
  </si>
  <si>
    <t>Charagua (Autonomía Guaraní Charagua Iyambae)</t>
  </si>
  <si>
    <t>Cuevo</t>
  </si>
  <si>
    <t>Gutiérrez (Autonomía Indígena Kereimba Iyaambae)</t>
  </si>
  <si>
    <t>Trigal</t>
  </si>
  <si>
    <t>Moromoro</t>
  </si>
  <si>
    <t>Postrervalle</t>
  </si>
  <si>
    <t>Pampagrande</t>
  </si>
  <si>
    <t>General Saavedra</t>
  </si>
  <si>
    <t>Fernández Alonso</t>
  </si>
  <si>
    <t>San Antonio de Lomerio</t>
  </si>
  <si>
    <t>El Carmen Rivero Tórrez</t>
  </si>
  <si>
    <t>Ascención de Guarayos</t>
  </si>
  <si>
    <t>Puerto Menor de Rurrenabaque</t>
  </si>
  <si>
    <t>Santa Ana</t>
  </si>
  <si>
    <t>Cobija</t>
  </si>
  <si>
    <t>Puerto Rico</t>
  </si>
  <si>
    <t>Puerto Gonzalo Moreno</t>
  </si>
  <si>
    <t>Villa Nueva</t>
  </si>
  <si>
    <t>id_departamento</t>
  </si>
  <si>
    <t>Departamento</t>
  </si>
  <si>
    <t>Chuquisaca</t>
  </si>
  <si>
    <t>Santa Cruz</t>
  </si>
  <si>
    <t>Beni</t>
  </si>
  <si>
    <t>Pando</t>
  </si>
  <si>
    <t>Gran Chaco</t>
  </si>
  <si>
    <t>Bolivia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</si>
  <si>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</si>
  <si>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</si>
  <si>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</si>
  <si>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</si>
  <si>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</si>
  <si>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</si>
  <si>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</si>
  <si>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</si>
  <si>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</si>
  <si>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</si>
  <si>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 xml:space="preserve">Brecha de pobreza migrantes/no-migrantes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</si>
</sst>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000"/>
    <numFmt numFmtId="165" formatCode="000"/>
    <numFmt numFmtId="166" formatCode="0.0"/>
  </numFmts>
  <fonts count="8">
    <font>
      <sz val="10"/>
      <color rgb="FF000000"/>
      <name val="Arial"/>
      <scheme val="minor"/>
    </font>
    <font>
      <sz val="11"/>
      <color theme="1"/>
      <name val="Calibri"/>
    </font>
    <font>
      <sz val="10"/>
      <color theme="1"/>
      <name val="Arial"/>
    </font>
    <font>
      <sz val="10"/>
      <color theme="1"/>
      <name val="Arial"/>
      <scheme val="minor"/>
    </font>
    <font>
      <b/>
      <sz val="11"/>
      <color rgb="FFFFFFFF"/>
      <name val="Calibri"/>
    </font>
    <font>
      <b/>
      <sz val="11"/>
      <color theme="1"/>
      <name val="Calibri"/>
    </font>
    <font>
      <b/>
      <sz val="9"/>
      <color theme="1"/>
      <name val="Play"/>
    </font>
    <font>
      <sz val="10"/>
      <color theme="1"/>
      <name val="Arial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2">
    <xf numFmtId="0" fontId="0" fillId="0" borderId="0" xfId="0"/>
    <xf numFmtId="1" fontId="1" fillId="0" borderId="0" xfId="0" applyNumberFormat="1" applyFont="1" applyAlignment="1">
      <alignment wrapText="1"/>
    </xf>
    <xf numFmtId="0" fontId="1" fillId="0" borderId="0" xfId="0" applyFont="1" applyAlignment="1">
      <alignment wrapText="1"/>
    </xf>
    <xf numFmtId="2" fontId="1" fillId="0" borderId="0" xfId="0" applyNumberFormat="1" applyFont="1" applyAlignment="1">
      <alignment wrapText="1"/>
    </xf>
    <xf numFmtId="164" fontId="1" fillId="0" borderId="0" xfId="0" applyNumberFormat="1" applyFont="1" applyAlignment="1">
      <alignment wrapText="1"/>
    </xf>
    <xf numFmtId="164" fontId="2" fillId="0" borderId="0" xfId="0" applyNumberFormat="1" applyFont="1" applyAlignment="1">
      <alignment wrapText="1"/>
    </xf>
    <xf numFmtId="3" fontId="1" fillId="0" borderId="0" xfId="0" applyNumberFormat="1" applyFont="1"/>
    <xf numFmtId="0" fontId="2" fillId="0" borderId="0" xfId="0" applyFont="1" applyAlignment="1">
      <alignment wrapText="1"/>
    </xf>
    <xf numFmtId="1" fontId="1" fillId="0" borderId="0" xfId="0" applyNumberFormat="1" applyFont="1" applyAlignment="1">
      <alignment horizontal="right"/>
    </xf>
    <xf numFmtId="2" fontId="1" fillId="0" borderId="0" xfId="0" applyNumberFormat="1" applyFont="1"/>
    <xf numFmtId="2" fontId="1" fillId="0" borderId="0" xfId="0" applyNumberFormat="1" applyFont="1" applyAlignment="1">
      <alignment horizontal="right"/>
    </xf>
    <xf numFmtId="164" fontId="1" fillId="0" borderId="0" xfId="0" applyNumberFormat="1" applyFont="1" applyAlignment="1">
      <alignment horizontal="right"/>
    </xf>
    <xf numFmtId="164" fontId="2" fillId="0" borderId="0" xfId="0" applyNumberFormat="1" applyFont="1"/>
    <xf numFmtId="0" fontId="1" fillId="0" borderId="0" xfId="0" applyFont="1"/>
    <xf numFmtId="1" fontId="2" fillId="0" borderId="0" xfId="0" applyNumberFormat="1" applyFont="1"/>
    <xf numFmtId="1" fontId="2" fillId="0" borderId="0" xfId="0" applyNumberFormat="1" applyFont="1" applyAlignment="1">
      <alignment horizontal="right"/>
    </xf>
    <xf numFmtId="3" fontId="2" fillId="0" borderId="0" xfId="0" applyNumberFormat="1" applyFont="1"/>
    <xf numFmtId="0" fontId="2" fillId="0" borderId="0" xfId="0" applyFont="1"/>
    <xf numFmtId="3" fontId="3" fillId="0" borderId="0" xfId="0" applyNumberFormat="1" applyFont="1"/>
    <xf numFmtId="2" fontId="2" fillId="0" borderId="0" xfId="0" applyNumberFormat="1" applyFont="1"/>
    <xf numFmtId="2" fontId="2" fillId="0" borderId="0" xfId="0" applyNumberFormat="1" applyFont="1" applyAlignment="1">
      <alignment wrapText="1"/>
    </xf>
    <xf numFmtId="164" fontId="3" fillId="0" borderId="0" xfId="0" applyNumberFormat="1" applyFont="1"/>
    <xf numFmtId="2" fontId="3" fillId="0" borderId="0" xfId="0" applyNumberFormat="1" applyFont="1"/>
    <xf numFmtId="1" fontId="1" fillId="2" borderId="1" xfId="0" applyNumberFormat="1" applyFont="1" applyFill="1" applyBorder="1" applyAlignment="1">
      <alignment horizontal="right"/>
    </xf>
    <xf numFmtId="1" fontId="3" fillId="0" borderId="0" xfId="0" applyNumberFormat="1" applyFont="1"/>
    <xf numFmtId="0" fontId="3" fillId="0" borderId="0" xfId="0" applyFont="1" applyAlignment="1">
      <alignment wrapText="1"/>
    </xf>
    <xf numFmtId="1" fontId="4" fillId="3" borderId="1" xfId="0" applyNumberFormat="1" applyFont="1" applyFill="1" applyBorder="1" applyAlignment="1">
      <alignment horizontal="center"/>
    </xf>
    <xf numFmtId="49" fontId="4" fillId="3" borderId="1" xfId="0" applyNumberFormat="1" applyFont="1" applyFill="1" applyBorder="1" applyAlignment="1">
      <alignment horizontal="center"/>
    </xf>
    <xf numFmtId="4" fontId="4" fillId="3" borderId="1" xfId="0" applyNumberFormat="1" applyFont="1" applyFill="1" applyBorder="1" applyAlignment="1">
      <alignment horizontal="center" wrapText="1"/>
    </xf>
    <xf numFmtId="49" fontId="1" fillId="2" borderId="1" xfId="0" applyNumberFormat="1" applyFont="1" applyFill="1" applyBorder="1"/>
    <xf numFmtId="49" fontId="2" fillId="0" borderId="0" xfId="0" applyNumberFormat="1" applyFont="1"/>
    <xf numFmtId="4" fontId="2" fillId="0" borderId="0" xfId="0" applyNumberFormat="1" applyFont="1"/>
    <xf numFmtId="49" fontId="3" fillId="0" borderId="0" xfId="0" applyNumberFormat="1" applyFont="1"/>
    <xf numFmtId="4" fontId="3" fillId="0" borderId="0" xfId="0" applyNumberFormat="1" applyFont="1"/>
    <xf numFmtId="165" fontId="2" fillId="0" borderId="0" xfId="0" applyNumberFormat="1" applyFont="1"/>
    <xf numFmtId="165" fontId="4" fillId="3" borderId="1" xfId="0" applyNumberFormat="1" applyFont="1" applyFill="1" applyBorder="1" applyAlignment="1">
      <alignment horizontal="center" wrapText="1"/>
    </xf>
    <xf numFmtId="49" fontId="4" fillId="3" borderId="1" xfId="0" applyNumberFormat="1" applyFont="1" applyFill="1" applyBorder="1" applyAlignment="1">
      <alignment horizontal="center" wrapText="1"/>
    </xf>
    <xf numFmtId="3" fontId="1" fillId="0" borderId="0" xfId="0" applyNumberFormat="1" applyFont="1" applyAlignment="1">
      <alignment horizontal="right"/>
    </xf>
    <xf numFmtId="3" fontId="2" fillId="0" borderId="0" xfId="0" applyNumberFormat="1" applyFont="1" applyAlignment="1">
      <alignment horizontal="right"/>
    </xf>
    <xf numFmtId="3" fontId="4" fillId="3" borderId="1" xfId="0" applyNumberFormat="1" applyFont="1" applyFill="1" applyBorder="1" applyAlignment="1">
      <alignment horizontal="center"/>
    </xf>
    <xf numFmtId="0" fontId="5" fillId="4" borderId="2" xfId="0" applyFont="1" applyFill="1" applyBorder="1"/>
    <xf numFmtId="0" fontId="6" fillId="5" borderId="2" xfId="0" applyFont="1" applyFill="1" applyBorder="1" applyAlignment="1">
      <alignment horizontal="center" wrapText="1"/>
    </xf>
    <xf numFmtId="0" fontId="6" fillId="6" borderId="2" xfId="0" applyFont="1" applyFill="1" applyBorder="1" applyAlignment="1">
      <alignment horizontal="center" wrapText="1"/>
    </xf>
    <xf numFmtId="0" fontId="6" fillId="7" borderId="2" xfId="0" applyFont="1" applyFill="1" applyBorder="1" applyAlignment="1">
      <alignment horizontal="center" wrapText="1"/>
    </xf>
    <xf numFmtId="0" fontId="6" fillId="8" borderId="2" xfId="0" applyFont="1" applyFill="1" applyBorder="1" applyAlignment="1">
      <alignment horizontal="center" wrapText="1"/>
    </xf>
    <xf numFmtId="0" fontId="1" fillId="0" borderId="2" xfId="0" applyFont="1" applyBorder="1" applyAlignment="1">
      <alignment horizontal="right"/>
    </xf>
    <xf numFmtId="0" fontId="1" fillId="0" borderId="2" xfId="0" applyFont="1" applyBorder="1"/>
    <xf numFmtId="1" fontId="7" fillId="0" borderId="2" xfId="0" applyNumberFormat="1" applyFont="1" applyBorder="1" applyAlignment="1">
      <alignment horizontal="right"/>
    </xf>
    <xf numFmtId="2" fontId="7" fillId="0" borderId="2" xfId="0" applyNumberFormat="1" applyFont="1" applyBorder="1" applyAlignment="1">
      <alignment horizontal="right"/>
    </xf>
    <xf numFmtId="166" fontId="7" fillId="0" borderId="2" xfId="0" applyNumberFormat="1" applyFont="1" applyBorder="1" applyAlignment="1">
      <alignment horizontal="right"/>
    </xf>
    <xf numFmtId="166" fontId="1" fillId="0" borderId="2" xfId="0" applyNumberFormat="1" applyFont="1" applyBorder="1" applyAlignment="1">
      <alignment horizontal="right"/>
    </xf>
    <xf numFmtId="1" fontId="0" fillId="0" borderId="0" xfId="0" applyNumberFormat="1"/>
  </cellXfs>
  <cellStyles count="1">
    <cellStyle name="Normal" xfId="0" builtinId="0"/>
  </cellStyles>
  <dxfs count="4"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</dxfs>
  <tableStyles count="2">
    <tableStyle name="Indicador_MUN-style" pivot="0" count="2" xr9:uid="{00000000-0011-0000-FFFF-FFFF00000000}">
      <tableStyleElement type="firstRowStripe" dxfId="3"/>
      <tableStyleElement type="secondRowStripe" dxfId="2"/>
    </tableStyle>
    <tableStyle name="Absoluto_MUN-style" pivot="0" count="2" xr9:uid="{00000000-0011-0000-FFFF-FFFF01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D1" headerRowCount="0">
  <tableColumns count="1">
    <tableColumn id="1" xr3:uid="{00000000-0010-0000-0000-000001000000}" name="Column1"/>
  </tableColumns>
  <tableStyleInfo name="Indicador_MUN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D1" headerRowCount="0">
  <tableColumns count="1">
    <tableColumn id="1" xr3:uid="{00000000-0010-0000-0100-000001000000}" name="Column1"/>
  </tableColumns>
  <tableStyleInfo name="Absoluto_MUN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J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" customHeight="1"/>
  <cols>
    <col min="1" max="4" width="12.6640625" customWidth="1"/>
    <col min="5" max="5" width="14.21875" customWidth="1"/>
    <col min="6" max="6" width="12.6640625" customWidth="1"/>
    <col min="22" max="22" width="15.109375" customWidth="1"/>
  </cols>
  <sheetData>
    <row r="1" spans="1:36" ht="60.75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4" t="s">
        <v>10</v>
      </c>
      <c r="L1" s="5" t="s">
        <v>11</v>
      </c>
      <c r="M1" s="4" t="s">
        <v>12</v>
      </c>
      <c r="N1" s="3" t="s">
        <v>13</v>
      </c>
      <c r="O1" s="2"/>
      <c r="P1" s="6" t="s">
        <v>14</v>
      </c>
      <c r="Q1" s="2" t="s">
        <v>1</v>
      </c>
      <c r="R1" s="2" t="s">
        <v>2</v>
      </c>
      <c r="S1" s="2" t="s">
        <v>3</v>
      </c>
      <c r="T1" s="3" t="s">
        <v>4</v>
      </c>
      <c r="U1" s="3" t="s">
        <v>5</v>
      </c>
      <c r="V1" s="3" t="s">
        <v>6</v>
      </c>
      <c r="W1" s="3" t="s">
        <v>13</v>
      </c>
      <c r="X1" s="2"/>
      <c r="Y1" s="2"/>
      <c r="Z1" s="2"/>
      <c r="AA1" s="2"/>
      <c r="AB1" s="7"/>
      <c r="AC1" s="7"/>
      <c r="AD1" s="7"/>
      <c r="AE1" s="7"/>
      <c r="AF1" s="7"/>
      <c r="AG1" s="7"/>
      <c r="AH1" s="7"/>
      <c r="AI1" s="7"/>
      <c r="AJ1" s="7"/>
    </row>
    <row r="2" spans="1:36" ht="15.75" customHeight="1">
      <c r="A2" s="8">
        <v>10101</v>
      </c>
      <c r="B2" s="8">
        <v>4726</v>
      </c>
      <c r="C2" s="8">
        <v>2040.555606931448</v>
      </c>
      <c r="D2" s="8">
        <v>26298</v>
      </c>
      <c r="E2" s="9">
        <f t="shared" ref="E2:E256" si="0">B2/D2</f>
        <v>0.17970948361092098</v>
      </c>
      <c r="F2" s="10">
        <f t="shared" ref="F2:F256" si="1">C2/B2</f>
        <v>0.43177224014630722</v>
      </c>
      <c r="G2" s="10">
        <f t="shared" ref="G2:G256" si="2">E2*F2</f>
        <v>7.7593566314223442E-2</v>
      </c>
      <c r="H2" s="8">
        <v>35303</v>
      </c>
      <c r="I2" s="8">
        <v>15695.667081981897</v>
      </c>
      <c r="J2" s="8">
        <v>221729</v>
      </c>
      <c r="K2" s="11">
        <f t="shared" ref="K2:K256" si="3">H2/J2</f>
        <v>0.15921688186930893</v>
      </c>
      <c r="L2" s="12">
        <f t="shared" ref="L2:L256" si="4">I2/H2</f>
        <v>0.44459867665586206</v>
      </c>
      <c r="M2" s="12">
        <f t="shared" ref="M2:M256" si="5">K2*L2</f>
        <v>7.0787614980367466E-2</v>
      </c>
      <c r="N2" s="9">
        <f t="shared" ref="N2:N256" si="6">M2/G2</f>
        <v>0.9122871694504342</v>
      </c>
      <c r="O2" s="13"/>
      <c r="P2" s="6">
        <v>1</v>
      </c>
      <c r="Q2" s="8">
        <v>11876</v>
      </c>
      <c r="R2" s="8">
        <v>5461.1112533807755</v>
      </c>
      <c r="S2" s="8">
        <v>44708</v>
      </c>
      <c r="T2" s="9">
        <f t="shared" ref="T2:T10" si="7">Q2/S2</f>
        <v>0.26563478572067639</v>
      </c>
      <c r="U2" s="10">
        <f t="shared" ref="U2:U10" si="8">R2/Q2</f>
        <v>0.45984432918329199</v>
      </c>
      <c r="V2" s="10">
        <f t="shared" ref="V2:V10" si="9">T2*U2</f>
        <v>0.12215064984747194</v>
      </c>
      <c r="W2" s="10">
        <f t="shared" ref="W2:W12" si="10">V17/V2</f>
        <v>1.9074124041045488</v>
      </c>
      <c r="X2" s="13"/>
      <c r="Y2" s="14"/>
      <c r="Z2" s="14"/>
      <c r="AA2" s="15"/>
    </row>
    <row r="3" spans="1:36" ht="15.75" customHeight="1">
      <c r="A3" s="8">
        <v>10102</v>
      </c>
      <c r="B3" s="8">
        <v>166</v>
      </c>
      <c r="C3" s="8">
        <v>67.444446086883545</v>
      </c>
      <c r="D3" s="8">
        <v>672</v>
      </c>
      <c r="E3" s="9">
        <f t="shared" si="0"/>
        <v>0.24702380952380953</v>
      </c>
      <c r="F3" s="10">
        <f t="shared" si="1"/>
        <v>0.40629184389688883</v>
      </c>
      <c r="G3" s="10">
        <f t="shared" si="2"/>
        <v>0.10036375905786242</v>
      </c>
      <c r="H3" s="8">
        <v>2763</v>
      </c>
      <c r="I3" s="8">
        <v>1214.3333648741245</v>
      </c>
      <c r="J3" s="8">
        <v>8191</v>
      </c>
      <c r="K3" s="11">
        <f t="shared" si="3"/>
        <v>0.33732145037235989</v>
      </c>
      <c r="L3" s="12">
        <f t="shared" si="4"/>
        <v>0.43949814146729083</v>
      </c>
      <c r="M3" s="12">
        <f t="shared" si="5"/>
        <v>0.14825215051570315</v>
      </c>
      <c r="N3" s="9">
        <f t="shared" si="6"/>
        <v>1.4771482446191735</v>
      </c>
      <c r="O3" s="13"/>
      <c r="P3" s="6">
        <v>2</v>
      </c>
      <c r="Q3" s="8">
        <v>40747</v>
      </c>
      <c r="R3" s="8">
        <v>17368.222645133734</v>
      </c>
      <c r="S3" s="8">
        <v>140744</v>
      </c>
      <c r="T3" s="9">
        <f t="shared" si="7"/>
        <v>0.28951145341897344</v>
      </c>
      <c r="U3" s="10">
        <f t="shared" si="8"/>
        <v>0.42624543267317189</v>
      </c>
      <c r="V3" s="10">
        <f t="shared" si="9"/>
        <v>0.12340293472640919</v>
      </c>
      <c r="W3" s="10">
        <f t="shared" si="10"/>
        <v>0.88845761637445997</v>
      </c>
      <c r="X3" s="13"/>
      <c r="Y3" s="14"/>
      <c r="Z3" s="14"/>
      <c r="AA3" s="14"/>
    </row>
    <row r="4" spans="1:36" ht="15.75" customHeight="1">
      <c r="A4" s="8">
        <v>10103</v>
      </c>
      <c r="B4" s="8">
        <v>292</v>
      </c>
      <c r="C4" s="8">
        <v>146.33333745598793</v>
      </c>
      <c r="D4" s="8">
        <v>409</v>
      </c>
      <c r="E4" s="9">
        <f t="shared" si="0"/>
        <v>0.71393643031784837</v>
      </c>
      <c r="F4" s="10">
        <f t="shared" si="1"/>
        <v>0.50114156663009568</v>
      </c>
      <c r="G4" s="10">
        <f t="shared" si="2"/>
        <v>0.35778322116378469</v>
      </c>
      <c r="H4" s="8">
        <v>14862</v>
      </c>
      <c r="I4" s="8">
        <v>8628.1113518178463</v>
      </c>
      <c r="J4" s="8">
        <v>15771</v>
      </c>
      <c r="K4" s="11">
        <f t="shared" si="3"/>
        <v>0.94236256420011411</v>
      </c>
      <c r="L4" s="12">
        <f t="shared" si="4"/>
        <v>0.5805484693727524</v>
      </c>
      <c r="M4" s="12">
        <f t="shared" si="5"/>
        <v>0.54708714424055838</v>
      </c>
      <c r="N4" s="9">
        <f t="shared" si="6"/>
        <v>1.5291022940120349</v>
      </c>
      <c r="O4" s="13"/>
      <c r="P4" s="6">
        <v>3</v>
      </c>
      <c r="Q4" s="8">
        <v>47596</v>
      </c>
      <c r="R4" s="8">
        <v>20396.556073635817</v>
      </c>
      <c r="S4" s="8">
        <v>138429</v>
      </c>
      <c r="T4" s="9">
        <f t="shared" si="7"/>
        <v>0.34382968886577236</v>
      </c>
      <c r="U4" s="10">
        <f t="shared" si="8"/>
        <v>0.4285350885292003</v>
      </c>
      <c r="V4" s="10">
        <f t="shared" si="9"/>
        <v>0.14734308615706115</v>
      </c>
      <c r="W4" s="10">
        <f t="shared" si="10"/>
        <v>0.97286511333112458</v>
      </c>
      <c r="X4" s="13"/>
      <c r="Y4" s="14"/>
      <c r="Z4" s="14"/>
      <c r="AA4" s="14"/>
    </row>
    <row r="5" spans="1:36" ht="15.75" customHeight="1">
      <c r="A5" s="8">
        <v>10201</v>
      </c>
      <c r="B5" s="8">
        <v>177</v>
      </c>
      <c r="C5" s="8">
        <v>93.000002384185791</v>
      </c>
      <c r="D5" s="8">
        <v>365</v>
      </c>
      <c r="E5" s="9">
        <f t="shared" si="0"/>
        <v>0.48493150684931507</v>
      </c>
      <c r="F5" s="10">
        <f t="shared" si="1"/>
        <v>0.5254237422835355</v>
      </c>
      <c r="G5" s="10">
        <f t="shared" si="2"/>
        <v>0.25479452707996103</v>
      </c>
      <c r="H5" s="8">
        <v>8665</v>
      </c>
      <c r="I5" s="8">
        <v>5189.0001407265663</v>
      </c>
      <c r="J5" s="8">
        <v>9919</v>
      </c>
      <c r="K5" s="11">
        <f t="shared" si="3"/>
        <v>0.87357596531908455</v>
      </c>
      <c r="L5" s="12">
        <f t="shared" si="4"/>
        <v>0.59884594815078662</v>
      </c>
      <c r="M5" s="12">
        <f t="shared" si="5"/>
        <v>0.52313742723324586</v>
      </c>
      <c r="N5" s="9">
        <f t="shared" si="6"/>
        <v>2.0531737209138403</v>
      </c>
      <c r="O5" s="13"/>
      <c r="P5" s="6">
        <v>4</v>
      </c>
      <c r="Q5" s="8">
        <v>12058</v>
      </c>
      <c r="R5" s="8">
        <v>5120.777903676033</v>
      </c>
      <c r="S5" s="8">
        <v>37937</v>
      </c>
      <c r="T5" s="9">
        <f t="shared" si="7"/>
        <v>0.31784273927827716</v>
      </c>
      <c r="U5" s="10">
        <f t="shared" si="8"/>
        <v>0.42467887739890803</v>
      </c>
      <c r="V5" s="10">
        <f t="shared" si="9"/>
        <v>0.13498109770609257</v>
      </c>
      <c r="W5" s="10">
        <f t="shared" si="10"/>
        <v>0.96348768736556178</v>
      </c>
      <c r="X5" s="13"/>
      <c r="Y5" s="14"/>
      <c r="Z5" s="14"/>
      <c r="AA5" s="14"/>
    </row>
    <row r="6" spans="1:36" ht="15.75" customHeight="1">
      <c r="A6" s="8">
        <v>10202</v>
      </c>
      <c r="B6" s="8">
        <v>271</v>
      </c>
      <c r="C6" s="8">
        <v>133.33333674073219</v>
      </c>
      <c r="D6" s="8">
        <v>570</v>
      </c>
      <c r="E6" s="9">
        <f t="shared" si="0"/>
        <v>0.47543859649122805</v>
      </c>
      <c r="F6" s="10">
        <f t="shared" si="1"/>
        <v>0.49200493262262801</v>
      </c>
      <c r="G6" s="10">
        <f t="shared" si="2"/>
        <v>0.23391813463286348</v>
      </c>
      <c r="H6" s="8">
        <v>11062</v>
      </c>
      <c r="I6" s="8">
        <v>6217.1112834513187</v>
      </c>
      <c r="J6" s="8">
        <v>13437</v>
      </c>
      <c r="K6" s="11">
        <f t="shared" si="3"/>
        <v>0.82324923718091836</v>
      </c>
      <c r="L6" s="12">
        <f t="shared" si="4"/>
        <v>0.5620241623080201</v>
      </c>
      <c r="M6" s="12">
        <f t="shared" si="5"/>
        <v>0.46268596289732222</v>
      </c>
      <c r="N6" s="9">
        <f t="shared" si="6"/>
        <v>1.9779824408377393</v>
      </c>
      <c r="O6" s="13"/>
      <c r="P6" s="6">
        <v>5</v>
      </c>
      <c r="Q6" s="8">
        <v>19481</v>
      </c>
      <c r="R6" s="8">
        <v>8461.7779908776283</v>
      </c>
      <c r="S6" s="8">
        <v>58741</v>
      </c>
      <c r="T6" s="9">
        <f t="shared" si="7"/>
        <v>0.33164229413867657</v>
      </c>
      <c r="U6" s="10">
        <f t="shared" si="8"/>
        <v>0.4343605559713376</v>
      </c>
      <c r="V6" s="10">
        <f t="shared" si="9"/>
        <v>0.14405233126568542</v>
      </c>
      <c r="W6" s="10">
        <f t="shared" si="10"/>
        <v>1.6157496142821774</v>
      </c>
      <c r="X6" s="13"/>
      <c r="Y6" s="14"/>
      <c r="Z6" s="14"/>
      <c r="AA6" s="14"/>
    </row>
    <row r="7" spans="1:36" ht="15.75" customHeight="1">
      <c r="A7" s="8">
        <v>10301</v>
      </c>
      <c r="B7" s="8">
        <v>184</v>
      </c>
      <c r="C7" s="8">
        <v>90.555557459592819</v>
      </c>
      <c r="D7" s="8">
        <v>559</v>
      </c>
      <c r="E7" s="9">
        <f t="shared" si="0"/>
        <v>0.3291592128801431</v>
      </c>
      <c r="F7" s="10">
        <f t="shared" si="1"/>
        <v>0.4921497688021349</v>
      </c>
      <c r="G7" s="10">
        <f t="shared" si="2"/>
        <v>0.16199563051805513</v>
      </c>
      <c r="H7" s="8">
        <v>6439</v>
      </c>
      <c r="I7" s="8">
        <v>3277.7778652906418</v>
      </c>
      <c r="J7" s="8">
        <v>10318</v>
      </c>
      <c r="K7" s="11">
        <f t="shared" si="3"/>
        <v>0.62405504942818379</v>
      </c>
      <c r="L7" s="12">
        <f t="shared" si="4"/>
        <v>0.50905076336242305</v>
      </c>
      <c r="M7" s="12">
        <f t="shared" si="5"/>
        <v>0.31767569929159162</v>
      </c>
      <c r="N7" s="9">
        <f t="shared" si="6"/>
        <v>1.9610139994250355</v>
      </c>
      <c r="O7" s="13"/>
      <c r="P7" s="6">
        <v>6</v>
      </c>
      <c r="Q7" s="8">
        <v>7891</v>
      </c>
      <c r="R7" s="8">
        <v>3375.8889744281769</v>
      </c>
      <c r="S7" s="8">
        <v>39821</v>
      </c>
      <c r="T7" s="9">
        <f t="shared" si="7"/>
        <v>0.19816177393837422</v>
      </c>
      <c r="U7" s="10">
        <f t="shared" si="8"/>
        <v>0.42781510257612176</v>
      </c>
      <c r="V7" s="10">
        <f t="shared" si="9"/>
        <v>8.4776599644111827E-2</v>
      </c>
      <c r="W7" s="10">
        <f t="shared" si="10"/>
        <v>0.92887998887724932</v>
      </c>
      <c r="X7" s="13"/>
      <c r="Y7" s="14"/>
      <c r="Z7" s="14"/>
      <c r="AA7" s="14"/>
    </row>
    <row r="8" spans="1:36" ht="15.75" customHeight="1">
      <c r="A8" s="8">
        <v>10302</v>
      </c>
      <c r="B8" s="8">
        <v>161</v>
      </c>
      <c r="C8" s="8">
        <v>86.777780175209045</v>
      </c>
      <c r="D8" s="8">
        <v>368</v>
      </c>
      <c r="E8" s="9">
        <f t="shared" si="0"/>
        <v>0.4375</v>
      </c>
      <c r="F8" s="10">
        <f t="shared" si="1"/>
        <v>0.5389924234485034</v>
      </c>
      <c r="G8" s="10">
        <f t="shared" si="2"/>
        <v>0.23580918525872024</v>
      </c>
      <c r="H8" s="8">
        <v>9072</v>
      </c>
      <c r="I8" s="8">
        <v>5273.6668055951595</v>
      </c>
      <c r="J8" s="8">
        <v>11370</v>
      </c>
      <c r="K8" s="11">
        <f t="shared" si="3"/>
        <v>0.79788918205804749</v>
      </c>
      <c r="L8" s="12">
        <f t="shared" si="4"/>
        <v>0.58131247857089496</v>
      </c>
      <c r="M8" s="12">
        <f t="shared" si="5"/>
        <v>0.46382293804706765</v>
      </c>
      <c r="N8" s="9">
        <f t="shared" si="6"/>
        <v>1.9669417776842746</v>
      </c>
      <c r="O8" s="13"/>
      <c r="P8" s="6">
        <v>7</v>
      </c>
      <c r="Q8" s="8">
        <v>53926</v>
      </c>
      <c r="R8" s="8">
        <v>22285.000560998917</v>
      </c>
      <c r="S8" s="8">
        <v>182274</v>
      </c>
      <c r="T8" s="9">
        <f t="shared" si="7"/>
        <v>0.29585130078892219</v>
      </c>
      <c r="U8" s="10">
        <f t="shared" si="8"/>
        <v>0.41325150318953596</v>
      </c>
      <c r="V8" s="10">
        <f t="shared" si="9"/>
        <v>0.12226099477160164</v>
      </c>
      <c r="W8" s="10">
        <f t="shared" si="10"/>
        <v>0.76839004789157062</v>
      </c>
      <c r="X8" s="13"/>
      <c r="Y8" s="14"/>
      <c r="Z8" s="14"/>
      <c r="AA8" s="14"/>
    </row>
    <row r="9" spans="1:36" ht="15.75" customHeight="1">
      <c r="A9" s="8">
        <v>10303</v>
      </c>
      <c r="B9" s="8">
        <v>244</v>
      </c>
      <c r="C9" s="8">
        <v>123.8888920545578</v>
      </c>
      <c r="D9" s="8">
        <v>577</v>
      </c>
      <c r="E9" s="9">
        <f t="shared" si="0"/>
        <v>0.42287694974003465</v>
      </c>
      <c r="F9" s="10">
        <f t="shared" si="1"/>
        <v>0.5077413608793353</v>
      </c>
      <c r="G9" s="10">
        <f t="shared" si="2"/>
        <v>0.21471211794550746</v>
      </c>
      <c r="H9" s="8">
        <v>4984</v>
      </c>
      <c r="I9" s="8">
        <v>2560.2222969532013</v>
      </c>
      <c r="J9" s="8">
        <v>7245</v>
      </c>
      <c r="K9" s="11">
        <f t="shared" si="3"/>
        <v>0.68792270531400967</v>
      </c>
      <c r="L9" s="12">
        <f t="shared" si="4"/>
        <v>0.51368826182849148</v>
      </c>
      <c r="M9" s="12">
        <f t="shared" si="5"/>
        <v>0.35337781876510721</v>
      </c>
      <c r="N9" s="9">
        <f t="shared" si="6"/>
        <v>1.645821494131003</v>
      </c>
      <c r="O9" s="13"/>
      <c r="P9" s="6">
        <v>8</v>
      </c>
      <c r="Q9" s="8">
        <v>22248</v>
      </c>
      <c r="R9" s="8">
        <v>10041.222486108541</v>
      </c>
      <c r="S9" s="8">
        <v>42652</v>
      </c>
      <c r="T9" s="9">
        <f t="shared" si="7"/>
        <v>0.52161680577698588</v>
      </c>
      <c r="U9" s="10">
        <f t="shared" si="8"/>
        <v>0.451331467372732</v>
      </c>
      <c r="V9" s="10">
        <f t="shared" si="9"/>
        <v>0.2354220783576044</v>
      </c>
      <c r="W9" s="10">
        <f t="shared" si="10"/>
        <v>0.97537187154680749</v>
      </c>
      <c r="X9" s="13"/>
      <c r="Y9" s="14"/>
      <c r="Z9" s="14"/>
      <c r="AA9" s="15"/>
    </row>
    <row r="10" spans="1:36" ht="15.75" customHeight="1">
      <c r="A10" s="8">
        <v>10304</v>
      </c>
      <c r="B10" s="8">
        <v>93</v>
      </c>
      <c r="C10" s="8">
        <v>41.777778714895248</v>
      </c>
      <c r="D10" s="8">
        <v>357</v>
      </c>
      <c r="E10" s="9">
        <f t="shared" si="0"/>
        <v>0.26050420168067229</v>
      </c>
      <c r="F10" s="10">
        <f t="shared" si="1"/>
        <v>0.44922342704188439</v>
      </c>
      <c r="G10" s="10">
        <f t="shared" si="2"/>
        <v>0.11702459023780183</v>
      </c>
      <c r="H10" s="8">
        <v>4459</v>
      </c>
      <c r="I10" s="8">
        <v>2274.5556182861328</v>
      </c>
      <c r="J10" s="8">
        <v>7165</v>
      </c>
      <c r="K10" s="11">
        <f t="shared" si="3"/>
        <v>0.62233077459874386</v>
      </c>
      <c r="L10" s="12">
        <f t="shared" si="4"/>
        <v>0.51010442213189788</v>
      </c>
      <c r="M10" s="12">
        <f t="shared" si="5"/>
        <v>0.31745368015158865</v>
      </c>
      <c r="N10" s="9">
        <f t="shared" si="6"/>
        <v>2.7127091793827387</v>
      </c>
      <c r="O10" s="13"/>
      <c r="P10" s="6">
        <v>9</v>
      </c>
      <c r="Q10" s="8">
        <v>10358</v>
      </c>
      <c r="R10" s="8">
        <v>4803.4445711374283</v>
      </c>
      <c r="S10" s="8">
        <v>19665</v>
      </c>
      <c r="T10" s="9">
        <f t="shared" si="7"/>
        <v>0.52672260361047551</v>
      </c>
      <c r="U10" s="10">
        <f t="shared" si="8"/>
        <v>0.46374247645659666</v>
      </c>
      <c r="V10" s="10">
        <f t="shared" si="9"/>
        <v>0.24426364460398825</v>
      </c>
      <c r="W10" s="10">
        <f t="shared" si="10"/>
        <v>0.96971183676896588</v>
      </c>
      <c r="X10" s="13"/>
      <c r="Y10" s="14"/>
      <c r="Z10" s="14"/>
      <c r="AA10" s="14"/>
    </row>
    <row r="11" spans="1:36" ht="15.75" customHeight="1">
      <c r="A11" s="8">
        <v>10401</v>
      </c>
      <c r="B11" s="8">
        <v>276</v>
      </c>
      <c r="C11" s="8">
        <v>127.44444805383682</v>
      </c>
      <c r="D11" s="8">
        <v>655</v>
      </c>
      <c r="E11" s="9">
        <f t="shared" si="0"/>
        <v>0.42137404580152671</v>
      </c>
      <c r="F11" s="10">
        <f t="shared" si="1"/>
        <v>0.46175524657187256</v>
      </c>
      <c r="G11" s="10">
        <f t="shared" si="2"/>
        <v>0.19457167641807149</v>
      </c>
      <c r="H11" s="8">
        <v>5773</v>
      </c>
      <c r="I11" s="8">
        <v>3004.7778635323048</v>
      </c>
      <c r="J11" s="8">
        <v>9340</v>
      </c>
      <c r="K11" s="11">
        <f t="shared" si="3"/>
        <v>0.61809421841541756</v>
      </c>
      <c r="L11" s="12">
        <f t="shared" si="4"/>
        <v>0.52048811077988999</v>
      </c>
      <c r="M11" s="12">
        <f t="shared" si="5"/>
        <v>0.32171069202701336</v>
      </c>
      <c r="N11" s="9">
        <f t="shared" si="6"/>
        <v>1.6534302317247929</v>
      </c>
      <c r="P11" s="16">
        <v>10</v>
      </c>
      <c r="Q11" s="8">
        <v>3674</v>
      </c>
      <c r="R11" s="8">
        <v>1578.2222627103329</v>
      </c>
      <c r="S11" s="8">
        <v>15443</v>
      </c>
      <c r="T11" s="9">
        <v>0.23790714239461244</v>
      </c>
      <c r="U11" s="10">
        <v>0.42956512322001439</v>
      </c>
      <c r="V11" s="10">
        <v>0.1021966109376632</v>
      </c>
      <c r="W11" s="10">
        <f t="shared" si="10"/>
        <v>0.75359822897245576</v>
      </c>
      <c r="Y11" s="17"/>
      <c r="Z11" s="17"/>
      <c r="AA11" s="17"/>
    </row>
    <row r="12" spans="1:36" ht="15.75" customHeight="1">
      <c r="A12" s="8">
        <v>10402</v>
      </c>
      <c r="B12" s="8">
        <v>183</v>
      </c>
      <c r="C12" s="8">
        <v>80.44444665312767</v>
      </c>
      <c r="D12" s="8">
        <v>601</v>
      </c>
      <c r="E12" s="9">
        <f t="shared" si="0"/>
        <v>0.30449251247920134</v>
      </c>
      <c r="F12" s="10">
        <f t="shared" si="1"/>
        <v>0.43958714018102552</v>
      </c>
      <c r="G12" s="10">
        <f t="shared" si="2"/>
        <v>0.13385099276726733</v>
      </c>
      <c r="H12" s="8">
        <v>5186</v>
      </c>
      <c r="I12" s="8">
        <v>2531.8889590203762</v>
      </c>
      <c r="J12" s="8">
        <v>7590</v>
      </c>
      <c r="K12" s="11">
        <f t="shared" si="3"/>
        <v>0.68326745718050064</v>
      </c>
      <c r="L12" s="12">
        <f t="shared" si="4"/>
        <v>0.488216150987346</v>
      </c>
      <c r="M12" s="12">
        <f t="shared" si="5"/>
        <v>0.33358220803957528</v>
      </c>
      <c r="N12" s="9">
        <f t="shared" si="6"/>
        <v>2.4921907648424355</v>
      </c>
      <c r="P12" s="16">
        <v>11</v>
      </c>
      <c r="Q12" s="8">
        <v>226181</v>
      </c>
      <c r="R12" s="8">
        <v>97314.00245937705</v>
      </c>
      <c r="S12" s="8">
        <v>704971</v>
      </c>
      <c r="T12" s="9">
        <v>0.32083731103832641</v>
      </c>
      <c r="U12" s="10">
        <v>0.43024835180398463</v>
      </c>
      <c r="V12" s="10">
        <v>0.1380397242714623</v>
      </c>
      <c r="W12" s="10">
        <f t="shared" si="10"/>
        <v>0.97229928580309144</v>
      </c>
      <c r="Y12" s="17"/>
      <c r="Z12" s="17"/>
      <c r="AA12" s="17"/>
    </row>
    <row r="13" spans="1:36" ht="15.75" customHeight="1">
      <c r="A13" s="8">
        <v>10403</v>
      </c>
      <c r="B13" s="8">
        <v>159</v>
      </c>
      <c r="C13" s="8">
        <v>76.555557399988174</v>
      </c>
      <c r="D13" s="8">
        <v>492</v>
      </c>
      <c r="E13" s="9">
        <f t="shared" si="0"/>
        <v>0.32317073170731708</v>
      </c>
      <c r="F13" s="10">
        <f t="shared" si="1"/>
        <v>0.48148149308168664</v>
      </c>
      <c r="G13" s="10">
        <f t="shared" si="2"/>
        <v>0.1556007264227402</v>
      </c>
      <c r="H13" s="8">
        <v>4799</v>
      </c>
      <c r="I13" s="8">
        <v>2598.5556319057941</v>
      </c>
      <c r="J13" s="8">
        <v>6610</v>
      </c>
      <c r="K13" s="11">
        <f t="shared" si="3"/>
        <v>0.72602118003025717</v>
      </c>
      <c r="L13" s="12">
        <f t="shared" si="4"/>
        <v>0.54147856468134903</v>
      </c>
      <c r="M13" s="12">
        <f t="shared" si="5"/>
        <v>0.39312490649104298</v>
      </c>
      <c r="N13" s="9">
        <f t="shared" si="6"/>
        <v>2.5264978867964327</v>
      </c>
      <c r="O13" s="17"/>
      <c r="P13" s="18"/>
      <c r="W13" s="19"/>
      <c r="Y13" s="17"/>
      <c r="Z13" s="17"/>
      <c r="AA13" s="17"/>
    </row>
    <row r="14" spans="1:36" ht="15.75" customHeight="1">
      <c r="A14" s="8">
        <v>10404</v>
      </c>
      <c r="B14" s="8">
        <v>131</v>
      </c>
      <c r="C14" s="8">
        <v>58.000001460313797</v>
      </c>
      <c r="D14" s="8">
        <v>313</v>
      </c>
      <c r="E14" s="9">
        <f t="shared" si="0"/>
        <v>0.41853035143769968</v>
      </c>
      <c r="F14" s="10">
        <f t="shared" si="1"/>
        <v>0.44274810275048698</v>
      </c>
      <c r="G14" s="10">
        <f t="shared" si="2"/>
        <v>0.18530351904253609</v>
      </c>
      <c r="H14" s="8">
        <v>2655</v>
      </c>
      <c r="I14" s="8">
        <v>1281.2222560942173</v>
      </c>
      <c r="J14" s="8">
        <v>4488</v>
      </c>
      <c r="K14" s="11">
        <f t="shared" si="3"/>
        <v>0.59157754010695185</v>
      </c>
      <c r="L14" s="12">
        <f t="shared" si="4"/>
        <v>0.48256958798275607</v>
      </c>
      <c r="M14" s="12">
        <f t="shared" si="5"/>
        <v>0.2854773297892641</v>
      </c>
      <c r="N14" s="9">
        <f t="shared" si="6"/>
        <v>1.5405931374877631</v>
      </c>
      <c r="O14" s="17"/>
      <c r="P14" s="18"/>
      <c r="W14" s="19"/>
      <c r="Y14" s="17"/>
      <c r="Z14" s="17"/>
      <c r="AA14" s="17"/>
    </row>
    <row r="15" spans="1:36" ht="15.75" customHeight="1">
      <c r="A15" s="8">
        <v>10405</v>
      </c>
      <c r="B15" s="8">
        <v>47</v>
      </c>
      <c r="C15" s="8">
        <v>21.111111789941788</v>
      </c>
      <c r="D15" s="8">
        <v>122</v>
      </c>
      <c r="E15" s="9">
        <f t="shared" si="0"/>
        <v>0.38524590163934425</v>
      </c>
      <c r="F15" s="10">
        <f t="shared" si="1"/>
        <v>0.44917259127535719</v>
      </c>
      <c r="G15" s="10">
        <f t="shared" si="2"/>
        <v>0.17304189991755564</v>
      </c>
      <c r="H15" s="8">
        <v>2872</v>
      </c>
      <c r="I15" s="8">
        <v>1431.1111505329609</v>
      </c>
      <c r="J15" s="8">
        <v>4153</v>
      </c>
      <c r="K15" s="11">
        <f t="shared" si="3"/>
        <v>0.69154827835299781</v>
      </c>
      <c r="L15" s="12">
        <f t="shared" si="4"/>
        <v>0.49829775436384433</v>
      </c>
      <c r="M15" s="12">
        <f t="shared" si="5"/>
        <v>0.34459695413748154</v>
      </c>
      <c r="N15" s="9">
        <f t="shared" si="6"/>
        <v>1.9914075972447243</v>
      </c>
      <c r="O15" s="17"/>
      <c r="P15" s="18"/>
      <c r="W15" s="19"/>
      <c r="Y15" s="17"/>
      <c r="Z15" s="17"/>
      <c r="AA15" s="17"/>
    </row>
    <row r="16" spans="1:36" ht="15.75" customHeight="1">
      <c r="A16" s="8">
        <v>10501</v>
      </c>
      <c r="B16" s="8">
        <v>944</v>
      </c>
      <c r="C16" s="8">
        <v>450.44445636868477</v>
      </c>
      <c r="D16" s="8">
        <v>2953</v>
      </c>
      <c r="E16" s="9">
        <f t="shared" si="0"/>
        <v>0.31967490687436506</v>
      </c>
      <c r="F16" s="10">
        <f t="shared" si="1"/>
        <v>0.47716573767869147</v>
      </c>
      <c r="G16" s="10">
        <f t="shared" si="2"/>
        <v>0.1525379127560734</v>
      </c>
      <c r="H16" s="8">
        <v>9128</v>
      </c>
      <c r="I16" s="8">
        <v>4468.8890123665333</v>
      </c>
      <c r="J16" s="8">
        <v>20032</v>
      </c>
      <c r="K16" s="11">
        <f t="shared" si="3"/>
        <v>0.45567092651757191</v>
      </c>
      <c r="L16" s="12">
        <f t="shared" si="4"/>
        <v>0.48958030372113642</v>
      </c>
      <c r="M16" s="12">
        <f t="shared" si="5"/>
        <v>0.2230875106013645</v>
      </c>
      <c r="N16" s="9">
        <f t="shared" si="6"/>
        <v>1.4625053311048544</v>
      </c>
      <c r="O16" s="17"/>
      <c r="P16" s="6" t="s">
        <v>14</v>
      </c>
      <c r="Q16" s="2" t="s">
        <v>7</v>
      </c>
      <c r="R16" s="2" t="s">
        <v>8</v>
      </c>
      <c r="S16" s="2" t="s">
        <v>9</v>
      </c>
      <c r="T16" s="3" t="s">
        <v>10</v>
      </c>
      <c r="U16" s="20" t="s">
        <v>11</v>
      </c>
      <c r="V16" s="3" t="s">
        <v>12</v>
      </c>
      <c r="W16" s="19"/>
      <c r="Y16" s="17"/>
      <c r="Z16" s="17"/>
      <c r="AA16" s="17"/>
    </row>
    <row r="17" spans="1:27" ht="15.75" customHeight="1">
      <c r="A17" s="8">
        <v>10502</v>
      </c>
      <c r="B17" s="8">
        <v>506</v>
      </c>
      <c r="C17" s="8">
        <v>255.55556324124336</v>
      </c>
      <c r="D17" s="8">
        <v>853</v>
      </c>
      <c r="E17" s="9">
        <f t="shared" si="0"/>
        <v>0.59320046893317702</v>
      </c>
      <c r="F17" s="10">
        <f t="shared" si="1"/>
        <v>0.50505052023961139</v>
      </c>
      <c r="G17" s="10">
        <f t="shared" si="2"/>
        <v>0.29959620544108251</v>
      </c>
      <c r="H17" s="8">
        <v>4957</v>
      </c>
      <c r="I17" s="8">
        <v>2508.2222899794579</v>
      </c>
      <c r="J17" s="8">
        <v>7068</v>
      </c>
      <c r="K17" s="11">
        <f t="shared" si="3"/>
        <v>0.70132993774759478</v>
      </c>
      <c r="L17" s="12">
        <f t="shared" si="4"/>
        <v>0.50599602380057651</v>
      </c>
      <c r="M17" s="12">
        <f t="shared" si="5"/>
        <v>0.3548701598725888</v>
      </c>
      <c r="N17" s="9">
        <f t="shared" si="6"/>
        <v>1.1844948414821503</v>
      </c>
      <c r="O17" s="17"/>
      <c r="P17" s="6">
        <v>1</v>
      </c>
      <c r="Q17" s="8">
        <v>228996</v>
      </c>
      <c r="R17" s="8">
        <v>118872.11433240771</v>
      </c>
      <c r="S17" s="8">
        <v>510199</v>
      </c>
      <c r="T17" s="19">
        <f t="shared" ref="T17:T25" si="11">Q17/S17</f>
        <v>0.44883663041283889</v>
      </c>
      <c r="U17" s="19">
        <f t="shared" ref="U17:U25" si="12">R17/Q17</f>
        <v>0.51910126959600911</v>
      </c>
      <c r="V17" s="19">
        <f t="shared" ref="V17:V25" si="13">T17*U17</f>
        <v>0.23299166468849938</v>
      </c>
      <c r="W17" s="19"/>
      <c r="Y17" s="17"/>
      <c r="Z17" s="17"/>
      <c r="AA17" s="17"/>
    </row>
    <row r="18" spans="1:27" ht="15.75" customHeight="1">
      <c r="A18" s="8">
        <v>10601</v>
      </c>
      <c r="B18" s="8">
        <v>319</v>
      </c>
      <c r="C18" s="8">
        <v>147.11111453175545</v>
      </c>
      <c r="D18" s="8">
        <v>747</v>
      </c>
      <c r="E18" s="9">
        <f t="shared" si="0"/>
        <v>0.42704149933065594</v>
      </c>
      <c r="F18" s="10">
        <f t="shared" si="1"/>
        <v>0.46116336843810485</v>
      </c>
      <c r="G18" s="10">
        <f t="shared" si="2"/>
        <v>0.19693589629418398</v>
      </c>
      <c r="H18" s="8">
        <v>11093</v>
      </c>
      <c r="I18" s="8">
        <v>5666.2223787307739</v>
      </c>
      <c r="J18" s="8">
        <v>15800</v>
      </c>
      <c r="K18" s="11">
        <f t="shared" si="3"/>
        <v>0.70208860759493674</v>
      </c>
      <c r="L18" s="12">
        <f t="shared" si="4"/>
        <v>0.51079260603360443</v>
      </c>
      <c r="M18" s="12">
        <f t="shared" si="5"/>
        <v>0.35862166953992242</v>
      </c>
      <c r="N18" s="9">
        <f t="shared" si="6"/>
        <v>1.8210071210390781</v>
      </c>
      <c r="O18" s="17"/>
      <c r="P18" s="6">
        <v>2</v>
      </c>
      <c r="Q18" s="8">
        <v>635858</v>
      </c>
      <c r="R18" s="8">
        <v>274411.45134004951</v>
      </c>
      <c r="S18" s="8">
        <v>2502880</v>
      </c>
      <c r="T18" s="19">
        <f t="shared" si="11"/>
        <v>0.25405053378507958</v>
      </c>
      <c r="U18" s="19">
        <f t="shared" si="12"/>
        <v>0.43156090092449811</v>
      </c>
      <c r="V18" s="19">
        <f t="shared" si="13"/>
        <v>0.10963827724063858</v>
      </c>
      <c r="W18" s="19"/>
    </row>
    <row r="19" spans="1:27" ht="15.75" customHeight="1">
      <c r="A19" s="8">
        <v>10602</v>
      </c>
      <c r="B19" s="8">
        <v>308</v>
      </c>
      <c r="C19" s="8">
        <v>140.22222557663918</v>
      </c>
      <c r="D19" s="8">
        <v>525</v>
      </c>
      <c r="E19" s="9">
        <f t="shared" si="0"/>
        <v>0.58666666666666667</v>
      </c>
      <c r="F19" s="10">
        <f t="shared" si="1"/>
        <v>0.45526696615791939</v>
      </c>
      <c r="G19" s="10">
        <f t="shared" si="2"/>
        <v>0.26708995347931269</v>
      </c>
      <c r="H19" s="8">
        <v>5876</v>
      </c>
      <c r="I19" s="8">
        <v>2968.6667518913746</v>
      </c>
      <c r="J19" s="8">
        <v>9186</v>
      </c>
      <c r="K19" s="11">
        <f t="shared" si="3"/>
        <v>0.63966906161550185</v>
      </c>
      <c r="L19" s="12">
        <f t="shared" si="4"/>
        <v>0.50521898432460421</v>
      </c>
      <c r="M19" s="12">
        <f t="shared" si="5"/>
        <v>0.32317295361325654</v>
      </c>
      <c r="N19" s="9">
        <f t="shared" si="6"/>
        <v>1.209977947142395</v>
      </c>
      <c r="O19" s="17"/>
      <c r="P19" s="6">
        <v>3</v>
      </c>
      <c r="Q19" s="8">
        <v>501484</v>
      </c>
      <c r="R19" s="8">
        <v>222423.33906853199</v>
      </c>
      <c r="S19" s="8">
        <v>1551665</v>
      </c>
      <c r="T19" s="19">
        <f t="shared" si="11"/>
        <v>0.32319089494188502</v>
      </c>
      <c r="U19" s="19">
        <f t="shared" si="12"/>
        <v>0.44353028026523678</v>
      </c>
      <c r="V19" s="19">
        <f t="shared" si="13"/>
        <v>0.14334494821274696</v>
      </c>
      <c r="W19" s="19"/>
    </row>
    <row r="20" spans="1:27" ht="15.75" customHeight="1">
      <c r="A20" s="8">
        <v>10701</v>
      </c>
      <c r="B20" s="8">
        <v>298</v>
      </c>
      <c r="C20" s="8">
        <v>133.77778136730194</v>
      </c>
      <c r="D20" s="8">
        <v>1235</v>
      </c>
      <c r="E20" s="9">
        <f t="shared" si="0"/>
        <v>0.24129554655870444</v>
      </c>
      <c r="F20" s="10">
        <f t="shared" si="1"/>
        <v>0.44891872942047634</v>
      </c>
      <c r="G20" s="10">
        <f t="shared" si="2"/>
        <v>0.10832209017595298</v>
      </c>
      <c r="H20" s="8">
        <v>5807</v>
      </c>
      <c r="I20" s="8">
        <v>2790.2222966551781</v>
      </c>
      <c r="J20" s="8">
        <v>13529</v>
      </c>
      <c r="K20" s="11">
        <f t="shared" si="3"/>
        <v>0.4292261068815138</v>
      </c>
      <c r="L20" s="12">
        <f t="shared" si="4"/>
        <v>0.48049290453851867</v>
      </c>
      <c r="M20" s="12">
        <f t="shared" si="5"/>
        <v>0.20624009879925922</v>
      </c>
      <c r="N20" s="9">
        <f t="shared" si="6"/>
        <v>1.9039523560176241</v>
      </c>
      <c r="P20" s="6">
        <v>4</v>
      </c>
      <c r="Q20" s="8">
        <v>130882</v>
      </c>
      <c r="R20" s="8">
        <v>57232.779187738895</v>
      </c>
      <c r="S20" s="8">
        <v>440074</v>
      </c>
      <c r="T20" s="19">
        <f t="shared" si="11"/>
        <v>0.29740907211059958</v>
      </c>
      <c r="U20" s="19">
        <f t="shared" si="12"/>
        <v>0.43728533478812132</v>
      </c>
      <c r="V20" s="19">
        <f t="shared" si="13"/>
        <v>0.13005262566690806</v>
      </c>
      <c r="W20" s="19"/>
    </row>
    <row r="21" spans="1:27" ht="15.75" customHeight="1">
      <c r="A21" s="8">
        <v>10702</v>
      </c>
      <c r="B21" s="8">
        <v>569</v>
      </c>
      <c r="C21" s="8">
        <v>267.66667327284813</v>
      </c>
      <c r="D21" s="8">
        <v>1329</v>
      </c>
      <c r="E21" s="9">
        <f t="shared" si="0"/>
        <v>0.42814145974416856</v>
      </c>
      <c r="F21" s="10">
        <f t="shared" si="1"/>
        <v>0.47041594599797565</v>
      </c>
      <c r="G21" s="10">
        <f t="shared" si="2"/>
        <v>0.20140456980650726</v>
      </c>
      <c r="H21" s="8">
        <v>22435</v>
      </c>
      <c r="I21" s="8">
        <v>12355.000335544348</v>
      </c>
      <c r="J21" s="8">
        <v>30283</v>
      </c>
      <c r="K21" s="11">
        <f t="shared" si="3"/>
        <v>0.7408446983456064</v>
      </c>
      <c r="L21" s="12">
        <f t="shared" si="4"/>
        <v>0.55070204303741244</v>
      </c>
      <c r="M21" s="12">
        <f t="shared" si="5"/>
        <v>0.40798468895236095</v>
      </c>
      <c r="N21" s="9">
        <f t="shared" si="6"/>
        <v>2.0256972785886571</v>
      </c>
      <c r="O21" s="17"/>
      <c r="P21" s="6">
        <v>5</v>
      </c>
      <c r="Q21" s="8">
        <v>360910</v>
      </c>
      <c r="R21" s="8">
        <v>173131.78237986565</v>
      </c>
      <c r="S21" s="8">
        <v>743845</v>
      </c>
      <c r="T21" s="19">
        <f t="shared" si="11"/>
        <v>0.48519516834824461</v>
      </c>
      <c r="U21" s="19">
        <f t="shared" si="12"/>
        <v>0.4797090199214919</v>
      </c>
      <c r="V21" s="19">
        <f t="shared" si="13"/>
        <v>0.23275249867897968</v>
      </c>
      <c r="W21" s="19"/>
    </row>
    <row r="22" spans="1:27" ht="15.75" customHeight="1">
      <c r="A22" s="8">
        <v>10703</v>
      </c>
      <c r="B22" s="8">
        <v>163</v>
      </c>
      <c r="C22" s="8">
        <v>83.888891100883484</v>
      </c>
      <c r="D22" s="8">
        <v>353</v>
      </c>
      <c r="E22" s="9">
        <f t="shared" si="0"/>
        <v>0.46175637393767704</v>
      </c>
      <c r="F22" s="10">
        <f t="shared" si="1"/>
        <v>0.51465577362505199</v>
      </c>
      <c r="G22" s="10">
        <f t="shared" si="2"/>
        <v>0.23764558385519396</v>
      </c>
      <c r="H22" s="8">
        <v>9890</v>
      </c>
      <c r="I22" s="8">
        <v>5819.7779215276241</v>
      </c>
      <c r="J22" s="8">
        <v>12350</v>
      </c>
      <c r="K22" s="11">
        <f t="shared" si="3"/>
        <v>0.80080971659919031</v>
      </c>
      <c r="L22" s="12">
        <f t="shared" si="4"/>
        <v>0.58845075040724204</v>
      </c>
      <c r="M22" s="12">
        <f t="shared" si="5"/>
        <v>0.47123707866620435</v>
      </c>
      <c r="N22" s="9">
        <f t="shared" si="6"/>
        <v>1.9829406085380745</v>
      </c>
      <c r="O22" s="17"/>
      <c r="P22" s="6">
        <v>6</v>
      </c>
      <c r="Q22" s="8">
        <v>77013</v>
      </c>
      <c r="R22" s="8">
        <v>32633.111947506666</v>
      </c>
      <c r="S22" s="8">
        <v>414403</v>
      </c>
      <c r="T22" s="19">
        <f t="shared" si="11"/>
        <v>0.1858408360943333</v>
      </c>
      <c r="U22" s="19">
        <f t="shared" si="12"/>
        <v>0.42373510897519467</v>
      </c>
      <c r="V22" s="19">
        <f t="shared" si="13"/>
        <v>7.8747286934473609E-2</v>
      </c>
      <c r="W22" s="19"/>
    </row>
    <row r="23" spans="1:27" ht="15.75" customHeight="1">
      <c r="A23" s="8">
        <v>10704</v>
      </c>
      <c r="B23" s="8">
        <v>131</v>
      </c>
      <c r="C23" s="8">
        <v>73.000002264976501</v>
      </c>
      <c r="D23" s="8">
        <v>273</v>
      </c>
      <c r="E23" s="9">
        <f t="shared" si="0"/>
        <v>0.47985347985347987</v>
      </c>
      <c r="F23" s="10">
        <f t="shared" si="1"/>
        <v>0.55725192568684356</v>
      </c>
      <c r="G23" s="10">
        <f t="shared" si="2"/>
        <v>0.26739927569588468</v>
      </c>
      <c r="H23" s="8">
        <v>11347</v>
      </c>
      <c r="I23" s="8">
        <v>6226.222387522459</v>
      </c>
      <c r="J23" s="8">
        <v>15230</v>
      </c>
      <c r="K23" s="11">
        <f t="shared" si="3"/>
        <v>0.74504267892317799</v>
      </c>
      <c r="L23" s="12">
        <f t="shared" si="4"/>
        <v>0.54871088283444602</v>
      </c>
      <c r="M23" s="12">
        <f t="shared" si="5"/>
        <v>0.40881302610127773</v>
      </c>
      <c r="N23" s="9">
        <f t="shared" si="6"/>
        <v>1.5288486666142806</v>
      </c>
      <c r="O23" s="17"/>
      <c r="P23" s="6">
        <v>7</v>
      </c>
      <c r="Q23" s="8">
        <v>542921</v>
      </c>
      <c r="R23" s="8">
        <v>220134.11671623588</v>
      </c>
      <c r="S23" s="8">
        <v>2343245</v>
      </c>
      <c r="T23" s="19">
        <f t="shared" si="11"/>
        <v>0.23169621614470531</v>
      </c>
      <c r="U23" s="19">
        <f t="shared" si="12"/>
        <v>0.40546251980718351</v>
      </c>
      <c r="V23" s="19">
        <f t="shared" si="13"/>
        <v>9.3944131627822045E-2</v>
      </c>
      <c r="W23" s="19"/>
    </row>
    <row r="24" spans="1:27" ht="15.75" customHeight="1">
      <c r="A24" s="8">
        <v>10801</v>
      </c>
      <c r="B24" s="8">
        <v>159</v>
      </c>
      <c r="C24" s="8">
        <v>72.111113369464874</v>
      </c>
      <c r="D24" s="8">
        <v>754</v>
      </c>
      <c r="E24" s="9">
        <f t="shared" si="0"/>
        <v>0.21087533156498675</v>
      </c>
      <c r="F24" s="10">
        <f t="shared" si="1"/>
        <v>0.4535290149022948</v>
      </c>
      <c r="G24" s="10">
        <f t="shared" si="2"/>
        <v>9.5638081391863236E-2</v>
      </c>
      <c r="H24" s="8">
        <v>5678</v>
      </c>
      <c r="I24" s="8">
        <v>2827.5556324720383</v>
      </c>
      <c r="J24" s="8">
        <v>10037</v>
      </c>
      <c r="K24" s="11">
        <f t="shared" si="3"/>
        <v>0.56570688452724915</v>
      </c>
      <c r="L24" s="12">
        <f t="shared" si="4"/>
        <v>0.4979844368566464</v>
      </c>
      <c r="M24" s="12">
        <f t="shared" si="5"/>
        <v>0.28171322431723006</v>
      </c>
      <c r="N24" s="9">
        <f t="shared" si="6"/>
        <v>2.9456176892858275</v>
      </c>
      <c r="O24" s="17"/>
      <c r="P24" s="6">
        <v>8</v>
      </c>
      <c r="Q24" s="8">
        <v>184999</v>
      </c>
      <c r="R24" s="8">
        <v>82564.779869765043</v>
      </c>
      <c r="S24" s="8">
        <v>359565</v>
      </c>
      <c r="T24" s="19">
        <f t="shared" si="11"/>
        <v>0.51450780804583318</v>
      </c>
      <c r="U24" s="19">
        <f t="shared" si="12"/>
        <v>0.44629851982856689</v>
      </c>
      <c r="V24" s="19">
        <f t="shared" si="13"/>
        <v>0.22962407317109576</v>
      </c>
      <c r="W24" s="19"/>
    </row>
    <row r="25" spans="1:27" ht="15.75" customHeight="1">
      <c r="A25" s="8">
        <v>10901</v>
      </c>
      <c r="B25" s="8">
        <v>159</v>
      </c>
      <c r="C25" s="8">
        <v>72.555557429790497</v>
      </c>
      <c r="D25" s="8">
        <v>352</v>
      </c>
      <c r="E25" s="9">
        <f t="shared" si="0"/>
        <v>0.45170454545454547</v>
      </c>
      <c r="F25" s="10">
        <f t="shared" si="1"/>
        <v>0.45632426056472009</v>
      </c>
      <c r="G25" s="10">
        <f t="shared" si="2"/>
        <v>0.20612374269826844</v>
      </c>
      <c r="H25" s="8">
        <v>1832</v>
      </c>
      <c r="I25" s="8">
        <v>894.00002440810204</v>
      </c>
      <c r="J25" s="8">
        <v>2914</v>
      </c>
      <c r="K25" s="11">
        <f t="shared" si="3"/>
        <v>0.62868908716540839</v>
      </c>
      <c r="L25" s="12">
        <f t="shared" si="4"/>
        <v>0.48799127969874567</v>
      </c>
      <c r="M25" s="12">
        <f t="shared" si="5"/>
        <v>0.30679479217848388</v>
      </c>
      <c r="N25" s="9">
        <f t="shared" si="6"/>
        <v>1.4884010360105941</v>
      </c>
      <c r="O25" s="17"/>
      <c r="P25" s="6">
        <v>9</v>
      </c>
      <c r="Q25" s="8">
        <v>42523</v>
      </c>
      <c r="R25" s="8">
        <v>19702.222736775875</v>
      </c>
      <c r="S25" s="8">
        <v>83179</v>
      </c>
      <c r="T25" s="19">
        <f t="shared" si="11"/>
        <v>0.51122278459707382</v>
      </c>
      <c r="U25" s="19">
        <f t="shared" si="12"/>
        <v>0.46333096763577064</v>
      </c>
      <c r="V25" s="19">
        <f t="shared" si="13"/>
        <v>0.23686534746481536</v>
      </c>
      <c r="W25" s="19"/>
    </row>
    <row r="26" spans="1:27" ht="15.75" customHeight="1">
      <c r="A26" s="8">
        <v>10902</v>
      </c>
      <c r="B26" s="8">
        <v>328</v>
      </c>
      <c r="C26" s="8">
        <v>167.44444906711578</v>
      </c>
      <c r="D26" s="8">
        <v>722</v>
      </c>
      <c r="E26" s="9">
        <f t="shared" si="0"/>
        <v>0.45429362880886426</v>
      </c>
      <c r="F26" s="10">
        <f t="shared" si="1"/>
        <v>0.51050136910706034</v>
      </c>
      <c r="G26" s="10">
        <f t="shared" si="2"/>
        <v>0.23191751948353986</v>
      </c>
      <c r="H26" s="8">
        <v>11239</v>
      </c>
      <c r="I26" s="8">
        <v>6028.0001585483551</v>
      </c>
      <c r="J26" s="8">
        <v>16470</v>
      </c>
      <c r="K26" s="11">
        <f t="shared" si="3"/>
        <v>0.68239222829386759</v>
      </c>
      <c r="L26" s="12">
        <f t="shared" si="4"/>
        <v>0.53634666416481491</v>
      </c>
      <c r="M26" s="12">
        <f t="shared" si="5"/>
        <v>0.3659987952974107</v>
      </c>
      <c r="N26" s="9">
        <f t="shared" si="6"/>
        <v>1.5781420744429233</v>
      </c>
      <c r="O26" s="17"/>
      <c r="P26" s="16">
        <v>10</v>
      </c>
      <c r="Q26" s="14">
        <v>22469</v>
      </c>
      <c r="R26" s="14">
        <v>9319.2224620878696</v>
      </c>
      <c r="S26" s="14">
        <v>121005</v>
      </c>
      <c r="T26" s="21">
        <v>0.18568654187843478</v>
      </c>
      <c r="U26" s="21">
        <v>0.41475911086776757</v>
      </c>
      <c r="V26" s="21">
        <v>7.701518500961009E-2</v>
      </c>
      <c r="W26" s="19"/>
    </row>
    <row r="27" spans="1:27" ht="15.75" customHeight="1">
      <c r="A27" s="8">
        <v>10903</v>
      </c>
      <c r="B27" s="8">
        <v>160</v>
      </c>
      <c r="C27" s="8">
        <v>75.000001758337021</v>
      </c>
      <c r="D27" s="8">
        <v>364</v>
      </c>
      <c r="E27" s="9">
        <f t="shared" si="0"/>
        <v>0.43956043956043955</v>
      </c>
      <c r="F27" s="10">
        <f t="shared" si="1"/>
        <v>0.46875001098960639</v>
      </c>
      <c r="G27" s="10">
        <f t="shared" si="2"/>
        <v>0.20604396087455226</v>
      </c>
      <c r="H27" s="8">
        <v>1723</v>
      </c>
      <c r="I27" s="8">
        <v>793.11113265156746</v>
      </c>
      <c r="J27" s="8">
        <v>3523</v>
      </c>
      <c r="K27" s="11">
        <f t="shared" si="3"/>
        <v>0.48907181379506104</v>
      </c>
      <c r="L27" s="12">
        <f t="shared" si="4"/>
        <v>0.46030826038976635</v>
      </c>
      <c r="M27" s="12">
        <f t="shared" si="5"/>
        <v>0.22512379581367228</v>
      </c>
      <c r="N27" s="9">
        <f t="shared" si="6"/>
        <v>1.0926007967335505</v>
      </c>
      <c r="O27" s="17"/>
      <c r="P27" s="16">
        <v>11</v>
      </c>
      <c r="Q27" s="14">
        <v>2705586</v>
      </c>
      <c r="R27" s="14">
        <v>1201105.6975788772</v>
      </c>
      <c r="S27" s="14">
        <v>8949055</v>
      </c>
      <c r="T27" s="21">
        <v>0.30233203394101388</v>
      </c>
      <c r="U27" s="21">
        <v>0.44393550882466026</v>
      </c>
      <c r="V27" s="21">
        <v>0.13421592532159846</v>
      </c>
      <c r="W27" s="19"/>
    </row>
    <row r="28" spans="1:27" ht="15.75" customHeight="1">
      <c r="A28" s="8">
        <v>11001</v>
      </c>
      <c r="B28" s="8">
        <v>275</v>
      </c>
      <c r="C28" s="8">
        <v>137.8888932466507</v>
      </c>
      <c r="D28" s="8">
        <v>939</v>
      </c>
      <c r="E28" s="9">
        <f t="shared" si="0"/>
        <v>0.29286474973375931</v>
      </c>
      <c r="F28" s="10">
        <f t="shared" si="1"/>
        <v>0.50141415726054794</v>
      </c>
      <c r="G28" s="10">
        <f t="shared" si="2"/>
        <v>0.14684653167907422</v>
      </c>
      <c r="H28" s="8">
        <v>4689</v>
      </c>
      <c r="I28" s="8">
        <v>2286.1111743450165</v>
      </c>
      <c r="J28" s="8">
        <v>8269</v>
      </c>
      <c r="K28" s="11">
        <f t="shared" si="3"/>
        <v>0.5670576853307534</v>
      </c>
      <c r="L28" s="12">
        <f t="shared" si="4"/>
        <v>0.48754770192898622</v>
      </c>
      <c r="M28" s="12">
        <f t="shared" si="5"/>
        <v>0.27646767134417904</v>
      </c>
      <c r="N28" s="9">
        <f t="shared" si="6"/>
        <v>1.8826979989448125</v>
      </c>
      <c r="O28" s="17"/>
      <c r="P28" s="16"/>
      <c r="Q28" s="17"/>
      <c r="R28" s="17"/>
      <c r="S28" s="17"/>
      <c r="T28" s="22"/>
      <c r="U28" s="22"/>
      <c r="V28" s="22"/>
      <c r="W28" s="19"/>
    </row>
    <row r="29" spans="1:27" ht="15.75" customHeight="1">
      <c r="A29" s="8">
        <v>11002</v>
      </c>
      <c r="B29" s="8">
        <v>120</v>
      </c>
      <c r="C29" s="8">
        <v>54.4444460272789</v>
      </c>
      <c r="D29" s="8">
        <v>182</v>
      </c>
      <c r="E29" s="9">
        <f t="shared" si="0"/>
        <v>0.65934065934065933</v>
      </c>
      <c r="F29" s="10">
        <f t="shared" si="1"/>
        <v>0.45370371689399086</v>
      </c>
      <c r="G29" s="10">
        <f t="shared" si="2"/>
        <v>0.29914530784219179</v>
      </c>
      <c r="H29" s="8">
        <v>1438</v>
      </c>
      <c r="I29" s="8">
        <v>669.77779412269592</v>
      </c>
      <c r="J29" s="8">
        <v>2242</v>
      </c>
      <c r="K29" s="11">
        <f t="shared" si="3"/>
        <v>0.64139161462979477</v>
      </c>
      <c r="L29" s="12">
        <f t="shared" si="4"/>
        <v>0.46577037143441996</v>
      </c>
      <c r="M29" s="12">
        <f t="shared" si="5"/>
        <v>0.29874121058104186</v>
      </c>
      <c r="N29" s="9">
        <f t="shared" si="6"/>
        <v>0.99864916062342823</v>
      </c>
      <c r="P29" s="16"/>
      <c r="Q29" s="19"/>
      <c r="T29" s="22"/>
      <c r="U29" s="22"/>
      <c r="V29" s="22"/>
      <c r="W29" s="19"/>
    </row>
    <row r="30" spans="1:27" ht="15.75" customHeight="1">
      <c r="A30" s="8">
        <v>11003</v>
      </c>
      <c r="B30" s="8">
        <v>327</v>
      </c>
      <c r="C30" s="8">
        <v>142.77778139710426</v>
      </c>
      <c r="D30" s="8">
        <v>769</v>
      </c>
      <c r="E30" s="9">
        <f t="shared" si="0"/>
        <v>0.42522756827048114</v>
      </c>
      <c r="F30" s="10">
        <f t="shared" si="1"/>
        <v>0.43662930090857571</v>
      </c>
      <c r="G30" s="10">
        <f t="shared" si="2"/>
        <v>0.18566681586099382</v>
      </c>
      <c r="H30" s="8">
        <v>2970</v>
      </c>
      <c r="I30" s="8">
        <v>1392.3333715796471</v>
      </c>
      <c r="J30" s="8">
        <v>5940</v>
      </c>
      <c r="K30" s="11">
        <f t="shared" si="3"/>
        <v>0.5</v>
      </c>
      <c r="L30" s="12">
        <f t="shared" si="4"/>
        <v>0.46879911500998217</v>
      </c>
      <c r="M30" s="12">
        <f t="shared" si="5"/>
        <v>0.23439955750499109</v>
      </c>
      <c r="N30" s="9">
        <f t="shared" si="6"/>
        <v>1.2624741605978895</v>
      </c>
      <c r="P30" s="16"/>
      <c r="Q30" s="19"/>
      <c r="T30" s="22"/>
      <c r="U30" s="22"/>
      <c r="V30" s="22"/>
      <c r="W30" s="19"/>
    </row>
    <row r="31" spans="1:27" ht="15.75" customHeight="1">
      <c r="A31" s="8">
        <v>20101</v>
      </c>
      <c r="B31" s="8">
        <v>1529</v>
      </c>
      <c r="C31" s="8">
        <v>617.22223761677742</v>
      </c>
      <c r="D31" s="8">
        <v>26341</v>
      </c>
      <c r="E31" s="9">
        <f t="shared" si="0"/>
        <v>5.8046391556888503E-2</v>
      </c>
      <c r="F31" s="10">
        <f t="shared" si="1"/>
        <v>0.40367706842169876</v>
      </c>
      <c r="G31" s="10">
        <f t="shared" si="2"/>
        <v>2.3431997176142798E-2</v>
      </c>
      <c r="H31" s="8">
        <v>31999</v>
      </c>
      <c r="I31" s="8">
        <v>12468.333647787571</v>
      </c>
      <c r="J31" s="8">
        <v>710745</v>
      </c>
      <c r="K31" s="11">
        <f t="shared" si="3"/>
        <v>4.5021772928406111E-2</v>
      </c>
      <c r="L31" s="12">
        <f t="shared" si="4"/>
        <v>0.38964760298095474</v>
      </c>
      <c r="M31" s="12">
        <f t="shared" si="5"/>
        <v>1.7542625903506279E-2</v>
      </c>
      <c r="N31" s="9">
        <f t="shared" si="6"/>
        <v>0.74866114790109484</v>
      </c>
      <c r="P31" s="16"/>
      <c r="Q31" s="19"/>
      <c r="T31" s="22"/>
      <c r="U31" s="22"/>
      <c r="V31" s="22"/>
      <c r="W31" s="19"/>
    </row>
    <row r="32" spans="1:27" ht="15.75" customHeight="1">
      <c r="A32" s="8">
        <v>20102</v>
      </c>
      <c r="B32" s="8">
        <v>381</v>
      </c>
      <c r="C32" s="8">
        <v>163.22222682833672</v>
      </c>
      <c r="D32" s="8">
        <v>771</v>
      </c>
      <c r="E32" s="9">
        <f t="shared" si="0"/>
        <v>0.49416342412451364</v>
      </c>
      <c r="F32" s="10">
        <f t="shared" si="1"/>
        <v>0.42840479482503074</v>
      </c>
      <c r="G32" s="10">
        <f t="shared" si="2"/>
        <v>0.21170198032209692</v>
      </c>
      <c r="H32" s="8">
        <v>8089</v>
      </c>
      <c r="I32" s="8">
        <v>3496.0000869035721</v>
      </c>
      <c r="J32" s="8">
        <v>15648</v>
      </c>
      <c r="K32" s="11">
        <f t="shared" si="3"/>
        <v>0.51693507157464214</v>
      </c>
      <c r="L32" s="12">
        <f t="shared" si="4"/>
        <v>0.43219187623977895</v>
      </c>
      <c r="M32" s="12">
        <f t="shared" si="5"/>
        <v>0.22341513847798899</v>
      </c>
      <c r="N32" s="9">
        <f t="shared" si="6"/>
        <v>1.0553285242682706</v>
      </c>
      <c r="P32" s="16"/>
      <c r="Q32" s="17"/>
      <c r="T32" s="22"/>
      <c r="U32" s="22"/>
      <c r="V32" s="22"/>
      <c r="W32" s="19"/>
    </row>
    <row r="33" spans="1:23" ht="15.75" customHeight="1">
      <c r="A33" s="8">
        <v>20103</v>
      </c>
      <c r="B33" s="8">
        <v>222</v>
      </c>
      <c r="C33" s="8">
        <v>93.55555784702301</v>
      </c>
      <c r="D33" s="8">
        <v>1323</v>
      </c>
      <c r="E33" s="9">
        <f t="shared" si="0"/>
        <v>0.16780045351473924</v>
      </c>
      <c r="F33" s="10">
        <f t="shared" si="1"/>
        <v>0.4214214317433469</v>
      </c>
      <c r="G33" s="10">
        <f t="shared" si="2"/>
        <v>7.0714707367364335E-2</v>
      </c>
      <c r="H33" s="8">
        <v>5911</v>
      </c>
      <c r="I33" s="8">
        <v>2534.333398014307</v>
      </c>
      <c r="J33" s="8">
        <v>14290</v>
      </c>
      <c r="K33" s="11">
        <f t="shared" si="3"/>
        <v>0.41364590622813158</v>
      </c>
      <c r="L33" s="12">
        <f t="shared" si="4"/>
        <v>0.42874867163158636</v>
      </c>
      <c r="M33" s="12">
        <f t="shared" si="5"/>
        <v>0.17735013282115514</v>
      </c>
      <c r="N33" s="9">
        <f t="shared" si="6"/>
        <v>2.5079667218280011</v>
      </c>
      <c r="P33" s="16"/>
      <c r="T33" s="22"/>
      <c r="U33" s="22"/>
      <c r="V33" s="22"/>
      <c r="W33" s="19"/>
    </row>
    <row r="34" spans="1:23" ht="15.75" customHeight="1">
      <c r="A34" s="8">
        <v>20104</v>
      </c>
      <c r="B34" s="8">
        <v>1194</v>
      </c>
      <c r="C34" s="8">
        <v>511.22223418951035</v>
      </c>
      <c r="D34" s="8">
        <v>2113</v>
      </c>
      <c r="E34" s="9">
        <f t="shared" si="0"/>
        <v>0.56507335541883574</v>
      </c>
      <c r="F34" s="10">
        <f t="shared" si="1"/>
        <v>0.42815932511684285</v>
      </c>
      <c r="G34" s="10">
        <f t="shared" si="2"/>
        <v>0.24194142649763858</v>
      </c>
      <c r="H34" s="8">
        <v>9177</v>
      </c>
      <c r="I34" s="8">
        <v>3786.333427041769</v>
      </c>
      <c r="J34" s="8">
        <v>19858</v>
      </c>
      <c r="K34" s="11">
        <f t="shared" si="3"/>
        <v>0.46213113103031522</v>
      </c>
      <c r="L34" s="12">
        <f t="shared" si="4"/>
        <v>0.41258945483728549</v>
      </c>
      <c r="M34" s="12">
        <f t="shared" si="5"/>
        <v>0.1906704314151359</v>
      </c>
      <c r="N34" s="9">
        <f t="shared" si="6"/>
        <v>0.78808509222787815</v>
      </c>
      <c r="P34" s="16"/>
      <c r="T34" s="22"/>
      <c r="U34" s="22"/>
      <c r="V34" s="22"/>
      <c r="W34" s="19"/>
    </row>
    <row r="35" spans="1:23" ht="15.75" customHeight="1">
      <c r="A35" s="8">
        <v>20105</v>
      </c>
      <c r="B35" s="8">
        <v>10018</v>
      </c>
      <c r="C35" s="8">
        <v>4003.5556552112103</v>
      </c>
      <c r="D35" s="8">
        <v>47702</v>
      </c>
      <c r="E35" s="9">
        <f t="shared" si="0"/>
        <v>0.21001215881933671</v>
      </c>
      <c r="F35" s="10">
        <f t="shared" si="1"/>
        <v>0.39963622032453688</v>
      </c>
      <c r="G35" s="10">
        <f t="shared" si="2"/>
        <v>8.3928465372756084E-2</v>
      </c>
      <c r="H35" s="8">
        <v>102641</v>
      </c>
      <c r="I35" s="8">
        <v>40221.223228543997</v>
      </c>
      <c r="J35" s="8">
        <v>782015</v>
      </c>
      <c r="K35" s="11">
        <f t="shared" si="3"/>
        <v>0.13125195808264548</v>
      </c>
      <c r="L35" s="12">
        <f t="shared" si="4"/>
        <v>0.3918631270987617</v>
      </c>
      <c r="M35" s="12">
        <f t="shared" si="5"/>
        <v>5.1432802732101046E-2</v>
      </c>
      <c r="N35" s="9">
        <f t="shared" si="6"/>
        <v>0.61281714736078785</v>
      </c>
      <c r="P35" s="16"/>
      <c r="T35" s="22"/>
      <c r="U35" s="22"/>
      <c r="V35" s="22"/>
      <c r="W35" s="19"/>
    </row>
    <row r="36" spans="1:23" ht="15.75" customHeight="1">
      <c r="A36" s="8">
        <v>20201</v>
      </c>
      <c r="B36" s="8">
        <v>492</v>
      </c>
      <c r="C36" s="8">
        <v>200.55556038022041</v>
      </c>
      <c r="D36" s="8">
        <v>1372</v>
      </c>
      <c r="E36" s="9">
        <f t="shared" si="0"/>
        <v>0.35860058309037901</v>
      </c>
      <c r="F36" s="10">
        <f t="shared" si="1"/>
        <v>0.40763325280532603</v>
      </c>
      <c r="G36" s="10">
        <f t="shared" si="2"/>
        <v>0.1461775221430178</v>
      </c>
      <c r="H36" s="8">
        <v>16960</v>
      </c>
      <c r="I36" s="8">
        <v>7169.0001802742481</v>
      </c>
      <c r="J36" s="8">
        <v>44023</v>
      </c>
      <c r="K36" s="11">
        <f t="shared" si="3"/>
        <v>0.38525316311927854</v>
      </c>
      <c r="L36" s="12">
        <f t="shared" si="4"/>
        <v>0.42270048232749102</v>
      </c>
      <c r="M36" s="12">
        <f t="shared" si="5"/>
        <v>0.16284669786871062</v>
      </c>
      <c r="N36" s="9">
        <f t="shared" si="6"/>
        <v>1.1140337822212087</v>
      </c>
      <c r="P36" s="16"/>
      <c r="T36" s="22"/>
      <c r="U36" s="22"/>
      <c r="V36" s="22"/>
      <c r="W36" s="19"/>
    </row>
    <row r="37" spans="1:23" ht="15.75" customHeight="1">
      <c r="A37" s="8">
        <v>20202</v>
      </c>
      <c r="B37" s="8">
        <v>190</v>
      </c>
      <c r="C37" s="8">
        <v>82.11111307144165</v>
      </c>
      <c r="D37" s="8">
        <v>320</v>
      </c>
      <c r="E37" s="9">
        <f t="shared" si="0"/>
        <v>0.59375</v>
      </c>
      <c r="F37" s="10">
        <f t="shared" si="1"/>
        <v>0.43216375300758764</v>
      </c>
      <c r="G37" s="10">
        <f t="shared" si="2"/>
        <v>0.25659722834825516</v>
      </c>
      <c r="H37" s="8">
        <v>6980</v>
      </c>
      <c r="I37" s="8">
        <v>2954.2222953438759</v>
      </c>
      <c r="J37" s="8">
        <v>12709</v>
      </c>
      <c r="K37" s="11">
        <f t="shared" si="3"/>
        <v>0.54921709025100318</v>
      </c>
      <c r="L37" s="12">
        <f t="shared" si="4"/>
        <v>0.42324101652491058</v>
      </c>
      <c r="M37" s="12">
        <f t="shared" si="5"/>
        <v>0.23245119957068813</v>
      </c>
      <c r="N37" s="9">
        <f t="shared" si="6"/>
        <v>0.905899105251457</v>
      </c>
      <c r="P37" s="16"/>
      <c r="T37" s="22"/>
      <c r="U37" s="22"/>
      <c r="V37" s="22"/>
      <c r="W37" s="19"/>
    </row>
    <row r="38" spans="1:23" ht="15.75" customHeight="1">
      <c r="A38" s="8">
        <v>20203</v>
      </c>
      <c r="B38" s="8">
        <v>82</v>
      </c>
      <c r="C38" s="8">
        <v>33.444445013999939</v>
      </c>
      <c r="D38" s="8">
        <v>182</v>
      </c>
      <c r="E38" s="9">
        <f t="shared" si="0"/>
        <v>0.45054945054945056</v>
      </c>
      <c r="F38" s="10">
        <f t="shared" si="1"/>
        <v>0.40785908553658462</v>
      </c>
      <c r="G38" s="10">
        <f t="shared" si="2"/>
        <v>0.18376068689010955</v>
      </c>
      <c r="H38" s="8">
        <v>3280</v>
      </c>
      <c r="I38" s="8">
        <v>1388.7778115868568</v>
      </c>
      <c r="J38" s="8">
        <v>7674</v>
      </c>
      <c r="K38" s="11">
        <f t="shared" si="3"/>
        <v>0.42741725306228823</v>
      </c>
      <c r="L38" s="12">
        <f t="shared" si="4"/>
        <v>0.42340786938623687</v>
      </c>
      <c r="M38" s="12">
        <f t="shared" si="5"/>
        <v>0.18097182845802148</v>
      </c>
      <c r="N38" s="9">
        <f t="shared" si="6"/>
        <v>0.98482342181406934</v>
      </c>
      <c r="P38" s="16"/>
      <c r="T38" s="22"/>
      <c r="U38" s="22"/>
      <c r="V38" s="22"/>
      <c r="W38" s="19"/>
    </row>
    <row r="39" spans="1:23" ht="15.75" customHeight="1">
      <c r="A39" s="8">
        <v>20204</v>
      </c>
      <c r="B39" s="8">
        <v>122</v>
      </c>
      <c r="C39" s="8">
        <v>49.33333432674408</v>
      </c>
      <c r="D39" s="8">
        <v>309</v>
      </c>
      <c r="E39" s="9">
        <f t="shared" si="0"/>
        <v>0.39482200647249188</v>
      </c>
      <c r="F39" s="10">
        <f t="shared" si="1"/>
        <v>0.40437159284216456</v>
      </c>
      <c r="G39" s="10">
        <f t="shared" si="2"/>
        <v>0.15965480364642096</v>
      </c>
      <c r="H39" s="8">
        <v>3105</v>
      </c>
      <c r="I39" s="8">
        <v>1273.0000306665897</v>
      </c>
      <c r="J39" s="8">
        <v>8168</v>
      </c>
      <c r="K39" s="11">
        <f t="shared" si="3"/>
        <v>0.38014201762977473</v>
      </c>
      <c r="L39" s="12">
        <f t="shared" si="4"/>
        <v>0.40998390681693714</v>
      </c>
      <c r="M39" s="12">
        <f t="shared" si="5"/>
        <v>0.15585210953312803</v>
      </c>
      <c r="N39" s="9">
        <f t="shared" si="6"/>
        <v>0.97618177451325205</v>
      </c>
      <c r="P39" s="16"/>
      <c r="T39" s="22"/>
      <c r="U39" s="22"/>
      <c r="V39" s="22"/>
      <c r="W39" s="19"/>
    </row>
    <row r="40" spans="1:23" ht="15.75" customHeight="1">
      <c r="A40" s="8">
        <v>20205</v>
      </c>
      <c r="B40" s="8">
        <v>54</v>
      </c>
      <c r="C40" s="8">
        <v>23.111111581325531</v>
      </c>
      <c r="D40" s="8">
        <v>172</v>
      </c>
      <c r="E40" s="9">
        <f t="shared" si="0"/>
        <v>0.31395348837209303</v>
      </c>
      <c r="F40" s="10">
        <f t="shared" si="1"/>
        <v>0.42798354780232467</v>
      </c>
      <c r="G40" s="10">
        <f t="shared" si="2"/>
        <v>0.13436692779840426</v>
      </c>
      <c r="H40" s="8">
        <v>746</v>
      </c>
      <c r="I40" s="8">
        <v>289.33334010839462</v>
      </c>
      <c r="J40" s="8">
        <v>3689</v>
      </c>
      <c r="K40" s="11">
        <f t="shared" si="3"/>
        <v>0.20222282461371646</v>
      </c>
      <c r="L40" s="12">
        <f t="shared" si="4"/>
        <v>0.38784630041339763</v>
      </c>
      <c r="M40" s="12">
        <f t="shared" si="5"/>
        <v>7.843137438557729E-2</v>
      </c>
      <c r="N40" s="9">
        <f t="shared" si="6"/>
        <v>0.58371040903198157</v>
      </c>
      <c r="P40" s="16"/>
      <c r="T40" s="22"/>
      <c r="U40" s="22"/>
      <c r="V40" s="22"/>
      <c r="W40" s="19"/>
    </row>
    <row r="41" spans="1:23" ht="15.75" customHeight="1">
      <c r="A41" s="8">
        <v>20206</v>
      </c>
      <c r="B41" s="8">
        <v>49</v>
      </c>
      <c r="C41" s="8">
        <v>20.666667401790619</v>
      </c>
      <c r="D41" s="8">
        <v>203</v>
      </c>
      <c r="E41" s="9">
        <f t="shared" si="0"/>
        <v>0.2413793103448276</v>
      </c>
      <c r="F41" s="10">
        <f t="shared" si="1"/>
        <v>0.42176872248552283</v>
      </c>
      <c r="G41" s="10">
        <f t="shared" si="2"/>
        <v>0.10180624335857448</v>
      </c>
      <c r="H41" s="8">
        <v>1753</v>
      </c>
      <c r="I41" s="8">
        <v>700.88890612125397</v>
      </c>
      <c r="J41" s="8">
        <v>4627</v>
      </c>
      <c r="K41" s="11">
        <f t="shared" si="3"/>
        <v>0.37886319429435922</v>
      </c>
      <c r="L41" s="12">
        <f t="shared" si="4"/>
        <v>0.39982253629278608</v>
      </c>
      <c r="M41" s="12">
        <f t="shared" si="5"/>
        <v>0.15147804325075731</v>
      </c>
      <c r="N41" s="9">
        <f t="shared" si="6"/>
        <v>1.4879052428762396</v>
      </c>
      <c r="P41" s="16"/>
      <c r="T41" s="22"/>
      <c r="U41" s="22"/>
      <c r="V41" s="22"/>
      <c r="W41" s="19"/>
    </row>
    <row r="42" spans="1:23" ht="15.75" customHeight="1">
      <c r="A42" s="8">
        <v>20301</v>
      </c>
      <c r="B42" s="8">
        <v>247</v>
      </c>
      <c r="C42" s="8">
        <v>113.77778068184853</v>
      </c>
      <c r="D42" s="8">
        <v>623</v>
      </c>
      <c r="E42" s="9">
        <f t="shared" si="0"/>
        <v>0.39646869983948635</v>
      </c>
      <c r="F42" s="10">
        <f t="shared" si="1"/>
        <v>0.46063878818562154</v>
      </c>
      <c r="G42" s="10">
        <f t="shared" si="2"/>
        <v>0.18262886144758991</v>
      </c>
      <c r="H42" s="8">
        <v>6289</v>
      </c>
      <c r="I42" s="8">
        <v>2912.6667397916317</v>
      </c>
      <c r="J42" s="8">
        <v>9649</v>
      </c>
      <c r="K42" s="11">
        <f t="shared" si="3"/>
        <v>0.65177738625764325</v>
      </c>
      <c r="L42" s="12">
        <f t="shared" si="4"/>
        <v>0.46313670532543039</v>
      </c>
      <c r="M42" s="12">
        <f t="shared" si="5"/>
        <v>0.30186203127698535</v>
      </c>
      <c r="N42" s="9">
        <f t="shared" si="6"/>
        <v>1.6528714513374574</v>
      </c>
      <c r="P42" s="16"/>
      <c r="T42" s="22"/>
      <c r="U42" s="22"/>
      <c r="V42" s="22"/>
      <c r="W42" s="19"/>
    </row>
    <row r="43" spans="1:23" ht="15.75" customHeight="1">
      <c r="A43" s="8">
        <v>20302</v>
      </c>
      <c r="B43" s="8">
        <v>288</v>
      </c>
      <c r="C43" s="8">
        <v>120.66666981577873</v>
      </c>
      <c r="D43" s="8">
        <v>523</v>
      </c>
      <c r="E43" s="9">
        <f t="shared" si="0"/>
        <v>0.55066921606118546</v>
      </c>
      <c r="F43" s="10">
        <f t="shared" si="1"/>
        <v>0.41898149241589838</v>
      </c>
      <c r="G43" s="10">
        <f t="shared" si="2"/>
        <v>0.23072020997280829</v>
      </c>
      <c r="H43" s="8">
        <v>10038</v>
      </c>
      <c r="I43" s="8">
        <v>4533.0001122057438</v>
      </c>
      <c r="J43" s="8">
        <v>14045</v>
      </c>
      <c r="K43" s="11">
        <f t="shared" si="3"/>
        <v>0.71470274118903521</v>
      </c>
      <c r="L43" s="12">
        <f t="shared" si="4"/>
        <v>0.45158399205078142</v>
      </c>
      <c r="M43" s="12">
        <f t="shared" si="5"/>
        <v>0.32274831699578099</v>
      </c>
      <c r="N43" s="9">
        <f t="shared" si="6"/>
        <v>1.3988731937866161</v>
      </c>
      <c r="P43" s="16"/>
      <c r="T43" s="22"/>
      <c r="U43" s="22"/>
      <c r="V43" s="22"/>
      <c r="W43" s="19"/>
    </row>
    <row r="44" spans="1:23" ht="15.75" customHeight="1">
      <c r="A44" s="8">
        <v>20303</v>
      </c>
      <c r="B44" s="8">
        <v>188</v>
      </c>
      <c r="C44" s="8">
        <v>78.555557131767273</v>
      </c>
      <c r="D44" s="8">
        <v>243</v>
      </c>
      <c r="E44" s="9">
        <f t="shared" si="0"/>
        <v>0.77366255144032925</v>
      </c>
      <c r="F44" s="10">
        <f t="shared" si="1"/>
        <v>0.41784870814769826</v>
      </c>
      <c r="G44" s="10">
        <f t="shared" si="2"/>
        <v>0.3232738976615937</v>
      </c>
      <c r="H44" s="8">
        <v>7629</v>
      </c>
      <c r="I44" s="8">
        <v>3428.0000831782818</v>
      </c>
      <c r="J44" s="8">
        <v>9521</v>
      </c>
      <c r="K44" s="11">
        <f t="shared" si="3"/>
        <v>0.80128137800651189</v>
      </c>
      <c r="L44" s="12">
        <f t="shared" si="4"/>
        <v>0.44933806307226132</v>
      </c>
      <c r="M44" s="12">
        <f t="shared" si="5"/>
        <v>0.36004622236931849</v>
      </c>
      <c r="N44" s="9">
        <f t="shared" si="6"/>
        <v>1.1137497489705106</v>
      </c>
      <c r="P44" s="16"/>
      <c r="T44" s="22"/>
      <c r="U44" s="22"/>
      <c r="V44" s="22"/>
      <c r="W44" s="19"/>
    </row>
    <row r="45" spans="1:23" ht="15.75" customHeight="1">
      <c r="A45" s="8">
        <v>20304</v>
      </c>
      <c r="B45" s="8">
        <v>62</v>
      </c>
      <c r="C45" s="8">
        <v>29.111111789941788</v>
      </c>
      <c r="D45" s="8">
        <v>95</v>
      </c>
      <c r="E45" s="9">
        <f t="shared" si="0"/>
        <v>0.65263157894736845</v>
      </c>
      <c r="F45" s="10">
        <f t="shared" si="1"/>
        <v>0.46953406112809337</v>
      </c>
      <c r="G45" s="10">
        <f t="shared" si="2"/>
        <v>0.30643275568359779</v>
      </c>
      <c r="H45" s="8">
        <v>2351</v>
      </c>
      <c r="I45" s="8">
        <v>1053.3333591222763</v>
      </c>
      <c r="J45" s="8">
        <v>3726</v>
      </c>
      <c r="K45" s="11">
        <f t="shared" si="3"/>
        <v>0.63097155126140636</v>
      </c>
      <c r="L45" s="12">
        <f t="shared" si="4"/>
        <v>0.44803630758072155</v>
      </c>
      <c r="M45" s="12">
        <f t="shared" si="5"/>
        <v>0.28269816401564046</v>
      </c>
      <c r="N45" s="9">
        <f t="shared" si="6"/>
        <v>0.92254551372940008</v>
      </c>
      <c r="P45" s="16"/>
      <c r="T45" s="22"/>
      <c r="U45" s="22"/>
      <c r="V45" s="22"/>
      <c r="W45" s="19"/>
    </row>
    <row r="46" spans="1:23" ht="15.75" customHeight="1">
      <c r="A46" s="8">
        <v>20305</v>
      </c>
      <c r="B46" s="8">
        <v>94</v>
      </c>
      <c r="C46" s="8">
        <v>40.888890147209167</v>
      </c>
      <c r="D46" s="8">
        <v>196</v>
      </c>
      <c r="E46" s="9">
        <f t="shared" si="0"/>
        <v>0.47959183673469385</v>
      </c>
      <c r="F46" s="10">
        <f t="shared" si="1"/>
        <v>0.43498819305541669</v>
      </c>
      <c r="G46" s="10">
        <f t="shared" si="2"/>
        <v>0.20861678646535289</v>
      </c>
      <c r="H46" s="8">
        <v>1968</v>
      </c>
      <c r="I46" s="8">
        <v>896.44446712732315</v>
      </c>
      <c r="J46" s="8">
        <v>2790</v>
      </c>
      <c r="K46" s="11">
        <f t="shared" si="3"/>
        <v>0.70537634408602146</v>
      </c>
      <c r="L46" s="12">
        <f t="shared" si="4"/>
        <v>0.45551039996307069</v>
      </c>
      <c r="M46" s="12">
        <f t="shared" si="5"/>
        <v>0.32130626061911222</v>
      </c>
      <c r="N46" s="9">
        <f t="shared" si="6"/>
        <v>1.5401745279614629</v>
      </c>
      <c r="P46" s="16"/>
      <c r="T46" s="22"/>
      <c r="U46" s="22"/>
      <c r="V46" s="22"/>
      <c r="W46" s="19"/>
    </row>
    <row r="47" spans="1:23" ht="15.75" customHeight="1">
      <c r="A47" s="8">
        <v>20306</v>
      </c>
      <c r="B47" s="8">
        <v>103</v>
      </c>
      <c r="C47" s="8">
        <v>43.222223520278931</v>
      </c>
      <c r="D47" s="8">
        <v>153</v>
      </c>
      <c r="E47" s="9">
        <f t="shared" si="0"/>
        <v>0.67320261437908502</v>
      </c>
      <c r="F47" s="10">
        <f t="shared" si="1"/>
        <v>0.41963323806096048</v>
      </c>
      <c r="G47" s="10">
        <f t="shared" si="2"/>
        <v>0.28249819294299955</v>
      </c>
      <c r="H47" s="8">
        <v>3190</v>
      </c>
      <c r="I47" s="8">
        <v>1392.6667014360428</v>
      </c>
      <c r="J47" s="8">
        <v>4729</v>
      </c>
      <c r="K47" s="11">
        <f t="shared" si="3"/>
        <v>0.67456121801649394</v>
      </c>
      <c r="L47" s="12">
        <f t="shared" si="4"/>
        <v>0.43657263367901028</v>
      </c>
      <c r="M47" s="12">
        <f t="shared" si="5"/>
        <v>0.29449496752718179</v>
      </c>
      <c r="N47" s="9">
        <f t="shared" si="6"/>
        <v>1.0424667303503881</v>
      </c>
      <c r="P47" s="16"/>
      <c r="T47" s="22"/>
      <c r="U47" s="22"/>
      <c r="V47" s="22"/>
      <c r="W47" s="19"/>
    </row>
    <row r="48" spans="1:23" ht="15.75" customHeight="1">
      <c r="A48" s="8">
        <v>20307</v>
      </c>
      <c r="B48" s="8">
        <v>23</v>
      </c>
      <c r="C48" s="8">
        <v>9.3333334624767303</v>
      </c>
      <c r="D48" s="8">
        <v>25</v>
      </c>
      <c r="E48" s="9">
        <f t="shared" si="0"/>
        <v>0.92</v>
      </c>
      <c r="F48" s="10">
        <f t="shared" si="1"/>
        <v>0.40579710706420569</v>
      </c>
      <c r="G48" s="10">
        <f t="shared" si="2"/>
        <v>0.37333333849906924</v>
      </c>
      <c r="H48" s="8">
        <v>362</v>
      </c>
      <c r="I48" s="8">
        <v>147.4444482922554</v>
      </c>
      <c r="J48" s="8">
        <v>573</v>
      </c>
      <c r="K48" s="11">
        <f t="shared" si="3"/>
        <v>0.63176265270506105</v>
      </c>
      <c r="L48" s="12">
        <f t="shared" si="4"/>
        <v>0.40730510577971107</v>
      </c>
      <c r="M48" s="12">
        <f t="shared" si="5"/>
        <v>0.25732015408770575</v>
      </c>
      <c r="N48" s="9">
        <f t="shared" si="6"/>
        <v>0.6892504031979112</v>
      </c>
      <c r="P48" s="16"/>
      <c r="T48" s="22"/>
      <c r="U48" s="22"/>
      <c r="V48" s="22"/>
      <c r="W48" s="19"/>
    </row>
    <row r="49" spans="1:23" ht="15.75" customHeight="1">
      <c r="A49" s="8">
        <v>20308</v>
      </c>
      <c r="B49" s="8">
        <v>340</v>
      </c>
      <c r="C49" s="8">
        <v>162.11111500859261</v>
      </c>
      <c r="D49" s="8">
        <v>429</v>
      </c>
      <c r="E49" s="9">
        <f t="shared" si="0"/>
        <v>0.79254079254079257</v>
      </c>
      <c r="F49" s="10">
        <f t="shared" si="1"/>
        <v>0.47679739708409591</v>
      </c>
      <c r="G49" s="10">
        <f t="shared" si="2"/>
        <v>0.37788138696641638</v>
      </c>
      <c r="H49" s="8">
        <v>6162</v>
      </c>
      <c r="I49" s="8">
        <v>2971.0000746846199</v>
      </c>
      <c r="J49" s="8">
        <v>6789</v>
      </c>
      <c r="K49" s="11">
        <f t="shared" si="3"/>
        <v>0.9076447193990278</v>
      </c>
      <c r="L49" s="12">
        <f t="shared" si="4"/>
        <v>0.48214866515492044</v>
      </c>
      <c r="M49" s="12">
        <f t="shared" si="5"/>
        <v>0.43761968989315359</v>
      </c>
      <c r="N49" s="9">
        <f t="shared" si="6"/>
        <v>1.1580874448628145</v>
      </c>
      <c r="P49" s="16"/>
      <c r="T49" s="22"/>
      <c r="U49" s="22"/>
      <c r="V49" s="22"/>
      <c r="W49" s="19"/>
    </row>
    <row r="50" spans="1:23" ht="15.75" customHeight="1">
      <c r="A50" s="8">
        <v>20401</v>
      </c>
      <c r="B50" s="8">
        <v>346</v>
      </c>
      <c r="C50" s="8">
        <v>147.88889276981354</v>
      </c>
      <c r="D50" s="8">
        <v>603</v>
      </c>
      <c r="E50" s="9">
        <f t="shared" si="0"/>
        <v>0.57379767827529027</v>
      </c>
      <c r="F50" s="10">
        <f t="shared" si="1"/>
        <v>0.42742454557749576</v>
      </c>
      <c r="G50" s="10">
        <f t="shared" si="2"/>
        <v>0.24525521189023805</v>
      </c>
      <c r="H50" s="8">
        <v>6937</v>
      </c>
      <c r="I50" s="8">
        <v>3053.5556316673756</v>
      </c>
      <c r="J50" s="8">
        <v>10585</v>
      </c>
      <c r="K50" s="11">
        <f t="shared" si="3"/>
        <v>0.6553613604156826</v>
      </c>
      <c r="L50" s="12">
        <f t="shared" si="4"/>
        <v>0.44018388808813258</v>
      </c>
      <c r="M50" s="12">
        <f t="shared" si="5"/>
        <v>0.28847951173050318</v>
      </c>
      <c r="N50" s="9">
        <f t="shared" si="6"/>
        <v>1.1762421255276312</v>
      </c>
      <c r="P50" s="16"/>
      <c r="T50" s="22"/>
      <c r="U50" s="22"/>
      <c r="V50" s="22"/>
      <c r="W50" s="19"/>
    </row>
    <row r="51" spans="1:23" ht="15.75" customHeight="1">
      <c r="A51" s="8">
        <v>20402</v>
      </c>
      <c r="B51" s="8">
        <v>246</v>
      </c>
      <c r="C51" s="8">
        <v>106.22222506999969</v>
      </c>
      <c r="D51" s="8">
        <v>427</v>
      </c>
      <c r="E51" s="9">
        <f t="shared" si="0"/>
        <v>0.57611241217798592</v>
      </c>
      <c r="F51" s="10">
        <f t="shared" si="1"/>
        <v>0.4317976628861776</v>
      </c>
      <c r="G51" s="10">
        <f t="shared" si="2"/>
        <v>0.24876399313817257</v>
      </c>
      <c r="H51" s="8">
        <v>9312</v>
      </c>
      <c r="I51" s="8">
        <v>4041.1112132072449</v>
      </c>
      <c r="J51" s="8">
        <v>15061</v>
      </c>
      <c r="K51" s="11">
        <f t="shared" si="3"/>
        <v>0.61828563840382444</v>
      </c>
      <c r="L51" s="12">
        <f t="shared" si="4"/>
        <v>0.43396812856607009</v>
      </c>
      <c r="M51" s="12">
        <f t="shared" si="5"/>
        <v>0.26831626141738563</v>
      </c>
      <c r="N51" s="9">
        <f t="shared" si="6"/>
        <v>1.0785976621156463</v>
      </c>
      <c r="P51" s="16"/>
      <c r="T51" s="22"/>
      <c r="U51" s="22"/>
      <c r="V51" s="22"/>
      <c r="W51" s="19"/>
    </row>
    <row r="52" spans="1:23" ht="15.75" customHeight="1">
      <c r="A52" s="8">
        <v>20403</v>
      </c>
      <c r="B52" s="8">
        <v>219</v>
      </c>
      <c r="C52" s="8">
        <v>92.666668891906738</v>
      </c>
      <c r="D52" s="8">
        <v>589</v>
      </c>
      <c r="E52" s="9">
        <f t="shared" si="0"/>
        <v>0.37181663837011886</v>
      </c>
      <c r="F52" s="10">
        <f t="shared" si="1"/>
        <v>0.42313547439226823</v>
      </c>
      <c r="G52" s="10">
        <f t="shared" si="2"/>
        <v>0.15732880966367868</v>
      </c>
      <c r="H52" s="8">
        <v>8540</v>
      </c>
      <c r="I52" s="8">
        <v>3914.4445471763611</v>
      </c>
      <c r="J52" s="8">
        <v>13706</v>
      </c>
      <c r="K52" s="11">
        <f t="shared" si="3"/>
        <v>0.62308478038815118</v>
      </c>
      <c r="L52" s="12">
        <f t="shared" si="4"/>
        <v>0.45836587203470269</v>
      </c>
      <c r="M52" s="12">
        <f t="shared" si="5"/>
        <v>0.28560079871416616</v>
      </c>
      <c r="N52" s="9">
        <f t="shared" si="6"/>
        <v>1.8153115079475535</v>
      </c>
      <c r="P52" s="16"/>
      <c r="T52" s="22"/>
      <c r="U52" s="22"/>
      <c r="V52" s="22"/>
      <c r="W52" s="19"/>
    </row>
    <row r="53" spans="1:23" ht="15.75" customHeight="1">
      <c r="A53" s="8">
        <v>20404</v>
      </c>
      <c r="B53" s="8">
        <v>46</v>
      </c>
      <c r="C53" s="8">
        <v>20.666667342185974</v>
      </c>
      <c r="D53" s="8">
        <v>76</v>
      </c>
      <c r="E53" s="9">
        <f t="shared" si="0"/>
        <v>0.60526315789473684</v>
      </c>
      <c r="F53" s="10">
        <f t="shared" si="1"/>
        <v>0.44927537700404291</v>
      </c>
      <c r="G53" s="10">
        <f t="shared" si="2"/>
        <v>0.27192983344981542</v>
      </c>
      <c r="H53" s="8">
        <v>3636</v>
      </c>
      <c r="I53" s="8">
        <v>1614.8889294564724</v>
      </c>
      <c r="J53" s="8">
        <v>5218</v>
      </c>
      <c r="K53" s="11">
        <f t="shared" si="3"/>
        <v>0.6968187044844768</v>
      </c>
      <c r="L53" s="12">
        <f t="shared" si="4"/>
        <v>0.44413886948747866</v>
      </c>
      <c r="M53" s="12">
        <f t="shared" si="5"/>
        <v>0.309484271647465</v>
      </c>
      <c r="N53" s="9">
        <f t="shared" si="6"/>
        <v>1.1381034133740249</v>
      </c>
      <c r="P53" s="16"/>
      <c r="T53" s="22"/>
      <c r="U53" s="22"/>
      <c r="V53" s="22"/>
      <c r="W53" s="19"/>
    </row>
    <row r="54" spans="1:23" ht="15.75" customHeight="1">
      <c r="A54" s="8">
        <v>20405</v>
      </c>
      <c r="B54" s="8">
        <v>204</v>
      </c>
      <c r="C54" s="8">
        <v>86.000002056360245</v>
      </c>
      <c r="D54" s="8">
        <v>432</v>
      </c>
      <c r="E54" s="9">
        <f t="shared" si="0"/>
        <v>0.47222222222222221</v>
      </c>
      <c r="F54" s="10">
        <f t="shared" si="1"/>
        <v>0.42156863753117768</v>
      </c>
      <c r="G54" s="10">
        <f t="shared" si="2"/>
        <v>0.19907407883416722</v>
      </c>
      <c r="H54" s="8">
        <v>3537</v>
      </c>
      <c r="I54" s="8">
        <v>1474.1111466884613</v>
      </c>
      <c r="J54" s="8">
        <v>6692</v>
      </c>
      <c r="K54" s="11">
        <f t="shared" si="3"/>
        <v>0.52854154213986848</v>
      </c>
      <c r="L54" s="12">
        <f t="shared" si="4"/>
        <v>0.41676877203518836</v>
      </c>
      <c r="M54" s="12">
        <f t="shared" si="5"/>
        <v>0.22027960948721775</v>
      </c>
      <c r="N54" s="9">
        <f t="shared" si="6"/>
        <v>1.1065208025938684</v>
      </c>
      <c r="P54" s="16"/>
      <c r="T54" s="22"/>
      <c r="U54" s="22"/>
      <c r="V54" s="22"/>
      <c r="W54" s="19"/>
    </row>
    <row r="55" spans="1:23" ht="15.75" customHeight="1">
      <c r="A55" s="8">
        <v>20501</v>
      </c>
      <c r="B55" s="8">
        <v>159</v>
      </c>
      <c r="C55" s="8">
        <v>65.888890653848648</v>
      </c>
      <c r="D55" s="8">
        <v>329</v>
      </c>
      <c r="E55" s="9">
        <f t="shared" si="0"/>
        <v>0.48328267477203646</v>
      </c>
      <c r="F55" s="10">
        <f t="shared" si="1"/>
        <v>0.41439553870345064</v>
      </c>
      <c r="G55" s="10">
        <f t="shared" si="2"/>
        <v>0.20027018435820257</v>
      </c>
      <c r="H55" s="8">
        <v>5881</v>
      </c>
      <c r="I55" s="8">
        <v>2593.8889560699463</v>
      </c>
      <c r="J55" s="8">
        <v>11061</v>
      </c>
      <c r="K55" s="11">
        <f t="shared" si="3"/>
        <v>0.53168791248530878</v>
      </c>
      <c r="L55" s="12">
        <f t="shared" si="4"/>
        <v>0.44106256692228302</v>
      </c>
      <c r="M55" s="12">
        <f t="shared" si="5"/>
        <v>0.23450763548232045</v>
      </c>
      <c r="N55" s="9">
        <f t="shared" si="6"/>
        <v>1.1709563070201248</v>
      </c>
      <c r="P55" s="16"/>
      <c r="T55" s="22"/>
      <c r="U55" s="22"/>
      <c r="V55" s="22"/>
      <c r="W55" s="19"/>
    </row>
    <row r="56" spans="1:23" ht="15.75" customHeight="1">
      <c r="A56" s="8">
        <v>20502</v>
      </c>
      <c r="B56" s="8">
        <v>143</v>
      </c>
      <c r="C56" s="8">
        <v>64.000001639127731</v>
      </c>
      <c r="D56" s="8">
        <v>213</v>
      </c>
      <c r="E56" s="9">
        <f t="shared" si="0"/>
        <v>0.67136150234741787</v>
      </c>
      <c r="F56" s="10">
        <f t="shared" si="1"/>
        <v>0.44755245901487922</v>
      </c>
      <c r="G56" s="10">
        <f t="shared" si="2"/>
        <v>0.30046949126351047</v>
      </c>
      <c r="H56" s="8">
        <v>5318</v>
      </c>
      <c r="I56" s="8">
        <v>2427.4445073902607</v>
      </c>
      <c r="J56" s="8">
        <v>7986</v>
      </c>
      <c r="K56" s="11">
        <f t="shared" si="3"/>
        <v>0.66591535186576511</v>
      </c>
      <c r="L56" s="12">
        <f t="shared" si="4"/>
        <v>0.45645816235243714</v>
      </c>
      <c r="M56" s="12">
        <f t="shared" si="5"/>
        <v>0.30396249779492374</v>
      </c>
      <c r="N56" s="9">
        <f t="shared" si="6"/>
        <v>1.0116251620646235</v>
      </c>
      <c r="P56" s="16"/>
      <c r="T56" s="22"/>
      <c r="U56" s="22"/>
      <c r="V56" s="22"/>
      <c r="W56" s="19"/>
    </row>
    <row r="57" spans="1:23" ht="15.75" customHeight="1">
      <c r="A57" s="8">
        <v>20503</v>
      </c>
      <c r="B57" s="8">
        <v>235</v>
      </c>
      <c r="C57" s="8">
        <v>97.222224861383438</v>
      </c>
      <c r="D57" s="8">
        <v>366</v>
      </c>
      <c r="E57" s="9">
        <f t="shared" si="0"/>
        <v>0.64207650273224048</v>
      </c>
      <c r="F57" s="10">
        <f t="shared" si="1"/>
        <v>0.41371159515482314</v>
      </c>
      <c r="G57" s="10">
        <f t="shared" si="2"/>
        <v>0.26563449415678536</v>
      </c>
      <c r="H57" s="8">
        <v>3332</v>
      </c>
      <c r="I57" s="8">
        <v>1518.8889282941818</v>
      </c>
      <c r="J57" s="8">
        <v>5016</v>
      </c>
      <c r="K57" s="11">
        <f t="shared" si="3"/>
        <v>0.66427432216905902</v>
      </c>
      <c r="L57" s="12">
        <f t="shared" si="4"/>
        <v>0.45584901809549272</v>
      </c>
      <c r="M57" s="12">
        <f t="shared" si="5"/>
        <v>0.30280879750681455</v>
      </c>
      <c r="N57" s="9">
        <f t="shared" si="6"/>
        <v>1.1399453164696594</v>
      </c>
      <c r="P57" s="16"/>
      <c r="T57" s="22"/>
      <c r="U57" s="22"/>
      <c r="V57" s="22"/>
      <c r="W57" s="19"/>
    </row>
    <row r="58" spans="1:23" ht="15.75" customHeight="1">
      <c r="A58" s="8">
        <v>20601</v>
      </c>
      <c r="B58" s="8">
        <v>527</v>
      </c>
      <c r="C58" s="8">
        <v>230.77778372168541</v>
      </c>
      <c r="D58" s="8">
        <v>1243</v>
      </c>
      <c r="E58" s="9">
        <f t="shared" si="0"/>
        <v>0.42397425583266291</v>
      </c>
      <c r="F58" s="10">
        <f t="shared" si="1"/>
        <v>0.43790850801078823</v>
      </c>
      <c r="G58" s="10">
        <f t="shared" si="2"/>
        <v>0.18566193380666565</v>
      </c>
      <c r="H58" s="8">
        <v>11637</v>
      </c>
      <c r="I58" s="8">
        <v>5158.889020472765</v>
      </c>
      <c r="J58" s="8">
        <v>21945</v>
      </c>
      <c r="K58" s="11">
        <f t="shared" si="3"/>
        <v>0.5302802460697198</v>
      </c>
      <c r="L58" s="12">
        <f t="shared" si="4"/>
        <v>0.4433177812557158</v>
      </c>
      <c r="M58" s="12">
        <f t="shared" si="5"/>
        <v>0.2350826621313632</v>
      </c>
      <c r="N58" s="9">
        <f t="shared" si="6"/>
        <v>1.2661866507119364</v>
      </c>
      <c r="P58" s="16"/>
      <c r="T58" s="22"/>
      <c r="U58" s="22"/>
      <c r="V58" s="22"/>
      <c r="W58" s="19"/>
    </row>
    <row r="59" spans="1:23" ht="15.75" customHeight="1">
      <c r="A59" s="8">
        <v>20602</v>
      </c>
      <c r="B59" s="8">
        <v>700</v>
      </c>
      <c r="C59" s="8">
        <v>313.44445142149925</v>
      </c>
      <c r="D59" s="8">
        <v>1700</v>
      </c>
      <c r="E59" s="9">
        <f t="shared" si="0"/>
        <v>0.41176470588235292</v>
      </c>
      <c r="F59" s="10">
        <f t="shared" si="1"/>
        <v>0.44777778774499893</v>
      </c>
      <c r="G59" s="10">
        <f t="shared" si="2"/>
        <v>0.18437908907147013</v>
      </c>
      <c r="H59" s="8">
        <v>5515</v>
      </c>
      <c r="I59" s="8">
        <v>2535.1111772060394</v>
      </c>
      <c r="J59" s="8">
        <v>12597</v>
      </c>
      <c r="K59" s="11">
        <f t="shared" si="3"/>
        <v>0.43780265142494246</v>
      </c>
      <c r="L59" s="12">
        <f t="shared" si="4"/>
        <v>0.45967564409900985</v>
      </c>
      <c r="M59" s="12">
        <f t="shared" si="5"/>
        <v>0.20124721578201471</v>
      </c>
      <c r="N59" s="9">
        <f t="shared" si="6"/>
        <v>1.0914861158903224</v>
      </c>
      <c r="P59" s="16"/>
      <c r="T59" s="22"/>
      <c r="U59" s="22"/>
      <c r="V59" s="22"/>
      <c r="W59" s="19"/>
    </row>
    <row r="60" spans="1:23" ht="15.75" customHeight="1">
      <c r="A60" s="8">
        <v>20603</v>
      </c>
      <c r="B60" s="8">
        <v>437</v>
      </c>
      <c r="C60" s="8">
        <v>185.77778187394142</v>
      </c>
      <c r="D60" s="8">
        <v>686</v>
      </c>
      <c r="E60" s="9">
        <f t="shared" si="0"/>
        <v>0.63702623906705536</v>
      </c>
      <c r="F60" s="10">
        <f t="shared" si="1"/>
        <v>0.42512078232023209</v>
      </c>
      <c r="G60" s="10">
        <f t="shared" si="2"/>
        <v>0.27081309311070179</v>
      </c>
      <c r="H60" s="8">
        <v>3998</v>
      </c>
      <c r="I60" s="8">
        <v>1804.4444905817509</v>
      </c>
      <c r="J60" s="8">
        <v>7129</v>
      </c>
      <c r="K60" s="11">
        <f t="shared" si="3"/>
        <v>0.56080796745686634</v>
      </c>
      <c r="L60" s="12">
        <f t="shared" si="4"/>
        <v>0.4513367910409582</v>
      </c>
      <c r="M60" s="12">
        <f t="shared" si="5"/>
        <v>0.25311326842218418</v>
      </c>
      <c r="N60" s="9">
        <f t="shared" si="6"/>
        <v>0.9346419167359743</v>
      </c>
      <c r="P60" s="16"/>
      <c r="T60" s="22"/>
      <c r="U60" s="22"/>
      <c r="V60" s="22"/>
      <c r="W60" s="19"/>
    </row>
    <row r="61" spans="1:23" ht="15.75" customHeight="1">
      <c r="A61" s="8">
        <v>20604</v>
      </c>
      <c r="B61" s="8">
        <v>104</v>
      </c>
      <c r="C61" s="8">
        <v>46.000001192092896</v>
      </c>
      <c r="D61" s="8">
        <v>212</v>
      </c>
      <c r="E61" s="9">
        <f t="shared" si="0"/>
        <v>0.49056603773584906</v>
      </c>
      <c r="F61" s="10">
        <f t="shared" si="1"/>
        <v>0.44230770377012402</v>
      </c>
      <c r="G61" s="10">
        <f t="shared" si="2"/>
        <v>0.2169811376985514</v>
      </c>
      <c r="H61" s="8">
        <v>1359</v>
      </c>
      <c r="I61" s="8">
        <v>593.66668140888214</v>
      </c>
      <c r="J61" s="8">
        <v>2373</v>
      </c>
      <c r="K61" s="11">
        <f t="shared" si="3"/>
        <v>0.572692793931732</v>
      </c>
      <c r="L61" s="12">
        <f t="shared" si="4"/>
        <v>0.43684082517209871</v>
      </c>
      <c r="M61" s="12">
        <f t="shared" si="5"/>
        <v>0.2501755926712525</v>
      </c>
      <c r="N61" s="9">
        <f t="shared" si="6"/>
        <v>1.1529831363444027</v>
      </c>
      <c r="P61" s="16"/>
      <c r="T61" s="22"/>
      <c r="U61" s="22"/>
      <c r="V61" s="22"/>
      <c r="W61" s="19"/>
    </row>
    <row r="62" spans="1:23" ht="15.75" customHeight="1">
      <c r="A62" s="8">
        <v>20605</v>
      </c>
      <c r="B62" s="8">
        <v>24</v>
      </c>
      <c r="C62" s="8">
        <v>10.777778059244156</v>
      </c>
      <c r="D62" s="8">
        <v>49</v>
      </c>
      <c r="E62" s="9">
        <f t="shared" si="0"/>
        <v>0.48979591836734693</v>
      </c>
      <c r="F62" s="10">
        <f t="shared" si="1"/>
        <v>0.44907408580183983</v>
      </c>
      <c r="G62" s="10">
        <f t="shared" si="2"/>
        <v>0.2199546542702889</v>
      </c>
      <c r="H62" s="8">
        <v>1764</v>
      </c>
      <c r="I62" s="8">
        <v>721.22224014997482</v>
      </c>
      <c r="J62" s="8">
        <v>3624</v>
      </c>
      <c r="K62" s="11">
        <f t="shared" si="3"/>
        <v>0.48675496688741721</v>
      </c>
      <c r="L62" s="12">
        <f t="shared" si="4"/>
        <v>0.40885614520973629</v>
      </c>
      <c r="M62" s="12">
        <f t="shared" si="5"/>
        <v>0.19901275942328223</v>
      </c>
      <c r="N62" s="9">
        <f t="shared" si="6"/>
        <v>0.90478994447067962</v>
      </c>
      <c r="P62" s="16"/>
      <c r="T62" s="22"/>
      <c r="U62" s="22"/>
      <c r="V62" s="22"/>
      <c r="W62" s="19"/>
    </row>
    <row r="63" spans="1:23" ht="15.75" customHeight="1">
      <c r="A63" s="8">
        <v>20606</v>
      </c>
      <c r="B63" s="8">
        <v>585</v>
      </c>
      <c r="C63" s="8">
        <v>231.44444999098778</v>
      </c>
      <c r="D63" s="8">
        <v>1751</v>
      </c>
      <c r="E63" s="9">
        <f t="shared" si="0"/>
        <v>0.3340948029697316</v>
      </c>
      <c r="F63" s="10">
        <f t="shared" si="1"/>
        <v>0.39563153844613297</v>
      </c>
      <c r="G63" s="10">
        <f t="shared" si="2"/>
        <v>0.13217844088577257</v>
      </c>
      <c r="H63" s="8">
        <v>2277</v>
      </c>
      <c r="I63" s="8">
        <v>913.66668927669525</v>
      </c>
      <c r="J63" s="8">
        <v>7946</v>
      </c>
      <c r="K63" s="11">
        <f t="shared" si="3"/>
        <v>0.28655927510697204</v>
      </c>
      <c r="L63" s="12">
        <f t="shared" si="4"/>
        <v>0.40125897640610242</v>
      </c>
      <c r="M63" s="12">
        <f t="shared" si="5"/>
        <v>0.11498448140909831</v>
      </c>
      <c r="N63" s="9">
        <f t="shared" si="6"/>
        <v>0.86991857854085952</v>
      </c>
      <c r="P63" s="16"/>
      <c r="T63" s="22"/>
      <c r="U63" s="22"/>
      <c r="V63" s="22"/>
      <c r="W63" s="19"/>
    </row>
    <row r="64" spans="1:23" ht="15.75" customHeight="1">
      <c r="A64" s="8">
        <v>20607</v>
      </c>
      <c r="B64" s="8">
        <v>720</v>
      </c>
      <c r="C64" s="8">
        <v>290.1111173927784</v>
      </c>
      <c r="D64" s="8">
        <v>2372</v>
      </c>
      <c r="E64" s="9">
        <f t="shared" si="0"/>
        <v>0.30354131534569984</v>
      </c>
      <c r="F64" s="10">
        <f t="shared" si="1"/>
        <v>0.40293210748996999</v>
      </c>
      <c r="G64" s="10">
        <f t="shared" si="2"/>
        <v>0.12230654190252041</v>
      </c>
      <c r="H64" s="8">
        <v>3060</v>
      </c>
      <c r="I64" s="8">
        <v>1211.1111408174038</v>
      </c>
      <c r="J64" s="8">
        <v>10664</v>
      </c>
      <c r="K64" s="11">
        <f t="shared" si="3"/>
        <v>0.28694673668417103</v>
      </c>
      <c r="L64" s="12">
        <f t="shared" si="4"/>
        <v>0.39578795451549142</v>
      </c>
      <c r="M64" s="12">
        <f t="shared" si="5"/>
        <v>0.11357006196712338</v>
      </c>
      <c r="N64" s="9">
        <f t="shared" si="6"/>
        <v>0.92856898903772378</v>
      </c>
      <c r="P64" s="16"/>
      <c r="T64" s="22"/>
      <c r="U64" s="22"/>
      <c r="V64" s="22"/>
      <c r="W64" s="19"/>
    </row>
    <row r="65" spans="1:23" ht="15.75" customHeight="1">
      <c r="A65" s="8">
        <v>20608</v>
      </c>
      <c r="B65" s="8">
        <v>596</v>
      </c>
      <c r="C65" s="8">
        <v>274.55556279420853</v>
      </c>
      <c r="D65" s="8">
        <v>1128</v>
      </c>
      <c r="E65" s="9">
        <f t="shared" si="0"/>
        <v>0.52836879432624118</v>
      </c>
      <c r="F65" s="10">
        <f t="shared" si="1"/>
        <v>0.46066369596343715</v>
      </c>
      <c r="G65" s="10">
        <f t="shared" si="2"/>
        <v>0.24340032162607142</v>
      </c>
      <c r="H65" s="8">
        <v>4593</v>
      </c>
      <c r="I65" s="8">
        <v>2139.2222750782967</v>
      </c>
      <c r="J65" s="8">
        <v>7811</v>
      </c>
      <c r="K65" s="11">
        <f t="shared" si="3"/>
        <v>0.58801689924465494</v>
      </c>
      <c r="L65" s="12">
        <f t="shared" si="4"/>
        <v>0.46575708144530736</v>
      </c>
      <c r="M65" s="12">
        <f t="shared" si="5"/>
        <v>0.27387303483270986</v>
      </c>
      <c r="N65" s="9">
        <f t="shared" si="6"/>
        <v>1.1251958625323952</v>
      </c>
      <c r="P65" s="16"/>
      <c r="T65" s="22"/>
      <c r="U65" s="22"/>
      <c r="V65" s="22"/>
      <c r="W65" s="19"/>
    </row>
    <row r="66" spans="1:23" ht="15.75" customHeight="1">
      <c r="A66" s="8">
        <v>20701</v>
      </c>
      <c r="B66" s="8">
        <v>603</v>
      </c>
      <c r="C66" s="8">
        <v>281.33333992958069</v>
      </c>
      <c r="D66" s="8">
        <v>1404</v>
      </c>
      <c r="E66" s="9">
        <f t="shared" si="0"/>
        <v>0.42948717948717946</v>
      </c>
      <c r="F66" s="10">
        <f t="shared" si="1"/>
        <v>0.46655611928620344</v>
      </c>
      <c r="G66" s="10">
        <f t="shared" si="2"/>
        <v>0.20037987174471555</v>
      </c>
      <c r="H66" s="8">
        <v>9386</v>
      </c>
      <c r="I66" s="8">
        <v>4658.3334583640099</v>
      </c>
      <c r="J66" s="8">
        <v>16971</v>
      </c>
      <c r="K66" s="11">
        <f t="shared" si="3"/>
        <v>0.55306110423663901</v>
      </c>
      <c r="L66" s="12">
        <f t="shared" si="4"/>
        <v>0.49630656918431809</v>
      </c>
      <c r="M66" s="12">
        <f t="shared" si="5"/>
        <v>0.27448785919297686</v>
      </c>
      <c r="N66" s="9">
        <f t="shared" si="6"/>
        <v>1.3698374831913012</v>
      </c>
      <c r="P66" s="16"/>
      <c r="T66" s="22"/>
      <c r="U66" s="22"/>
      <c r="V66" s="22"/>
      <c r="W66" s="19"/>
    </row>
    <row r="67" spans="1:23" ht="15.75" customHeight="1">
      <c r="A67" s="8">
        <v>20702</v>
      </c>
      <c r="B67" s="8">
        <v>212</v>
      </c>
      <c r="C67" s="8">
        <v>90.888890981674194</v>
      </c>
      <c r="D67" s="8">
        <v>381</v>
      </c>
      <c r="E67" s="9">
        <f t="shared" si="0"/>
        <v>0.55643044619422577</v>
      </c>
      <c r="F67" s="10">
        <f t="shared" si="1"/>
        <v>0.4287211838758217</v>
      </c>
      <c r="G67" s="10">
        <f t="shared" si="2"/>
        <v>0.23855351963694019</v>
      </c>
      <c r="H67" s="8">
        <v>4042</v>
      </c>
      <c r="I67" s="8">
        <v>1892.6667165458202</v>
      </c>
      <c r="J67" s="8">
        <v>5533</v>
      </c>
      <c r="K67" s="11">
        <f t="shared" si="3"/>
        <v>0.73052593529730703</v>
      </c>
      <c r="L67" s="12">
        <f t="shared" si="4"/>
        <v>0.46825005357392879</v>
      </c>
      <c r="M67" s="12">
        <f t="shared" si="5"/>
        <v>0.34206880834010844</v>
      </c>
      <c r="N67" s="9">
        <f t="shared" si="6"/>
        <v>1.433928993630907</v>
      </c>
      <c r="P67" s="16"/>
      <c r="T67" s="22"/>
      <c r="U67" s="22"/>
      <c r="V67" s="22"/>
      <c r="W67" s="19"/>
    </row>
    <row r="68" spans="1:23" ht="15.75" customHeight="1">
      <c r="A68" s="8">
        <v>20801</v>
      </c>
      <c r="B68" s="8">
        <v>3728</v>
      </c>
      <c r="C68" s="8">
        <v>1556.0000367462635</v>
      </c>
      <c r="D68" s="8">
        <v>9529</v>
      </c>
      <c r="E68" s="9">
        <f t="shared" si="0"/>
        <v>0.39122678140413475</v>
      </c>
      <c r="F68" s="10">
        <f t="shared" si="1"/>
        <v>0.41738198410575739</v>
      </c>
      <c r="G68" s="10">
        <f t="shared" si="2"/>
        <v>0.16329101025776718</v>
      </c>
      <c r="H68" s="8">
        <v>20099</v>
      </c>
      <c r="I68" s="8">
        <v>8364.4446496367455</v>
      </c>
      <c r="J68" s="8">
        <v>68528</v>
      </c>
      <c r="K68" s="11">
        <f t="shared" si="3"/>
        <v>0.29329617090824189</v>
      </c>
      <c r="L68" s="12">
        <f t="shared" si="4"/>
        <v>0.41616222944607917</v>
      </c>
      <c r="M68" s="12">
        <f t="shared" si="5"/>
        <v>0.12205878837317222</v>
      </c>
      <c r="N68" s="9">
        <f t="shared" si="6"/>
        <v>0.74749239520591615</v>
      </c>
      <c r="P68" s="16"/>
      <c r="T68" s="22"/>
      <c r="U68" s="22"/>
      <c r="V68" s="22"/>
      <c r="W68" s="19"/>
    </row>
    <row r="69" spans="1:23" ht="15.75" customHeight="1">
      <c r="A69" s="8">
        <v>20802</v>
      </c>
      <c r="B69" s="8">
        <v>105</v>
      </c>
      <c r="C69" s="8">
        <v>42.66666778922081</v>
      </c>
      <c r="D69" s="8">
        <v>365</v>
      </c>
      <c r="E69" s="9">
        <f t="shared" si="0"/>
        <v>0.28767123287671231</v>
      </c>
      <c r="F69" s="10">
        <f t="shared" si="1"/>
        <v>0.40634921704019816</v>
      </c>
      <c r="G69" s="10">
        <f t="shared" si="2"/>
        <v>0.11689498024444056</v>
      </c>
      <c r="H69" s="8">
        <v>2486</v>
      </c>
      <c r="I69" s="8">
        <v>1003.3333575129509</v>
      </c>
      <c r="J69" s="8">
        <v>6608</v>
      </c>
      <c r="K69" s="11">
        <f t="shared" si="3"/>
        <v>0.37621065375302665</v>
      </c>
      <c r="L69" s="12">
        <f t="shared" si="4"/>
        <v>0.40359346641711619</v>
      </c>
      <c r="M69" s="12">
        <f t="shared" si="5"/>
        <v>0.1518361618512335</v>
      </c>
      <c r="N69" s="9">
        <f t="shared" si="6"/>
        <v>1.2989108816625572</v>
      </c>
      <c r="P69" s="16"/>
      <c r="T69" s="22"/>
      <c r="U69" s="22"/>
      <c r="V69" s="22"/>
      <c r="W69" s="19"/>
    </row>
    <row r="70" spans="1:23" ht="15.75" customHeight="1">
      <c r="A70" s="8">
        <v>20803</v>
      </c>
      <c r="B70" s="8">
        <v>94</v>
      </c>
      <c r="C70" s="8">
        <v>37.55555647611618</v>
      </c>
      <c r="D70" s="8">
        <v>261</v>
      </c>
      <c r="E70" s="9">
        <f t="shared" si="0"/>
        <v>0.36015325670498083</v>
      </c>
      <c r="F70" s="10">
        <f t="shared" si="1"/>
        <v>0.39952719655442748</v>
      </c>
      <c r="G70" s="10">
        <f t="shared" si="2"/>
        <v>0.14389102098128806</v>
      </c>
      <c r="H70" s="8">
        <v>5610</v>
      </c>
      <c r="I70" s="8">
        <v>2439.2222821712494</v>
      </c>
      <c r="J70" s="8">
        <v>11797</v>
      </c>
      <c r="K70" s="11">
        <f t="shared" si="3"/>
        <v>0.47554462999067559</v>
      </c>
      <c r="L70" s="12">
        <f t="shared" si="4"/>
        <v>0.43479898077918883</v>
      </c>
      <c r="M70" s="12">
        <f t="shared" si="5"/>
        <v>0.20676632043496221</v>
      </c>
      <c r="N70" s="9">
        <f t="shared" si="6"/>
        <v>1.4369647183325678</v>
      </c>
      <c r="P70" s="16"/>
      <c r="T70" s="22"/>
      <c r="U70" s="22"/>
      <c r="V70" s="22"/>
      <c r="W70" s="19"/>
    </row>
    <row r="71" spans="1:23" ht="15.75" customHeight="1">
      <c r="A71" s="8">
        <v>20804</v>
      </c>
      <c r="B71" s="8">
        <v>63</v>
      </c>
      <c r="C71" s="8">
        <v>23.444445013999939</v>
      </c>
      <c r="D71" s="8">
        <v>280</v>
      </c>
      <c r="E71" s="9">
        <f t="shared" si="0"/>
        <v>0.22500000000000001</v>
      </c>
      <c r="F71" s="10">
        <f t="shared" si="1"/>
        <v>0.37213404784126886</v>
      </c>
      <c r="G71" s="10">
        <f t="shared" si="2"/>
        <v>8.3730160764285494E-2</v>
      </c>
      <c r="H71" s="8">
        <v>1656</v>
      </c>
      <c r="I71" s="8">
        <v>644.00001522898674</v>
      </c>
      <c r="J71" s="8">
        <v>6408</v>
      </c>
      <c r="K71" s="11">
        <f t="shared" si="3"/>
        <v>0.25842696629213485</v>
      </c>
      <c r="L71" s="12">
        <f t="shared" si="4"/>
        <v>0.38888889808513694</v>
      </c>
      <c r="M71" s="12">
        <f t="shared" si="5"/>
        <v>0.10049937815683314</v>
      </c>
      <c r="N71" s="9">
        <f t="shared" si="6"/>
        <v>1.2002769042777288</v>
      </c>
      <c r="P71" s="16"/>
      <c r="T71" s="22"/>
      <c r="U71" s="22"/>
      <c r="V71" s="22"/>
      <c r="W71" s="19"/>
    </row>
    <row r="72" spans="1:23" ht="15.75" customHeight="1">
      <c r="A72" s="8">
        <v>20805</v>
      </c>
      <c r="B72" s="8">
        <v>67</v>
      </c>
      <c r="C72" s="8">
        <v>30.777778565883636</v>
      </c>
      <c r="D72" s="8">
        <v>103</v>
      </c>
      <c r="E72" s="9">
        <f t="shared" si="0"/>
        <v>0.65048543689320393</v>
      </c>
      <c r="F72" s="10">
        <f t="shared" si="1"/>
        <v>0.4593698293415468</v>
      </c>
      <c r="G72" s="10">
        <f t="shared" si="2"/>
        <v>0.29881338413479258</v>
      </c>
      <c r="H72" s="8">
        <v>4023</v>
      </c>
      <c r="I72" s="8">
        <v>1725.0000434815884</v>
      </c>
      <c r="J72" s="8">
        <v>5958</v>
      </c>
      <c r="K72" s="11">
        <f t="shared" si="3"/>
        <v>0.67522658610271902</v>
      </c>
      <c r="L72" s="12">
        <f t="shared" si="4"/>
        <v>0.4287844999954234</v>
      </c>
      <c r="M72" s="12">
        <f t="shared" si="5"/>
        <v>0.28952669410567106</v>
      </c>
      <c r="N72" s="9">
        <f t="shared" si="6"/>
        <v>0.96892143885719539</v>
      </c>
      <c r="P72" s="16"/>
      <c r="T72" s="22"/>
      <c r="U72" s="22"/>
      <c r="V72" s="22"/>
      <c r="W72" s="19"/>
    </row>
    <row r="73" spans="1:23" ht="15.75" customHeight="1">
      <c r="A73" s="8">
        <v>20806</v>
      </c>
      <c r="B73" s="8">
        <v>110</v>
      </c>
      <c r="C73" s="8">
        <v>42.666667729616165</v>
      </c>
      <c r="D73" s="8">
        <v>210</v>
      </c>
      <c r="E73" s="9">
        <f t="shared" si="0"/>
        <v>0.52380952380952384</v>
      </c>
      <c r="F73" s="10">
        <f t="shared" si="1"/>
        <v>0.38787879754196514</v>
      </c>
      <c r="G73" s="10">
        <f t="shared" si="2"/>
        <v>0.20317460823626746</v>
      </c>
      <c r="H73" s="8">
        <v>6735</v>
      </c>
      <c r="I73" s="8">
        <v>2846.2222902774811</v>
      </c>
      <c r="J73" s="8">
        <v>14676</v>
      </c>
      <c r="K73" s="11">
        <f t="shared" si="3"/>
        <v>0.45891251022076862</v>
      </c>
      <c r="L73" s="12">
        <f t="shared" si="4"/>
        <v>0.42260167635894302</v>
      </c>
      <c r="M73" s="12">
        <f t="shared" si="5"/>
        <v>0.19393719612138741</v>
      </c>
      <c r="N73" s="9">
        <f t="shared" si="6"/>
        <v>0.95453461337974843</v>
      </c>
      <c r="P73" s="16"/>
      <c r="T73" s="22"/>
      <c r="U73" s="22"/>
      <c r="V73" s="22"/>
      <c r="W73" s="19"/>
    </row>
    <row r="74" spans="1:23" ht="15.75" customHeight="1">
      <c r="A74" s="8">
        <v>20807</v>
      </c>
      <c r="B74" s="8">
        <v>143</v>
      </c>
      <c r="C74" s="8">
        <v>62.666668206453323</v>
      </c>
      <c r="D74" s="8">
        <v>297</v>
      </c>
      <c r="E74" s="9">
        <f t="shared" si="0"/>
        <v>0.48148148148148145</v>
      </c>
      <c r="F74" s="10">
        <f t="shared" si="1"/>
        <v>0.43822844899617708</v>
      </c>
      <c r="G74" s="10">
        <f t="shared" si="2"/>
        <v>0.21099888285001117</v>
      </c>
      <c r="H74" s="8">
        <v>2551</v>
      </c>
      <c r="I74" s="8">
        <v>1046.0000257194042</v>
      </c>
      <c r="J74" s="8">
        <v>6252</v>
      </c>
      <c r="K74" s="11">
        <f t="shared" si="3"/>
        <v>0.40802943058221369</v>
      </c>
      <c r="L74" s="12">
        <f t="shared" si="4"/>
        <v>0.4100352903643294</v>
      </c>
      <c r="M74" s="12">
        <f t="shared" si="5"/>
        <v>0.16730646604596996</v>
      </c>
      <c r="N74" s="9">
        <f t="shared" si="6"/>
        <v>0.79292583821356055</v>
      </c>
      <c r="P74" s="16"/>
      <c r="T74" s="22"/>
      <c r="U74" s="22"/>
      <c r="V74" s="22"/>
      <c r="W74" s="19"/>
    </row>
    <row r="75" spans="1:23" ht="15.75" customHeight="1">
      <c r="A75" s="8">
        <v>20901</v>
      </c>
      <c r="B75" s="8">
        <v>77</v>
      </c>
      <c r="C75" s="8">
        <v>30.444445073604584</v>
      </c>
      <c r="D75" s="8">
        <v>255</v>
      </c>
      <c r="E75" s="9">
        <f t="shared" si="0"/>
        <v>0.30196078431372547</v>
      </c>
      <c r="F75" s="10">
        <f t="shared" si="1"/>
        <v>0.39538240355330628</v>
      </c>
      <c r="G75" s="10">
        <f t="shared" si="2"/>
        <v>0.11938998068080228</v>
      </c>
      <c r="H75" s="8">
        <v>4481</v>
      </c>
      <c r="I75" s="8">
        <v>1909.4444916546345</v>
      </c>
      <c r="J75" s="8">
        <v>10728</v>
      </c>
      <c r="K75" s="11">
        <f t="shared" si="3"/>
        <v>0.41769202087994034</v>
      </c>
      <c r="L75" s="12">
        <f t="shared" si="4"/>
        <v>0.42612017220589926</v>
      </c>
      <c r="M75" s="12">
        <f t="shared" si="5"/>
        <v>0.17798699586639025</v>
      </c>
      <c r="N75" s="9">
        <f t="shared" si="6"/>
        <v>1.4908034564663455</v>
      </c>
      <c r="P75" s="16"/>
      <c r="T75" s="22"/>
      <c r="U75" s="22"/>
      <c r="V75" s="22"/>
      <c r="W75" s="19"/>
    </row>
    <row r="76" spans="1:23" ht="15.75" customHeight="1">
      <c r="A76" s="8">
        <v>20902</v>
      </c>
      <c r="B76" s="8">
        <v>298</v>
      </c>
      <c r="C76" s="8">
        <v>127.8888925909996</v>
      </c>
      <c r="D76" s="8">
        <v>426</v>
      </c>
      <c r="E76" s="9">
        <f t="shared" si="0"/>
        <v>0.69953051643192488</v>
      </c>
      <c r="F76" s="10">
        <f t="shared" si="1"/>
        <v>0.42915735768791813</v>
      </c>
      <c r="G76" s="10">
        <f t="shared" si="2"/>
        <v>0.30020866805398966</v>
      </c>
      <c r="H76" s="8">
        <v>7988</v>
      </c>
      <c r="I76" s="8">
        <v>3539.7778662145138</v>
      </c>
      <c r="J76" s="8">
        <v>11907</v>
      </c>
      <c r="K76" s="11">
        <f t="shared" si="3"/>
        <v>0.67086587721508362</v>
      </c>
      <c r="L76" s="12">
        <f t="shared" si="4"/>
        <v>0.4431369386848415</v>
      </c>
      <c r="M76" s="12">
        <f t="shared" si="5"/>
        <v>0.29728545109721294</v>
      </c>
      <c r="N76" s="9">
        <f t="shared" si="6"/>
        <v>0.99026271634418295</v>
      </c>
      <c r="P76" s="16"/>
      <c r="T76" s="22"/>
      <c r="U76" s="22"/>
      <c r="V76" s="22"/>
      <c r="W76" s="19"/>
    </row>
    <row r="77" spans="1:23" ht="15.75" customHeight="1">
      <c r="A77" s="8">
        <v>20903</v>
      </c>
      <c r="B77" s="8">
        <v>121</v>
      </c>
      <c r="C77" s="8">
        <v>49.555556744337082</v>
      </c>
      <c r="D77" s="8">
        <v>256</v>
      </c>
      <c r="E77" s="9">
        <f t="shared" si="0"/>
        <v>0.47265625</v>
      </c>
      <c r="F77" s="10">
        <f t="shared" si="1"/>
        <v>0.40955005573832298</v>
      </c>
      <c r="G77" s="10">
        <f t="shared" si="2"/>
        <v>0.19357639353256673</v>
      </c>
      <c r="H77" s="8">
        <v>4104</v>
      </c>
      <c r="I77" s="8">
        <v>1746.4444880187511</v>
      </c>
      <c r="J77" s="8">
        <v>6934</v>
      </c>
      <c r="K77" s="11">
        <f t="shared" si="3"/>
        <v>0.59186616671473902</v>
      </c>
      <c r="L77" s="12">
        <f t="shared" si="4"/>
        <v>0.42554690253868205</v>
      </c>
      <c r="M77" s="12">
        <f t="shared" si="5"/>
        <v>0.25186681396290039</v>
      </c>
      <c r="N77" s="9">
        <f t="shared" si="6"/>
        <v>1.3011235996631327</v>
      </c>
      <c r="P77" s="16"/>
      <c r="T77" s="22"/>
      <c r="U77" s="22"/>
      <c r="V77" s="22"/>
      <c r="W77" s="19"/>
    </row>
    <row r="78" spans="1:23" ht="15.75" customHeight="1">
      <c r="A78" s="8">
        <v>20904</v>
      </c>
      <c r="B78" s="8">
        <v>179</v>
      </c>
      <c r="C78" s="8">
        <v>76.888890564441681</v>
      </c>
      <c r="D78" s="8">
        <v>336</v>
      </c>
      <c r="E78" s="9">
        <f t="shared" si="0"/>
        <v>0.53273809523809523</v>
      </c>
      <c r="F78" s="10">
        <f t="shared" si="1"/>
        <v>0.42954687466168534</v>
      </c>
      <c r="G78" s="10">
        <f t="shared" si="2"/>
        <v>0.22883598382274309</v>
      </c>
      <c r="H78" s="8">
        <v>2486</v>
      </c>
      <c r="I78" s="8">
        <v>1050.7778050601482</v>
      </c>
      <c r="J78" s="8">
        <v>4650</v>
      </c>
      <c r="K78" s="11">
        <f t="shared" si="3"/>
        <v>0.53462365591397853</v>
      </c>
      <c r="L78" s="12">
        <f t="shared" si="4"/>
        <v>0.42267811949322132</v>
      </c>
      <c r="M78" s="12">
        <f t="shared" si="5"/>
        <v>0.22597372151831147</v>
      </c>
      <c r="N78" s="9">
        <f t="shared" si="6"/>
        <v>0.9874920794508929</v>
      </c>
      <c r="P78" s="16"/>
      <c r="T78" s="22"/>
      <c r="U78" s="22"/>
      <c r="V78" s="22"/>
      <c r="W78" s="19"/>
    </row>
    <row r="79" spans="1:23" ht="15.75" customHeight="1">
      <c r="A79" s="8">
        <v>20905</v>
      </c>
      <c r="B79" s="8">
        <v>124</v>
      </c>
      <c r="C79" s="8">
        <v>52.333334654569626</v>
      </c>
      <c r="D79" s="8">
        <v>290</v>
      </c>
      <c r="E79" s="9">
        <f t="shared" si="0"/>
        <v>0.42758620689655175</v>
      </c>
      <c r="F79" s="10">
        <f t="shared" si="1"/>
        <v>0.42204302140781957</v>
      </c>
      <c r="G79" s="10">
        <f t="shared" si="2"/>
        <v>0.18045977467092975</v>
      </c>
      <c r="H79" s="8">
        <v>4893</v>
      </c>
      <c r="I79" s="8">
        <v>2092.7778314054012</v>
      </c>
      <c r="J79" s="8">
        <v>10915</v>
      </c>
      <c r="K79" s="11">
        <f t="shared" si="3"/>
        <v>0.44828218048557034</v>
      </c>
      <c r="L79" s="12">
        <f t="shared" si="4"/>
        <v>0.42770852879734339</v>
      </c>
      <c r="M79" s="12">
        <f t="shared" si="5"/>
        <v>0.19173411190154846</v>
      </c>
      <c r="N79" s="9">
        <f t="shared" si="6"/>
        <v>1.0624756251146694</v>
      </c>
      <c r="P79" s="16"/>
      <c r="T79" s="22"/>
      <c r="U79" s="22"/>
      <c r="V79" s="22"/>
      <c r="W79" s="19"/>
    </row>
    <row r="80" spans="1:23" ht="15.75" customHeight="1">
      <c r="A80" s="8">
        <v>21001</v>
      </c>
      <c r="B80" s="8">
        <v>648</v>
      </c>
      <c r="C80" s="8">
        <v>303.22222977876663</v>
      </c>
      <c r="D80" s="8">
        <v>986</v>
      </c>
      <c r="E80" s="9">
        <f t="shared" si="0"/>
        <v>0.65720081135902642</v>
      </c>
      <c r="F80" s="10">
        <f t="shared" si="1"/>
        <v>0.46793553978204727</v>
      </c>
      <c r="G80" s="10">
        <f t="shared" si="2"/>
        <v>0.30752761640848547</v>
      </c>
      <c r="H80" s="8">
        <v>10549</v>
      </c>
      <c r="I80" s="8">
        <v>5213.2223604023457</v>
      </c>
      <c r="J80" s="8">
        <v>13531</v>
      </c>
      <c r="K80" s="11">
        <f t="shared" si="3"/>
        <v>0.7796171753750647</v>
      </c>
      <c r="L80" s="12">
        <f t="shared" si="4"/>
        <v>0.49419114232650924</v>
      </c>
      <c r="M80" s="12">
        <f t="shared" si="5"/>
        <v>0.38527990247596972</v>
      </c>
      <c r="N80" s="9">
        <f t="shared" si="6"/>
        <v>1.2528302562726814</v>
      </c>
      <c r="P80" s="16"/>
      <c r="T80" s="22"/>
      <c r="U80" s="22"/>
      <c r="V80" s="22"/>
      <c r="W80" s="19"/>
    </row>
    <row r="81" spans="1:23" ht="15.75" customHeight="1">
      <c r="A81" s="8">
        <v>21002</v>
      </c>
      <c r="B81" s="8">
        <v>228</v>
      </c>
      <c r="C81" s="8">
        <v>91.444446951150894</v>
      </c>
      <c r="D81" s="8">
        <v>817</v>
      </c>
      <c r="E81" s="9">
        <f t="shared" si="0"/>
        <v>0.27906976744186046</v>
      </c>
      <c r="F81" s="10">
        <f t="shared" si="1"/>
        <v>0.40107213575066181</v>
      </c>
      <c r="G81" s="10">
        <f t="shared" si="2"/>
        <v>0.11192710765134747</v>
      </c>
      <c r="H81" s="8">
        <v>3158</v>
      </c>
      <c r="I81" s="8">
        <v>1382.8889234662056</v>
      </c>
      <c r="J81" s="8">
        <v>7179</v>
      </c>
      <c r="K81" s="11">
        <f t="shared" si="3"/>
        <v>0.43989413567349211</v>
      </c>
      <c r="L81" s="12">
        <f t="shared" si="4"/>
        <v>0.43790022908999543</v>
      </c>
      <c r="M81" s="12">
        <f t="shared" si="5"/>
        <v>0.19262974278676773</v>
      </c>
      <c r="N81" s="9">
        <f t="shared" si="6"/>
        <v>1.7210285053269549</v>
      </c>
      <c r="P81" s="16"/>
      <c r="T81" s="22"/>
      <c r="U81" s="22"/>
      <c r="V81" s="22"/>
      <c r="W81" s="19"/>
    </row>
    <row r="82" spans="1:23" ht="15.75" customHeight="1">
      <c r="A82" s="8">
        <v>21003</v>
      </c>
      <c r="B82" s="8">
        <v>327</v>
      </c>
      <c r="C82" s="8">
        <v>138.77778136730194</v>
      </c>
      <c r="D82" s="8">
        <v>974</v>
      </c>
      <c r="E82" s="9">
        <f t="shared" si="0"/>
        <v>0.33572895277207393</v>
      </c>
      <c r="F82" s="10">
        <f t="shared" si="1"/>
        <v>0.42439688491529648</v>
      </c>
      <c r="G82" s="10">
        <f t="shared" si="2"/>
        <v>0.14248232173234288</v>
      </c>
      <c r="H82" s="8">
        <v>2907</v>
      </c>
      <c r="I82" s="8">
        <v>1244.1111423075199</v>
      </c>
      <c r="J82" s="8">
        <v>9176</v>
      </c>
      <c r="K82" s="11">
        <f t="shared" si="3"/>
        <v>0.31680470793374021</v>
      </c>
      <c r="L82" s="12">
        <f t="shared" si="4"/>
        <v>0.42797080918731334</v>
      </c>
      <c r="M82" s="12">
        <f t="shared" si="5"/>
        <v>0.13558316720875327</v>
      </c>
      <c r="N82" s="9">
        <f t="shared" si="6"/>
        <v>0.95157887350719994</v>
      </c>
      <c r="P82" s="16"/>
      <c r="T82" s="22"/>
      <c r="U82" s="22"/>
      <c r="V82" s="22"/>
      <c r="W82" s="19"/>
    </row>
    <row r="83" spans="1:23" ht="15.75" customHeight="1">
      <c r="A83" s="8">
        <v>21004</v>
      </c>
      <c r="B83" s="8">
        <v>317</v>
      </c>
      <c r="C83" s="8">
        <v>132.00000324845314</v>
      </c>
      <c r="D83" s="8">
        <v>918</v>
      </c>
      <c r="E83" s="9">
        <f t="shared" si="0"/>
        <v>0.34531590413943353</v>
      </c>
      <c r="F83" s="10">
        <f t="shared" si="1"/>
        <v>0.41640379573644526</v>
      </c>
      <c r="G83" s="10">
        <f t="shared" si="2"/>
        <v>0.14379085321182258</v>
      </c>
      <c r="H83" s="8">
        <v>9001</v>
      </c>
      <c r="I83" s="8">
        <v>3940.1112118065357</v>
      </c>
      <c r="J83" s="8">
        <v>18319</v>
      </c>
      <c r="K83" s="11">
        <f t="shared" si="3"/>
        <v>0.49134778099241228</v>
      </c>
      <c r="L83" s="12">
        <f t="shared" si="4"/>
        <v>0.43774149670109275</v>
      </c>
      <c r="M83" s="12">
        <f t="shared" si="5"/>
        <v>0.21508331305237927</v>
      </c>
      <c r="N83" s="9">
        <f t="shared" si="6"/>
        <v>1.4958066403259576</v>
      </c>
      <c r="P83" s="16"/>
      <c r="T83" s="22"/>
      <c r="U83" s="22"/>
      <c r="V83" s="22"/>
      <c r="W83" s="19"/>
    </row>
    <row r="84" spans="1:23" ht="15.75" customHeight="1">
      <c r="A84" s="8">
        <v>21005</v>
      </c>
      <c r="B84" s="8">
        <v>284</v>
      </c>
      <c r="C84" s="8">
        <v>123.00000321865082</v>
      </c>
      <c r="D84" s="8">
        <v>572</v>
      </c>
      <c r="E84" s="9">
        <f t="shared" si="0"/>
        <v>0.49650349650349651</v>
      </c>
      <c r="F84" s="10">
        <f t="shared" si="1"/>
        <v>0.43309860288257329</v>
      </c>
      <c r="G84" s="10">
        <f t="shared" si="2"/>
        <v>0.21503497066197697</v>
      </c>
      <c r="H84" s="8">
        <v>5127</v>
      </c>
      <c r="I84" s="8">
        <v>2468.7778432965279</v>
      </c>
      <c r="J84" s="8">
        <v>7173</v>
      </c>
      <c r="K84" s="11">
        <f t="shared" si="3"/>
        <v>0.71476369719782518</v>
      </c>
      <c r="L84" s="12">
        <f t="shared" si="4"/>
        <v>0.48152483777970118</v>
      </c>
      <c r="M84" s="12">
        <f t="shared" si="5"/>
        <v>0.3441764733440022</v>
      </c>
      <c r="N84" s="9">
        <f t="shared" si="6"/>
        <v>1.6005604683018211</v>
      </c>
      <c r="P84" s="16"/>
      <c r="T84" s="22"/>
      <c r="U84" s="22"/>
      <c r="V84" s="22"/>
      <c r="W84" s="19"/>
    </row>
    <row r="85" spans="1:23" ht="15.75" customHeight="1">
      <c r="A85" s="8">
        <v>21006</v>
      </c>
      <c r="B85" s="8">
        <v>23</v>
      </c>
      <c r="C85" s="8">
        <v>8.0000002086162567</v>
      </c>
      <c r="D85" s="8">
        <v>67</v>
      </c>
      <c r="E85" s="9">
        <f t="shared" si="0"/>
        <v>0.34328358208955223</v>
      </c>
      <c r="F85" s="10">
        <f t="shared" si="1"/>
        <v>0.34782609602679376</v>
      </c>
      <c r="G85" s="10">
        <f t="shared" si="2"/>
        <v>0.11940298818830233</v>
      </c>
      <c r="H85" s="8">
        <v>2503</v>
      </c>
      <c r="I85" s="8">
        <v>1167.0000298917294</v>
      </c>
      <c r="J85" s="8">
        <v>5385</v>
      </c>
      <c r="K85" s="11">
        <f t="shared" si="3"/>
        <v>0.46480965645311051</v>
      </c>
      <c r="L85" s="12">
        <f t="shared" si="4"/>
        <v>0.46624052332869731</v>
      </c>
      <c r="M85" s="12">
        <f t="shared" si="5"/>
        <v>0.21671309747293024</v>
      </c>
      <c r="N85" s="9">
        <f t="shared" si="6"/>
        <v>1.8149721440067039</v>
      </c>
      <c r="P85" s="16"/>
      <c r="T85" s="22"/>
      <c r="U85" s="22"/>
      <c r="V85" s="22"/>
      <c r="W85" s="19"/>
    </row>
    <row r="86" spans="1:23" ht="15.75" customHeight="1">
      <c r="A86" s="8">
        <v>21101</v>
      </c>
      <c r="B86" s="8">
        <v>295</v>
      </c>
      <c r="C86" s="8">
        <v>126.11111399531364</v>
      </c>
      <c r="D86" s="8">
        <v>1207</v>
      </c>
      <c r="E86" s="9">
        <f t="shared" si="0"/>
        <v>0.2444076222038111</v>
      </c>
      <c r="F86" s="10">
        <f t="shared" si="1"/>
        <v>0.42749530167902933</v>
      </c>
      <c r="G86" s="10">
        <f t="shared" si="2"/>
        <v>0.10448311018667245</v>
      </c>
      <c r="H86" s="8">
        <v>4552</v>
      </c>
      <c r="I86" s="8">
        <v>1863.5556015372276</v>
      </c>
      <c r="J86" s="8">
        <v>16149</v>
      </c>
      <c r="K86" s="11">
        <f t="shared" si="3"/>
        <v>0.2818750387020868</v>
      </c>
      <c r="L86" s="12">
        <f t="shared" si="4"/>
        <v>0.40939270684034001</v>
      </c>
      <c r="M86" s="12">
        <f t="shared" si="5"/>
        <v>0.11539758508497291</v>
      </c>
      <c r="N86" s="9">
        <f t="shared" si="6"/>
        <v>1.1044616194789796</v>
      </c>
      <c r="P86" s="16"/>
      <c r="T86" s="22"/>
      <c r="U86" s="22"/>
      <c r="V86" s="22"/>
      <c r="W86" s="19"/>
    </row>
    <row r="87" spans="1:23" ht="15.75" customHeight="1">
      <c r="A87" s="8">
        <v>21102</v>
      </c>
      <c r="B87" s="8">
        <v>354</v>
      </c>
      <c r="C87" s="8">
        <v>162.66667079925537</v>
      </c>
      <c r="D87" s="8">
        <v>1083</v>
      </c>
      <c r="E87" s="9">
        <f t="shared" si="0"/>
        <v>0.32686980609418281</v>
      </c>
      <c r="F87" s="10">
        <f t="shared" si="1"/>
        <v>0.45951036948942198</v>
      </c>
      <c r="G87" s="10">
        <f t="shared" si="2"/>
        <v>0.15020006537327366</v>
      </c>
      <c r="H87" s="8">
        <v>6406</v>
      </c>
      <c r="I87" s="8">
        <v>2824.0000686049461</v>
      </c>
      <c r="J87" s="8">
        <v>15509</v>
      </c>
      <c r="K87" s="11">
        <f t="shared" si="3"/>
        <v>0.41305048681410794</v>
      </c>
      <c r="L87" s="12">
        <f t="shared" si="4"/>
        <v>0.44083672628862725</v>
      </c>
      <c r="M87" s="12">
        <f t="shared" si="5"/>
        <v>0.18208782439905513</v>
      </c>
      <c r="N87" s="9">
        <f t="shared" si="6"/>
        <v>1.2123018984481448</v>
      </c>
      <c r="P87" s="16"/>
      <c r="T87" s="22"/>
      <c r="U87" s="22"/>
      <c r="V87" s="22"/>
      <c r="W87" s="19"/>
    </row>
    <row r="88" spans="1:23" ht="15.75" customHeight="1">
      <c r="A88" s="8">
        <v>21103</v>
      </c>
      <c r="B88" s="8">
        <v>122</v>
      </c>
      <c r="C88" s="8">
        <v>55.333334773778915</v>
      </c>
      <c r="D88" s="8">
        <v>579</v>
      </c>
      <c r="E88" s="9">
        <f t="shared" si="0"/>
        <v>0.21070811744386875</v>
      </c>
      <c r="F88" s="10">
        <f t="shared" si="1"/>
        <v>0.453551924375237</v>
      </c>
      <c r="G88" s="10">
        <f t="shared" si="2"/>
        <v>9.556707214815012E-2</v>
      </c>
      <c r="H88" s="8">
        <v>1426</v>
      </c>
      <c r="I88" s="8">
        <v>615.88890355825424</v>
      </c>
      <c r="J88" s="8">
        <v>5593</v>
      </c>
      <c r="K88" s="11">
        <f t="shared" si="3"/>
        <v>0.2549615590917218</v>
      </c>
      <c r="L88" s="12">
        <f t="shared" si="4"/>
        <v>0.43189965186413343</v>
      </c>
      <c r="M88" s="12">
        <f t="shared" si="5"/>
        <v>0.11011780861045133</v>
      </c>
      <c r="N88" s="9">
        <f t="shared" si="6"/>
        <v>1.1522567986570138</v>
      </c>
      <c r="P88" s="16"/>
      <c r="T88" s="22"/>
      <c r="U88" s="22"/>
      <c r="V88" s="22"/>
      <c r="W88" s="19"/>
    </row>
    <row r="89" spans="1:23" ht="15.75" customHeight="1">
      <c r="A89" s="8">
        <v>21104</v>
      </c>
      <c r="B89" s="8">
        <v>1277</v>
      </c>
      <c r="C89" s="8">
        <v>596.33334740996361</v>
      </c>
      <c r="D89" s="8">
        <v>2531</v>
      </c>
      <c r="E89" s="9">
        <f t="shared" si="0"/>
        <v>0.50454365863295136</v>
      </c>
      <c r="F89" s="10">
        <f t="shared" si="1"/>
        <v>0.46697991183239124</v>
      </c>
      <c r="G89" s="10">
        <f t="shared" si="2"/>
        <v>0.23561175322400774</v>
      </c>
      <c r="H89" s="8">
        <v>9658</v>
      </c>
      <c r="I89" s="8">
        <v>4355.2223225235939</v>
      </c>
      <c r="J89" s="8">
        <v>21182</v>
      </c>
      <c r="K89" s="11">
        <f t="shared" si="3"/>
        <v>0.45595316778396749</v>
      </c>
      <c r="L89" s="12">
        <f t="shared" si="4"/>
        <v>0.45094453536173057</v>
      </c>
      <c r="M89" s="12">
        <f t="shared" si="5"/>
        <v>0.20560958939305041</v>
      </c>
      <c r="N89" s="9">
        <f t="shared" si="6"/>
        <v>0.87266270285577485</v>
      </c>
      <c r="P89" s="16"/>
      <c r="T89" s="22"/>
      <c r="U89" s="22"/>
      <c r="V89" s="22"/>
      <c r="W89" s="19"/>
    </row>
    <row r="90" spans="1:23" ht="15.75" customHeight="1">
      <c r="A90" s="8">
        <v>21105</v>
      </c>
      <c r="B90" s="8">
        <v>2145</v>
      </c>
      <c r="C90" s="8">
        <v>1065.1111378669739</v>
      </c>
      <c r="D90" s="8">
        <v>2800</v>
      </c>
      <c r="E90" s="9">
        <f t="shared" si="0"/>
        <v>0.76607142857142863</v>
      </c>
      <c r="F90" s="10">
        <f t="shared" si="1"/>
        <v>0.49655530902889228</v>
      </c>
      <c r="G90" s="10">
        <f t="shared" si="2"/>
        <v>0.38039683495249071</v>
      </c>
      <c r="H90" s="8">
        <v>28379</v>
      </c>
      <c r="I90" s="8">
        <v>13870.111465901136</v>
      </c>
      <c r="J90" s="8">
        <v>36547</v>
      </c>
      <c r="K90" s="11">
        <f t="shared" si="3"/>
        <v>0.77650696363586613</v>
      </c>
      <c r="L90" s="12">
        <f t="shared" si="4"/>
        <v>0.48874560294235653</v>
      </c>
      <c r="M90" s="12">
        <f t="shared" si="5"/>
        <v>0.37951436413114992</v>
      </c>
      <c r="N90" s="9">
        <f t="shared" si="6"/>
        <v>0.99768013100989383</v>
      </c>
      <c r="P90" s="16"/>
      <c r="T90" s="22"/>
      <c r="U90" s="22"/>
      <c r="V90" s="22"/>
      <c r="W90" s="19"/>
    </row>
    <row r="91" spans="1:23" ht="15.75" customHeight="1">
      <c r="A91" s="8">
        <v>21201</v>
      </c>
      <c r="B91" s="8">
        <v>591</v>
      </c>
      <c r="C91" s="8">
        <v>249.33333879709244</v>
      </c>
      <c r="D91" s="8">
        <v>1110</v>
      </c>
      <c r="E91" s="9">
        <f t="shared" si="0"/>
        <v>0.53243243243243243</v>
      </c>
      <c r="F91" s="10">
        <f t="shared" si="1"/>
        <v>0.42188382199169616</v>
      </c>
      <c r="G91" s="10">
        <f t="shared" si="2"/>
        <v>0.22462462954693013</v>
      </c>
      <c r="H91" s="8">
        <v>14823</v>
      </c>
      <c r="I91" s="8">
        <v>6554.2223889827728</v>
      </c>
      <c r="J91" s="8">
        <v>28556</v>
      </c>
      <c r="K91" s="11">
        <f t="shared" si="3"/>
        <v>0.51908530606527525</v>
      </c>
      <c r="L91" s="12">
        <f t="shared" si="4"/>
        <v>0.44216571469896598</v>
      </c>
      <c r="M91" s="12">
        <f t="shared" si="5"/>
        <v>0.22952172534608392</v>
      </c>
      <c r="N91" s="9">
        <f t="shared" si="6"/>
        <v>1.021801241515818</v>
      </c>
      <c r="P91" s="16"/>
      <c r="T91" s="22"/>
      <c r="U91" s="22"/>
      <c r="V91" s="22"/>
      <c r="W91" s="19"/>
    </row>
    <row r="92" spans="1:23" ht="15.75" customHeight="1">
      <c r="A92" s="8">
        <v>21202</v>
      </c>
      <c r="B92" s="8">
        <v>393</v>
      </c>
      <c r="C92" s="8">
        <v>172.22222569584846</v>
      </c>
      <c r="D92" s="8">
        <v>680</v>
      </c>
      <c r="E92" s="9">
        <f t="shared" si="0"/>
        <v>0.57794117647058818</v>
      </c>
      <c r="F92" s="10">
        <f t="shared" si="1"/>
        <v>0.43822449286475434</v>
      </c>
      <c r="G92" s="10">
        <f t="shared" si="2"/>
        <v>0.253267978964483</v>
      </c>
      <c r="H92" s="8">
        <v>12253</v>
      </c>
      <c r="I92" s="8">
        <v>5228.8890175223351</v>
      </c>
      <c r="J92" s="8">
        <v>23639</v>
      </c>
      <c r="K92" s="11">
        <f t="shared" si="3"/>
        <v>0.51833833918524475</v>
      </c>
      <c r="L92" s="12">
        <f t="shared" si="4"/>
        <v>0.42674357443257449</v>
      </c>
      <c r="M92" s="12">
        <f t="shared" si="5"/>
        <v>0.22119755562935553</v>
      </c>
      <c r="N92" s="9">
        <f t="shared" si="6"/>
        <v>0.87337355686948148</v>
      </c>
      <c r="P92" s="16"/>
      <c r="T92" s="22"/>
      <c r="U92" s="22"/>
      <c r="V92" s="22"/>
      <c r="W92" s="19"/>
    </row>
    <row r="93" spans="1:23" ht="15.75" customHeight="1">
      <c r="A93" s="8">
        <v>21203</v>
      </c>
      <c r="B93" s="8">
        <v>113</v>
      </c>
      <c r="C93" s="8">
        <v>50.777779132127762</v>
      </c>
      <c r="D93" s="8">
        <v>383</v>
      </c>
      <c r="E93" s="9">
        <f t="shared" si="0"/>
        <v>0.29503916449086159</v>
      </c>
      <c r="F93" s="10">
        <f t="shared" si="1"/>
        <v>0.44936087727546692</v>
      </c>
      <c r="G93" s="10">
        <f t="shared" si="2"/>
        <v>0.13257905778623436</v>
      </c>
      <c r="H93" s="8">
        <v>6741</v>
      </c>
      <c r="I93" s="8">
        <v>2932.0000742971897</v>
      </c>
      <c r="J93" s="8">
        <v>16888</v>
      </c>
      <c r="K93" s="11">
        <f t="shared" si="3"/>
        <v>0.39915916627190906</v>
      </c>
      <c r="L93" s="12">
        <f t="shared" si="4"/>
        <v>0.43495031513086929</v>
      </c>
      <c r="M93" s="12">
        <f t="shared" si="5"/>
        <v>0.17361440515734189</v>
      </c>
      <c r="N93" s="9">
        <f t="shared" si="6"/>
        <v>1.3095160582395406</v>
      </c>
      <c r="P93" s="16"/>
      <c r="T93" s="22"/>
      <c r="U93" s="22"/>
      <c r="V93" s="22"/>
      <c r="W93" s="19"/>
    </row>
    <row r="94" spans="1:23" ht="15.75" customHeight="1">
      <c r="A94" s="8">
        <v>21204</v>
      </c>
      <c r="B94" s="8">
        <v>119</v>
      </c>
      <c r="C94" s="8">
        <v>50.666667997837067</v>
      </c>
      <c r="D94" s="8">
        <v>252</v>
      </c>
      <c r="E94" s="9">
        <f t="shared" si="0"/>
        <v>0.47222222222222221</v>
      </c>
      <c r="F94" s="10">
        <f t="shared" si="1"/>
        <v>0.42577031930955517</v>
      </c>
      <c r="G94" s="10">
        <f t="shared" si="2"/>
        <v>0.20105820634062327</v>
      </c>
      <c r="H94" s="8">
        <v>2707</v>
      </c>
      <c r="I94" s="8">
        <v>1080.4444706737995</v>
      </c>
      <c r="J94" s="8">
        <v>6174</v>
      </c>
      <c r="K94" s="11">
        <f t="shared" si="3"/>
        <v>0.43845157110463234</v>
      </c>
      <c r="L94" s="12">
        <f t="shared" si="4"/>
        <v>0.39912983770735111</v>
      </c>
      <c r="M94" s="12">
        <f t="shared" si="5"/>
        <v>0.17499910441752503</v>
      </c>
      <c r="N94" s="9">
        <f t="shared" si="6"/>
        <v>0.87039025962983996</v>
      </c>
      <c r="P94" s="16"/>
      <c r="T94" s="22"/>
      <c r="U94" s="22"/>
      <c r="V94" s="22"/>
      <c r="W94" s="19"/>
    </row>
    <row r="95" spans="1:23" ht="15.75" customHeight="1">
      <c r="A95" s="8">
        <v>21301</v>
      </c>
      <c r="B95" s="8">
        <v>507</v>
      </c>
      <c r="C95" s="8">
        <v>228.00000533461571</v>
      </c>
      <c r="D95" s="8">
        <v>1136</v>
      </c>
      <c r="E95" s="9">
        <f t="shared" si="0"/>
        <v>0.44630281690140844</v>
      </c>
      <c r="F95" s="10">
        <f t="shared" si="1"/>
        <v>0.44970415253375878</v>
      </c>
      <c r="G95" s="10">
        <f t="shared" si="2"/>
        <v>0.20070423004807719</v>
      </c>
      <c r="H95" s="8">
        <v>16170</v>
      </c>
      <c r="I95" s="8">
        <v>7031.2223999500275</v>
      </c>
      <c r="J95" s="8">
        <v>29833</v>
      </c>
      <c r="K95" s="11">
        <f t="shared" si="3"/>
        <v>0.54201722924278484</v>
      </c>
      <c r="L95" s="12">
        <f t="shared" si="4"/>
        <v>0.43483131725108393</v>
      </c>
      <c r="M95" s="12">
        <f t="shared" si="5"/>
        <v>0.23568606576442286</v>
      </c>
      <c r="N95" s="9">
        <f t="shared" si="6"/>
        <v>1.1742954580875851</v>
      </c>
      <c r="P95" s="16"/>
      <c r="T95" s="22"/>
      <c r="U95" s="22"/>
      <c r="V95" s="22"/>
      <c r="W95" s="19"/>
    </row>
    <row r="96" spans="1:23" ht="15.75" customHeight="1">
      <c r="A96" s="8">
        <v>21302</v>
      </c>
      <c r="B96" s="8">
        <v>355</v>
      </c>
      <c r="C96" s="8">
        <v>154.1111144721508</v>
      </c>
      <c r="D96" s="8">
        <v>680</v>
      </c>
      <c r="E96" s="9">
        <f t="shared" si="0"/>
        <v>0.5220588235294118</v>
      </c>
      <c r="F96" s="10">
        <f t="shared" si="1"/>
        <v>0.43411581541450928</v>
      </c>
      <c r="G96" s="10">
        <f t="shared" si="2"/>
        <v>0.22663399187081001</v>
      </c>
      <c r="H96" s="8">
        <v>4591</v>
      </c>
      <c r="I96" s="8">
        <v>2044.000050842762</v>
      </c>
      <c r="J96" s="8">
        <v>8120</v>
      </c>
      <c r="K96" s="11">
        <f t="shared" si="3"/>
        <v>0.56539408866995078</v>
      </c>
      <c r="L96" s="12">
        <f t="shared" si="4"/>
        <v>0.44521891763074756</v>
      </c>
      <c r="M96" s="12">
        <f t="shared" si="5"/>
        <v>0.25172414419245842</v>
      </c>
      <c r="N96" s="9">
        <f t="shared" si="6"/>
        <v>1.1107078073970067</v>
      </c>
      <c r="P96" s="16"/>
      <c r="T96" s="22"/>
      <c r="U96" s="22"/>
      <c r="V96" s="22"/>
      <c r="W96" s="19"/>
    </row>
    <row r="97" spans="1:23" ht="15.75" customHeight="1">
      <c r="A97" s="8">
        <v>21303</v>
      </c>
      <c r="B97" s="8">
        <v>63</v>
      </c>
      <c r="C97" s="8">
        <v>26.666667312383652</v>
      </c>
      <c r="D97" s="8">
        <v>112</v>
      </c>
      <c r="E97" s="9">
        <f t="shared" si="0"/>
        <v>0.5625</v>
      </c>
      <c r="F97" s="10">
        <f t="shared" si="1"/>
        <v>0.42328043352989925</v>
      </c>
      <c r="G97" s="10">
        <f t="shared" si="2"/>
        <v>0.23809524386056832</v>
      </c>
      <c r="H97" s="8">
        <v>4621</v>
      </c>
      <c r="I97" s="8">
        <v>2080.4444951117039</v>
      </c>
      <c r="J97" s="8">
        <v>7631</v>
      </c>
      <c r="K97" s="11">
        <f t="shared" si="3"/>
        <v>0.60555628358013369</v>
      </c>
      <c r="L97" s="12">
        <f t="shared" si="4"/>
        <v>0.45021521209948145</v>
      </c>
      <c r="M97" s="12">
        <f t="shared" si="5"/>
        <v>0.27263065065020364</v>
      </c>
      <c r="N97" s="9">
        <f t="shared" si="6"/>
        <v>1.1450487050042029</v>
      </c>
      <c r="P97" s="16"/>
      <c r="T97" s="22"/>
      <c r="U97" s="22"/>
      <c r="V97" s="22"/>
      <c r="W97" s="19"/>
    </row>
    <row r="98" spans="1:23" ht="15.75" customHeight="1">
      <c r="A98" s="8">
        <v>21304</v>
      </c>
      <c r="B98" s="8">
        <v>78</v>
      </c>
      <c r="C98" s="8">
        <v>32.555556207895279</v>
      </c>
      <c r="D98" s="8">
        <v>178</v>
      </c>
      <c r="E98" s="9">
        <f t="shared" si="0"/>
        <v>0.43820224719101125</v>
      </c>
      <c r="F98" s="10">
        <f t="shared" si="1"/>
        <v>0.41737892574224716</v>
      </c>
      <c r="G98" s="10">
        <f t="shared" si="2"/>
        <v>0.18289638319042292</v>
      </c>
      <c r="H98" s="8">
        <v>5911</v>
      </c>
      <c r="I98" s="8">
        <v>2537.7778403162956</v>
      </c>
      <c r="J98" s="8">
        <v>12085</v>
      </c>
      <c r="K98" s="11">
        <f t="shared" si="3"/>
        <v>0.48911874224244933</v>
      </c>
      <c r="L98" s="12">
        <f t="shared" si="4"/>
        <v>0.42933138898939194</v>
      </c>
      <c r="M98" s="12">
        <f t="shared" si="5"/>
        <v>0.20999402898769515</v>
      </c>
      <c r="N98" s="9">
        <f t="shared" si="6"/>
        <v>1.1481584563050624</v>
      </c>
      <c r="P98" s="16"/>
      <c r="T98" s="22"/>
      <c r="U98" s="22"/>
      <c r="V98" s="22"/>
      <c r="W98" s="19"/>
    </row>
    <row r="99" spans="1:23" ht="15.75" customHeight="1">
      <c r="A99" s="8">
        <v>21305</v>
      </c>
      <c r="B99" s="8">
        <v>562</v>
      </c>
      <c r="C99" s="8">
        <v>226.77778339385986</v>
      </c>
      <c r="D99" s="8">
        <v>1742</v>
      </c>
      <c r="E99" s="9">
        <f t="shared" si="0"/>
        <v>0.32261768082663606</v>
      </c>
      <c r="F99" s="10">
        <f t="shared" si="1"/>
        <v>0.40351918753355848</v>
      </c>
      <c r="G99" s="10">
        <f t="shared" si="2"/>
        <v>0.13018242445112507</v>
      </c>
      <c r="H99" s="8">
        <v>6968</v>
      </c>
      <c r="I99" s="8">
        <v>2949.0000729858875</v>
      </c>
      <c r="J99" s="8">
        <v>20349</v>
      </c>
      <c r="K99" s="11">
        <f t="shared" si="3"/>
        <v>0.34242468917391516</v>
      </c>
      <c r="L99" s="12">
        <f t="shared" si="4"/>
        <v>0.42322044675457626</v>
      </c>
      <c r="M99" s="12">
        <f t="shared" si="5"/>
        <v>0.14492112993198128</v>
      </c>
      <c r="N99" s="9">
        <f t="shared" si="6"/>
        <v>1.1132157857944152</v>
      </c>
      <c r="P99" s="16"/>
      <c r="T99" s="22"/>
      <c r="U99" s="22"/>
      <c r="V99" s="22"/>
      <c r="W99" s="19"/>
    </row>
    <row r="100" spans="1:23" ht="15.75" customHeight="1">
      <c r="A100" s="8">
        <v>21306</v>
      </c>
      <c r="B100" s="8">
        <v>78</v>
      </c>
      <c r="C100" s="8">
        <v>33.111112058162689</v>
      </c>
      <c r="D100" s="8">
        <v>240</v>
      </c>
      <c r="E100" s="9">
        <f t="shared" si="0"/>
        <v>0.32500000000000001</v>
      </c>
      <c r="F100" s="10">
        <f t="shared" si="1"/>
        <v>0.42450143664311141</v>
      </c>
      <c r="G100" s="10">
        <f t="shared" si="2"/>
        <v>0.13796296690901122</v>
      </c>
      <c r="H100" s="8">
        <v>4845</v>
      </c>
      <c r="I100" s="8">
        <v>2107.8889403343201</v>
      </c>
      <c r="J100" s="8">
        <v>9533</v>
      </c>
      <c r="K100" s="11">
        <f t="shared" si="3"/>
        <v>0.50823455365572223</v>
      </c>
      <c r="L100" s="12">
        <f t="shared" si="4"/>
        <v>0.43506479676662951</v>
      </c>
      <c r="M100" s="12">
        <f t="shared" si="5"/>
        <v>0.22111496279600545</v>
      </c>
      <c r="N100" s="9">
        <f t="shared" si="6"/>
        <v>1.6027124361701666</v>
      </c>
      <c r="P100" s="16"/>
      <c r="T100" s="22"/>
      <c r="U100" s="22"/>
      <c r="V100" s="22"/>
      <c r="W100" s="19"/>
    </row>
    <row r="101" spans="1:23" ht="15.75" customHeight="1">
      <c r="A101" s="8">
        <v>21307</v>
      </c>
      <c r="B101" s="8">
        <v>23</v>
      </c>
      <c r="C101" s="8">
        <v>9.7777779400348663</v>
      </c>
      <c r="D101" s="8">
        <v>79</v>
      </c>
      <c r="E101" s="9">
        <f t="shared" si="0"/>
        <v>0.29113924050632911</v>
      </c>
      <c r="F101" s="10">
        <f t="shared" si="1"/>
        <v>0.42512078000151593</v>
      </c>
      <c r="G101" s="10">
        <f t="shared" si="2"/>
        <v>0.12376934101309957</v>
      </c>
      <c r="H101" s="8">
        <v>1934</v>
      </c>
      <c r="I101" s="8">
        <v>781.22224056720734</v>
      </c>
      <c r="J101" s="8">
        <v>4873</v>
      </c>
      <c r="K101" s="11">
        <f t="shared" si="3"/>
        <v>0.39688077159860458</v>
      </c>
      <c r="L101" s="12">
        <f t="shared" si="4"/>
        <v>0.40394117919710826</v>
      </c>
      <c r="M101" s="12">
        <f t="shared" si="5"/>
        <v>0.16031648688019853</v>
      </c>
      <c r="N101" s="9">
        <f t="shared" si="6"/>
        <v>1.2952843213670409</v>
      </c>
      <c r="P101" s="16"/>
      <c r="T101" s="22"/>
      <c r="U101" s="22"/>
      <c r="V101" s="22"/>
      <c r="W101" s="19"/>
    </row>
    <row r="102" spans="1:23" ht="15.75" customHeight="1">
      <c r="A102" s="8">
        <v>21401</v>
      </c>
      <c r="B102" s="8">
        <v>424</v>
      </c>
      <c r="C102" s="8">
        <v>176.44444870948792</v>
      </c>
      <c r="D102" s="8">
        <v>1541</v>
      </c>
      <c r="E102" s="9">
        <f t="shared" si="0"/>
        <v>0.27514600908500975</v>
      </c>
      <c r="F102" s="10">
        <f t="shared" si="1"/>
        <v>0.4161425677110564</v>
      </c>
      <c r="G102" s="10">
        <f t="shared" si="2"/>
        <v>0.1144999667160856</v>
      </c>
      <c r="H102" s="8">
        <v>6182</v>
      </c>
      <c r="I102" s="8">
        <v>2678.0000647604465</v>
      </c>
      <c r="J102" s="8">
        <v>17065</v>
      </c>
      <c r="K102" s="11">
        <f t="shared" si="3"/>
        <v>0.36226193964254322</v>
      </c>
      <c r="L102" s="12">
        <f t="shared" si="4"/>
        <v>0.43319315185384122</v>
      </c>
      <c r="M102" s="12">
        <f t="shared" si="5"/>
        <v>0.1569293914304393</v>
      </c>
      <c r="N102" s="9">
        <f t="shared" si="6"/>
        <v>1.3705627689793292</v>
      </c>
      <c r="P102" s="16"/>
      <c r="T102" s="22"/>
      <c r="U102" s="22"/>
      <c r="V102" s="22"/>
      <c r="W102" s="19"/>
    </row>
    <row r="103" spans="1:23" ht="15.75" customHeight="1">
      <c r="A103" s="8">
        <v>21402</v>
      </c>
      <c r="B103" s="8">
        <v>232</v>
      </c>
      <c r="C103" s="8">
        <v>91.333335757255554</v>
      </c>
      <c r="D103" s="8">
        <v>831</v>
      </c>
      <c r="E103" s="9">
        <f t="shared" si="0"/>
        <v>0.27918170878459686</v>
      </c>
      <c r="F103" s="10">
        <f t="shared" si="1"/>
        <v>0.39367817136748084</v>
      </c>
      <c r="G103" s="10">
        <f t="shared" si="2"/>
        <v>0.10990774459356865</v>
      </c>
      <c r="H103" s="8">
        <v>3333</v>
      </c>
      <c r="I103" s="8">
        <v>1350.7778138816357</v>
      </c>
      <c r="J103" s="8">
        <v>15837</v>
      </c>
      <c r="K103" s="11">
        <f t="shared" si="3"/>
        <v>0.21045652585716992</v>
      </c>
      <c r="L103" s="12">
        <f t="shared" si="4"/>
        <v>0.40527387155164585</v>
      </c>
      <c r="M103" s="12">
        <f t="shared" si="5"/>
        <v>8.5292531027444315E-2</v>
      </c>
      <c r="N103" s="9">
        <f t="shared" si="6"/>
        <v>0.77603749711042003</v>
      </c>
      <c r="P103" s="16"/>
      <c r="T103" s="22"/>
      <c r="U103" s="22"/>
      <c r="V103" s="22"/>
      <c r="W103" s="19"/>
    </row>
    <row r="104" spans="1:23" ht="15.75" customHeight="1">
      <c r="A104" s="8">
        <v>21501</v>
      </c>
      <c r="B104" s="8">
        <v>857</v>
      </c>
      <c r="C104" s="8">
        <v>400.66667684912682</v>
      </c>
      <c r="D104" s="8">
        <v>1548</v>
      </c>
      <c r="E104" s="9">
        <f t="shared" si="0"/>
        <v>0.55361757105943155</v>
      </c>
      <c r="F104" s="10">
        <f t="shared" si="1"/>
        <v>0.46752237672010133</v>
      </c>
      <c r="G104" s="10">
        <f t="shared" si="2"/>
        <v>0.258828602615715</v>
      </c>
      <c r="H104" s="8">
        <v>4142</v>
      </c>
      <c r="I104" s="8">
        <v>1925.8889399170876</v>
      </c>
      <c r="J104" s="8">
        <v>6712</v>
      </c>
      <c r="K104" s="11">
        <f t="shared" si="3"/>
        <v>0.61710369487485106</v>
      </c>
      <c r="L104" s="12">
        <f t="shared" si="4"/>
        <v>0.46496594396839391</v>
      </c>
      <c r="M104" s="12">
        <f t="shared" si="5"/>
        <v>0.28693220201386888</v>
      </c>
      <c r="N104" s="9">
        <f t="shared" si="6"/>
        <v>1.1085799603063171</v>
      </c>
      <c r="P104" s="16"/>
      <c r="T104" s="22"/>
      <c r="U104" s="22"/>
      <c r="V104" s="22"/>
      <c r="W104" s="19"/>
    </row>
    <row r="105" spans="1:23" ht="15.75" customHeight="1">
      <c r="A105" s="8">
        <v>21502</v>
      </c>
      <c r="B105" s="8">
        <v>335</v>
      </c>
      <c r="C105" s="8">
        <v>152.8888928592205</v>
      </c>
      <c r="D105" s="8">
        <v>1032</v>
      </c>
      <c r="E105" s="9">
        <f t="shared" si="0"/>
        <v>0.32461240310077522</v>
      </c>
      <c r="F105" s="10">
        <f t="shared" si="1"/>
        <v>0.45638475480364332</v>
      </c>
      <c r="G105" s="10">
        <f t="shared" si="2"/>
        <v>0.14814815199536874</v>
      </c>
      <c r="H105" s="8">
        <v>2735</v>
      </c>
      <c r="I105" s="8">
        <v>1244.2222538888454</v>
      </c>
      <c r="J105" s="8">
        <v>7114</v>
      </c>
      <c r="K105" s="11">
        <f t="shared" si="3"/>
        <v>0.38445319089120045</v>
      </c>
      <c r="L105" s="12">
        <f t="shared" si="4"/>
        <v>0.45492586979482463</v>
      </c>
      <c r="M105" s="12">
        <f t="shared" si="5"/>
        <v>0.17489770226157511</v>
      </c>
      <c r="N105" s="9">
        <f t="shared" si="6"/>
        <v>1.1805594596079916</v>
      </c>
      <c r="P105" s="16"/>
      <c r="T105" s="22"/>
      <c r="U105" s="22"/>
      <c r="V105" s="22"/>
      <c r="W105" s="19"/>
    </row>
    <row r="106" spans="1:23" ht="15.75" customHeight="1">
      <c r="A106" s="8">
        <v>21601</v>
      </c>
      <c r="B106" s="8">
        <v>236</v>
      </c>
      <c r="C106" s="8">
        <v>111.2222246825695</v>
      </c>
      <c r="D106" s="8">
        <v>335</v>
      </c>
      <c r="E106" s="9">
        <f t="shared" si="0"/>
        <v>0.70447761194029845</v>
      </c>
      <c r="F106" s="10">
        <f t="shared" si="1"/>
        <v>0.47128061306173519</v>
      </c>
      <c r="G106" s="10">
        <f t="shared" si="2"/>
        <v>0.33200664084349102</v>
      </c>
      <c r="H106" s="8">
        <v>9077</v>
      </c>
      <c r="I106" s="8">
        <v>4157.8889992237091</v>
      </c>
      <c r="J106" s="8">
        <v>12544</v>
      </c>
      <c r="K106" s="11">
        <f t="shared" si="3"/>
        <v>0.72361288265306123</v>
      </c>
      <c r="L106" s="12">
        <f t="shared" si="4"/>
        <v>0.45806863492604483</v>
      </c>
      <c r="M106" s="12">
        <f t="shared" si="5"/>
        <v>0.33146436537178803</v>
      </c>
      <c r="N106" s="9">
        <f t="shared" si="6"/>
        <v>0.99836667281616631</v>
      </c>
      <c r="P106" s="16"/>
      <c r="T106" s="22"/>
      <c r="U106" s="22"/>
      <c r="V106" s="22"/>
      <c r="W106" s="19"/>
    </row>
    <row r="107" spans="1:23" ht="15.75" customHeight="1">
      <c r="A107" s="8">
        <v>21602</v>
      </c>
      <c r="B107" s="8">
        <v>20</v>
      </c>
      <c r="C107" s="8">
        <v>7.6666668057441711</v>
      </c>
      <c r="D107" s="8">
        <v>26</v>
      </c>
      <c r="E107" s="9">
        <f t="shared" si="0"/>
        <v>0.76923076923076927</v>
      </c>
      <c r="F107" s="10">
        <f t="shared" si="1"/>
        <v>0.38333334028720856</v>
      </c>
      <c r="G107" s="10">
        <f t="shared" si="2"/>
        <v>0.29487180022092968</v>
      </c>
      <c r="H107" s="8">
        <v>2289</v>
      </c>
      <c r="I107" s="8">
        <v>1086.6666962504387</v>
      </c>
      <c r="J107" s="8">
        <v>3219</v>
      </c>
      <c r="K107" s="11">
        <f t="shared" si="3"/>
        <v>0.71109040074557317</v>
      </c>
      <c r="L107" s="12">
        <f t="shared" si="4"/>
        <v>0.47473424912644768</v>
      </c>
      <c r="M107" s="12">
        <f t="shared" si="5"/>
        <v>0.33757896745897448</v>
      </c>
      <c r="N107" s="9">
        <f t="shared" si="6"/>
        <v>1.1448329993103676</v>
      </c>
      <c r="P107" s="16"/>
      <c r="T107" s="22"/>
      <c r="U107" s="22"/>
      <c r="V107" s="22"/>
      <c r="W107" s="19"/>
    </row>
    <row r="108" spans="1:23" ht="15.75" customHeight="1">
      <c r="A108" s="8">
        <v>21701</v>
      </c>
      <c r="B108" s="8">
        <v>360</v>
      </c>
      <c r="C108" s="8">
        <v>154.77778148651123</v>
      </c>
      <c r="D108" s="8">
        <v>1115</v>
      </c>
      <c r="E108" s="9">
        <f t="shared" si="0"/>
        <v>0.32286995515695066</v>
      </c>
      <c r="F108" s="10">
        <f t="shared" si="1"/>
        <v>0.42993828190697564</v>
      </c>
      <c r="G108" s="10">
        <f t="shared" si="2"/>
        <v>0.13881415379956163</v>
      </c>
      <c r="H108" s="8">
        <v>4301</v>
      </c>
      <c r="I108" s="8">
        <v>1745.1111544668674</v>
      </c>
      <c r="J108" s="8">
        <v>13248</v>
      </c>
      <c r="K108" s="11">
        <f t="shared" si="3"/>
        <v>0.32465277777777779</v>
      </c>
      <c r="L108" s="12">
        <f t="shared" si="4"/>
        <v>0.40574544395881595</v>
      </c>
      <c r="M108" s="12">
        <f t="shared" si="5"/>
        <v>0.13172638545190726</v>
      </c>
      <c r="N108" s="9">
        <f t="shared" si="6"/>
        <v>0.94894059320572866</v>
      </c>
      <c r="P108" s="16"/>
      <c r="T108" s="22"/>
      <c r="U108" s="22"/>
      <c r="V108" s="22"/>
      <c r="W108" s="19"/>
    </row>
    <row r="109" spans="1:23" ht="15.75" customHeight="1">
      <c r="A109" s="8">
        <v>21702</v>
      </c>
      <c r="B109" s="8">
        <v>179</v>
      </c>
      <c r="C109" s="8">
        <v>77.777779459953308</v>
      </c>
      <c r="D109" s="8">
        <v>388</v>
      </c>
      <c r="E109" s="9">
        <f t="shared" si="0"/>
        <v>0.46134020618556704</v>
      </c>
      <c r="F109" s="10">
        <f t="shared" si="1"/>
        <v>0.43451273441314697</v>
      </c>
      <c r="G109" s="10">
        <f t="shared" si="2"/>
        <v>0.20045819448441576</v>
      </c>
      <c r="H109" s="8">
        <v>2466</v>
      </c>
      <c r="I109" s="8">
        <v>1042.7778035700321</v>
      </c>
      <c r="J109" s="8">
        <v>5521</v>
      </c>
      <c r="K109" s="11">
        <f t="shared" si="3"/>
        <v>0.44665821409165007</v>
      </c>
      <c r="L109" s="12">
        <f t="shared" si="4"/>
        <v>0.42286204524332205</v>
      </c>
      <c r="M109" s="12">
        <f t="shared" si="5"/>
        <v>0.18887480593552475</v>
      </c>
      <c r="N109" s="9">
        <f t="shared" si="6"/>
        <v>0.9422154400887236</v>
      </c>
      <c r="P109" s="16"/>
      <c r="T109" s="22"/>
      <c r="U109" s="22"/>
      <c r="V109" s="22"/>
      <c r="W109" s="19"/>
    </row>
    <row r="110" spans="1:23" ht="15.75" customHeight="1">
      <c r="A110" s="8">
        <v>21703</v>
      </c>
      <c r="B110" s="8">
        <v>23</v>
      </c>
      <c r="C110" s="8">
        <v>9.0000001490116119</v>
      </c>
      <c r="D110" s="8">
        <v>44</v>
      </c>
      <c r="E110" s="9">
        <f t="shared" si="0"/>
        <v>0.52272727272727271</v>
      </c>
      <c r="F110" s="10">
        <f t="shared" si="1"/>
        <v>0.39130435430485272</v>
      </c>
      <c r="G110" s="10">
        <f t="shared" si="2"/>
        <v>0.20454545793208209</v>
      </c>
      <c r="H110" s="8">
        <v>3697</v>
      </c>
      <c r="I110" s="8">
        <v>1693.8889329433441</v>
      </c>
      <c r="J110" s="8">
        <v>6180</v>
      </c>
      <c r="K110" s="11">
        <f t="shared" si="3"/>
        <v>0.59822006472491907</v>
      </c>
      <c r="L110" s="12">
        <f t="shared" si="4"/>
        <v>0.45817931645749099</v>
      </c>
      <c r="M110" s="12">
        <f t="shared" si="5"/>
        <v>0.27409206034681943</v>
      </c>
      <c r="N110" s="9">
        <f t="shared" si="6"/>
        <v>1.3400056061759622</v>
      </c>
      <c r="P110" s="16"/>
      <c r="T110" s="22"/>
      <c r="U110" s="22"/>
      <c r="V110" s="22"/>
      <c r="W110" s="19"/>
    </row>
    <row r="111" spans="1:23" ht="15.75" customHeight="1">
      <c r="A111" s="8">
        <v>21801</v>
      </c>
      <c r="B111" s="8">
        <v>87</v>
      </c>
      <c r="C111" s="8">
        <v>39.222222924232483</v>
      </c>
      <c r="D111" s="8">
        <v>117</v>
      </c>
      <c r="E111" s="9">
        <f t="shared" si="0"/>
        <v>0.74358974358974361</v>
      </c>
      <c r="F111" s="10">
        <f t="shared" si="1"/>
        <v>0.45083014855439635</v>
      </c>
      <c r="G111" s="10">
        <f t="shared" si="2"/>
        <v>0.33523267456608963</v>
      </c>
      <c r="H111" s="8">
        <v>5982</v>
      </c>
      <c r="I111" s="8">
        <v>2711.4445089399815</v>
      </c>
      <c r="J111" s="8">
        <v>8635</v>
      </c>
      <c r="K111" s="11">
        <f t="shared" si="3"/>
        <v>0.69276201505500867</v>
      </c>
      <c r="L111" s="12">
        <f t="shared" si="4"/>
        <v>0.4532672198161119</v>
      </c>
      <c r="M111" s="12">
        <f t="shared" si="5"/>
        <v>0.31400631255819123</v>
      </c>
      <c r="N111" s="9">
        <f t="shared" si="6"/>
        <v>0.93668170313239041</v>
      </c>
      <c r="P111" s="16"/>
      <c r="T111" s="22"/>
      <c r="U111" s="22"/>
      <c r="V111" s="22"/>
      <c r="W111" s="19"/>
    </row>
    <row r="112" spans="1:23" ht="15.75" customHeight="1">
      <c r="A112" s="8">
        <v>21802</v>
      </c>
      <c r="B112" s="8">
        <v>142</v>
      </c>
      <c r="C112" s="8">
        <v>58.111112058162689</v>
      </c>
      <c r="D112" s="8">
        <v>252</v>
      </c>
      <c r="E112" s="9">
        <f t="shared" si="0"/>
        <v>0.56349206349206349</v>
      </c>
      <c r="F112" s="10">
        <f t="shared" si="1"/>
        <v>0.40923318350818794</v>
      </c>
      <c r="G112" s="10">
        <f t="shared" si="2"/>
        <v>0.23059965102445509</v>
      </c>
      <c r="H112" s="8">
        <v>3471</v>
      </c>
      <c r="I112" s="8">
        <v>1486.5555918812752</v>
      </c>
      <c r="J112" s="8">
        <v>6692</v>
      </c>
      <c r="K112" s="11">
        <f t="shared" si="3"/>
        <v>0.51867901972504482</v>
      </c>
      <c r="L112" s="12">
        <f t="shared" si="4"/>
        <v>0.42827876458694186</v>
      </c>
      <c r="M112" s="12">
        <f t="shared" si="5"/>
        <v>0.22213920978500826</v>
      </c>
      <c r="N112" s="9">
        <f t="shared" si="6"/>
        <v>0.96331112730717183</v>
      </c>
      <c r="P112" s="16"/>
      <c r="T112" s="22"/>
      <c r="U112" s="22"/>
      <c r="V112" s="22"/>
      <c r="W112" s="19"/>
    </row>
    <row r="113" spans="1:23" ht="15.75" customHeight="1">
      <c r="A113" s="8">
        <v>21803</v>
      </c>
      <c r="B113" s="8">
        <v>14</v>
      </c>
      <c r="C113" s="8">
        <v>5.6666668057441711</v>
      </c>
      <c r="D113" s="8">
        <v>23</v>
      </c>
      <c r="E113" s="9">
        <f t="shared" si="0"/>
        <v>0.60869565217391308</v>
      </c>
      <c r="F113" s="10">
        <f t="shared" si="1"/>
        <v>0.40476191469601225</v>
      </c>
      <c r="G113" s="10">
        <f t="shared" si="2"/>
        <v>0.24637681764105096</v>
      </c>
      <c r="H113" s="8">
        <v>1537</v>
      </c>
      <c r="I113" s="8">
        <v>682.8889057636261</v>
      </c>
      <c r="J113" s="8">
        <v>1958</v>
      </c>
      <c r="K113" s="11">
        <f t="shared" si="3"/>
        <v>0.78498467824310525</v>
      </c>
      <c r="L113" s="12">
        <f t="shared" si="4"/>
        <v>0.44429987362630197</v>
      </c>
      <c r="M113" s="12">
        <f t="shared" si="5"/>
        <v>0.34876859334199495</v>
      </c>
      <c r="N113" s="9">
        <f t="shared" si="6"/>
        <v>1.4155901382333773</v>
      </c>
      <c r="P113" s="16"/>
      <c r="T113" s="22"/>
      <c r="U113" s="22"/>
      <c r="V113" s="22"/>
      <c r="W113" s="19"/>
    </row>
    <row r="114" spans="1:23" ht="15.75" customHeight="1">
      <c r="A114" s="8">
        <v>21901</v>
      </c>
      <c r="B114" s="8">
        <v>134</v>
      </c>
      <c r="C114" s="8">
        <v>54.55555671453476</v>
      </c>
      <c r="D114" s="8">
        <v>257</v>
      </c>
      <c r="E114" s="9">
        <f t="shared" si="0"/>
        <v>0.52140077821011677</v>
      </c>
      <c r="F114" s="10">
        <f t="shared" si="1"/>
        <v>0.40713102025772208</v>
      </c>
      <c r="G114" s="10">
        <f t="shared" si="2"/>
        <v>0.21227843079585509</v>
      </c>
      <c r="H114" s="8">
        <v>2259</v>
      </c>
      <c r="I114" s="8">
        <v>938.44446742534637</v>
      </c>
      <c r="J114" s="8">
        <v>4262</v>
      </c>
      <c r="K114" s="11">
        <f t="shared" si="3"/>
        <v>0.53003284842796805</v>
      </c>
      <c r="L114" s="12">
        <f t="shared" si="4"/>
        <v>0.41542473104264999</v>
      </c>
      <c r="M114" s="12">
        <f t="shared" si="5"/>
        <v>0.2201887535019583</v>
      </c>
      <c r="N114" s="9">
        <f t="shared" si="6"/>
        <v>1.0372639023024928</v>
      </c>
      <c r="P114" s="16"/>
      <c r="T114" s="22"/>
      <c r="U114" s="22"/>
      <c r="V114" s="22"/>
      <c r="W114" s="19"/>
    </row>
    <row r="115" spans="1:23" ht="15.75" customHeight="1">
      <c r="A115" s="8">
        <v>21902</v>
      </c>
      <c r="B115" s="8">
        <v>19</v>
      </c>
      <c r="C115" s="8">
        <v>7.4444446563720703</v>
      </c>
      <c r="D115" s="8">
        <v>35</v>
      </c>
      <c r="E115" s="9">
        <f t="shared" si="0"/>
        <v>0.54285714285714282</v>
      </c>
      <c r="F115" s="10">
        <f t="shared" si="1"/>
        <v>0.3918128766511616</v>
      </c>
      <c r="G115" s="10">
        <f t="shared" si="2"/>
        <v>0.21269841875348772</v>
      </c>
      <c r="H115" s="8">
        <v>1525</v>
      </c>
      <c r="I115" s="8">
        <v>644.44446009397507</v>
      </c>
      <c r="J115" s="8">
        <v>2819</v>
      </c>
      <c r="K115" s="11">
        <f t="shared" si="3"/>
        <v>0.54097197587797086</v>
      </c>
      <c r="L115" s="12">
        <f t="shared" si="4"/>
        <v>0.42258653120916395</v>
      </c>
      <c r="M115" s="12">
        <f t="shared" si="5"/>
        <v>0.22860747076763921</v>
      </c>
      <c r="N115" s="9">
        <f t="shared" si="6"/>
        <v>1.074796287190972</v>
      </c>
      <c r="P115" s="16"/>
      <c r="T115" s="22"/>
      <c r="U115" s="22"/>
      <c r="V115" s="22"/>
      <c r="W115" s="19"/>
    </row>
    <row r="116" spans="1:23" ht="15.75" customHeight="1">
      <c r="A116" s="8">
        <v>22001</v>
      </c>
      <c r="B116" s="8">
        <v>1567</v>
      </c>
      <c r="C116" s="8">
        <v>668.66668203473091</v>
      </c>
      <c r="D116" s="8">
        <v>3885</v>
      </c>
      <c r="E116" s="9">
        <f t="shared" si="0"/>
        <v>0.40334620334620336</v>
      </c>
      <c r="F116" s="10">
        <f t="shared" si="1"/>
        <v>0.42671772944143643</v>
      </c>
      <c r="G116" s="10">
        <f t="shared" si="2"/>
        <v>0.1721149760707158</v>
      </c>
      <c r="H116" s="8">
        <v>21288</v>
      </c>
      <c r="I116" s="8">
        <v>9407.8891251087189</v>
      </c>
      <c r="J116" s="8">
        <v>44824</v>
      </c>
      <c r="K116" s="11">
        <f t="shared" si="3"/>
        <v>0.47492414777797609</v>
      </c>
      <c r="L116" s="12">
        <f t="shared" si="4"/>
        <v>0.44193391230311529</v>
      </c>
      <c r="M116" s="12">
        <f t="shared" si="5"/>
        <v>0.20988508667474384</v>
      </c>
      <c r="N116" s="9">
        <f t="shared" si="6"/>
        <v>1.219446973565564</v>
      </c>
      <c r="P116" s="16"/>
      <c r="T116" s="22"/>
      <c r="U116" s="22"/>
      <c r="V116" s="22"/>
      <c r="W116" s="19"/>
    </row>
    <row r="117" spans="1:23" ht="15.75" customHeight="1">
      <c r="A117" s="8">
        <v>22002</v>
      </c>
      <c r="B117" s="8">
        <v>323</v>
      </c>
      <c r="C117" s="8">
        <v>152.55555939674377</v>
      </c>
      <c r="D117" s="8">
        <v>525</v>
      </c>
      <c r="E117" s="9">
        <f t="shared" si="0"/>
        <v>0.61523809523809525</v>
      </c>
      <c r="F117" s="10">
        <f t="shared" si="1"/>
        <v>0.47230823342645134</v>
      </c>
      <c r="G117" s="10">
        <f t="shared" si="2"/>
        <v>0.29058201789855959</v>
      </c>
      <c r="H117" s="8">
        <v>6478</v>
      </c>
      <c r="I117" s="8">
        <v>3052.4445225894451</v>
      </c>
      <c r="J117" s="8">
        <v>10279</v>
      </c>
      <c r="K117" s="11">
        <f t="shared" si="3"/>
        <v>0.63021694717384957</v>
      </c>
      <c r="L117" s="12">
        <f t="shared" si="4"/>
        <v>0.47120168610519375</v>
      </c>
      <c r="M117" s="12">
        <f t="shared" si="5"/>
        <v>0.29695928812038574</v>
      </c>
      <c r="N117" s="9">
        <f t="shared" si="6"/>
        <v>1.0219465411794766</v>
      </c>
      <c r="P117" s="16"/>
      <c r="T117" s="22"/>
      <c r="U117" s="22"/>
      <c r="V117" s="22"/>
      <c r="W117" s="19"/>
    </row>
    <row r="118" spans="1:23" ht="15.75" customHeight="1">
      <c r="A118" s="8">
        <v>30101</v>
      </c>
      <c r="B118" s="8">
        <v>14816</v>
      </c>
      <c r="C118" s="8">
        <v>6205.1112694144249</v>
      </c>
      <c r="D118" s="8">
        <v>47327</v>
      </c>
      <c r="E118" s="9">
        <f t="shared" si="0"/>
        <v>0.31305597227798088</v>
      </c>
      <c r="F118" s="10">
        <f t="shared" si="1"/>
        <v>0.41881150576501247</v>
      </c>
      <c r="G118" s="10">
        <f t="shared" si="2"/>
        <v>0.13111144313847117</v>
      </c>
      <c r="H118" s="8">
        <v>119037</v>
      </c>
      <c r="I118" s="8">
        <v>47297.445629864931</v>
      </c>
      <c r="J118" s="8">
        <v>556460</v>
      </c>
      <c r="K118" s="11">
        <f t="shared" si="3"/>
        <v>0.21391834094094814</v>
      </c>
      <c r="L118" s="12">
        <f t="shared" si="4"/>
        <v>0.39733398548237042</v>
      </c>
      <c r="M118" s="12">
        <f t="shared" si="5"/>
        <v>8.4997026973843454E-2</v>
      </c>
      <c r="N118" s="9">
        <f t="shared" si="6"/>
        <v>0.64828076740849583</v>
      </c>
      <c r="P118" s="16"/>
      <c r="T118" s="22"/>
      <c r="U118" s="22"/>
      <c r="V118" s="22"/>
      <c r="W118" s="19"/>
    </row>
    <row r="119" spans="1:23" ht="15.75" customHeight="1">
      <c r="A119" s="8">
        <v>30201</v>
      </c>
      <c r="B119" s="8">
        <v>279</v>
      </c>
      <c r="C119" s="8">
        <v>126.77778086066246</v>
      </c>
      <c r="D119" s="8">
        <v>1332</v>
      </c>
      <c r="E119" s="9">
        <f t="shared" si="0"/>
        <v>0.20945945945945946</v>
      </c>
      <c r="F119" s="10">
        <f t="shared" si="1"/>
        <v>0.45440064824610199</v>
      </c>
      <c r="G119" s="10">
        <f t="shared" si="2"/>
        <v>9.5178514159656502E-2</v>
      </c>
      <c r="H119" s="8">
        <v>10875</v>
      </c>
      <c r="I119" s="8">
        <v>5410.0001464486122</v>
      </c>
      <c r="J119" s="8">
        <v>21321</v>
      </c>
      <c r="K119" s="11">
        <f t="shared" si="3"/>
        <v>0.51006050372871814</v>
      </c>
      <c r="L119" s="12">
        <f t="shared" si="4"/>
        <v>0.49747127783435513</v>
      </c>
      <c r="M119" s="12">
        <f t="shared" si="5"/>
        <v>0.25374045056276029</v>
      </c>
      <c r="N119" s="9">
        <f t="shared" si="6"/>
        <v>2.6659425480957313</v>
      </c>
      <c r="P119" s="16"/>
      <c r="T119" s="22"/>
      <c r="U119" s="22"/>
      <c r="V119" s="22"/>
      <c r="W119" s="19"/>
    </row>
    <row r="120" spans="1:23" ht="15.75" customHeight="1">
      <c r="A120" s="8">
        <v>30202</v>
      </c>
      <c r="B120" s="8">
        <v>200</v>
      </c>
      <c r="C120" s="8">
        <v>100.00000211596489</v>
      </c>
      <c r="D120" s="8">
        <v>315</v>
      </c>
      <c r="E120" s="9">
        <f t="shared" si="0"/>
        <v>0.63492063492063489</v>
      </c>
      <c r="F120" s="10">
        <f t="shared" si="1"/>
        <v>0.50000001057982446</v>
      </c>
      <c r="G120" s="10">
        <f t="shared" si="2"/>
        <v>0.31746032417766629</v>
      </c>
      <c r="H120" s="8">
        <v>3333</v>
      </c>
      <c r="I120" s="8">
        <v>1552.8889302611351</v>
      </c>
      <c r="J120" s="8">
        <v>6461</v>
      </c>
      <c r="K120" s="11">
        <f t="shared" si="3"/>
        <v>0.51586441727286803</v>
      </c>
      <c r="L120" s="12">
        <f t="shared" si="4"/>
        <v>0.46591327040538105</v>
      </c>
      <c r="M120" s="12">
        <f t="shared" si="5"/>
        <v>0.24034807773736808</v>
      </c>
      <c r="N120" s="9">
        <f t="shared" si="6"/>
        <v>0.75709642885281492</v>
      </c>
      <c r="P120" s="16"/>
      <c r="T120" s="22"/>
      <c r="U120" s="22"/>
      <c r="V120" s="22"/>
      <c r="W120" s="19"/>
    </row>
    <row r="121" spans="1:23" ht="15.75" customHeight="1">
      <c r="A121" s="8">
        <v>30203</v>
      </c>
      <c r="B121" s="8">
        <v>148</v>
      </c>
      <c r="C121" s="8">
        <v>69.111113429069519</v>
      </c>
      <c r="D121" s="8">
        <v>387</v>
      </c>
      <c r="E121" s="9">
        <f t="shared" si="0"/>
        <v>0.38242894056847543</v>
      </c>
      <c r="F121" s="10">
        <f t="shared" si="1"/>
        <v>0.46696698262884812</v>
      </c>
      <c r="G121" s="10">
        <f t="shared" si="2"/>
        <v>0.17858168844720806</v>
      </c>
      <c r="H121" s="8">
        <v>2033</v>
      </c>
      <c r="I121" s="8">
        <v>983.44447159767151</v>
      </c>
      <c r="J121" s="8">
        <v>5114</v>
      </c>
      <c r="K121" s="11">
        <f t="shared" si="3"/>
        <v>0.39753617520531875</v>
      </c>
      <c r="L121" s="12">
        <f t="shared" si="4"/>
        <v>0.4837405172639801</v>
      </c>
      <c r="M121" s="12">
        <f t="shared" si="5"/>
        <v>0.19230435502496512</v>
      </c>
      <c r="N121" s="9">
        <f t="shared" si="6"/>
        <v>1.0768425178251897</v>
      </c>
      <c r="P121" s="16"/>
      <c r="T121" s="22"/>
      <c r="U121" s="22"/>
      <c r="V121" s="22"/>
      <c r="W121" s="19"/>
    </row>
    <row r="122" spans="1:23" ht="15.75" customHeight="1">
      <c r="A122" s="8">
        <v>30301</v>
      </c>
      <c r="B122" s="8">
        <v>489</v>
      </c>
      <c r="C122" s="8">
        <v>220.77778309583664</v>
      </c>
      <c r="D122" s="8">
        <v>1220</v>
      </c>
      <c r="E122" s="9">
        <f t="shared" si="0"/>
        <v>0.40081967213114755</v>
      </c>
      <c r="F122" s="10">
        <f t="shared" si="1"/>
        <v>0.45148830898944098</v>
      </c>
      <c r="G122" s="10">
        <f t="shared" si="2"/>
        <v>0.18096539598019398</v>
      </c>
      <c r="H122" s="8">
        <v>15650</v>
      </c>
      <c r="I122" s="8">
        <v>7805.5557660758495</v>
      </c>
      <c r="J122" s="8">
        <v>22009</v>
      </c>
      <c r="K122" s="11">
        <f t="shared" si="3"/>
        <v>0.71107274296878553</v>
      </c>
      <c r="L122" s="12">
        <f t="shared" si="4"/>
        <v>0.49875755693775398</v>
      </c>
      <c r="M122" s="12">
        <f t="shared" si="5"/>
        <v>0.35465290408813893</v>
      </c>
      <c r="N122" s="9">
        <f t="shared" si="6"/>
        <v>1.959782985952488</v>
      </c>
      <c r="P122" s="16"/>
      <c r="T122" s="22"/>
      <c r="U122" s="22"/>
      <c r="V122" s="22"/>
      <c r="W122" s="19"/>
    </row>
    <row r="123" spans="1:23" ht="15.75" customHeight="1">
      <c r="A123" s="8">
        <v>30302</v>
      </c>
      <c r="B123" s="8">
        <v>247</v>
      </c>
      <c r="C123" s="8">
        <v>117.7777806520462</v>
      </c>
      <c r="D123" s="8">
        <v>371</v>
      </c>
      <c r="E123" s="9">
        <f t="shared" si="0"/>
        <v>0.66576819407008081</v>
      </c>
      <c r="F123" s="10">
        <f t="shared" si="1"/>
        <v>0.47683312004877004</v>
      </c>
      <c r="G123" s="10">
        <f t="shared" si="2"/>
        <v>0.3174603252076717</v>
      </c>
      <c r="H123" s="8">
        <v>9223</v>
      </c>
      <c r="I123" s="8">
        <v>4772.1112384796143</v>
      </c>
      <c r="J123" s="8">
        <v>12283</v>
      </c>
      <c r="K123" s="11">
        <f t="shared" si="3"/>
        <v>0.75087519335667186</v>
      </c>
      <c r="L123" s="12">
        <f t="shared" si="4"/>
        <v>0.51741420779351777</v>
      </c>
      <c r="M123" s="12">
        <f t="shared" si="5"/>
        <v>0.38851349332244683</v>
      </c>
      <c r="N123" s="9">
        <f t="shared" si="6"/>
        <v>1.223817474099463</v>
      </c>
      <c r="P123" s="16"/>
      <c r="T123" s="22"/>
      <c r="U123" s="22"/>
      <c r="V123" s="22"/>
      <c r="W123" s="19"/>
    </row>
    <row r="124" spans="1:23" ht="15.75" customHeight="1">
      <c r="A124" s="8">
        <v>30303</v>
      </c>
      <c r="B124" s="8">
        <v>734</v>
      </c>
      <c r="C124" s="8">
        <v>360.88889926671982</v>
      </c>
      <c r="D124" s="8">
        <v>887</v>
      </c>
      <c r="E124" s="9">
        <f t="shared" si="0"/>
        <v>0.82750845546786922</v>
      </c>
      <c r="F124" s="10">
        <f t="shared" si="1"/>
        <v>0.4916742496821796</v>
      </c>
      <c r="G124" s="10">
        <f t="shared" si="2"/>
        <v>0.40686459894782395</v>
      </c>
      <c r="H124" s="8">
        <v>13861</v>
      </c>
      <c r="I124" s="8">
        <v>7015.6668553054333</v>
      </c>
      <c r="J124" s="8">
        <v>16445</v>
      </c>
      <c r="K124" s="11">
        <f t="shared" si="3"/>
        <v>0.84287017330495595</v>
      </c>
      <c r="L124" s="12">
        <f t="shared" si="4"/>
        <v>0.50614435143968206</v>
      </c>
      <c r="M124" s="12">
        <f t="shared" si="5"/>
        <v>0.42661397721528937</v>
      </c>
      <c r="N124" s="9">
        <f t="shared" si="6"/>
        <v>1.0485404193890018</v>
      </c>
      <c r="P124" s="16"/>
      <c r="T124" s="22"/>
      <c r="U124" s="22"/>
      <c r="V124" s="22"/>
      <c r="W124" s="19"/>
    </row>
    <row r="125" spans="1:23" ht="15.75" customHeight="1">
      <c r="A125" s="8">
        <v>30401</v>
      </c>
      <c r="B125" s="8">
        <v>118</v>
      </c>
      <c r="C125" s="8">
        <v>51.000001490116119</v>
      </c>
      <c r="D125" s="8">
        <v>415</v>
      </c>
      <c r="E125" s="9">
        <f t="shared" si="0"/>
        <v>0.28433734939759037</v>
      </c>
      <c r="F125" s="10">
        <f t="shared" si="1"/>
        <v>0.43220340245861116</v>
      </c>
      <c r="G125" s="10">
        <f t="shared" si="2"/>
        <v>0.12289156985570149</v>
      </c>
      <c r="H125" s="8">
        <v>2794</v>
      </c>
      <c r="I125" s="8">
        <v>1313.2222575545311</v>
      </c>
      <c r="J125" s="8">
        <v>7118</v>
      </c>
      <c r="K125" s="11">
        <f t="shared" si="3"/>
        <v>0.39252599044675468</v>
      </c>
      <c r="L125" s="12">
        <f t="shared" si="4"/>
        <v>0.47001512439317505</v>
      </c>
      <c r="M125" s="12">
        <f t="shared" si="5"/>
        <v>0.18449315222738563</v>
      </c>
      <c r="N125" s="9">
        <f t="shared" si="6"/>
        <v>1.5012677634765048</v>
      </c>
      <c r="P125" s="16"/>
      <c r="T125" s="22"/>
      <c r="U125" s="22"/>
      <c r="V125" s="22"/>
      <c r="W125" s="19"/>
    </row>
    <row r="126" spans="1:23" ht="15.75" customHeight="1">
      <c r="A126" s="8">
        <v>30402</v>
      </c>
      <c r="B126" s="8">
        <v>98</v>
      </c>
      <c r="C126" s="8">
        <v>42.555556327104568</v>
      </c>
      <c r="D126" s="8">
        <v>159</v>
      </c>
      <c r="E126" s="9">
        <f t="shared" si="0"/>
        <v>0.61635220125786161</v>
      </c>
      <c r="F126" s="10">
        <f t="shared" si="1"/>
        <v>0.43424037068474047</v>
      </c>
      <c r="G126" s="10">
        <f t="shared" si="2"/>
        <v>0.26764500834656957</v>
      </c>
      <c r="H126" s="8">
        <v>4903</v>
      </c>
      <c r="I126" s="8">
        <v>2410.5556222200394</v>
      </c>
      <c r="J126" s="8">
        <v>6920</v>
      </c>
      <c r="K126" s="11">
        <f t="shared" si="3"/>
        <v>0.70852601156069361</v>
      </c>
      <c r="L126" s="12">
        <f t="shared" si="4"/>
        <v>0.4916491173200162</v>
      </c>
      <c r="M126" s="12">
        <f t="shared" si="5"/>
        <v>0.34834618818208662</v>
      </c>
      <c r="N126" s="9">
        <f t="shared" si="6"/>
        <v>1.3015232016993878</v>
      </c>
      <c r="P126" s="16"/>
      <c r="T126" s="22"/>
      <c r="U126" s="22"/>
      <c r="V126" s="22"/>
      <c r="W126" s="19"/>
    </row>
    <row r="127" spans="1:23" ht="15.75" customHeight="1">
      <c r="A127" s="8">
        <v>30403</v>
      </c>
      <c r="B127" s="8">
        <v>1465</v>
      </c>
      <c r="C127" s="8">
        <v>671.00001740455627</v>
      </c>
      <c r="D127" s="8">
        <v>2312</v>
      </c>
      <c r="E127" s="9">
        <f t="shared" si="0"/>
        <v>0.63365051903114189</v>
      </c>
      <c r="F127" s="10">
        <f t="shared" si="1"/>
        <v>0.45802048969594283</v>
      </c>
      <c r="G127" s="10">
        <f t="shared" si="2"/>
        <v>0.29022492102273195</v>
      </c>
      <c r="H127" s="8">
        <v>5242</v>
      </c>
      <c r="I127" s="8">
        <v>2310.555615901947</v>
      </c>
      <c r="J127" s="8">
        <v>14262</v>
      </c>
      <c r="K127" s="11">
        <f t="shared" si="3"/>
        <v>0.3675501332211471</v>
      </c>
      <c r="L127" s="12">
        <f t="shared" si="4"/>
        <v>0.44077749254138632</v>
      </c>
      <c r="M127" s="12">
        <f t="shared" si="5"/>
        <v>0.1620078261044697</v>
      </c>
      <c r="N127" s="9">
        <f t="shared" si="6"/>
        <v>0.55821473060812854</v>
      </c>
      <c r="P127" s="16"/>
      <c r="T127" s="22"/>
      <c r="U127" s="22"/>
      <c r="V127" s="22"/>
      <c r="W127" s="19"/>
    </row>
    <row r="128" spans="1:23" ht="15.75" customHeight="1">
      <c r="A128" s="8">
        <v>30404</v>
      </c>
      <c r="B128" s="8">
        <v>45</v>
      </c>
      <c r="C128" s="8">
        <v>20.222222775220871</v>
      </c>
      <c r="D128" s="8">
        <v>98</v>
      </c>
      <c r="E128" s="9">
        <f t="shared" si="0"/>
        <v>0.45918367346938777</v>
      </c>
      <c r="F128" s="10">
        <f t="shared" si="1"/>
        <v>0.44938272833824155</v>
      </c>
      <c r="G128" s="10">
        <f t="shared" si="2"/>
        <v>0.2063492119920497</v>
      </c>
      <c r="H128" s="8">
        <v>2648</v>
      </c>
      <c r="I128" s="8">
        <v>1241.1111430227757</v>
      </c>
      <c r="J128" s="8">
        <v>4192</v>
      </c>
      <c r="K128" s="11">
        <f t="shared" si="3"/>
        <v>0.63167938931297707</v>
      </c>
      <c r="L128" s="12">
        <f t="shared" si="4"/>
        <v>0.46869756156449233</v>
      </c>
      <c r="M128" s="12">
        <f t="shared" si="5"/>
        <v>0.29606658946153996</v>
      </c>
      <c r="N128" s="9">
        <f t="shared" si="6"/>
        <v>1.43478420200096</v>
      </c>
      <c r="P128" s="16"/>
      <c r="T128" s="22"/>
      <c r="U128" s="22"/>
      <c r="V128" s="22"/>
      <c r="W128" s="19"/>
    </row>
    <row r="129" spans="1:23" ht="15.75" customHeight="1">
      <c r="A129" s="8">
        <v>30501</v>
      </c>
      <c r="B129" s="8">
        <v>125</v>
      </c>
      <c r="C129" s="8">
        <v>59.888890504837036</v>
      </c>
      <c r="D129" s="8">
        <v>290</v>
      </c>
      <c r="E129" s="9">
        <f t="shared" si="0"/>
        <v>0.43103448275862066</v>
      </c>
      <c r="F129" s="10">
        <f t="shared" si="1"/>
        <v>0.47911112403869627</v>
      </c>
      <c r="G129" s="10">
        <f t="shared" si="2"/>
        <v>0.2065134155339208</v>
      </c>
      <c r="H129" s="8">
        <v>2469</v>
      </c>
      <c r="I129" s="8">
        <v>1073.2222505807877</v>
      </c>
      <c r="J129" s="8">
        <v>8869</v>
      </c>
      <c r="K129" s="11">
        <f t="shared" si="3"/>
        <v>0.2783853873040929</v>
      </c>
      <c r="L129" s="12">
        <f t="shared" si="4"/>
        <v>0.43467891882575443</v>
      </c>
      <c r="M129" s="12">
        <f t="shared" si="5"/>
        <v>0.121008259170232</v>
      </c>
      <c r="N129" s="9">
        <f t="shared" si="6"/>
        <v>0.58595834492096632</v>
      </c>
      <c r="P129" s="16"/>
      <c r="T129" s="22"/>
      <c r="U129" s="22"/>
      <c r="V129" s="22"/>
      <c r="W129" s="19"/>
    </row>
    <row r="130" spans="1:23" ht="15.75" customHeight="1">
      <c r="A130" s="8">
        <v>30502</v>
      </c>
      <c r="B130" s="8">
        <v>140</v>
      </c>
      <c r="C130" s="8">
        <v>65.444446325302124</v>
      </c>
      <c r="D130" s="8">
        <v>244</v>
      </c>
      <c r="E130" s="9">
        <f t="shared" si="0"/>
        <v>0.57377049180327866</v>
      </c>
      <c r="F130" s="10">
        <f t="shared" si="1"/>
        <v>0.46746033089501515</v>
      </c>
      <c r="G130" s="10">
        <f t="shared" si="2"/>
        <v>0.26821494395615625</v>
      </c>
      <c r="H130" s="8">
        <v>4555</v>
      </c>
      <c r="I130" s="8">
        <v>2025.3333859741688</v>
      </c>
      <c r="J130" s="8">
        <v>8517</v>
      </c>
      <c r="K130" s="11">
        <f t="shared" si="3"/>
        <v>0.53481272748620401</v>
      </c>
      <c r="L130" s="12">
        <f t="shared" si="4"/>
        <v>0.44463960175064077</v>
      </c>
      <c r="M130" s="12">
        <f t="shared" si="5"/>
        <v>0.23779891816063972</v>
      </c>
      <c r="N130" s="9">
        <f t="shared" si="6"/>
        <v>0.88659831795021649</v>
      </c>
      <c r="P130" s="16"/>
      <c r="T130" s="22"/>
      <c r="U130" s="22"/>
      <c r="V130" s="22"/>
      <c r="W130" s="19"/>
    </row>
    <row r="131" spans="1:23" ht="15.75" customHeight="1">
      <c r="A131" s="8">
        <v>30601</v>
      </c>
      <c r="B131" s="8">
        <v>97</v>
      </c>
      <c r="C131" s="8">
        <v>44.222223371267319</v>
      </c>
      <c r="D131" s="8">
        <v>206</v>
      </c>
      <c r="E131" s="9">
        <f t="shared" si="0"/>
        <v>0.470873786407767</v>
      </c>
      <c r="F131" s="10">
        <f t="shared" si="1"/>
        <v>0.45589921001306516</v>
      </c>
      <c r="G131" s="10">
        <f t="shared" si="2"/>
        <v>0.21467098723916175</v>
      </c>
      <c r="H131" s="8">
        <v>8312</v>
      </c>
      <c r="I131" s="8">
        <v>4278.5556725263596</v>
      </c>
      <c r="J131" s="8">
        <v>10186</v>
      </c>
      <c r="K131" s="11">
        <f t="shared" si="3"/>
        <v>0.81602199096799533</v>
      </c>
      <c r="L131" s="12">
        <f t="shared" si="4"/>
        <v>0.51474442643483631</v>
      </c>
      <c r="M131" s="12">
        <f t="shared" si="5"/>
        <v>0.42004277169903392</v>
      </c>
      <c r="N131" s="9">
        <f t="shared" si="6"/>
        <v>1.9566816042592217</v>
      </c>
      <c r="P131" s="16"/>
      <c r="T131" s="22"/>
      <c r="U131" s="22"/>
      <c r="V131" s="22"/>
      <c r="W131" s="19"/>
    </row>
    <row r="132" spans="1:23" ht="15.75" customHeight="1">
      <c r="A132" s="8">
        <v>30602</v>
      </c>
      <c r="B132" s="8">
        <v>217</v>
      </c>
      <c r="C132" s="8">
        <v>89.666668742895126</v>
      </c>
      <c r="D132" s="8">
        <v>348</v>
      </c>
      <c r="E132" s="9">
        <f t="shared" si="0"/>
        <v>0.62356321839080464</v>
      </c>
      <c r="F132" s="10">
        <f t="shared" si="1"/>
        <v>0.4132104550363831</v>
      </c>
      <c r="G132" s="10">
        <f t="shared" si="2"/>
        <v>0.25766284121521593</v>
      </c>
      <c r="H132" s="8">
        <v>6811</v>
      </c>
      <c r="I132" s="8">
        <v>3053.5556338429451</v>
      </c>
      <c r="J132" s="8">
        <v>9631</v>
      </c>
      <c r="K132" s="11">
        <f t="shared" si="3"/>
        <v>0.70719551448447726</v>
      </c>
      <c r="L132" s="12">
        <f t="shared" si="4"/>
        <v>0.44832706413785717</v>
      </c>
      <c r="M132" s="12">
        <f t="shared" si="5"/>
        <v>0.31705488878028715</v>
      </c>
      <c r="N132" s="9">
        <f t="shared" si="6"/>
        <v>1.2305029599338435</v>
      </c>
      <c r="P132" s="16"/>
      <c r="T132" s="22"/>
      <c r="U132" s="22"/>
      <c r="V132" s="22"/>
      <c r="W132" s="19"/>
    </row>
    <row r="133" spans="1:23" ht="15.75" customHeight="1">
      <c r="A133" s="8">
        <v>30701</v>
      </c>
      <c r="B133" s="8">
        <v>553</v>
      </c>
      <c r="C133" s="8">
        <v>241.55556207895279</v>
      </c>
      <c r="D133" s="8">
        <v>1520</v>
      </c>
      <c r="E133" s="9">
        <f t="shared" si="0"/>
        <v>0.3638157894736842</v>
      </c>
      <c r="F133" s="10">
        <f t="shared" si="1"/>
        <v>0.43680933468165062</v>
      </c>
      <c r="G133" s="10">
        <f t="shared" si="2"/>
        <v>0.15891813294667947</v>
      </c>
      <c r="H133" s="8">
        <v>5983</v>
      </c>
      <c r="I133" s="8">
        <v>2726.8889572918415</v>
      </c>
      <c r="J133" s="8">
        <v>17295</v>
      </c>
      <c r="K133" s="11">
        <f t="shared" si="3"/>
        <v>0.34593813240821047</v>
      </c>
      <c r="L133" s="12">
        <f t="shared" si="4"/>
        <v>0.45577284928829043</v>
      </c>
      <c r="M133" s="12">
        <f t="shared" si="5"/>
        <v>0.15766920828515998</v>
      </c>
      <c r="N133" s="9">
        <f t="shared" si="6"/>
        <v>0.9921410814589765</v>
      </c>
      <c r="P133" s="16"/>
      <c r="T133" s="22"/>
      <c r="U133" s="22"/>
      <c r="V133" s="22"/>
      <c r="W133" s="19"/>
    </row>
    <row r="134" spans="1:23" ht="15.75" customHeight="1">
      <c r="A134" s="8">
        <v>30702</v>
      </c>
      <c r="B134" s="8">
        <v>174</v>
      </c>
      <c r="C134" s="8">
        <v>72.44444614648819</v>
      </c>
      <c r="D134" s="8">
        <v>390</v>
      </c>
      <c r="E134" s="9">
        <f t="shared" si="0"/>
        <v>0.44615384615384618</v>
      </c>
      <c r="F134" s="10">
        <f t="shared" si="1"/>
        <v>0.41634739164648382</v>
      </c>
      <c r="G134" s="10">
        <f t="shared" si="2"/>
        <v>0.18575499011920049</v>
      </c>
      <c r="H134" s="8">
        <v>1902</v>
      </c>
      <c r="I134" s="8">
        <v>840.33335477113724</v>
      </c>
      <c r="J134" s="8">
        <v>5785</v>
      </c>
      <c r="K134" s="11">
        <f t="shared" si="3"/>
        <v>0.32878133102852203</v>
      </c>
      <c r="L134" s="12">
        <f t="shared" si="4"/>
        <v>0.44181564393855793</v>
      </c>
      <c r="M134" s="12">
        <f t="shared" si="5"/>
        <v>0.14526073548334265</v>
      </c>
      <c r="N134" s="9">
        <f t="shared" si="6"/>
        <v>0.78200179381521673</v>
      </c>
      <c r="P134" s="16"/>
      <c r="T134" s="22"/>
      <c r="U134" s="22"/>
      <c r="V134" s="22"/>
      <c r="W134" s="19"/>
    </row>
    <row r="135" spans="1:23" ht="15.75" customHeight="1">
      <c r="A135" s="8">
        <v>30703</v>
      </c>
      <c r="B135" s="8">
        <v>37</v>
      </c>
      <c r="C135" s="8">
        <v>17.222222775220871</v>
      </c>
      <c r="D135" s="8">
        <v>66</v>
      </c>
      <c r="E135" s="9">
        <f t="shared" si="0"/>
        <v>0.56060606060606055</v>
      </c>
      <c r="F135" s="10">
        <f t="shared" si="1"/>
        <v>0.46546548041137487</v>
      </c>
      <c r="G135" s="10">
        <f t="shared" si="2"/>
        <v>0.26094276932152832</v>
      </c>
      <c r="H135" s="8">
        <v>2091</v>
      </c>
      <c r="I135" s="8">
        <v>989.888916015625</v>
      </c>
      <c r="J135" s="8">
        <v>3630</v>
      </c>
      <c r="K135" s="11">
        <f t="shared" si="3"/>
        <v>0.5760330578512397</v>
      </c>
      <c r="L135" s="12">
        <f t="shared" si="4"/>
        <v>0.47340455094004064</v>
      </c>
      <c r="M135" s="12">
        <f t="shared" si="5"/>
        <v>0.27269667107868456</v>
      </c>
      <c r="N135" s="9">
        <f t="shared" si="6"/>
        <v>1.045043983352048</v>
      </c>
      <c r="P135" s="16"/>
      <c r="T135" s="22"/>
      <c r="U135" s="22"/>
      <c r="V135" s="22"/>
      <c r="W135" s="19"/>
    </row>
    <row r="136" spans="1:23" ht="15.75" customHeight="1">
      <c r="A136" s="8">
        <v>30801</v>
      </c>
      <c r="B136" s="8">
        <v>254</v>
      </c>
      <c r="C136" s="8">
        <v>96.888891011476517</v>
      </c>
      <c r="D136" s="8">
        <v>1033</v>
      </c>
      <c r="E136" s="9">
        <f t="shared" si="0"/>
        <v>0.24588576960309777</v>
      </c>
      <c r="F136" s="10">
        <f t="shared" si="1"/>
        <v>0.38145232681683666</v>
      </c>
      <c r="G136" s="10">
        <f t="shared" si="2"/>
        <v>9.3793698946250254E-2</v>
      </c>
      <c r="H136" s="8">
        <v>3046</v>
      </c>
      <c r="I136" s="8">
        <v>1161.1111409962177</v>
      </c>
      <c r="J136" s="8">
        <v>19868</v>
      </c>
      <c r="K136" s="11">
        <f t="shared" si="3"/>
        <v>0.15331185826454599</v>
      </c>
      <c r="L136" s="12">
        <f t="shared" si="4"/>
        <v>0.3811921014432757</v>
      </c>
      <c r="M136" s="12">
        <f t="shared" si="5"/>
        <v>5.8441269428035923E-2</v>
      </c>
      <c r="N136" s="9">
        <f t="shared" si="6"/>
        <v>0.62308310776320364</v>
      </c>
      <c r="P136" s="16"/>
      <c r="T136" s="22"/>
      <c r="U136" s="22"/>
      <c r="V136" s="22"/>
      <c r="W136" s="19"/>
    </row>
    <row r="137" spans="1:23" ht="15.75" customHeight="1">
      <c r="A137" s="8">
        <v>30802</v>
      </c>
      <c r="B137" s="8">
        <v>34</v>
      </c>
      <c r="C137" s="8">
        <v>12.222222536802292</v>
      </c>
      <c r="D137" s="8">
        <v>69</v>
      </c>
      <c r="E137" s="9">
        <f t="shared" si="0"/>
        <v>0.49275362318840582</v>
      </c>
      <c r="F137" s="10">
        <f t="shared" si="1"/>
        <v>0.35947713343536153</v>
      </c>
      <c r="G137" s="10">
        <f t="shared" si="2"/>
        <v>0.1771336599536564</v>
      </c>
      <c r="H137" s="8">
        <v>1942</v>
      </c>
      <c r="I137" s="8">
        <v>806.88890907168388</v>
      </c>
      <c r="J137" s="8">
        <v>6866</v>
      </c>
      <c r="K137" s="11">
        <f t="shared" si="3"/>
        <v>0.28284299446548211</v>
      </c>
      <c r="L137" s="12">
        <f t="shared" si="4"/>
        <v>0.41549377398129961</v>
      </c>
      <c r="M137" s="12">
        <f t="shared" si="5"/>
        <v>0.117519503214635</v>
      </c>
      <c r="N137" s="9">
        <f t="shared" si="6"/>
        <v>0.66345099652647443</v>
      </c>
      <c r="P137" s="16"/>
      <c r="T137" s="22"/>
      <c r="U137" s="22"/>
      <c r="V137" s="22"/>
      <c r="W137" s="19"/>
    </row>
    <row r="138" spans="1:23" ht="15.75" customHeight="1">
      <c r="A138" s="8">
        <v>30803</v>
      </c>
      <c r="B138" s="8">
        <v>139</v>
      </c>
      <c r="C138" s="8">
        <v>52.77777886390686</v>
      </c>
      <c r="D138" s="8">
        <v>440</v>
      </c>
      <c r="E138" s="9">
        <f t="shared" si="0"/>
        <v>0.31590909090909092</v>
      </c>
      <c r="F138" s="10">
        <f t="shared" si="1"/>
        <v>0.37969625081947384</v>
      </c>
      <c r="G138" s="10">
        <f t="shared" si="2"/>
        <v>0.11994949741797015</v>
      </c>
      <c r="H138" s="8">
        <v>1067</v>
      </c>
      <c r="I138" s="8">
        <v>420.22223287820816</v>
      </c>
      <c r="J138" s="8">
        <v>4507</v>
      </c>
      <c r="K138" s="11">
        <f t="shared" si="3"/>
        <v>0.23674284446416685</v>
      </c>
      <c r="L138" s="12">
        <f t="shared" si="4"/>
        <v>0.39383526980150718</v>
      </c>
      <c r="M138" s="12">
        <f t="shared" si="5"/>
        <v>9.323768202312141E-2</v>
      </c>
      <c r="N138" s="9">
        <f t="shared" si="6"/>
        <v>0.77730781729105503</v>
      </c>
      <c r="P138" s="16"/>
      <c r="T138" s="22"/>
      <c r="U138" s="22"/>
      <c r="V138" s="22"/>
      <c r="W138" s="19"/>
    </row>
    <row r="139" spans="1:23" ht="15.75" customHeight="1">
      <c r="A139" s="8">
        <v>30901</v>
      </c>
      <c r="B139" s="8">
        <v>2268</v>
      </c>
      <c r="C139" s="8">
        <v>889.55557760596275</v>
      </c>
      <c r="D139" s="8">
        <v>10976</v>
      </c>
      <c r="E139" s="9">
        <f t="shared" si="0"/>
        <v>0.2066326530612245</v>
      </c>
      <c r="F139" s="10">
        <f t="shared" si="1"/>
        <v>0.39222027231303475</v>
      </c>
      <c r="G139" s="10">
        <f t="shared" si="2"/>
        <v>8.1045515452438308E-2</v>
      </c>
      <c r="H139" s="8">
        <v>19082</v>
      </c>
      <c r="I139" s="8">
        <v>7631.2224194705486</v>
      </c>
      <c r="J139" s="8">
        <v>120398</v>
      </c>
      <c r="K139" s="11">
        <f t="shared" si="3"/>
        <v>0.15849100483396733</v>
      </c>
      <c r="L139" s="12">
        <f t="shared" si="4"/>
        <v>0.3999173262483256</v>
      </c>
      <c r="M139" s="12">
        <f t="shared" si="5"/>
        <v>6.3383298887610656E-2</v>
      </c>
      <c r="N139" s="9">
        <f t="shared" si="6"/>
        <v>0.78207040246177773</v>
      </c>
      <c r="P139" s="16"/>
      <c r="T139" s="22"/>
      <c r="U139" s="22"/>
      <c r="V139" s="22"/>
      <c r="W139" s="19"/>
    </row>
    <row r="140" spans="1:23" ht="15.75" customHeight="1">
      <c r="A140" s="8">
        <v>30902</v>
      </c>
      <c r="B140" s="8">
        <v>1300</v>
      </c>
      <c r="C140" s="8">
        <v>555.66668099164963</v>
      </c>
      <c r="D140" s="8">
        <v>4335</v>
      </c>
      <c r="E140" s="9">
        <f t="shared" si="0"/>
        <v>0.29988465974625145</v>
      </c>
      <c r="F140" s="10">
        <f t="shared" si="1"/>
        <v>0.42743590845511509</v>
      </c>
      <c r="G140" s="10">
        <f t="shared" si="2"/>
        <v>0.12818147197039206</v>
      </c>
      <c r="H140" s="8">
        <v>9680</v>
      </c>
      <c r="I140" s="8">
        <v>4375.3334468603134</v>
      </c>
      <c r="J140" s="8">
        <v>35950</v>
      </c>
      <c r="K140" s="11">
        <f t="shared" si="3"/>
        <v>0.26926286509040331</v>
      </c>
      <c r="L140" s="12">
        <f t="shared" si="4"/>
        <v>0.45199725690705717</v>
      </c>
      <c r="M140" s="12">
        <f t="shared" si="5"/>
        <v>0.12170607640779731</v>
      </c>
      <c r="N140" s="9">
        <f t="shared" si="6"/>
        <v>0.94948259320902106</v>
      </c>
      <c r="P140" s="16"/>
      <c r="T140" s="22"/>
      <c r="U140" s="22"/>
      <c r="V140" s="22"/>
      <c r="W140" s="19"/>
    </row>
    <row r="141" spans="1:23" ht="15.75" customHeight="1">
      <c r="A141" s="8">
        <v>30903</v>
      </c>
      <c r="B141" s="8">
        <v>1309</v>
      </c>
      <c r="C141" s="8">
        <v>515.44445717334747</v>
      </c>
      <c r="D141" s="8">
        <v>5173</v>
      </c>
      <c r="E141" s="9">
        <f t="shared" si="0"/>
        <v>0.25304465493910688</v>
      </c>
      <c r="F141" s="10">
        <f t="shared" si="1"/>
        <v>0.39376963878788956</v>
      </c>
      <c r="G141" s="10">
        <f t="shared" si="2"/>
        <v>9.9641302372578275E-2</v>
      </c>
      <c r="H141" s="8">
        <v>11389</v>
      </c>
      <c r="I141" s="8">
        <v>4668.77789914608</v>
      </c>
      <c r="J141" s="8">
        <v>46145</v>
      </c>
      <c r="K141" s="11">
        <f t="shared" si="3"/>
        <v>0.24680897171957958</v>
      </c>
      <c r="L141" s="12">
        <f t="shared" si="4"/>
        <v>0.40993747468136621</v>
      </c>
      <c r="M141" s="12">
        <f t="shared" si="5"/>
        <v>0.10117624659542918</v>
      </c>
      <c r="N141" s="9">
        <f t="shared" si="6"/>
        <v>1.0154046985165994</v>
      </c>
      <c r="P141" s="16"/>
      <c r="T141" s="22"/>
      <c r="U141" s="22"/>
      <c r="V141" s="22"/>
      <c r="W141" s="19"/>
    </row>
    <row r="142" spans="1:23" ht="15.75" customHeight="1">
      <c r="A142" s="8">
        <v>30904</v>
      </c>
      <c r="B142" s="8">
        <v>2157</v>
      </c>
      <c r="C142" s="8">
        <v>877.77779978513718</v>
      </c>
      <c r="D142" s="8">
        <v>6818</v>
      </c>
      <c r="E142" s="9">
        <f t="shared" si="0"/>
        <v>0.31636843649163976</v>
      </c>
      <c r="F142" s="10">
        <f t="shared" si="1"/>
        <v>0.40694381074878866</v>
      </c>
      <c r="G142" s="10">
        <f t="shared" si="2"/>
        <v>0.12874417714654401</v>
      </c>
      <c r="H142" s="8">
        <v>11476</v>
      </c>
      <c r="I142" s="8">
        <v>4687.000118881464</v>
      </c>
      <c r="J142" s="8">
        <v>43409</v>
      </c>
      <c r="K142" s="11">
        <f t="shared" si="3"/>
        <v>0.26436914004008383</v>
      </c>
      <c r="L142" s="12">
        <f t="shared" si="4"/>
        <v>0.40841757745568702</v>
      </c>
      <c r="M142" s="12">
        <f t="shared" si="5"/>
        <v>0.10797300372921431</v>
      </c>
      <c r="N142" s="9">
        <f t="shared" si="6"/>
        <v>0.83866320110394776</v>
      </c>
      <c r="P142" s="16"/>
      <c r="T142" s="22"/>
      <c r="U142" s="22"/>
      <c r="V142" s="22"/>
      <c r="W142" s="19"/>
    </row>
    <row r="143" spans="1:23" ht="15.75" customHeight="1">
      <c r="A143" s="8">
        <v>30905</v>
      </c>
      <c r="B143" s="8">
        <v>619</v>
      </c>
      <c r="C143" s="8">
        <v>231.0000059902668</v>
      </c>
      <c r="D143" s="8">
        <v>5219</v>
      </c>
      <c r="E143" s="9">
        <f t="shared" si="0"/>
        <v>0.11860509676183177</v>
      </c>
      <c r="F143" s="10">
        <f t="shared" si="1"/>
        <v>0.37318256218136803</v>
      </c>
      <c r="G143" s="10">
        <f t="shared" si="2"/>
        <v>4.4261353897349455E-2</v>
      </c>
      <c r="H143" s="8">
        <v>4674</v>
      </c>
      <c r="I143" s="8">
        <v>1740.6667093336582</v>
      </c>
      <c r="J143" s="8">
        <v>44864</v>
      </c>
      <c r="K143" s="11">
        <f t="shared" si="3"/>
        <v>0.10418152639087018</v>
      </c>
      <c r="L143" s="12">
        <f t="shared" si="4"/>
        <v>0.37241478590792859</v>
      </c>
      <c r="M143" s="12">
        <f t="shared" si="5"/>
        <v>3.8798740846417129E-2</v>
      </c>
      <c r="N143" s="9">
        <f t="shared" si="6"/>
        <v>0.87658278453024341</v>
      </c>
      <c r="P143" s="16"/>
      <c r="T143" s="22"/>
      <c r="U143" s="22"/>
      <c r="V143" s="22"/>
      <c r="W143" s="19"/>
    </row>
    <row r="144" spans="1:23" ht="15.75" customHeight="1">
      <c r="A144" s="8">
        <v>31001</v>
      </c>
      <c r="B144" s="8">
        <v>5353</v>
      </c>
      <c r="C144" s="8">
        <v>2228.1111683249474</v>
      </c>
      <c r="D144" s="8">
        <v>17564</v>
      </c>
      <c r="E144" s="9">
        <f t="shared" si="0"/>
        <v>0.30477112275108176</v>
      </c>
      <c r="F144" s="10">
        <f t="shared" si="1"/>
        <v>0.41623597390714501</v>
      </c>
      <c r="G144" s="10">
        <f t="shared" si="2"/>
        <v>0.12685670509707056</v>
      </c>
      <c r="H144" s="8">
        <v>33773</v>
      </c>
      <c r="I144" s="8">
        <v>13764.111461549997</v>
      </c>
      <c r="J144" s="8">
        <v>147659</v>
      </c>
      <c r="K144" s="11">
        <f t="shared" si="3"/>
        <v>0.2287229359537854</v>
      </c>
      <c r="L144" s="12">
        <f t="shared" si="4"/>
        <v>0.40754778851597423</v>
      </c>
      <c r="M144" s="12">
        <f t="shared" si="5"/>
        <v>9.3215526730846057E-2</v>
      </c>
      <c r="N144" s="9">
        <f t="shared" si="6"/>
        <v>0.73480961577488302</v>
      </c>
      <c r="P144" s="16"/>
      <c r="T144" s="22"/>
      <c r="U144" s="22"/>
      <c r="V144" s="22"/>
      <c r="W144" s="19"/>
    </row>
    <row r="145" spans="1:23" ht="15.75" customHeight="1">
      <c r="A145" s="8">
        <v>31002</v>
      </c>
      <c r="B145" s="8">
        <v>494</v>
      </c>
      <c r="C145" s="8">
        <v>233.77778327465057</v>
      </c>
      <c r="D145" s="8">
        <v>888</v>
      </c>
      <c r="E145" s="9">
        <f t="shared" si="0"/>
        <v>0.55630630630630629</v>
      </c>
      <c r="F145" s="10">
        <f t="shared" si="1"/>
        <v>0.47323437909848293</v>
      </c>
      <c r="G145" s="10">
        <f t="shared" si="2"/>
        <v>0.26326326945343531</v>
      </c>
      <c r="H145" s="8">
        <v>7245</v>
      </c>
      <c r="I145" s="8">
        <v>3275.5556385815144</v>
      </c>
      <c r="J145" s="8">
        <v>17511</v>
      </c>
      <c r="K145" s="11">
        <f t="shared" si="3"/>
        <v>0.4137399348980641</v>
      </c>
      <c r="L145" s="12">
        <f t="shared" si="4"/>
        <v>0.45211257951435668</v>
      </c>
      <c r="M145" s="12">
        <f t="shared" si="5"/>
        <v>0.18705702921486575</v>
      </c>
      <c r="N145" s="9">
        <f t="shared" si="6"/>
        <v>0.71053219692674019</v>
      </c>
      <c r="P145" s="16"/>
      <c r="T145" s="22"/>
      <c r="U145" s="22"/>
      <c r="V145" s="22"/>
      <c r="W145" s="19"/>
    </row>
    <row r="146" spans="1:23" ht="15.75" customHeight="1">
      <c r="A146" s="8">
        <v>31003</v>
      </c>
      <c r="B146" s="8">
        <v>4900</v>
      </c>
      <c r="C146" s="8">
        <v>2226.7778322696686</v>
      </c>
      <c r="D146" s="8">
        <v>8026</v>
      </c>
      <c r="E146" s="9">
        <f t="shared" si="0"/>
        <v>0.61051582357338652</v>
      </c>
      <c r="F146" s="10">
        <f t="shared" si="1"/>
        <v>0.45444445556523849</v>
      </c>
      <c r="G146" s="10">
        <f t="shared" si="2"/>
        <v>0.27744553105777081</v>
      </c>
      <c r="H146" s="8">
        <v>35424</v>
      </c>
      <c r="I146" s="8">
        <v>15963.111511260271</v>
      </c>
      <c r="J146" s="8">
        <v>59907</v>
      </c>
      <c r="K146" s="11">
        <f t="shared" si="3"/>
        <v>0.59131654063798889</v>
      </c>
      <c r="L146" s="12">
        <f t="shared" si="4"/>
        <v>0.45062984166836806</v>
      </c>
      <c r="M146" s="12">
        <f t="shared" si="5"/>
        <v>0.26646487908358407</v>
      </c>
      <c r="N146" s="9">
        <f t="shared" si="6"/>
        <v>0.96042231449062232</v>
      </c>
      <c r="P146" s="16"/>
      <c r="T146" s="22"/>
      <c r="U146" s="22"/>
      <c r="V146" s="22"/>
      <c r="W146" s="19"/>
    </row>
    <row r="147" spans="1:23" ht="15.75" customHeight="1">
      <c r="A147" s="8">
        <v>31101</v>
      </c>
      <c r="B147" s="8">
        <v>234</v>
      </c>
      <c r="C147" s="8">
        <v>111.66666933894157</v>
      </c>
      <c r="D147" s="8">
        <v>393</v>
      </c>
      <c r="E147" s="9">
        <f t="shared" si="0"/>
        <v>0.59541984732824427</v>
      </c>
      <c r="F147" s="10">
        <f t="shared" si="1"/>
        <v>0.47720798862795544</v>
      </c>
      <c r="G147" s="10">
        <f t="shared" si="2"/>
        <v>0.28413910773267576</v>
      </c>
      <c r="H147" s="8">
        <v>19339</v>
      </c>
      <c r="I147" s="8">
        <v>9807.1113758087158</v>
      </c>
      <c r="J147" s="8">
        <v>23857</v>
      </c>
      <c r="K147" s="11">
        <f t="shared" si="3"/>
        <v>0.81062162048874542</v>
      </c>
      <c r="L147" s="12">
        <f t="shared" si="4"/>
        <v>0.50711574413406668</v>
      </c>
      <c r="M147" s="12">
        <f t="shared" si="5"/>
        <v>0.41107898628531314</v>
      </c>
      <c r="N147" s="9">
        <f t="shared" si="6"/>
        <v>1.4467525768120071</v>
      </c>
      <c r="P147" s="16"/>
      <c r="T147" s="22"/>
      <c r="U147" s="22"/>
      <c r="V147" s="22"/>
      <c r="W147" s="19"/>
    </row>
    <row r="148" spans="1:23" ht="15.75" customHeight="1">
      <c r="A148" s="8">
        <v>31201</v>
      </c>
      <c r="B148" s="8">
        <v>191</v>
      </c>
      <c r="C148" s="8">
        <v>83.888891041278839</v>
      </c>
      <c r="D148" s="8">
        <v>490</v>
      </c>
      <c r="E148" s="9">
        <f t="shared" si="0"/>
        <v>0.38979591836734695</v>
      </c>
      <c r="F148" s="10">
        <f t="shared" si="1"/>
        <v>0.43920885361926093</v>
      </c>
      <c r="G148" s="10">
        <f t="shared" si="2"/>
        <v>0.17120181845158947</v>
      </c>
      <c r="H148" s="8">
        <v>10060</v>
      </c>
      <c r="I148" s="8">
        <v>5125.2223581671715</v>
      </c>
      <c r="J148" s="8">
        <v>13854</v>
      </c>
      <c r="K148" s="11">
        <f t="shared" si="3"/>
        <v>0.7261440739136712</v>
      </c>
      <c r="L148" s="12">
        <f t="shared" si="4"/>
        <v>0.50946544315777054</v>
      </c>
      <c r="M148" s="12">
        <f t="shared" si="5"/>
        <v>0.36994531241281736</v>
      </c>
      <c r="N148" s="9">
        <f t="shared" si="6"/>
        <v>2.160872564081008</v>
      </c>
      <c r="P148" s="16"/>
      <c r="T148" s="22"/>
      <c r="U148" s="22"/>
      <c r="V148" s="22"/>
      <c r="W148" s="19"/>
    </row>
    <row r="149" spans="1:23" ht="15.75" customHeight="1">
      <c r="A149" s="8">
        <v>31202</v>
      </c>
      <c r="B149" s="8">
        <v>341</v>
      </c>
      <c r="C149" s="8">
        <v>175.44444939494133</v>
      </c>
      <c r="D149" s="8">
        <v>512</v>
      </c>
      <c r="E149" s="9">
        <f t="shared" si="0"/>
        <v>0.666015625</v>
      </c>
      <c r="F149" s="10">
        <f t="shared" si="1"/>
        <v>0.51449985159806844</v>
      </c>
      <c r="G149" s="10">
        <f t="shared" si="2"/>
        <v>0.34266494022449479</v>
      </c>
      <c r="H149" s="8">
        <v>6770</v>
      </c>
      <c r="I149" s="8">
        <v>3450.2223162949085</v>
      </c>
      <c r="J149" s="8">
        <v>9438</v>
      </c>
      <c r="K149" s="11">
        <f t="shared" si="3"/>
        <v>0.71731299004026272</v>
      </c>
      <c r="L149" s="12">
        <f t="shared" si="4"/>
        <v>0.50963402013218739</v>
      </c>
      <c r="M149" s="12">
        <f t="shared" si="5"/>
        <v>0.36556710280725879</v>
      </c>
      <c r="N149" s="9">
        <f t="shared" si="6"/>
        <v>1.0668354415475356</v>
      </c>
      <c r="P149" s="16"/>
      <c r="T149" s="22"/>
      <c r="U149" s="22"/>
      <c r="V149" s="22"/>
      <c r="W149" s="19"/>
    </row>
    <row r="150" spans="1:23" ht="15.75" customHeight="1">
      <c r="A150" s="8">
        <v>31203</v>
      </c>
      <c r="B150" s="8">
        <v>128</v>
      </c>
      <c r="C150" s="8">
        <v>59.777779161930084</v>
      </c>
      <c r="D150" s="8">
        <v>318</v>
      </c>
      <c r="E150" s="9">
        <f t="shared" si="0"/>
        <v>0.40251572327044027</v>
      </c>
      <c r="F150" s="10">
        <f t="shared" si="1"/>
        <v>0.46701389970257878</v>
      </c>
      <c r="G150" s="10">
        <f t="shared" si="2"/>
        <v>0.18798043761613234</v>
      </c>
      <c r="H150" s="8">
        <v>5263</v>
      </c>
      <c r="I150" s="8">
        <v>2347.0000593662262</v>
      </c>
      <c r="J150" s="8">
        <v>10075</v>
      </c>
      <c r="K150" s="11">
        <f t="shared" si="3"/>
        <v>0.52238213399503719</v>
      </c>
      <c r="L150" s="12">
        <f t="shared" si="4"/>
        <v>0.44594338958127039</v>
      </c>
      <c r="M150" s="12">
        <f t="shared" si="5"/>
        <v>0.23295285949044425</v>
      </c>
      <c r="N150" s="9">
        <f t="shared" si="6"/>
        <v>1.2392399041337927</v>
      </c>
      <c r="P150" s="16"/>
      <c r="T150" s="22"/>
      <c r="U150" s="22"/>
      <c r="V150" s="22"/>
      <c r="W150" s="19"/>
    </row>
    <row r="151" spans="1:23" ht="15.75" customHeight="1">
      <c r="A151" s="8">
        <v>31204</v>
      </c>
      <c r="B151" s="8">
        <v>1113</v>
      </c>
      <c r="C151" s="8">
        <v>484.00001281499863</v>
      </c>
      <c r="D151" s="8">
        <v>2484</v>
      </c>
      <c r="E151" s="9">
        <f t="shared" si="0"/>
        <v>0.44806763285024154</v>
      </c>
      <c r="F151" s="10">
        <f t="shared" si="1"/>
        <v>0.43486074826145427</v>
      </c>
      <c r="G151" s="10">
        <f t="shared" si="2"/>
        <v>0.19484702609299459</v>
      </c>
      <c r="H151" s="8">
        <v>9772</v>
      </c>
      <c r="I151" s="8">
        <v>4508.7778953909874</v>
      </c>
      <c r="J151" s="8">
        <v>17864</v>
      </c>
      <c r="K151" s="11">
        <f t="shared" si="3"/>
        <v>0.54702194357366773</v>
      </c>
      <c r="L151" s="12">
        <f t="shared" si="4"/>
        <v>0.46139765609813627</v>
      </c>
      <c r="M151" s="12">
        <f t="shared" si="5"/>
        <v>0.25239464259913724</v>
      </c>
      <c r="N151" s="9">
        <f t="shared" si="6"/>
        <v>1.2953476768933436</v>
      </c>
      <c r="P151" s="16"/>
      <c r="T151" s="22"/>
      <c r="U151" s="22"/>
      <c r="V151" s="22"/>
      <c r="W151" s="19"/>
    </row>
    <row r="152" spans="1:23" ht="15.75" customHeight="1">
      <c r="A152" s="8">
        <v>31205</v>
      </c>
      <c r="B152" s="8">
        <v>2612</v>
      </c>
      <c r="C152" s="8">
        <v>1176.8889188468456</v>
      </c>
      <c r="D152" s="8">
        <v>5449</v>
      </c>
      <c r="E152" s="9">
        <f t="shared" si="0"/>
        <v>0.47935400991007526</v>
      </c>
      <c r="F152" s="10">
        <f t="shared" si="1"/>
        <v>0.45057003018638808</v>
      </c>
      <c r="G152" s="10">
        <f t="shared" si="2"/>
        <v>0.2159825507151488</v>
      </c>
      <c r="H152" s="8">
        <v>19455</v>
      </c>
      <c r="I152" s="8">
        <v>8729.7779958546162</v>
      </c>
      <c r="J152" s="8">
        <v>39328</v>
      </c>
      <c r="K152" s="11">
        <f t="shared" si="3"/>
        <v>0.49468572009764034</v>
      </c>
      <c r="L152" s="12">
        <f t="shared" si="4"/>
        <v>0.44871642230041719</v>
      </c>
      <c r="M152" s="12">
        <f t="shared" si="5"/>
        <v>0.22197360648531875</v>
      </c>
      <c r="N152" s="9">
        <f t="shared" si="6"/>
        <v>1.0277386101346275</v>
      </c>
      <c r="P152" s="16"/>
      <c r="T152" s="22"/>
      <c r="U152" s="22"/>
      <c r="V152" s="22"/>
      <c r="W152" s="19"/>
    </row>
    <row r="153" spans="1:23" ht="15.75" customHeight="1">
      <c r="A153" s="8">
        <v>31206</v>
      </c>
      <c r="B153" s="8">
        <v>1484</v>
      </c>
      <c r="C153" s="8">
        <v>657.66668337583542</v>
      </c>
      <c r="D153" s="8">
        <v>3425</v>
      </c>
      <c r="E153" s="9">
        <f t="shared" si="0"/>
        <v>0.43328467153284672</v>
      </c>
      <c r="F153" s="10">
        <f t="shared" si="1"/>
        <v>0.44317161952549555</v>
      </c>
      <c r="G153" s="10">
        <f t="shared" si="2"/>
        <v>0.19201946959878405</v>
      </c>
      <c r="H153" s="8">
        <v>13292</v>
      </c>
      <c r="I153" s="8">
        <v>5863.7779186069965</v>
      </c>
      <c r="J153" s="8">
        <v>25319</v>
      </c>
      <c r="K153" s="11">
        <f t="shared" si="3"/>
        <v>0.52498123938544172</v>
      </c>
      <c r="L153" s="12">
        <f t="shared" si="4"/>
        <v>0.44115091172186249</v>
      </c>
      <c r="M153" s="12">
        <f t="shared" si="5"/>
        <v>0.23159595239176095</v>
      </c>
      <c r="N153" s="9">
        <f t="shared" si="6"/>
        <v>1.2061066144785744</v>
      </c>
      <c r="P153" s="16"/>
      <c r="T153" s="22"/>
      <c r="U153" s="22"/>
      <c r="V153" s="22"/>
      <c r="W153" s="19"/>
    </row>
    <row r="154" spans="1:23" ht="15.75" customHeight="1">
      <c r="A154" s="8">
        <v>31301</v>
      </c>
      <c r="B154" s="8">
        <v>356</v>
      </c>
      <c r="C154" s="8">
        <v>165.66667094826698</v>
      </c>
      <c r="D154" s="8">
        <v>815</v>
      </c>
      <c r="E154" s="9">
        <f t="shared" si="0"/>
        <v>0.43680981595092022</v>
      </c>
      <c r="F154" s="10">
        <f t="shared" si="1"/>
        <v>0.46535581727041286</v>
      </c>
      <c r="G154" s="10">
        <f t="shared" si="2"/>
        <v>0.20327198889357911</v>
      </c>
      <c r="H154" s="8">
        <v>10314</v>
      </c>
      <c r="I154" s="8">
        <v>5098.4445793330669</v>
      </c>
      <c r="J154" s="8">
        <v>18438</v>
      </c>
      <c r="K154" s="11">
        <f t="shared" si="3"/>
        <v>0.55938821998047505</v>
      </c>
      <c r="L154" s="12">
        <f t="shared" si="4"/>
        <v>0.49432272438753799</v>
      </c>
      <c r="M154" s="12">
        <f t="shared" si="5"/>
        <v>0.27651830889104384</v>
      </c>
      <c r="N154" s="9">
        <f t="shared" si="6"/>
        <v>1.3603365146184114</v>
      </c>
      <c r="P154" s="16"/>
      <c r="T154" s="22"/>
      <c r="U154" s="22"/>
      <c r="V154" s="22"/>
      <c r="W154" s="19"/>
    </row>
    <row r="155" spans="1:23" ht="15.75" customHeight="1">
      <c r="A155" s="8">
        <v>31302</v>
      </c>
      <c r="B155" s="8">
        <v>41</v>
      </c>
      <c r="C155" s="8">
        <v>20.000000566244125</v>
      </c>
      <c r="D155" s="8">
        <v>66</v>
      </c>
      <c r="E155" s="9">
        <f t="shared" si="0"/>
        <v>0.62121212121212122</v>
      </c>
      <c r="F155" s="10">
        <f t="shared" si="1"/>
        <v>0.48780489185961279</v>
      </c>
      <c r="G155" s="10">
        <f t="shared" si="2"/>
        <v>0.30303031160975946</v>
      </c>
      <c r="H155" s="8">
        <v>4458</v>
      </c>
      <c r="I155" s="8">
        <v>2456.1111785769463</v>
      </c>
      <c r="J155" s="8">
        <v>5289</v>
      </c>
      <c r="K155" s="11">
        <f t="shared" si="3"/>
        <v>0.8428814520703346</v>
      </c>
      <c r="L155" s="12">
        <f t="shared" si="4"/>
        <v>0.55094463404597271</v>
      </c>
      <c r="M155" s="12">
        <f t="shared" si="5"/>
        <v>0.46438101315502861</v>
      </c>
      <c r="N155" s="9">
        <f t="shared" si="6"/>
        <v>1.5324573000243473</v>
      </c>
      <c r="P155" s="16"/>
      <c r="T155" s="22"/>
      <c r="U155" s="22"/>
      <c r="V155" s="22"/>
      <c r="W155" s="19"/>
    </row>
    <row r="156" spans="1:23" ht="15.75" customHeight="1">
      <c r="A156" s="8">
        <v>31303</v>
      </c>
      <c r="B156" s="8">
        <v>80</v>
      </c>
      <c r="C156" s="8">
        <v>40.000000953674316</v>
      </c>
      <c r="D156" s="8">
        <v>106</v>
      </c>
      <c r="E156" s="9">
        <f t="shared" si="0"/>
        <v>0.75471698113207553</v>
      </c>
      <c r="F156" s="10">
        <f t="shared" si="1"/>
        <v>0.50000001192092891</v>
      </c>
      <c r="G156" s="10">
        <f t="shared" si="2"/>
        <v>0.37735849956296524</v>
      </c>
      <c r="H156" s="8">
        <v>2961</v>
      </c>
      <c r="I156" s="8">
        <v>1583.0000418126583</v>
      </c>
      <c r="J156" s="8">
        <v>3277</v>
      </c>
      <c r="K156" s="11">
        <f t="shared" si="3"/>
        <v>0.90357033872444303</v>
      </c>
      <c r="L156" s="12">
        <f t="shared" si="4"/>
        <v>0.53461669767398123</v>
      </c>
      <c r="M156" s="12">
        <f t="shared" si="5"/>
        <v>0.48306379060502236</v>
      </c>
      <c r="N156" s="9">
        <f t="shared" si="6"/>
        <v>1.2801190145828936</v>
      </c>
      <c r="P156" s="16"/>
      <c r="T156" s="22"/>
      <c r="U156" s="22"/>
      <c r="V156" s="22"/>
      <c r="W156" s="19"/>
    </row>
    <row r="157" spans="1:23" ht="15.75" customHeight="1">
      <c r="A157" s="23">
        <v>31304</v>
      </c>
      <c r="B157" s="8">
        <v>91</v>
      </c>
      <c r="C157" s="8">
        <v>47.000001162290573</v>
      </c>
      <c r="D157" s="8">
        <v>122</v>
      </c>
      <c r="E157" s="9">
        <f t="shared" si="0"/>
        <v>0.74590163934426235</v>
      </c>
      <c r="F157" s="10">
        <f t="shared" si="1"/>
        <v>0.51648352925594032</v>
      </c>
      <c r="G157" s="10">
        <f t="shared" si="2"/>
        <v>0.38524591116631618</v>
      </c>
      <c r="H157" s="8">
        <v>6480</v>
      </c>
      <c r="I157" s="8">
        <v>3887.7778814136982</v>
      </c>
      <c r="J157" s="8">
        <v>6827</v>
      </c>
      <c r="K157" s="11">
        <f t="shared" si="3"/>
        <v>0.94917240369122602</v>
      </c>
      <c r="L157" s="12">
        <f t="shared" si="4"/>
        <v>0.59996572244038548</v>
      </c>
      <c r="M157" s="12">
        <f t="shared" si="5"/>
        <v>0.5694709069010836</v>
      </c>
      <c r="N157" s="9">
        <f t="shared" si="6"/>
        <v>1.4782010409326183</v>
      </c>
      <c r="P157" s="16"/>
      <c r="T157" s="22"/>
      <c r="U157" s="22"/>
      <c r="V157" s="22"/>
      <c r="W157" s="19"/>
    </row>
    <row r="158" spans="1:23" ht="15.75" customHeight="1">
      <c r="A158" s="8">
        <v>31401</v>
      </c>
      <c r="B158" s="8">
        <v>194</v>
      </c>
      <c r="C158" s="8">
        <v>77.444446265697479</v>
      </c>
      <c r="D158" s="8">
        <v>903</v>
      </c>
      <c r="E158" s="9">
        <f t="shared" si="0"/>
        <v>0.21483942414174972</v>
      </c>
      <c r="F158" s="10">
        <f t="shared" si="1"/>
        <v>0.39919817662730661</v>
      </c>
      <c r="G158" s="10">
        <f t="shared" si="2"/>
        <v>8.5763506385047053E-2</v>
      </c>
      <c r="H158" s="8">
        <v>4112</v>
      </c>
      <c r="I158" s="8">
        <v>1592.333373516798</v>
      </c>
      <c r="J158" s="8">
        <v>26869</v>
      </c>
      <c r="K158" s="11">
        <f t="shared" si="3"/>
        <v>0.15303881796866278</v>
      </c>
      <c r="L158" s="12">
        <f t="shared" si="4"/>
        <v>0.38724060639999952</v>
      </c>
      <c r="M158" s="12">
        <f t="shared" si="5"/>
        <v>5.9262844672924121E-2</v>
      </c>
      <c r="N158" s="9">
        <f t="shared" si="6"/>
        <v>0.69100305212400515</v>
      </c>
      <c r="P158" s="16"/>
      <c r="T158" s="22"/>
      <c r="U158" s="22"/>
      <c r="V158" s="22"/>
      <c r="W158" s="19"/>
    </row>
    <row r="159" spans="1:23" ht="15.75" customHeight="1">
      <c r="A159" s="8">
        <v>31402</v>
      </c>
      <c r="B159" s="8">
        <v>502</v>
      </c>
      <c r="C159" s="8">
        <v>201.88889393210411</v>
      </c>
      <c r="D159" s="8">
        <v>1421</v>
      </c>
      <c r="E159" s="9">
        <f t="shared" si="0"/>
        <v>0.35327234342012664</v>
      </c>
      <c r="F159" s="10">
        <f t="shared" si="1"/>
        <v>0.40216911141853406</v>
      </c>
      <c r="G159" s="10">
        <f t="shared" si="2"/>
        <v>0.14207522444201554</v>
      </c>
      <c r="H159" s="8">
        <v>1837</v>
      </c>
      <c r="I159" s="8">
        <v>718.5555734038353</v>
      </c>
      <c r="J159" s="8">
        <v>6520</v>
      </c>
      <c r="K159" s="11">
        <f t="shared" si="3"/>
        <v>0.28174846625766869</v>
      </c>
      <c r="L159" s="12">
        <f t="shared" si="4"/>
        <v>0.39115708949582761</v>
      </c>
      <c r="M159" s="12">
        <f t="shared" si="5"/>
        <v>0.11020791003126308</v>
      </c>
      <c r="N159" s="9">
        <f t="shared" si="6"/>
        <v>0.77570111512469719</v>
      </c>
      <c r="P159" s="16"/>
      <c r="T159" s="22"/>
      <c r="U159" s="22"/>
      <c r="V159" s="22"/>
      <c r="W159" s="19"/>
    </row>
    <row r="160" spans="1:23" ht="15.75" customHeight="1">
      <c r="A160" s="8">
        <v>31403</v>
      </c>
      <c r="B160" s="8">
        <v>213</v>
      </c>
      <c r="C160" s="8">
        <v>85.11111319065094</v>
      </c>
      <c r="D160" s="8">
        <v>605</v>
      </c>
      <c r="E160" s="9">
        <f t="shared" si="0"/>
        <v>0.35206611570247937</v>
      </c>
      <c r="F160" s="10">
        <f t="shared" si="1"/>
        <v>0.39958269103591992</v>
      </c>
      <c r="G160" s="10">
        <f t="shared" si="2"/>
        <v>0.14067952593496025</v>
      </c>
      <c r="H160" s="8">
        <v>2858</v>
      </c>
      <c r="I160" s="8">
        <v>1139.1111391484737</v>
      </c>
      <c r="J160" s="8">
        <v>12225</v>
      </c>
      <c r="K160" s="11">
        <f t="shared" si="3"/>
        <v>0.23378323108384458</v>
      </c>
      <c r="L160" s="12">
        <f t="shared" si="4"/>
        <v>0.39856932790359473</v>
      </c>
      <c r="M160" s="12">
        <f t="shared" si="5"/>
        <v>9.3178825288218706E-2</v>
      </c>
      <c r="N160" s="9">
        <f t="shared" si="6"/>
        <v>0.66234816096336335</v>
      </c>
      <c r="P160" s="16"/>
      <c r="T160" s="22"/>
      <c r="U160" s="22"/>
      <c r="V160" s="22"/>
      <c r="W160" s="19"/>
    </row>
    <row r="161" spans="1:23" ht="15.75" customHeight="1">
      <c r="A161" s="8">
        <v>31404</v>
      </c>
      <c r="B161" s="8">
        <v>20</v>
      </c>
      <c r="C161" s="8">
        <v>11.444444805383682</v>
      </c>
      <c r="D161" s="8">
        <v>30</v>
      </c>
      <c r="E161" s="9">
        <f t="shared" si="0"/>
        <v>0.66666666666666663</v>
      </c>
      <c r="F161" s="10">
        <f t="shared" si="1"/>
        <v>0.57222224026918411</v>
      </c>
      <c r="G161" s="10">
        <f t="shared" si="2"/>
        <v>0.38148149351278937</v>
      </c>
      <c r="H161" s="8">
        <v>594</v>
      </c>
      <c r="I161" s="8">
        <v>236.66667327284813</v>
      </c>
      <c r="J161" s="8">
        <v>1252</v>
      </c>
      <c r="K161" s="11">
        <f t="shared" si="3"/>
        <v>0.4744408945686901</v>
      </c>
      <c r="L161" s="12">
        <f t="shared" si="4"/>
        <v>0.39842874288358271</v>
      </c>
      <c r="M161" s="12">
        <f t="shared" si="5"/>
        <v>0.1890308891955656</v>
      </c>
      <c r="N161" s="9">
        <f t="shared" si="6"/>
        <v>0.49551784925374953</v>
      </c>
      <c r="P161" s="16"/>
      <c r="T161" s="22"/>
      <c r="U161" s="22"/>
      <c r="V161" s="22"/>
      <c r="W161" s="19"/>
    </row>
    <row r="162" spans="1:23" ht="15.75" customHeight="1">
      <c r="A162" s="8">
        <v>31405</v>
      </c>
      <c r="B162" s="8">
        <v>47</v>
      </c>
      <c r="C162" s="8">
        <v>23.000000774860382</v>
      </c>
      <c r="D162" s="8">
        <v>84</v>
      </c>
      <c r="E162" s="9">
        <f t="shared" si="0"/>
        <v>0.55952380952380953</v>
      </c>
      <c r="F162" s="10">
        <f t="shared" si="1"/>
        <v>0.4893617186140507</v>
      </c>
      <c r="G162" s="10">
        <f t="shared" si="2"/>
        <v>0.2738095330340522</v>
      </c>
      <c r="H162" s="8">
        <v>1406</v>
      </c>
      <c r="I162" s="8">
        <v>618.11112546920776</v>
      </c>
      <c r="J162" s="8">
        <v>2666</v>
      </c>
      <c r="K162" s="11">
        <f t="shared" si="3"/>
        <v>0.52738184546136535</v>
      </c>
      <c r="L162" s="12">
        <f t="shared" si="4"/>
        <v>0.43962384457269399</v>
      </c>
      <c r="M162" s="12">
        <f t="shared" si="5"/>
        <v>0.2318496344595678</v>
      </c>
      <c r="N162" s="9">
        <f t="shared" si="6"/>
        <v>0.84675515819507252</v>
      </c>
      <c r="P162" s="16"/>
      <c r="T162" s="22"/>
      <c r="U162" s="22"/>
      <c r="V162" s="22"/>
      <c r="W162" s="19"/>
    </row>
    <row r="163" spans="1:23" ht="15.75" customHeight="1">
      <c r="A163" s="8">
        <v>31501</v>
      </c>
      <c r="B163" s="8">
        <v>88</v>
      </c>
      <c r="C163" s="8">
        <v>37.777778774499893</v>
      </c>
      <c r="D163" s="8">
        <v>178</v>
      </c>
      <c r="E163" s="9">
        <f t="shared" si="0"/>
        <v>0.4943820224719101</v>
      </c>
      <c r="F163" s="10">
        <f t="shared" si="1"/>
        <v>0.42929294061931694</v>
      </c>
      <c r="G163" s="10">
        <f t="shared" si="2"/>
        <v>0.2122347122162915</v>
      </c>
      <c r="H163" s="8">
        <v>5252</v>
      </c>
      <c r="I163" s="8">
        <v>2428.0000658631325</v>
      </c>
      <c r="J163" s="8">
        <v>6953</v>
      </c>
      <c r="K163" s="11">
        <f t="shared" si="3"/>
        <v>0.75535739968358984</v>
      </c>
      <c r="L163" s="12">
        <f t="shared" si="4"/>
        <v>0.46230008870204348</v>
      </c>
      <c r="M163" s="12">
        <f t="shared" si="5"/>
        <v>0.34920179287546849</v>
      </c>
      <c r="N163" s="9">
        <f t="shared" si="6"/>
        <v>1.6453566394906778</v>
      </c>
      <c r="P163" s="16"/>
      <c r="T163" s="22"/>
      <c r="U163" s="22"/>
      <c r="V163" s="22"/>
      <c r="W163" s="19"/>
    </row>
    <row r="164" spans="1:23" ht="15.75" customHeight="1">
      <c r="A164" s="8">
        <v>31601</v>
      </c>
      <c r="B164" s="8">
        <v>101</v>
      </c>
      <c r="C164" s="8">
        <v>40.888889968395233</v>
      </c>
      <c r="D164" s="8">
        <v>243</v>
      </c>
      <c r="E164" s="9">
        <f t="shared" si="0"/>
        <v>0.41563786008230452</v>
      </c>
      <c r="F164" s="10">
        <f t="shared" si="1"/>
        <v>0.40484049473658645</v>
      </c>
      <c r="G164" s="10">
        <f t="shared" si="2"/>
        <v>0.16826703690697625</v>
      </c>
      <c r="H164" s="8">
        <v>8876</v>
      </c>
      <c r="I164" s="8">
        <v>3858.6667642891407</v>
      </c>
      <c r="J164" s="8">
        <v>20486</v>
      </c>
      <c r="K164" s="11">
        <f t="shared" si="3"/>
        <v>0.43327150248950502</v>
      </c>
      <c r="L164" s="12">
        <f t="shared" si="4"/>
        <v>0.43473037001905596</v>
      </c>
      <c r="M164" s="12">
        <f t="shared" si="5"/>
        <v>0.18835628059597484</v>
      </c>
      <c r="N164" s="9">
        <f t="shared" si="6"/>
        <v>1.1193890619236648</v>
      </c>
      <c r="P164" s="16"/>
      <c r="T164" s="22"/>
      <c r="U164" s="22"/>
      <c r="V164" s="22"/>
      <c r="W164" s="19"/>
    </row>
    <row r="165" spans="1:23" ht="15.75" customHeight="1">
      <c r="A165" s="8">
        <v>31602</v>
      </c>
      <c r="B165" s="8">
        <v>951</v>
      </c>
      <c r="C165" s="8">
        <v>401.33334371447563</v>
      </c>
      <c r="D165" s="8">
        <v>2357</v>
      </c>
      <c r="E165" s="9">
        <f t="shared" si="0"/>
        <v>0.40347899872719561</v>
      </c>
      <c r="F165" s="10">
        <f t="shared" si="1"/>
        <v>0.42201192819608374</v>
      </c>
      <c r="G165" s="10">
        <f t="shared" si="2"/>
        <v>0.17027295023948905</v>
      </c>
      <c r="H165" s="8">
        <v>7865</v>
      </c>
      <c r="I165" s="8">
        <v>3380.3334171772003</v>
      </c>
      <c r="J165" s="8">
        <v>17546</v>
      </c>
      <c r="K165" s="11">
        <f t="shared" si="3"/>
        <v>0.44825031346175764</v>
      </c>
      <c r="L165" s="12">
        <f t="shared" si="4"/>
        <v>0.42979445863664339</v>
      </c>
      <c r="M165" s="12">
        <f t="shared" si="5"/>
        <v>0.19265550080800184</v>
      </c>
      <c r="N165" s="9">
        <f t="shared" si="6"/>
        <v>1.1314510057941189</v>
      </c>
      <c r="P165" s="16"/>
      <c r="T165" s="22"/>
      <c r="U165" s="22"/>
      <c r="V165" s="22"/>
      <c r="W165" s="19"/>
    </row>
    <row r="166" spans="1:23" ht="15.75" customHeight="1">
      <c r="A166" s="8">
        <v>40101</v>
      </c>
      <c r="B166" s="8">
        <v>5542</v>
      </c>
      <c r="C166" s="8">
        <v>2350.888947725296</v>
      </c>
      <c r="D166" s="8">
        <v>22014</v>
      </c>
      <c r="E166" s="9">
        <f t="shared" si="0"/>
        <v>0.25174888707186338</v>
      </c>
      <c r="F166" s="10">
        <f t="shared" si="1"/>
        <v>0.42419504650402312</v>
      </c>
      <c r="G166" s="10">
        <f t="shared" si="2"/>
        <v>0.10679063085878515</v>
      </c>
      <c r="H166" s="8">
        <v>23983</v>
      </c>
      <c r="I166" s="8">
        <v>9525.1113489568233</v>
      </c>
      <c r="J166" s="8">
        <v>233838</v>
      </c>
      <c r="K166" s="11">
        <f t="shared" si="3"/>
        <v>0.10256245776990908</v>
      </c>
      <c r="L166" s="12">
        <f t="shared" si="4"/>
        <v>0.39716096188787153</v>
      </c>
      <c r="M166" s="12">
        <f t="shared" si="5"/>
        <v>4.0733804381481289E-2</v>
      </c>
      <c r="N166" s="9">
        <f t="shared" si="6"/>
        <v>0.38143612462918902</v>
      </c>
      <c r="P166" s="16"/>
      <c r="T166" s="22"/>
      <c r="U166" s="22"/>
      <c r="V166" s="22"/>
      <c r="W166" s="19"/>
    </row>
    <row r="167" spans="1:23" ht="15.75" customHeight="1">
      <c r="A167" s="8">
        <v>40102</v>
      </c>
      <c r="B167" s="8">
        <v>742</v>
      </c>
      <c r="C167" s="8">
        <v>336.22223106026649</v>
      </c>
      <c r="D167" s="8">
        <v>1603</v>
      </c>
      <c r="E167" s="9">
        <f t="shared" si="0"/>
        <v>0.46288209606986902</v>
      </c>
      <c r="F167" s="10">
        <f t="shared" si="1"/>
        <v>0.45312969145588478</v>
      </c>
      <c r="G167" s="10">
        <f t="shared" si="2"/>
        <v>0.20974562137259298</v>
      </c>
      <c r="H167" s="8">
        <v>10975</v>
      </c>
      <c r="I167" s="8">
        <v>4879.8890163898468</v>
      </c>
      <c r="J167" s="8">
        <v>21175</v>
      </c>
      <c r="K167" s="11">
        <f t="shared" si="3"/>
        <v>0.51829988193624554</v>
      </c>
      <c r="L167" s="12">
        <f t="shared" si="4"/>
        <v>0.44463681242732089</v>
      </c>
      <c r="M167" s="12">
        <f t="shared" si="5"/>
        <v>0.23045520738558897</v>
      </c>
      <c r="N167" s="9">
        <f t="shared" si="6"/>
        <v>1.0987366786370591</v>
      </c>
      <c r="P167" s="16"/>
      <c r="T167" s="22"/>
      <c r="U167" s="22"/>
      <c r="V167" s="22"/>
      <c r="W167" s="19"/>
    </row>
    <row r="168" spans="1:23" ht="15.75" customHeight="1">
      <c r="A168" s="8">
        <v>40103</v>
      </c>
      <c r="B168" s="8">
        <v>123</v>
      </c>
      <c r="C168" s="8">
        <v>54.777778744697571</v>
      </c>
      <c r="D168" s="8">
        <v>137</v>
      </c>
      <c r="E168" s="9">
        <f t="shared" si="0"/>
        <v>0.8978102189781022</v>
      </c>
      <c r="F168" s="10">
        <f t="shared" si="1"/>
        <v>0.44534779467233798</v>
      </c>
      <c r="G168" s="10">
        <f t="shared" si="2"/>
        <v>0.39983780105618666</v>
      </c>
      <c r="H168" s="8">
        <v>7682</v>
      </c>
      <c r="I168" s="8">
        <v>3764.3334219753742</v>
      </c>
      <c r="J168" s="8">
        <v>8463</v>
      </c>
      <c r="K168" s="11">
        <f t="shared" si="3"/>
        <v>0.90771593997400446</v>
      </c>
      <c r="L168" s="12">
        <f t="shared" si="4"/>
        <v>0.49001997161876781</v>
      </c>
      <c r="M168" s="12">
        <f t="shared" si="5"/>
        <v>0.44479893914396479</v>
      </c>
      <c r="N168" s="9">
        <f t="shared" si="6"/>
        <v>1.1124484427660706</v>
      </c>
      <c r="P168" s="16"/>
      <c r="T168" s="22"/>
      <c r="U168" s="22"/>
      <c r="V168" s="22"/>
      <c r="W168" s="19"/>
    </row>
    <row r="169" spans="1:23" ht="15.75" customHeight="1">
      <c r="A169" s="8">
        <v>40104</v>
      </c>
      <c r="B169" s="8">
        <v>152</v>
      </c>
      <c r="C169" s="8">
        <v>65.22222375869751</v>
      </c>
      <c r="D169" s="8">
        <v>325</v>
      </c>
      <c r="E169" s="9">
        <f t="shared" si="0"/>
        <v>0.46769230769230768</v>
      </c>
      <c r="F169" s="10">
        <f t="shared" si="1"/>
        <v>0.42909357735985204</v>
      </c>
      <c r="G169" s="10">
        <f t="shared" si="2"/>
        <v>0.20068376541137695</v>
      </c>
      <c r="H169" s="8">
        <v>6208</v>
      </c>
      <c r="I169" s="8">
        <v>2707.2222916781902</v>
      </c>
      <c r="J169" s="8">
        <v>12351</v>
      </c>
      <c r="K169" s="11">
        <f t="shared" si="3"/>
        <v>0.50263136588130519</v>
      </c>
      <c r="L169" s="12">
        <f t="shared" si="4"/>
        <v>0.4360860650254817</v>
      </c>
      <c r="M169" s="12">
        <f t="shared" si="5"/>
        <v>0.21919053450556153</v>
      </c>
      <c r="N169" s="9">
        <f t="shared" si="6"/>
        <v>1.09221856614185</v>
      </c>
      <c r="P169" s="16"/>
      <c r="T169" s="22"/>
      <c r="U169" s="22"/>
      <c r="V169" s="22"/>
      <c r="W169" s="19"/>
    </row>
    <row r="170" spans="1:23" ht="15.75" customHeight="1">
      <c r="A170" s="8">
        <v>40201</v>
      </c>
      <c r="B170" s="8">
        <v>1136</v>
      </c>
      <c r="C170" s="8">
        <v>479.22223404049873</v>
      </c>
      <c r="D170" s="8">
        <v>2890</v>
      </c>
      <c r="E170" s="9">
        <f t="shared" si="0"/>
        <v>0.39307958477508653</v>
      </c>
      <c r="F170" s="10">
        <f t="shared" si="1"/>
        <v>0.42185055813424183</v>
      </c>
      <c r="G170" s="10">
        <f t="shared" si="2"/>
        <v>0.16582084222854629</v>
      </c>
      <c r="H170" s="8">
        <v>12007</v>
      </c>
      <c r="I170" s="8">
        <v>5291.4445771872997</v>
      </c>
      <c r="J170" s="8">
        <v>24639</v>
      </c>
      <c r="K170" s="11">
        <f t="shared" si="3"/>
        <v>0.48731685539185843</v>
      </c>
      <c r="L170" s="12">
        <f t="shared" si="4"/>
        <v>0.44069664172460227</v>
      </c>
      <c r="M170" s="12">
        <f t="shared" si="5"/>
        <v>0.21475890162698566</v>
      </c>
      <c r="N170" s="9">
        <f t="shared" si="6"/>
        <v>1.295126105625428</v>
      </c>
      <c r="P170" s="16"/>
      <c r="T170" s="22"/>
      <c r="U170" s="22"/>
      <c r="V170" s="22"/>
      <c r="W170" s="19"/>
    </row>
    <row r="171" spans="1:23" ht="15.75" customHeight="1">
      <c r="A171" s="8">
        <v>40202</v>
      </c>
      <c r="B171" s="8">
        <v>139</v>
      </c>
      <c r="C171" s="8">
        <v>61.555556863546371</v>
      </c>
      <c r="D171" s="8">
        <v>386</v>
      </c>
      <c r="E171" s="9">
        <f t="shared" si="0"/>
        <v>0.36010362694300518</v>
      </c>
      <c r="F171" s="10">
        <f t="shared" si="1"/>
        <v>0.44284573283126888</v>
      </c>
      <c r="G171" s="10">
        <f t="shared" si="2"/>
        <v>0.15947035456877298</v>
      </c>
      <c r="H171" s="8">
        <v>1811</v>
      </c>
      <c r="I171" s="8">
        <v>792.33335199952126</v>
      </c>
      <c r="J171" s="8">
        <v>3536</v>
      </c>
      <c r="K171" s="11">
        <f t="shared" si="3"/>
        <v>0.51216063348416285</v>
      </c>
      <c r="L171" s="12">
        <f t="shared" si="4"/>
        <v>0.4375115140803541</v>
      </c>
      <c r="M171" s="12">
        <f t="shared" si="5"/>
        <v>0.2240761742080094</v>
      </c>
      <c r="N171" s="9">
        <f t="shared" si="6"/>
        <v>1.4051274596707226</v>
      </c>
      <c r="P171" s="16"/>
      <c r="T171" s="22"/>
      <c r="U171" s="22"/>
      <c r="V171" s="22"/>
      <c r="W171" s="19"/>
    </row>
    <row r="172" spans="1:23" ht="15.75" customHeight="1">
      <c r="A172" s="8">
        <v>40301</v>
      </c>
      <c r="B172" s="8">
        <v>219</v>
      </c>
      <c r="C172" s="8">
        <v>95.77777972817421</v>
      </c>
      <c r="D172" s="8">
        <v>491</v>
      </c>
      <c r="E172" s="9">
        <f t="shared" si="0"/>
        <v>0.44602851323828918</v>
      </c>
      <c r="F172" s="10">
        <f t="shared" si="1"/>
        <v>0.43734145994600093</v>
      </c>
      <c r="G172" s="10">
        <f t="shared" si="2"/>
        <v>0.19506676115717758</v>
      </c>
      <c r="H172" s="8">
        <v>6137</v>
      </c>
      <c r="I172" s="8">
        <v>2894.0000738203526</v>
      </c>
      <c r="J172" s="8">
        <v>8346</v>
      </c>
      <c r="K172" s="11">
        <f t="shared" si="3"/>
        <v>0.73532231008866522</v>
      </c>
      <c r="L172" s="12">
        <f t="shared" si="4"/>
        <v>0.47156592371196882</v>
      </c>
      <c r="M172" s="12">
        <f t="shared" si="5"/>
        <v>0.34675294438298015</v>
      </c>
      <c r="N172" s="9">
        <f t="shared" si="6"/>
        <v>1.777611635759818</v>
      </c>
      <c r="P172" s="16"/>
      <c r="T172" s="22"/>
      <c r="U172" s="22"/>
      <c r="V172" s="22"/>
      <c r="W172" s="19"/>
    </row>
    <row r="173" spans="1:23" ht="15.75" customHeight="1">
      <c r="A173" s="8">
        <v>40302</v>
      </c>
      <c r="B173" s="8">
        <v>11</v>
      </c>
      <c r="C173" s="8">
        <v>5.0000001192092896</v>
      </c>
      <c r="D173" s="8">
        <v>35</v>
      </c>
      <c r="E173" s="9">
        <f t="shared" si="0"/>
        <v>0.31428571428571428</v>
      </c>
      <c r="F173" s="10">
        <f t="shared" si="1"/>
        <v>0.45454546538266266</v>
      </c>
      <c r="G173" s="10">
        <f t="shared" si="2"/>
        <v>0.14285714626312254</v>
      </c>
      <c r="H173" s="8">
        <v>1269</v>
      </c>
      <c r="I173" s="8">
        <v>592.11112555861473</v>
      </c>
      <c r="J173" s="8">
        <v>1777</v>
      </c>
      <c r="K173" s="11">
        <f t="shared" si="3"/>
        <v>0.71412492965672481</v>
      </c>
      <c r="L173" s="12">
        <f t="shared" si="4"/>
        <v>0.4665966316458745</v>
      </c>
      <c r="M173" s="12">
        <f t="shared" si="5"/>
        <v>0.33320828675217484</v>
      </c>
      <c r="N173" s="9">
        <f t="shared" si="6"/>
        <v>2.3324579516550932</v>
      </c>
      <c r="P173" s="16"/>
      <c r="T173" s="22"/>
      <c r="U173" s="22"/>
      <c r="V173" s="22"/>
      <c r="W173" s="19"/>
    </row>
    <row r="174" spans="1:23" ht="15.75" customHeight="1">
      <c r="A174" s="8">
        <v>40401</v>
      </c>
      <c r="B174" s="8">
        <v>68</v>
      </c>
      <c r="C174" s="8">
        <v>27.666667222976685</v>
      </c>
      <c r="D174" s="8">
        <v>261</v>
      </c>
      <c r="E174" s="9">
        <f t="shared" si="0"/>
        <v>0.26053639846743293</v>
      </c>
      <c r="F174" s="10">
        <f t="shared" si="1"/>
        <v>0.4068627532790689</v>
      </c>
      <c r="G174" s="10">
        <f t="shared" si="2"/>
        <v>0.10600255640987234</v>
      </c>
      <c r="H174" s="8">
        <v>1711</v>
      </c>
      <c r="I174" s="8">
        <v>735.55557373166084</v>
      </c>
      <c r="J174" s="8">
        <v>3582</v>
      </c>
      <c r="K174" s="11">
        <f t="shared" si="3"/>
        <v>0.47766610831937467</v>
      </c>
      <c r="L174" s="12">
        <f t="shared" si="4"/>
        <v>0.42989805595070768</v>
      </c>
      <c r="M174" s="12">
        <f t="shared" si="5"/>
        <v>0.20534773136003934</v>
      </c>
      <c r="N174" s="9">
        <f t="shared" si="6"/>
        <v>1.9371960291791102</v>
      </c>
      <c r="P174" s="16"/>
      <c r="T174" s="22"/>
      <c r="U174" s="22"/>
      <c r="V174" s="22"/>
      <c r="W174" s="19"/>
    </row>
    <row r="175" spans="1:23" ht="15.75" customHeight="1">
      <c r="A175" s="8">
        <v>40402</v>
      </c>
      <c r="B175" s="8">
        <v>104</v>
      </c>
      <c r="C175" s="8">
        <v>48.333334535360336</v>
      </c>
      <c r="D175" s="8">
        <v>332</v>
      </c>
      <c r="E175" s="9">
        <f t="shared" si="0"/>
        <v>0.31325301204819278</v>
      </c>
      <c r="F175" s="10">
        <f t="shared" si="1"/>
        <v>0.46474360130154169</v>
      </c>
      <c r="G175" s="10">
        <f t="shared" si="2"/>
        <v>0.14558233293783235</v>
      </c>
      <c r="H175" s="8">
        <v>2692</v>
      </c>
      <c r="I175" s="8">
        <v>1185.3333627283573</v>
      </c>
      <c r="J175" s="8">
        <v>4734</v>
      </c>
      <c r="K175" s="11">
        <f t="shared" si="3"/>
        <v>0.56865230249260668</v>
      </c>
      <c r="L175" s="12">
        <f t="shared" si="4"/>
        <v>0.4403169995276216</v>
      </c>
      <c r="M175" s="12">
        <f t="shared" si="5"/>
        <v>0.25038727560801805</v>
      </c>
      <c r="N175" s="9">
        <f t="shared" si="6"/>
        <v>1.719901519334357</v>
      </c>
      <c r="P175" s="16"/>
      <c r="T175" s="22"/>
      <c r="U175" s="22"/>
      <c r="V175" s="22"/>
      <c r="W175" s="19"/>
    </row>
    <row r="176" spans="1:23" ht="15.75" customHeight="1">
      <c r="A176" s="8">
        <v>40501</v>
      </c>
      <c r="B176" s="8">
        <v>15</v>
      </c>
      <c r="C176" s="8">
        <v>5.2222223877906799</v>
      </c>
      <c r="D176" s="8">
        <v>170</v>
      </c>
      <c r="E176" s="9">
        <f t="shared" si="0"/>
        <v>8.8235294117647065E-2</v>
      </c>
      <c r="F176" s="10">
        <f t="shared" si="1"/>
        <v>0.3481481591860453</v>
      </c>
      <c r="G176" s="10">
        <f t="shared" si="2"/>
        <v>3.0718955222298117E-2</v>
      </c>
      <c r="H176" s="8">
        <v>27</v>
      </c>
      <c r="I176" s="8">
        <v>9.5555557906627655</v>
      </c>
      <c r="J176" s="8">
        <v>458</v>
      </c>
      <c r="K176" s="11">
        <f t="shared" si="3"/>
        <v>5.8951965065502182E-2</v>
      </c>
      <c r="L176" s="12">
        <f t="shared" si="4"/>
        <v>0.3539094737282506</v>
      </c>
      <c r="M176" s="12">
        <f t="shared" si="5"/>
        <v>2.0863658931578093E-2</v>
      </c>
      <c r="N176" s="9">
        <f t="shared" si="6"/>
        <v>0.67917866283530659</v>
      </c>
      <c r="P176" s="16"/>
      <c r="T176" s="22"/>
      <c r="U176" s="22"/>
      <c r="V176" s="22"/>
      <c r="W176" s="19"/>
    </row>
    <row r="177" spans="1:23" ht="15.75" customHeight="1">
      <c r="A177" s="8">
        <v>40502</v>
      </c>
      <c r="B177" s="8">
        <v>185</v>
      </c>
      <c r="C177" s="8">
        <v>85.111113339662552</v>
      </c>
      <c r="D177" s="8">
        <v>239</v>
      </c>
      <c r="E177" s="9">
        <f t="shared" si="0"/>
        <v>0.77405857740585771</v>
      </c>
      <c r="F177" s="10">
        <f t="shared" si="1"/>
        <v>0.46006007210628408</v>
      </c>
      <c r="G177" s="10">
        <f t="shared" si="2"/>
        <v>0.35611344493582658</v>
      </c>
      <c r="H177" s="8">
        <v>2730</v>
      </c>
      <c r="I177" s="8">
        <v>1243.333363711834</v>
      </c>
      <c r="J177" s="8">
        <v>3931</v>
      </c>
      <c r="K177" s="11">
        <f t="shared" si="3"/>
        <v>0.69447977613838718</v>
      </c>
      <c r="L177" s="12">
        <f t="shared" si="4"/>
        <v>0.45543346656111133</v>
      </c>
      <c r="M177" s="12">
        <f t="shared" si="5"/>
        <v>0.31628933190329023</v>
      </c>
      <c r="N177" s="9">
        <f t="shared" si="6"/>
        <v>0.88817015027412727</v>
      </c>
      <c r="P177" s="16"/>
      <c r="T177" s="22"/>
      <c r="U177" s="22"/>
      <c r="V177" s="22"/>
      <c r="W177" s="19"/>
    </row>
    <row r="178" spans="1:23" ht="15.75" customHeight="1">
      <c r="A178" s="8">
        <v>40503</v>
      </c>
      <c r="B178" s="8">
        <v>74</v>
      </c>
      <c r="C178" s="8">
        <v>29.333333790302277</v>
      </c>
      <c r="D178" s="8">
        <v>128</v>
      </c>
      <c r="E178" s="9">
        <f t="shared" si="0"/>
        <v>0.578125</v>
      </c>
      <c r="F178" s="10">
        <f t="shared" si="1"/>
        <v>0.39639640257165237</v>
      </c>
      <c r="G178" s="10">
        <f t="shared" si="2"/>
        <v>0.22916667023673654</v>
      </c>
      <c r="H178" s="8">
        <v>1137</v>
      </c>
      <c r="I178" s="8">
        <v>518.11112466454506</v>
      </c>
      <c r="J178" s="8">
        <v>1797</v>
      </c>
      <c r="K178" s="11">
        <f t="shared" si="3"/>
        <v>0.63272120200333892</v>
      </c>
      <c r="L178" s="12">
        <f t="shared" si="4"/>
        <v>0.45568260744463068</v>
      </c>
      <c r="M178" s="12">
        <f t="shared" si="5"/>
        <v>0.28832004711438236</v>
      </c>
      <c r="N178" s="9">
        <f t="shared" si="6"/>
        <v>1.2581238223540032</v>
      </c>
      <c r="P178" s="16"/>
      <c r="T178" s="22"/>
      <c r="U178" s="22"/>
      <c r="V178" s="22"/>
      <c r="W178" s="19"/>
    </row>
    <row r="179" spans="1:23" ht="15.75" customHeight="1">
      <c r="A179" s="8">
        <v>40504</v>
      </c>
      <c r="B179" s="8">
        <v>4</v>
      </c>
      <c r="C179" s="8">
        <v>1.6666666865348816</v>
      </c>
      <c r="D179" s="8">
        <v>10</v>
      </c>
      <c r="E179" s="9">
        <f t="shared" si="0"/>
        <v>0.4</v>
      </c>
      <c r="F179" s="10">
        <f t="shared" si="1"/>
        <v>0.4166666716337204</v>
      </c>
      <c r="G179" s="10">
        <f t="shared" si="2"/>
        <v>0.16666666865348817</v>
      </c>
      <c r="H179" s="8">
        <v>308</v>
      </c>
      <c r="I179" s="8">
        <v>128.8888920545578</v>
      </c>
      <c r="J179" s="8">
        <v>502</v>
      </c>
      <c r="K179" s="11">
        <f t="shared" si="3"/>
        <v>0.61354581673306774</v>
      </c>
      <c r="L179" s="12">
        <f t="shared" si="4"/>
        <v>0.41847042874856427</v>
      </c>
      <c r="M179" s="12">
        <f t="shared" si="5"/>
        <v>0.2567507809851749</v>
      </c>
      <c r="N179" s="9">
        <f t="shared" si="6"/>
        <v>1.5405046675468026</v>
      </c>
      <c r="P179" s="16"/>
      <c r="T179" s="22"/>
      <c r="U179" s="22"/>
      <c r="V179" s="22"/>
      <c r="W179" s="19"/>
    </row>
    <row r="180" spans="1:23" ht="15.75" customHeight="1">
      <c r="A180" s="8">
        <v>40505</v>
      </c>
      <c r="B180" s="8">
        <v>28</v>
      </c>
      <c r="C180" s="8">
        <v>10.333333611488342</v>
      </c>
      <c r="D180" s="8">
        <v>101</v>
      </c>
      <c r="E180" s="9">
        <f t="shared" si="0"/>
        <v>0.27722772277227725</v>
      </c>
      <c r="F180" s="10">
        <f t="shared" si="1"/>
        <v>0.36904762898172649</v>
      </c>
      <c r="G180" s="10">
        <f t="shared" si="2"/>
        <v>0.10231023377711231</v>
      </c>
      <c r="H180" s="8">
        <v>916</v>
      </c>
      <c r="I180" s="8">
        <v>385.33334350585938</v>
      </c>
      <c r="J180" s="8">
        <v>2554</v>
      </c>
      <c r="K180" s="11">
        <f t="shared" si="3"/>
        <v>0.35865309318715738</v>
      </c>
      <c r="L180" s="12">
        <f t="shared" si="4"/>
        <v>0.4206695889801958</v>
      </c>
      <c r="M180" s="12">
        <f t="shared" si="5"/>
        <v>0.15087444929751737</v>
      </c>
      <c r="N180" s="9">
        <f t="shared" si="6"/>
        <v>1.4746760292445866</v>
      </c>
      <c r="P180" s="16"/>
      <c r="T180" s="22"/>
      <c r="U180" s="22"/>
      <c r="V180" s="22"/>
      <c r="W180" s="19"/>
    </row>
    <row r="181" spans="1:23" ht="15.75" customHeight="1">
      <c r="A181" s="8">
        <v>40601</v>
      </c>
      <c r="B181" s="8">
        <v>346</v>
      </c>
      <c r="C181" s="8">
        <v>140.55555894970894</v>
      </c>
      <c r="D181" s="8">
        <v>807</v>
      </c>
      <c r="E181" s="9">
        <f t="shared" si="0"/>
        <v>0.42874845105328374</v>
      </c>
      <c r="F181" s="10">
        <f t="shared" si="1"/>
        <v>0.40622993916100847</v>
      </c>
      <c r="G181" s="10">
        <f t="shared" si="2"/>
        <v>0.17417045718675206</v>
      </c>
      <c r="H181" s="8">
        <v>2261</v>
      </c>
      <c r="I181" s="8">
        <v>944.00002199411392</v>
      </c>
      <c r="J181" s="8">
        <v>6264</v>
      </c>
      <c r="K181" s="11">
        <f t="shared" si="3"/>
        <v>0.36095146871008937</v>
      </c>
      <c r="L181" s="12">
        <f t="shared" si="4"/>
        <v>0.41751438389832546</v>
      </c>
      <c r="M181" s="12">
        <f t="shared" si="5"/>
        <v>0.15070243007568868</v>
      </c>
      <c r="N181" s="9">
        <f t="shared" si="6"/>
        <v>0.86525827921608955</v>
      </c>
      <c r="P181" s="16"/>
      <c r="T181" s="22"/>
      <c r="U181" s="22"/>
      <c r="V181" s="22"/>
      <c r="W181" s="19"/>
    </row>
    <row r="182" spans="1:23" ht="15.75" customHeight="1">
      <c r="A182" s="8">
        <v>40602</v>
      </c>
      <c r="B182" s="8">
        <v>187</v>
      </c>
      <c r="C182" s="8">
        <v>76.222223907709122</v>
      </c>
      <c r="D182" s="8">
        <v>583</v>
      </c>
      <c r="E182" s="9">
        <f t="shared" si="0"/>
        <v>0.32075471698113206</v>
      </c>
      <c r="F182" s="10">
        <f t="shared" si="1"/>
        <v>0.40760547544229475</v>
      </c>
      <c r="G182" s="10">
        <f t="shared" si="2"/>
        <v>0.13074137891545304</v>
      </c>
      <c r="H182" s="8">
        <v>1875</v>
      </c>
      <c r="I182" s="8">
        <v>786.22224146127701</v>
      </c>
      <c r="J182" s="8">
        <v>5267</v>
      </c>
      <c r="K182" s="11">
        <f t="shared" si="3"/>
        <v>0.3559901272071388</v>
      </c>
      <c r="L182" s="12">
        <f t="shared" si="4"/>
        <v>0.41931852877934772</v>
      </c>
      <c r="M182" s="12">
        <f t="shared" si="5"/>
        <v>0.14927325640047029</v>
      </c>
      <c r="N182" s="9">
        <f t="shared" si="6"/>
        <v>1.1417445466672134</v>
      </c>
      <c r="P182" s="16"/>
      <c r="T182" s="22"/>
      <c r="U182" s="22"/>
      <c r="V182" s="22"/>
      <c r="W182" s="19"/>
    </row>
    <row r="183" spans="1:23" ht="15.75" customHeight="1">
      <c r="A183" s="8">
        <v>40603</v>
      </c>
      <c r="B183" s="8">
        <v>89</v>
      </c>
      <c r="C183" s="8">
        <v>35.111111879348755</v>
      </c>
      <c r="D183" s="8">
        <v>430</v>
      </c>
      <c r="E183" s="9">
        <f t="shared" si="0"/>
        <v>0.2069767441860465</v>
      </c>
      <c r="F183" s="10">
        <f t="shared" si="1"/>
        <v>0.39450687504886239</v>
      </c>
      <c r="G183" s="10">
        <f t="shared" si="2"/>
        <v>8.1653748556625008E-2</v>
      </c>
      <c r="H183" s="8">
        <v>831</v>
      </c>
      <c r="I183" s="8">
        <v>347.00000858306885</v>
      </c>
      <c r="J183" s="8">
        <v>2739</v>
      </c>
      <c r="K183" s="11">
        <f t="shared" si="3"/>
        <v>0.30339539978094193</v>
      </c>
      <c r="L183" s="12">
        <f t="shared" si="4"/>
        <v>0.41756920407108167</v>
      </c>
      <c r="M183" s="12">
        <f t="shared" si="5"/>
        <v>0.12668857560535554</v>
      </c>
      <c r="N183" s="9">
        <f t="shared" si="6"/>
        <v>1.5515341040038095</v>
      </c>
      <c r="P183" s="16"/>
      <c r="T183" s="22"/>
      <c r="U183" s="22"/>
      <c r="V183" s="22"/>
      <c r="W183" s="19"/>
    </row>
    <row r="184" spans="1:23" ht="15.75" customHeight="1">
      <c r="A184" s="8">
        <v>40701</v>
      </c>
      <c r="B184" s="8">
        <v>332</v>
      </c>
      <c r="C184" s="8">
        <v>131.88889238238335</v>
      </c>
      <c r="D184" s="8">
        <v>1472</v>
      </c>
      <c r="E184" s="9">
        <f t="shared" si="0"/>
        <v>0.22554347826086957</v>
      </c>
      <c r="F184" s="10">
        <f t="shared" si="1"/>
        <v>0.39725569994693777</v>
      </c>
      <c r="G184" s="10">
        <f t="shared" si="2"/>
        <v>8.959843232498868E-2</v>
      </c>
      <c r="H184" s="8">
        <v>4137</v>
      </c>
      <c r="I184" s="8">
        <v>1658.111152023077</v>
      </c>
      <c r="J184" s="8">
        <v>22544</v>
      </c>
      <c r="K184" s="11">
        <f t="shared" si="3"/>
        <v>0.18350780695528743</v>
      </c>
      <c r="L184" s="12">
        <f t="shared" si="4"/>
        <v>0.40080037515665384</v>
      </c>
      <c r="M184" s="12">
        <f t="shared" si="5"/>
        <v>7.3549997871854011E-2</v>
      </c>
      <c r="N184" s="9">
        <f t="shared" si="6"/>
        <v>0.82088487447052327</v>
      </c>
      <c r="P184" s="16"/>
      <c r="T184" s="22"/>
      <c r="U184" s="22"/>
      <c r="V184" s="22"/>
      <c r="W184" s="19"/>
    </row>
    <row r="185" spans="1:23" ht="15.75" customHeight="1">
      <c r="A185" s="8">
        <v>40702</v>
      </c>
      <c r="B185" s="8">
        <v>92</v>
      </c>
      <c r="C185" s="8">
        <v>42.555556774139404</v>
      </c>
      <c r="D185" s="8">
        <v>370</v>
      </c>
      <c r="E185" s="9">
        <f t="shared" si="0"/>
        <v>0.24864864864864866</v>
      </c>
      <c r="F185" s="10">
        <f t="shared" si="1"/>
        <v>0.46256039971890656</v>
      </c>
      <c r="G185" s="10">
        <f t="shared" si="2"/>
        <v>0.11501501830848487</v>
      </c>
      <c r="H185" s="8">
        <v>1020</v>
      </c>
      <c r="I185" s="8">
        <v>413.22223192453384</v>
      </c>
      <c r="J185" s="8">
        <v>4281</v>
      </c>
      <c r="K185" s="11">
        <f t="shared" si="3"/>
        <v>0.23826208829712683</v>
      </c>
      <c r="L185" s="12">
        <f t="shared" si="4"/>
        <v>0.40511983522013123</v>
      </c>
      <c r="M185" s="12">
        <f t="shared" si="5"/>
        <v>9.6524697950136379E-2</v>
      </c>
      <c r="N185" s="9">
        <f t="shared" si="6"/>
        <v>0.83923560044345591</v>
      </c>
      <c r="P185" s="16"/>
      <c r="T185" s="22"/>
      <c r="U185" s="22"/>
      <c r="V185" s="22"/>
      <c r="W185" s="19"/>
    </row>
    <row r="186" spans="1:23" ht="15.75" customHeight="1">
      <c r="A186" s="8">
        <v>40801</v>
      </c>
      <c r="B186" s="8">
        <v>566</v>
      </c>
      <c r="C186" s="8">
        <v>228.44445005059242</v>
      </c>
      <c r="D186" s="8">
        <v>1017</v>
      </c>
      <c r="E186" s="9">
        <f t="shared" si="0"/>
        <v>0.55653883972468043</v>
      </c>
      <c r="F186" s="10">
        <f t="shared" si="1"/>
        <v>0.40361210256288416</v>
      </c>
      <c r="G186" s="10">
        <f t="shared" si="2"/>
        <v>0.22462581125918626</v>
      </c>
      <c r="H186" s="8">
        <v>5820</v>
      </c>
      <c r="I186" s="8">
        <v>2462.1111714839935</v>
      </c>
      <c r="J186" s="8">
        <v>10550</v>
      </c>
      <c r="K186" s="11">
        <f t="shared" si="3"/>
        <v>0.55165876777251188</v>
      </c>
      <c r="L186" s="12">
        <f t="shared" si="4"/>
        <v>0.42304315661237002</v>
      </c>
      <c r="M186" s="12">
        <f t="shared" si="5"/>
        <v>0.23337546649137381</v>
      </c>
      <c r="N186" s="9">
        <f t="shared" si="6"/>
        <v>1.0389521363691001</v>
      </c>
      <c r="P186" s="16"/>
      <c r="T186" s="22"/>
      <c r="U186" s="22"/>
      <c r="V186" s="22"/>
      <c r="W186" s="19"/>
    </row>
    <row r="187" spans="1:23" ht="15.75" customHeight="1">
      <c r="A187" s="8">
        <v>40802</v>
      </c>
      <c r="B187" s="8">
        <v>70</v>
      </c>
      <c r="C187" s="8">
        <v>27.666667312383652</v>
      </c>
      <c r="D187" s="8">
        <v>136</v>
      </c>
      <c r="E187" s="9">
        <f t="shared" si="0"/>
        <v>0.51470588235294112</v>
      </c>
      <c r="F187" s="10">
        <f t="shared" si="1"/>
        <v>0.39523810446262359</v>
      </c>
      <c r="G187" s="10">
        <f t="shared" si="2"/>
        <v>0.20343137729693858</v>
      </c>
      <c r="H187" s="8">
        <v>1646</v>
      </c>
      <c r="I187" s="8">
        <v>724.77779561281204</v>
      </c>
      <c r="J187" s="8">
        <v>2769</v>
      </c>
      <c r="K187" s="11">
        <f t="shared" si="3"/>
        <v>0.59443842542434089</v>
      </c>
      <c r="L187" s="12">
        <f t="shared" si="4"/>
        <v>0.44032672880486756</v>
      </c>
      <c r="M187" s="12">
        <f t="shared" si="5"/>
        <v>0.26174712734301625</v>
      </c>
      <c r="N187" s="9">
        <f t="shared" si="6"/>
        <v>1.2866605477529511</v>
      </c>
      <c r="P187" s="16"/>
      <c r="T187" s="22"/>
      <c r="U187" s="22"/>
      <c r="V187" s="22"/>
      <c r="W187" s="19"/>
    </row>
    <row r="188" spans="1:23" ht="15.75" customHeight="1">
      <c r="A188" s="8">
        <v>40901</v>
      </c>
      <c r="B188" s="8">
        <v>318</v>
      </c>
      <c r="C188" s="8">
        <v>132.2222256064415</v>
      </c>
      <c r="D188" s="8">
        <v>734</v>
      </c>
      <c r="E188" s="9">
        <f t="shared" si="0"/>
        <v>0.43324250681198911</v>
      </c>
      <c r="F188" s="10">
        <f t="shared" si="1"/>
        <v>0.41579316228440721</v>
      </c>
      <c r="G188" s="10">
        <f t="shared" si="2"/>
        <v>0.18013927194338078</v>
      </c>
      <c r="H188" s="8">
        <v>3216</v>
      </c>
      <c r="I188" s="8">
        <v>1357.6667001545429</v>
      </c>
      <c r="J188" s="8">
        <v>6859</v>
      </c>
      <c r="K188" s="11">
        <f t="shared" si="3"/>
        <v>0.46887301355882782</v>
      </c>
      <c r="L188" s="12">
        <f t="shared" si="4"/>
        <v>0.42216004358039272</v>
      </c>
      <c r="M188" s="12">
        <f t="shared" si="5"/>
        <v>0.19793945183766481</v>
      </c>
      <c r="N188" s="9">
        <f t="shared" si="6"/>
        <v>1.0988134330857005</v>
      </c>
      <c r="P188" s="16"/>
      <c r="T188" s="22"/>
      <c r="U188" s="22"/>
      <c r="V188" s="22"/>
      <c r="W188" s="19"/>
    </row>
    <row r="189" spans="1:23" ht="15.75" customHeight="1">
      <c r="A189" s="8">
        <v>40902</v>
      </c>
      <c r="B189" s="8">
        <v>28</v>
      </c>
      <c r="C189" s="8">
        <v>11.555555999279022</v>
      </c>
      <c r="D189" s="8">
        <v>96</v>
      </c>
      <c r="E189" s="9">
        <f t="shared" si="0"/>
        <v>0.29166666666666669</v>
      </c>
      <c r="F189" s="10">
        <f t="shared" si="1"/>
        <v>0.41269842854567934</v>
      </c>
      <c r="G189" s="10">
        <f t="shared" si="2"/>
        <v>0.12037037499248981</v>
      </c>
      <c r="H189" s="8">
        <v>428</v>
      </c>
      <c r="I189" s="8">
        <v>183.22222715616226</v>
      </c>
      <c r="J189" s="8">
        <v>751</v>
      </c>
      <c r="K189" s="11">
        <f t="shared" si="3"/>
        <v>0.56990679094540608</v>
      </c>
      <c r="L189" s="12">
        <f t="shared" si="4"/>
        <v>0.42808931578542586</v>
      </c>
      <c r="M189" s="12">
        <f t="shared" si="5"/>
        <v>0.24397100819728662</v>
      </c>
      <c r="N189" s="9">
        <f t="shared" si="6"/>
        <v>2.0268359902717634</v>
      </c>
      <c r="P189" s="16"/>
      <c r="T189" s="22"/>
      <c r="U189" s="22"/>
      <c r="V189" s="22"/>
      <c r="W189" s="19"/>
    </row>
    <row r="190" spans="1:23" ht="15.75" customHeight="1">
      <c r="A190" s="8">
        <v>40903</v>
      </c>
      <c r="B190" s="8">
        <v>17</v>
      </c>
      <c r="C190" s="8">
        <v>6.8888890743255615</v>
      </c>
      <c r="D190" s="8">
        <v>77</v>
      </c>
      <c r="E190" s="9">
        <f t="shared" si="0"/>
        <v>0.22077922077922077</v>
      </c>
      <c r="F190" s="10">
        <f t="shared" si="1"/>
        <v>0.40522876907797423</v>
      </c>
      <c r="G190" s="10">
        <f t="shared" si="2"/>
        <v>8.9466091874357945E-2</v>
      </c>
      <c r="H190" s="8">
        <v>958</v>
      </c>
      <c r="I190" s="8">
        <v>420.00001075863838</v>
      </c>
      <c r="J190" s="8">
        <v>1787</v>
      </c>
      <c r="K190" s="11">
        <f t="shared" si="3"/>
        <v>0.53609401231113596</v>
      </c>
      <c r="L190" s="12">
        <f t="shared" si="4"/>
        <v>0.43841337239941375</v>
      </c>
      <c r="M190" s="12">
        <f t="shared" si="5"/>
        <v>0.23503078386045795</v>
      </c>
      <c r="N190" s="9">
        <f t="shared" si="6"/>
        <v>2.6270375617896033</v>
      </c>
      <c r="P190" s="16"/>
      <c r="T190" s="22"/>
      <c r="U190" s="22"/>
      <c r="V190" s="22"/>
      <c r="W190" s="19"/>
    </row>
    <row r="191" spans="1:23" ht="15.75" customHeight="1">
      <c r="A191" s="8">
        <v>41001</v>
      </c>
      <c r="B191" s="8">
        <v>379</v>
      </c>
      <c r="C191" s="8">
        <v>168.22222593426704</v>
      </c>
      <c r="D191" s="8">
        <v>565</v>
      </c>
      <c r="E191" s="9">
        <f t="shared" si="0"/>
        <v>0.67079646017699113</v>
      </c>
      <c r="F191" s="10">
        <f t="shared" si="1"/>
        <v>0.44385811592154895</v>
      </c>
      <c r="G191" s="10">
        <f t="shared" si="2"/>
        <v>0.2977384529810036</v>
      </c>
      <c r="H191" s="8">
        <v>7013</v>
      </c>
      <c r="I191" s="8">
        <v>3247.7778516411781</v>
      </c>
      <c r="J191" s="8">
        <v>9285</v>
      </c>
      <c r="K191" s="11">
        <f t="shared" si="3"/>
        <v>0.75530425417339797</v>
      </c>
      <c r="L191" s="12">
        <f t="shared" si="4"/>
        <v>0.46310820642252648</v>
      </c>
      <c r="M191" s="12">
        <f t="shared" si="5"/>
        <v>0.3497875984535464</v>
      </c>
      <c r="N191" s="9">
        <f t="shared" si="6"/>
        <v>1.1748149926602314</v>
      </c>
      <c r="P191" s="16"/>
      <c r="T191" s="22"/>
      <c r="U191" s="22"/>
      <c r="V191" s="22"/>
      <c r="W191" s="19"/>
    </row>
    <row r="192" spans="1:23" ht="15.75" customHeight="1">
      <c r="A192" s="8">
        <v>41101</v>
      </c>
      <c r="B192" s="8">
        <v>142</v>
      </c>
      <c r="C192" s="8">
        <v>59.555557072162628</v>
      </c>
      <c r="D192" s="8">
        <v>463</v>
      </c>
      <c r="E192" s="9">
        <f t="shared" si="0"/>
        <v>0.30669546436285094</v>
      </c>
      <c r="F192" s="10">
        <f t="shared" si="1"/>
        <v>0.41940533149410303</v>
      </c>
      <c r="G192" s="10">
        <f t="shared" si="2"/>
        <v>0.12862971289883937</v>
      </c>
      <c r="H192" s="8">
        <v>1919</v>
      </c>
      <c r="I192" s="8">
        <v>813.1111313700676</v>
      </c>
      <c r="J192" s="8">
        <v>4688</v>
      </c>
      <c r="K192" s="11">
        <f t="shared" si="3"/>
        <v>0.40934300341296931</v>
      </c>
      <c r="L192" s="12">
        <f t="shared" si="4"/>
        <v>0.42371606637314624</v>
      </c>
      <c r="M192" s="12">
        <f t="shared" si="5"/>
        <v>0.17344520720351272</v>
      </c>
      <c r="N192" s="9">
        <f t="shared" si="6"/>
        <v>1.3484070149477705</v>
      </c>
      <c r="P192" s="16"/>
      <c r="T192" s="22"/>
      <c r="U192" s="22"/>
      <c r="V192" s="22"/>
      <c r="W192" s="19"/>
    </row>
    <row r="193" spans="1:23" ht="15.75" customHeight="1">
      <c r="A193" s="8">
        <v>41201</v>
      </c>
      <c r="B193" s="8">
        <v>166</v>
      </c>
      <c r="C193" s="8">
        <v>73.555557399988174</v>
      </c>
      <c r="D193" s="8">
        <v>291</v>
      </c>
      <c r="E193" s="9">
        <f t="shared" si="0"/>
        <v>0.57044673539518898</v>
      </c>
      <c r="F193" s="10">
        <f t="shared" si="1"/>
        <v>0.44310576746980829</v>
      </c>
      <c r="G193" s="10">
        <f t="shared" si="2"/>
        <v>0.25276823848793184</v>
      </c>
      <c r="H193" s="8">
        <v>3424</v>
      </c>
      <c r="I193" s="8">
        <v>1529.5555910468102</v>
      </c>
      <c r="J193" s="8">
        <v>4763</v>
      </c>
      <c r="K193" s="11">
        <f t="shared" si="3"/>
        <v>0.71887465882846946</v>
      </c>
      <c r="L193" s="12">
        <f t="shared" si="4"/>
        <v>0.44671600205806372</v>
      </c>
      <c r="M193" s="12">
        <f t="shared" si="5"/>
        <v>0.3211328135727084</v>
      </c>
      <c r="N193" s="9">
        <f t="shared" si="6"/>
        <v>1.2704634707815181</v>
      </c>
      <c r="P193" s="16"/>
      <c r="T193" s="22"/>
      <c r="U193" s="22"/>
      <c r="V193" s="22"/>
      <c r="W193" s="19"/>
    </row>
    <row r="194" spans="1:23" ht="15.75" customHeight="1">
      <c r="A194" s="8">
        <v>41202</v>
      </c>
      <c r="B194" s="8">
        <v>102</v>
      </c>
      <c r="C194" s="8">
        <v>38.888889878988266</v>
      </c>
      <c r="D194" s="8">
        <v>207</v>
      </c>
      <c r="E194" s="9">
        <f t="shared" si="0"/>
        <v>0.49275362318840582</v>
      </c>
      <c r="F194" s="10">
        <f t="shared" si="1"/>
        <v>0.38126362626459082</v>
      </c>
      <c r="G194" s="10">
        <f t="shared" si="2"/>
        <v>0.18786903323182735</v>
      </c>
      <c r="H194" s="8">
        <v>1110</v>
      </c>
      <c r="I194" s="8">
        <v>466.77778849005699</v>
      </c>
      <c r="J194" s="8">
        <v>1750</v>
      </c>
      <c r="K194" s="11">
        <f t="shared" si="3"/>
        <v>0.63428571428571423</v>
      </c>
      <c r="L194" s="12">
        <f t="shared" si="4"/>
        <v>0.42052053017122254</v>
      </c>
      <c r="M194" s="12">
        <f t="shared" si="5"/>
        <v>0.26673016485146112</v>
      </c>
      <c r="N194" s="9">
        <f t="shared" si="6"/>
        <v>1.4197665270482358</v>
      </c>
      <c r="P194" s="16"/>
      <c r="T194" s="22"/>
      <c r="U194" s="22"/>
      <c r="V194" s="22"/>
      <c r="W194" s="19"/>
    </row>
    <row r="195" spans="1:23" ht="15.75" customHeight="1">
      <c r="A195" s="8">
        <v>41301</v>
      </c>
      <c r="B195" s="8">
        <v>160</v>
      </c>
      <c r="C195" s="8">
        <v>69.111112743616104</v>
      </c>
      <c r="D195" s="8">
        <v>251</v>
      </c>
      <c r="E195" s="9">
        <f t="shared" si="0"/>
        <v>0.63745019920318724</v>
      </c>
      <c r="F195" s="10">
        <f t="shared" si="1"/>
        <v>0.43194445464760067</v>
      </c>
      <c r="G195" s="10">
        <f t="shared" si="2"/>
        <v>0.2753430786598251</v>
      </c>
      <c r="H195" s="8">
        <v>3726</v>
      </c>
      <c r="I195" s="8">
        <v>1703.8889285326004</v>
      </c>
      <c r="J195" s="8">
        <v>5129</v>
      </c>
      <c r="K195" s="11">
        <f t="shared" si="3"/>
        <v>0.726457399103139</v>
      </c>
      <c r="L195" s="12">
        <f t="shared" si="4"/>
        <v>0.45729708226854549</v>
      </c>
      <c r="M195" s="12">
        <f t="shared" si="5"/>
        <v>0.33220684900226172</v>
      </c>
      <c r="N195" s="9">
        <f t="shared" si="6"/>
        <v>1.2065197012367594</v>
      </c>
      <c r="P195" s="16"/>
      <c r="T195" s="22"/>
      <c r="U195" s="22"/>
      <c r="V195" s="22"/>
      <c r="W195" s="19"/>
    </row>
    <row r="196" spans="1:23" ht="15.75" customHeight="1">
      <c r="A196" s="8">
        <v>41401</v>
      </c>
      <c r="B196" s="8">
        <v>310</v>
      </c>
      <c r="C196" s="8">
        <v>125.88889169692993</v>
      </c>
      <c r="D196" s="8">
        <v>984</v>
      </c>
      <c r="E196" s="9">
        <f t="shared" si="0"/>
        <v>0.31504065040650409</v>
      </c>
      <c r="F196" s="10">
        <f t="shared" si="1"/>
        <v>0.40609319902235463</v>
      </c>
      <c r="G196" s="10">
        <f t="shared" si="2"/>
        <v>0.12793586554566053</v>
      </c>
      <c r="H196" s="8">
        <v>6573</v>
      </c>
      <c r="I196" s="8">
        <v>3068.2222988009453</v>
      </c>
      <c r="J196" s="8">
        <v>11938</v>
      </c>
      <c r="K196" s="11">
        <f t="shared" si="3"/>
        <v>0.55059473948735127</v>
      </c>
      <c r="L196" s="12">
        <f t="shared" si="4"/>
        <v>0.46679176917707976</v>
      </c>
      <c r="M196" s="12">
        <f t="shared" si="5"/>
        <v>0.25701309254489402</v>
      </c>
      <c r="N196" s="9">
        <f t="shared" si="6"/>
        <v>2.0089213564054531</v>
      </c>
      <c r="P196" s="16"/>
      <c r="T196" s="22"/>
      <c r="U196" s="22"/>
      <c r="V196" s="22"/>
      <c r="W196" s="19"/>
    </row>
    <row r="197" spans="1:23" ht="15.75" customHeight="1">
      <c r="A197" s="8">
        <v>41501</v>
      </c>
      <c r="B197" s="8">
        <v>13</v>
      </c>
      <c r="C197" s="8">
        <v>6.3333335816860199</v>
      </c>
      <c r="D197" s="8">
        <v>40</v>
      </c>
      <c r="E197" s="9">
        <f t="shared" si="0"/>
        <v>0.32500000000000001</v>
      </c>
      <c r="F197" s="10">
        <f t="shared" si="1"/>
        <v>0.48717950628354001</v>
      </c>
      <c r="G197" s="10">
        <f t="shared" si="2"/>
        <v>0.15833333954215051</v>
      </c>
      <c r="H197" s="8">
        <v>335</v>
      </c>
      <c r="I197" s="8">
        <v>149.11111479997635</v>
      </c>
      <c r="J197" s="8">
        <v>463</v>
      </c>
      <c r="K197" s="11">
        <f t="shared" si="3"/>
        <v>0.72354211663066959</v>
      </c>
      <c r="L197" s="12">
        <f t="shared" si="4"/>
        <v>0.44510780537306371</v>
      </c>
      <c r="M197" s="12">
        <f t="shared" si="5"/>
        <v>0.32205424362845864</v>
      </c>
      <c r="N197" s="9">
        <f t="shared" si="6"/>
        <v>2.0340267221024755</v>
      </c>
      <c r="P197" s="16"/>
      <c r="T197" s="22"/>
      <c r="U197" s="22"/>
      <c r="V197" s="22"/>
      <c r="W197" s="19"/>
    </row>
    <row r="198" spans="1:23" ht="15.75" customHeight="1">
      <c r="A198" s="8">
        <v>41502</v>
      </c>
      <c r="B198" s="8">
        <v>12</v>
      </c>
      <c r="C198" s="8">
        <v>5.0000000596046448</v>
      </c>
      <c r="D198" s="8">
        <v>27</v>
      </c>
      <c r="E198" s="9">
        <f t="shared" si="0"/>
        <v>0.44444444444444442</v>
      </c>
      <c r="F198" s="10">
        <f t="shared" si="1"/>
        <v>0.4166666716337204</v>
      </c>
      <c r="G198" s="10">
        <f t="shared" si="2"/>
        <v>0.1851851873927646</v>
      </c>
      <c r="H198" s="8">
        <v>456</v>
      </c>
      <c r="I198" s="8">
        <v>212.66667181253433</v>
      </c>
      <c r="J198" s="8">
        <v>625</v>
      </c>
      <c r="K198" s="11">
        <f t="shared" si="3"/>
        <v>0.72960000000000003</v>
      </c>
      <c r="L198" s="12">
        <f t="shared" si="4"/>
        <v>0.46637428029064548</v>
      </c>
      <c r="M198" s="12">
        <f t="shared" si="5"/>
        <v>0.34026667490005497</v>
      </c>
      <c r="N198" s="9">
        <f t="shared" si="6"/>
        <v>1.837440022556305</v>
      </c>
      <c r="P198" s="16"/>
      <c r="T198" s="22"/>
      <c r="U198" s="22"/>
      <c r="V198" s="22"/>
      <c r="W198" s="19"/>
    </row>
    <row r="199" spans="1:23" ht="15.75" customHeight="1">
      <c r="A199" s="8">
        <v>41503</v>
      </c>
      <c r="B199" s="8">
        <v>26</v>
      </c>
      <c r="C199" s="8">
        <v>13.222222626209259</v>
      </c>
      <c r="D199" s="8">
        <v>29</v>
      </c>
      <c r="E199" s="9">
        <f t="shared" si="0"/>
        <v>0.89655172413793105</v>
      </c>
      <c r="F199" s="10">
        <f t="shared" si="1"/>
        <v>0.50854702408497154</v>
      </c>
      <c r="G199" s="10">
        <f t="shared" si="2"/>
        <v>0.4559387112485952</v>
      </c>
      <c r="H199" s="8">
        <v>596</v>
      </c>
      <c r="I199" s="8">
        <v>274.88889583945274</v>
      </c>
      <c r="J199" s="8">
        <v>793</v>
      </c>
      <c r="K199" s="11">
        <f t="shared" si="3"/>
        <v>0.75157629255989911</v>
      </c>
      <c r="L199" s="12">
        <f t="shared" si="4"/>
        <v>0.46122297959639724</v>
      </c>
      <c r="M199" s="12">
        <f t="shared" si="5"/>
        <v>0.34664425704849022</v>
      </c>
      <c r="N199" s="9">
        <f t="shared" si="6"/>
        <v>0.7602869607171534</v>
      </c>
      <c r="P199" s="16"/>
      <c r="T199" s="22"/>
      <c r="U199" s="22"/>
      <c r="V199" s="22"/>
      <c r="W199" s="19"/>
    </row>
    <row r="200" spans="1:23" ht="15.75" customHeight="1">
      <c r="A200" s="8">
        <v>41601</v>
      </c>
      <c r="B200" s="8">
        <v>161</v>
      </c>
      <c r="C200" s="8">
        <v>71.555557131767273</v>
      </c>
      <c r="D200" s="8">
        <v>236</v>
      </c>
      <c r="E200" s="9">
        <f t="shared" si="0"/>
        <v>0.68220338983050843</v>
      </c>
      <c r="F200" s="10">
        <f t="shared" si="1"/>
        <v>0.44444445423457934</v>
      </c>
      <c r="G200" s="10">
        <f t="shared" si="2"/>
        <v>0.30320151327020028</v>
      </c>
      <c r="H200" s="8">
        <v>3945</v>
      </c>
      <c r="I200" s="8">
        <v>1817.8889304995537</v>
      </c>
      <c r="J200" s="8">
        <v>5146</v>
      </c>
      <c r="K200" s="11">
        <f t="shared" si="3"/>
        <v>0.76661484648270506</v>
      </c>
      <c r="L200" s="12">
        <f t="shared" si="4"/>
        <v>0.46080834740166127</v>
      </c>
      <c r="M200" s="12">
        <f t="shared" si="5"/>
        <v>0.35326252050127355</v>
      </c>
      <c r="N200" s="9">
        <f t="shared" si="6"/>
        <v>1.1651080388456407</v>
      </c>
      <c r="P200" s="16"/>
      <c r="T200" s="22"/>
      <c r="U200" s="22"/>
      <c r="V200" s="22"/>
      <c r="W200" s="19"/>
    </row>
    <row r="201" spans="1:23" ht="15.75" customHeight="1">
      <c r="A201" s="8">
        <v>50101</v>
      </c>
      <c r="B201" s="8">
        <v>2459</v>
      </c>
      <c r="C201" s="8">
        <v>1017.6666923761368</v>
      </c>
      <c r="D201" s="8">
        <v>13609</v>
      </c>
      <c r="E201" s="9">
        <f t="shared" si="0"/>
        <v>0.18068924976118744</v>
      </c>
      <c r="F201" s="10">
        <f t="shared" si="1"/>
        <v>0.41385388059216621</v>
      </c>
      <c r="G201" s="10">
        <f t="shared" si="2"/>
        <v>7.4778947194954565E-2</v>
      </c>
      <c r="H201" s="8">
        <v>20637</v>
      </c>
      <c r="I201" s="8">
        <v>8507.1113299429417</v>
      </c>
      <c r="J201" s="8">
        <v>171382</v>
      </c>
      <c r="K201" s="11">
        <f t="shared" si="3"/>
        <v>0.12041521279947719</v>
      </c>
      <c r="L201" s="12">
        <f t="shared" si="4"/>
        <v>0.41222616319925093</v>
      </c>
      <c r="M201" s="12">
        <f t="shared" si="5"/>
        <v>4.9638301163149809E-2</v>
      </c>
      <c r="N201" s="9">
        <f t="shared" si="6"/>
        <v>0.66380048162136962</v>
      </c>
      <c r="P201" s="16"/>
      <c r="T201" s="22"/>
      <c r="U201" s="22"/>
      <c r="V201" s="22"/>
      <c r="W201" s="19"/>
    </row>
    <row r="202" spans="1:23" ht="15.75" customHeight="1">
      <c r="A202" s="8">
        <v>50102</v>
      </c>
      <c r="B202" s="8">
        <v>299</v>
      </c>
      <c r="C202" s="8">
        <v>142.33333709836006</v>
      </c>
      <c r="D202" s="8">
        <v>558</v>
      </c>
      <c r="E202" s="9">
        <f t="shared" si="0"/>
        <v>0.53584229390681004</v>
      </c>
      <c r="F202" s="10">
        <f t="shared" si="1"/>
        <v>0.47603122775371259</v>
      </c>
      <c r="G202" s="10">
        <f t="shared" si="2"/>
        <v>0.25507766505082452</v>
      </c>
      <c r="H202" s="8">
        <v>22967</v>
      </c>
      <c r="I202" s="8">
        <v>12348.222557932138</v>
      </c>
      <c r="J202" s="8">
        <v>26378</v>
      </c>
      <c r="K202" s="11">
        <f t="shared" si="3"/>
        <v>0.87068769429069681</v>
      </c>
      <c r="L202" s="12">
        <f t="shared" si="4"/>
        <v>0.53765065345635643</v>
      </c>
      <c r="M202" s="12">
        <f t="shared" si="5"/>
        <v>0.46812580779180146</v>
      </c>
      <c r="N202" s="9">
        <f t="shared" si="6"/>
        <v>1.8352285281368201</v>
      </c>
      <c r="P202" s="16"/>
      <c r="T202" s="22"/>
      <c r="U202" s="22"/>
      <c r="V202" s="22"/>
      <c r="W202" s="19"/>
    </row>
    <row r="203" spans="1:23" ht="15.75" customHeight="1">
      <c r="A203" s="8">
        <v>50103</v>
      </c>
      <c r="B203" s="8">
        <v>141</v>
      </c>
      <c r="C203" s="8">
        <v>59.444445729255676</v>
      </c>
      <c r="D203" s="8">
        <v>522</v>
      </c>
      <c r="E203" s="9">
        <f t="shared" si="0"/>
        <v>0.27011494252873564</v>
      </c>
      <c r="F203" s="10">
        <f t="shared" si="1"/>
        <v>0.42159181368266435</v>
      </c>
      <c r="G203" s="10">
        <f t="shared" si="2"/>
        <v>0.1138782485234783</v>
      </c>
      <c r="H203" s="8">
        <v>3016</v>
      </c>
      <c r="I203" s="8">
        <v>1249.7778085768223</v>
      </c>
      <c r="J203" s="8">
        <v>8181</v>
      </c>
      <c r="K203" s="11">
        <f t="shared" si="3"/>
        <v>0.36865908813103532</v>
      </c>
      <c r="L203" s="12">
        <f t="shared" si="4"/>
        <v>0.41438256252547156</v>
      </c>
      <c r="M203" s="12">
        <f t="shared" si="5"/>
        <v>0.15276589763804208</v>
      </c>
      <c r="N203" s="9">
        <f t="shared" si="6"/>
        <v>1.3414844328813706</v>
      </c>
      <c r="P203" s="16"/>
      <c r="T203" s="22"/>
      <c r="U203" s="22"/>
      <c r="V203" s="22"/>
      <c r="W203" s="19"/>
    </row>
    <row r="204" spans="1:23" ht="15.75" customHeight="1">
      <c r="A204" s="8">
        <v>50104</v>
      </c>
      <c r="B204" s="8">
        <v>26</v>
      </c>
      <c r="C204" s="8">
        <v>11.11111131310463</v>
      </c>
      <c r="D204" s="8">
        <v>72</v>
      </c>
      <c r="E204" s="9">
        <f t="shared" si="0"/>
        <v>0.3611111111111111</v>
      </c>
      <c r="F204" s="10">
        <f t="shared" si="1"/>
        <v>0.42735043511940884</v>
      </c>
      <c r="G204" s="10">
        <f t="shared" si="2"/>
        <v>0.15432099045978653</v>
      </c>
      <c r="H204" s="8">
        <v>1696</v>
      </c>
      <c r="I204" s="8">
        <v>760.55557548999786</v>
      </c>
      <c r="J204" s="8">
        <v>2653</v>
      </c>
      <c r="K204" s="11">
        <f t="shared" si="3"/>
        <v>0.63927629099133054</v>
      </c>
      <c r="L204" s="12">
        <f t="shared" si="4"/>
        <v>0.44844078743514026</v>
      </c>
      <c r="M204" s="12">
        <f t="shared" si="5"/>
        <v>0.28667756332076816</v>
      </c>
      <c r="N204" s="9">
        <f t="shared" si="6"/>
        <v>1.8576705765472101</v>
      </c>
      <c r="P204" s="16"/>
      <c r="T204" s="22"/>
      <c r="U204" s="22"/>
      <c r="V204" s="22"/>
      <c r="W204" s="19"/>
    </row>
    <row r="205" spans="1:23" ht="15.75" customHeight="1">
      <c r="A205" s="8">
        <v>50201</v>
      </c>
      <c r="B205" s="8">
        <v>428</v>
      </c>
      <c r="C205" s="8">
        <v>185.22222706675529</v>
      </c>
      <c r="D205" s="8">
        <v>1181</v>
      </c>
      <c r="E205" s="9">
        <f t="shared" si="0"/>
        <v>0.3624047417442845</v>
      </c>
      <c r="F205" s="10">
        <f t="shared" si="1"/>
        <v>0.43276221277279275</v>
      </c>
      <c r="G205" s="10">
        <f t="shared" si="2"/>
        <v>0.15683507795660906</v>
      </c>
      <c r="H205" s="8">
        <v>10101</v>
      </c>
      <c r="I205" s="8">
        <v>4395.1112214624882</v>
      </c>
      <c r="J205" s="8">
        <v>20235</v>
      </c>
      <c r="K205" s="11">
        <f t="shared" si="3"/>
        <v>0.49918458117123793</v>
      </c>
      <c r="L205" s="12">
        <f t="shared" si="4"/>
        <v>0.4351164460412324</v>
      </c>
      <c r="M205" s="12">
        <f t="shared" si="5"/>
        <v>0.21720342087781014</v>
      </c>
      <c r="N205" s="9">
        <f t="shared" si="6"/>
        <v>1.3849160768607067</v>
      </c>
      <c r="P205" s="16"/>
      <c r="T205" s="22"/>
      <c r="U205" s="22"/>
      <c r="V205" s="22"/>
      <c r="W205" s="19"/>
    </row>
    <row r="206" spans="1:23" ht="15.75" customHeight="1">
      <c r="A206" s="8">
        <v>50202</v>
      </c>
      <c r="B206" s="8">
        <v>281</v>
      </c>
      <c r="C206" s="8">
        <v>114.22222462296486</v>
      </c>
      <c r="D206" s="8">
        <v>698</v>
      </c>
      <c r="E206" s="9">
        <f t="shared" si="0"/>
        <v>0.40257879656160456</v>
      </c>
      <c r="F206" s="10">
        <f t="shared" si="1"/>
        <v>0.40648478513510627</v>
      </c>
      <c r="G206" s="10">
        <f t="shared" si="2"/>
        <v>0.16364215562029349</v>
      </c>
      <c r="H206" s="8">
        <v>8721</v>
      </c>
      <c r="I206" s="8">
        <v>3812.000096231699</v>
      </c>
      <c r="J206" s="8">
        <v>15174</v>
      </c>
      <c r="K206" s="11">
        <f t="shared" si="3"/>
        <v>0.57473309608540923</v>
      </c>
      <c r="L206" s="12">
        <f t="shared" si="4"/>
        <v>0.4371058475211213</v>
      </c>
      <c r="M206" s="12">
        <f t="shared" si="5"/>
        <v>0.25121919706285084</v>
      </c>
      <c r="N206" s="9">
        <f t="shared" si="6"/>
        <v>1.5351740883062335</v>
      </c>
      <c r="P206" s="16"/>
      <c r="T206" s="22"/>
      <c r="U206" s="22"/>
      <c r="V206" s="22"/>
      <c r="W206" s="19"/>
    </row>
    <row r="207" spans="1:23" ht="15.75" customHeight="1">
      <c r="A207" s="8">
        <v>50203</v>
      </c>
      <c r="B207" s="8">
        <v>1354</v>
      </c>
      <c r="C207" s="8">
        <v>571.11112508177757</v>
      </c>
      <c r="D207" s="8">
        <v>4545</v>
      </c>
      <c r="E207" s="9">
        <f t="shared" si="0"/>
        <v>0.29790979097909792</v>
      </c>
      <c r="F207" s="10">
        <f t="shared" si="1"/>
        <v>0.4217955133543409</v>
      </c>
      <c r="G207" s="10">
        <f t="shared" si="2"/>
        <v>0.125657013219313</v>
      </c>
      <c r="H207" s="8">
        <v>9743</v>
      </c>
      <c r="I207" s="8">
        <v>4044.0001047253609</v>
      </c>
      <c r="J207" s="8">
        <v>35305</v>
      </c>
      <c r="K207" s="11">
        <f t="shared" si="3"/>
        <v>0.27596657697210025</v>
      </c>
      <c r="L207" s="12">
        <f t="shared" si="4"/>
        <v>0.41506723850203847</v>
      </c>
      <c r="M207" s="12">
        <f t="shared" si="5"/>
        <v>0.11454468502266989</v>
      </c>
      <c r="N207" s="9">
        <f t="shared" si="6"/>
        <v>0.9115661918746355</v>
      </c>
      <c r="P207" s="16"/>
      <c r="T207" s="22"/>
      <c r="U207" s="22"/>
      <c r="V207" s="22"/>
      <c r="W207" s="19"/>
    </row>
    <row r="208" spans="1:23" ht="15.75" customHeight="1">
      <c r="A208" s="8">
        <v>50204</v>
      </c>
      <c r="B208" s="8">
        <v>148</v>
      </c>
      <c r="C208" s="8">
        <v>63.000001788139343</v>
      </c>
      <c r="D208" s="8">
        <v>364</v>
      </c>
      <c r="E208" s="9">
        <f t="shared" si="0"/>
        <v>0.40659340659340659</v>
      </c>
      <c r="F208" s="10">
        <f t="shared" si="1"/>
        <v>0.42567568775769826</v>
      </c>
      <c r="G208" s="10">
        <f t="shared" si="2"/>
        <v>0.17307692798939381</v>
      </c>
      <c r="H208" s="8">
        <v>5569</v>
      </c>
      <c r="I208" s="8">
        <v>2678.4445151090622</v>
      </c>
      <c r="J208" s="8">
        <v>7510</v>
      </c>
      <c r="K208" s="11">
        <f t="shared" si="3"/>
        <v>0.74154460719041282</v>
      </c>
      <c r="L208" s="12">
        <f t="shared" si="4"/>
        <v>0.48095609896014763</v>
      </c>
      <c r="M208" s="12">
        <f t="shared" si="5"/>
        <v>0.35665040147923599</v>
      </c>
      <c r="N208" s="9">
        <f t="shared" si="6"/>
        <v>2.0606467056145785</v>
      </c>
      <c r="P208" s="16"/>
      <c r="T208" s="22"/>
      <c r="U208" s="22"/>
      <c r="V208" s="22"/>
      <c r="W208" s="19"/>
    </row>
    <row r="209" spans="1:23" ht="15.75" customHeight="1">
      <c r="A209" s="8">
        <v>50301</v>
      </c>
      <c r="B209" s="8">
        <v>555</v>
      </c>
      <c r="C209" s="8">
        <v>240.00000590085983</v>
      </c>
      <c r="D209" s="8">
        <v>1215</v>
      </c>
      <c r="E209" s="9">
        <f t="shared" si="0"/>
        <v>0.4567901234567901</v>
      </c>
      <c r="F209" s="10">
        <f t="shared" si="1"/>
        <v>0.43243244306461232</v>
      </c>
      <c r="G209" s="10">
        <f t="shared" si="2"/>
        <v>0.19753086905420561</v>
      </c>
      <c r="H209" s="8">
        <v>19556</v>
      </c>
      <c r="I209" s="8">
        <v>9341.6669117510319</v>
      </c>
      <c r="J209" s="8">
        <v>31930</v>
      </c>
      <c r="K209" s="11">
        <f t="shared" si="3"/>
        <v>0.61246476667710614</v>
      </c>
      <c r="L209" s="12">
        <f t="shared" si="4"/>
        <v>0.47768801962318636</v>
      </c>
      <c r="M209" s="12">
        <f t="shared" si="5"/>
        <v>0.29256708148296373</v>
      </c>
      <c r="N209" s="9">
        <f t="shared" si="6"/>
        <v>1.481120813591311</v>
      </c>
      <c r="P209" s="16"/>
      <c r="T209" s="22"/>
      <c r="U209" s="22"/>
      <c r="V209" s="22"/>
      <c r="W209" s="19"/>
    </row>
    <row r="210" spans="1:23" ht="15.75" customHeight="1">
      <c r="A210" s="8">
        <v>50302</v>
      </c>
      <c r="B210" s="8">
        <v>221</v>
      </c>
      <c r="C210" s="8">
        <v>100.22222465276718</v>
      </c>
      <c r="D210" s="8">
        <v>421</v>
      </c>
      <c r="E210" s="9">
        <f t="shared" si="0"/>
        <v>0.52494061757719712</v>
      </c>
      <c r="F210" s="10">
        <f t="shared" si="1"/>
        <v>0.45349422919804155</v>
      </c>
      <c r="G210" s="10">
        <f t="shared" si="2"/>
        <v>0.23805754074291491</v>
      </c>
      <c r="H210" s="8">
        <v>5182</v>
      </c>
      <c r="I210" s="8">
        <v>2292.6667251586914</v>
      </c>
      <c r="J210" s="8">
        <v>9224</v>
      </c>
      <c r="K210" s="11">
        <f t="shared" si="3"/>
        <v>0.56179531656548132</v>
      </c>
      <c r="L210" s="12">
        <f t="shared" si="4"/>
        <v>0.44242893191020677</v>
      </c>
      <c r="M210" s="12">
        <f t="shared" si="5"/>
        <v>0.2485545018602224</v>
      </c>
      <c r="N210" s="9">
        <f t="shared" si="6"/>
        <v>1.0440942180808439</v>
      </c>
      <c r="P210" s="16"/>
      <c r="T210" s="22"/>
      <c r="U210" s="22"/>
      <c r="V210" s="22"/>
      <c r="W210" s="19"/>
    </row>
    <row r="211" spans="1:23" ht="15.75" customHeight="1">
      <c r="A211" s="8">
        <v>50303</v>
      </c>
      <c r="B211" s="8">
        <v>207</v>
      </c>
      <c r="C211" s="8">
        <v>99.111113667488098</v>
      </c>
      <c r="D211" s="8">
        <v>295</v>
      </c>
      <c r="E211" s="9">
        <f t="shared" si="0"/>
        <v>0.70169491525423733</v>
      </c>
      <c r="F211" s="10">
        <f t="shared" si="1"/>
        <v>0.47879765056757534</v>
      </c>
      <c r="G211" s="10">
        <f t="shared" si="2"/>
        <v>0.33596987683894269</v>
      </c>
      <c r="H211" s="8">
        <v>10453</v>
      </c>
      <c r="I211" s="8">
        <v>5503.0001522302628</v>
      </c>
      <c r="J211" s="8">
        <v>11287</v>
      </c>
      <c r="K211" s="11">
        <f t="shared" si="3"/>
        <v>0.92610968370691948</v>
      </c>
      <c r="L211" s="12">
        <f t="shared" si="4"/>
        <v>0.52645175090694185</v>
      </c>
      <c r="M211" s="12">
        <f t="shared" si="5"/>
        <v>0.48755206451938188</v>
      </c>
      <c r="N211" s="9">
        <f t="shared" si="6"/>
        <v>1.4511779124564335</v>
      </c>
      <c r="P211" s="16"/>
      <c r="T211" s="22"/>
      <c r="U211" s="22"/>
      <c r="V211" s="22"/>
      <c r="W211" s="19"/>
    </row>
    <row r="212" spans="1:23" ht="15.75" customHeight="1">
      <c r="A212" s="8">
        <v>50401</v>
      </c>
      <c r="B212" s="8">
        <v>419</v>
      </c>
      <c r="C212" s="8">
        <v>191.77778312563896</v>
      </c>
      <c r="D212" s="8">
        <v>895</v>
      </c>
      <c r="E212" s="9">
        <f t="shared" si="0"/>
        <v>0.46815642458100559</v>
      </c>
      <c r="F212" s="10">
        <f t="shared" si="1"/>
        <v>0.45770353967932925</v>
      </c>
      <c r="G212" s="10">
        <f t="shared" si="2"/>
        <v>0.21427685265434521</v>
      </c>
      <c r="H212" s="8">
        <v>10717</v>
      </c>
      <c r="I212" s="8">
        <v>5605.1112678647041</v>
      </c>
      <c r="J212" s="8">
        <v>14081</v>
      </c>
      <c r="K212" s="11">
        <f t="shared" si="3"/>
        <v>0.76109651303174486</v>
      </c>
      <c r="L212" s="12">
        <f t="shared" si="4"/>
        <v>0.52301122215775908</v>
      </c>
      <c r="M212" s="12">
        <f t="shared" si="5"/>
        <v>0.39806201746074171</v>
      </c>
      <c r="N212" s="9">
        <f t="shared" si="6"/>
        <v>1.8576995719778677</v>
      </c>
      <c r="P212" s="16"/>
      <c r="T212" s="22"/>
      <c r="U212" s="22"/>
      <c r="V212" s="22"/>
      <c r="W212" s="19"/>
    </row>
    <row r="213" spans="1:23" ht="15.75" customHeight="1">
      <c r="A213" s="8">
        <v>50402</v>
      </c>
      <c r="B213" s="8">
        <v>491</v>
      </c>
      <c r="C213" s="8">
        <v>232.88889488577843</v>
      </c>
      <c r="D213" s="8">
        <v>855</v>
      </c>
      <c r="E213" s="9">
        <f t="shared" si="0"/>
        <v>0.57426900584795326</v>
      </c>
      <c r="F213" s="10">
        <f t="shared" si="1"/>
        <v>0.47431546819914139</v>
      </c>
      <c r="G213" s="10">
        <f t="shared" si="2"/>
        <v>0.27238467238102743</v>
      </c>
      <c r="H213" s="8">
        <v>16522</v>
      </c>
      <c r="I213" s="8">
        <v>8742.4446806609631</v>
      </c>
      <c r="J213" s="8">
        <v>19984</v>
      </c>
      <c r="K213" s="11">
        <f t="shared" si="3"/>
        <v>0.82676140912730189</v>
      </c>
      <c r="L213" s="12">
        <f t="shared" si="4"/>
        <v>0.52913961267770027</v>
      </c>
      <c r="M213" s="12">
        <f t="shared" si="5"/>
        <v>0.43747221180249019</v>
      </c>
      <c r="N213" s="9">
        <f t="shared" si="6"/>
        <v>1.6060823392827654</v>
      </c>
      <c r="P213" s="16"/>
      <c r="T213" s="22"/>
      <c r="U213" s="22"/>
      <c r="V213" s="22"/>
      <c r="W213" s="19"/>
    </row>
    <row r="214" spans="1:23" ht="15.75" customHeight="1">
      <c r="A214" s="8">
        <v>50403</v>
      </c>
      <c r="B214" s="8">
        <v>739</v>
      </c>
      <c r="C214" s="8">
        <v>331.11111953854561</v>
      </c>
      <c r="D214" s="8">
        <v>1072</v>
      </c>
      <c r="E214" s="9">
        <f t="shared" si="0"/>
        <v>0.68936567164179108</v>
      </c>
      <c r="F214" s="10">
        <f t="shared" si="1"/>
        <v>0.44805293577611044</v>
      </c>
      <c r="G214" s="10">
        <f t="shared" si="2"/>
        <v>0.30887231300237467</v>
      </c>
      <c r="H214" s="8">
        <v>18931</v>
      </c>
      <c r="I214" s="8">
        <v>8954.2224606871605</v>
      </c>
      <c r="J214" s="8">
        <v>24927</v>
      </c>
      <c r="K214" s="11">
        <f t="shared" si="3"/>
        <v>0.7594576162394191</v>
      </c>
      <c r="L214" s="12">
        <f t="shared" si="4"/>
        <v>0.47299257623406904</v>
      </c>
      <c r="M214" s="12">
        <f t="shared" si="5"/>
        <v>0.3592178144456678</v>
      </c>
      <c r="N214" s="9">
        <f t="shared" si="6"/>
        <v>1.1629977803899376</v>
      </c>
      <c r="P214" s="16"/>
      <c r="T214" s="22"/>
      <c r="U214" s="22"/>
      <c r="V214" s="22"/>
      <c r="W214" s="19"/>
    </row>
    <row r="215" spans="1:23" ht="15.75" customHeight="1">
      <c r="A215" s="8">
        <v>50404</v>
      </c>
      <c r="B215" s="8">
        <v>460</v>
      </c>
      <c r="C215" s="8">
        <v>212.88889387249947</v>
      </c>
      <c r="D215" s="8">
        <v>747</v>
      </c>
      <c r="E215" s="9">
        <f t="shared" si="0"/>
        <v>0.61579651941097724</v>
      </c>
      <c r="F215" s="10">
        <f t="shared" si="1"/>
        <v>0.46280194320108581</v>
      </c>
      <c r="G215" s="10">
        <f t="shared" si="2"/>
        <v>0.28499182579986543</v>
      </c>
      <c r="H215" s="8">
        <v>13100</v>
      </c>
      <c r="I215" s="8">
        <v>7083.4446387588978</v>
      </c>
      <c r="J215" s="8">
        <v>15141</v>
      </c>
      <c r="K215" s="11">
        <f t="shared" si="3"/>
        <v>0.86520044911168348</v>
      </c>
      <c r="L215" s="12">
        <f t="shared" si="4"/>
        <v>0.5407209647907556</v>
      </c>
      <c r="M215" s="12">
        <f t="shared" si="5"/>
        <v>0.46783202158106452</v>
      </c>
      <c r="N215" s="9">
        <f t="shared" si="6"/>
        <v>1.6415629475267757</v>
      </c>
      <c r="P215" s="16"/>
      <c r="T215" s="22"/>
      <c r="U215" s="22"/>
      <c r="V215" s="22"/>
      <c r="W215" s="19"/>
    </row>
    <row r="216" spans="1:23" ht="15.75" customHeight="1">
      <c r="A216" s="23">
        <v>50405</v>
      </c>
      <c r="B216" s="8">
        <v>432</v>
      </c>
      <c r="C216" s="8">
        <v>191.88889393210411</v>
      </c>
      <c r="D216" s="8">
        <v>619</v>
      </c>
      <c r="E216" s="9">
        <f t="shared" si="0"/>
        <v>0.69789983844911152</v>
      </c>
      <c r="F216" s="10">
        <f t="shared" si="1"/>
        <v>0.44418725447246321</v>
      </c>
      <c r="G216" s="10">
        <f t="shared" si="2"/>
        <v>0.30999821313748649</v>
      </c>
      <c r="H216" s="8">
        <v>15626</v>
      </c>
      <c r="I216" s="8">
        <v>7639.111320734024</v>
      </c>
      <c r="J216" s="8">
        <v>19018</v>
      </c>
      <c r="K216" s="11">
        <f t="shared" si="3"/>
        <v>0.82164265432747918</v>
      </c>
      <c r="L216" s="12">
        <f t="shared" si="4"/>
        <v>0.48887183672942686</v>
      </c>
      <c r="M216" s="12">
        <f t="shared" si="5"/>
        <v>0.4016779535563163</v>
      </c>
      <c r="N216" s="9">
        <f t="shared" si="6"/>
        <v>1.2957428028082509</v>
      </c>
      <c r="P216" s="16"/>
      <c r="T216" s="22"/>
      <c r="U216" s="22"/>
      <c r="V216" s="22"/>
      <c r="W216" s="19"/>
    </row>
    <row r="217" spans="1:23" ht="15.75" customHeight="1">
      <c r="A217" s="8">
        <v>50501</v>
      </c>
      <c r="B217" s="8">
        <v>753</v>
      </c>
      <c r="C217" s="8">
        <v>360.33334344625473</v>
      </c>
      <c r="D217" s="8">
        <v>1150</v>
      </c>
      <c r="E217" s="9">
        <f t="shared" si="0"/>
        <v>0.65478260869565219</v>
      </c>
      <c r="F217" s="10">
        <f t="shared" si="1"/>
        <v>0.47853033658201161</v>
      </c>
      <c r="G217" s="10">
        <f t="shared" si="2"/>
        <v>0.31333334212717806</v>
      </c>
      <c r="H217" s="8">
        <v>26089</v>
      </c>
      <c r="I217" s="8">
        <v>14361.000403851271</v>
      </c>
      <c r="J217" s="8">
        <v>28441</v>
      </c>
      <c r="K217" s="11">
        <f t="shared" si="3"/>
        <v>0.91730248584789564</v>
      </c>
      <c r="L217" s="12">
        <f t="shared" si="4"/>
        <v>0.55046189596578143</v>
      </c>
      <c r="M217" s="12">
        <f t="shared" si="5"/>
        <v>0.50494006553395698</v>
      </c>
      <c r="N217" s="9">
        <f t="shared" si="6"/>
        <v>1.6115108022210038</v>
      </c>
      <c r="P217" s="16"/>
      <c r="T217" s="22"/>
      <c r="U217" s="22"/>
      <c r="V217" s="22"/>
      <c r="W217" s="19"/>
    </row>
    <row r="218" spans="1:23" ht="15.75" customHeight="1">
      <c r="A218" s="8">
        <v>50502</v>
      </c>
      <c r="B218" s="8">
        <v>343</v>
      </c>
      <c r="C218" s="8">
        <v>162.55555921792984</v>
      </c>
      <c r="D218" s="8">
        <v>682</v>
      </c>
      <c r="E218" s="9">
        <f t="shared" si="0"/>
        <v>0.50293255131964809</v>
      </c>
      <c r="F218" s="10">
        <f t="shared" si="1"/>
        <v>0.47392291317180713</v>
      </c>
      <c r="G218" s="10">
        <f t="shared" si="2"/>
        <v>0.23835125985033701</v>
      </c>
      <c r="H218" s="8">
        <v>7890</v>
      </c>
      <c r="I218" s="8">
        <v>4117.5556696653366</v>
      </c>
      <c r="J218" s="8">
        <v>9901</v>
      </c>
      <c r="K218" s="11">
        <f t="shared" si="3"/>
        <v>0.79688920311079692</v>
      </c>
      <c r="L218" s="12">
        <f t="shared" si="4"/>
        <v>0.52187017359509968</v>
      </c>
      <c r="M218" s="12">
        <f t="shared" si="5"/>
        <v>0.41587270676349225</v>
      </c>
      <c r="N218" s="9">
        <f t="shared" si="6"/>
        <v>1.744789211622471</v>
      </c>
      <c r="P218" s="16"/>
      <c r="T218" s="22"/>
      <c r="U218" s="22"/>
      <c r="V218" s="22"/>
      <c r="W218" s="19"/>
    </row>
    <row r="219" spans="1:23" ht="15.75" customHeight="1">
      <c r="A219" s="8">
        <v>50601</v>
      </c>
      <c r="B219" s="8">
        <v>857</v>
      </c>
      <c r="C219" s="8">
        <v>361.55556437373161</v>
      </c>
      <c r="D219" s="8">
        <v>2019</v>
      </c>
      <c r="E219" s="9">
        <f t="shared" si="0"/>
        <v>0.42446755819712728</v>
      </c>
      <c r="F219" s="10">
        <f t="shared" si="1"/>
        <v>0.42188513929256899</v>
      </c>
      <c r="G219" s="10">
        <f t="shared" si="2"/>
        <v>0.17907655491517169</v>
      </c>
      <c r="H219" s="8">
        <v>17386</v>
      </c>
      <c r="I219" s="8">
        <v>7671.0001968443394</v>
      </c>
      <c r="J219" s="8">
        <v>28936</v>
      </c>
      <c r="K219" s="11">
        <f t="shared" si="3"/>
        <v>0.60084324025435443</v>
      </c>
      <c r="L219" s="12">
        <f t="shared" si="4"/>
        <v>0.44121708252872077</v>
      </c>
      <c r="M219" s="12">
        <f t="shared" si="5"/>
        <v>0.26510230152212949</v>
      </c>
      <c r="N219" s="9">
        <f t="shared" si="6"/>
        <v>1.4803853114535741</v>
      </c>
      <c r="P219" s="16"/>
      <c r="T219" s="22"/>
      <c r="U219" s="22"/>
      <c r="V219" s="22"/>
      <c r="W219" s="19"/>
    </row>
    <row r="220" spans="1:23" ht="15.75" customHeight="1">
      <c r="A220" s="8">
        <v>50602</v>
      </c>
      <c r="B220" s="8">
        <v>154</v>
      </c>
      <c r="C220" s="8">
        <v>62.222223848104477</v>
      </c>
      <c r="D220" s="8">
        <v>411</v>
      </c>
      <c r="E220" s="9">
        <f t="shared" si="0"/>
        <v>0.37469586374695862</v>
      </c>
      <c r="F220" s="10">
        <f t="shared" si="1"/>
        <v>0.40404041459808104</v>
      </c>
      <c r="G220" s="10">
        <f t="shared" si="2"/>
        <v>0.15139227213650724</v>
      </c>
      <c r="H220" s="8">
        <v>5067</v>
      </c>
      <c r="I220" s="8">
        <v>2187.8889476358891</v>
      </c>
      <c r="J220" s="8">
        <v>9855</v>
      </c>
      <c r="K220" s="11">
        <f t="shared" si="3"/>
        <v>0.51415525114155247</v>
      </c>
      <c r="L220" s="12">
        <f t="shared" si="4"/>
        <v>0.43179177967947285</v>
      </c>
      <c r="M220" s="12">
        <f t="shared" si="5"/>
        <v>0.22200801092195727</v>
      </c>
      <c r="N220" s="9">
        <f t="shared" si="6"/>
        <v>1.4664421623963559</v>
      </c>
      <c r="P220" s="16"/>
      <c r="T220" s="22"/>
      <c r="U220" s="22"/>
      <c r="V220" s="22"/>
      <c r="W220" s="19"/>
    </row>
    <row r="221" spans="1:23" ht="15.75" customHeight="1">
      <c r="A221" s="8">
        <v>50701</v>
      </c>
      <c r="B221" s="8">
        <v>457</v>
      </c>
      <c r="C221" s="8">
        <v>206.55556103587151</v>
      </c>
      <c r="D221" s="8">
        <v>1065</v>
      </c>
      <c r="E221" s="9">
        <f t="shared" si="0"/>
        <v>0.4291079812206573</v>
      </c>
      <c r="F221" s="10">
        <f t="shared" si="1"/>
        <v>0.45198153399534247</v>
      </c>
      <c r="G221" s="10">
        <f t="shared" si="2"/>
        <v>0.1939488836017573</v>
      </c>
      <c r="H221" s="8">
        <v>13753</v>
      </c>
      <c r="I221" s="8">
        <v>6677.1112886071205</v>
      </c>
      <c r="J221" s="8">
        <v>18207</v>
      </c>
      <c r="K221" s="11">
        <f t="shared" si="3"/>
        <v>0.75536881419234359</v>
      </c>
      <c r="L221" s="12">
        <f t="shared" si="4"/>
        <v>0.48550216597157858</v>
      </c>
      <c r="M221" s="12">
        <f t="shared" si="5"/>
        <v>0.36673319539776572</v>
      </c>
      <c r="N221" s="9">
        <f t="shared" si="6"/>
        <v>1.890875516204533</v>
      </c>
      <c r="P221" s="16"/>
      <c r="T221" s="22"/>
      <c r="U221" s="22"/>
      <c r="V221" s="22"/>
      <c r="W221" s="19"/>
    </row>
    <row r="222" spans="1:23" ht="15.75" customHeight="1">
      <c r="A222" s="8">
        <v>50702</v>
      </c>
      <c r="B222" s="8">
        <v>247</v>
      </c>
      <c r="C222" s="8">
        <v>105.44444704055786</v>
      </c>
      <c r="D222" s="8">
        <v>437</v>
      </c>
      <c r="E222" s="9">
        <f t="shared" si="0"/>
        <v>0.56521739130434778</v>
      </c>
      <c r="F222" s="10">
        <f t="shared" si="1"/>
        <v>0.4269005953059023</v>
      </c>
      <c r="G222" s="10">
        <f t="shared" si="2"/>
        <v>0.2412916408250752</v>
      </c>
      <c r="H222" s="8">
        <v>6022</v>
      </c>
      <c r="I222" s="8">
        <v>2658.3334024846554</v>
      </c>
      <c r="J222" s="8">
        <v>8184</v>
      </c>
      <c r="K222" s="11">
        <f t="shared" si="3"/>
        <v>0.73582600195503423</v>
      </c>
      <c r="L222" s="12">
        <f t="shared" si="4"/>
        <v>0.44143696487622974</v>
      </c>
      <c r="M222" s="12">
        <f t="shared" si="5"/>
        <v>0.32482079698004102</v>
      </c>
      <c r="N222" s="9">
        <f t="shared" si="6"/>
        <v>1.346175092801994</v>
      </c>
      <c r="P222" s="16"/>
      <c r="T222" s="22"/>
      <c r="U222" s="22"/>
      <c r="V222" s="22"/>
      <c r="W222" s="19"/>
    </row>
    <row r="223" spans="1:23" ht="15.75" customHeight="1">
      <c r="A223" s="8">
        <v>50801</v>
      </c>
      <c r="B223" s="8">
        <v>1231</v>
      </c>
      <c r="C223" s="8">
        <v>514.77779144048691</v>
      </c>
      <c r="D223" s="8">
        <v>5471</v>
      </c>
      <c r="E223" s="9">
        <f t="shared" si="0"/>
        <v>0.2250045695485286</v>
      </c>
      <c r="F223" s="10">
        <f t="shared" si="1"/>
        <v>0.41817854706782037</v>
      </c>
      <c r="G223" s="10">
        <f t="shared" si="2"/>
        <v>9.4092083977424024E-2</v>
      </c>
      <c r="H223" s="8">
        <v>11827</v>
      </c>
      <c r="I223" s="8">
        <v>5211.8890244960785</v>
      </c>
      <c r="J223" s="8">
        <v>37542</v>
      </c>
      <c r="K223" s="11">
        <f t="shared" si="3"/>
        <v>0.31503382877843483</v>
      </c>
      <c r="L223" s="12">
        <f t="shared" si="4"/>
        <v>0.4406771814066186</v>
      </c>
      <c r="M223" s="12">
        <f t="shared" si="5"/>
        <v>0.13882821971381595</v>
      </c>
      <c r="N223" s="9">
        <f t="shared" si="6"/>
        <v>1.4754505782561442</v>
      </c>
      <c r="P223" s="16"/>
      <c r="T223" s="22"/>
      <c r="U223" s="22"/>
      <c r="V223" s="22"/>
      <c r="W223" s="19"/>
    </row>
    <row r="224" spans="1:23" ht="15.75" customHeight="1">
      <c r="A224" s="8">
        <v>50802</v>
      </c>
      <c r="B224" s="8">
        <v>388</v>
      </c>
      <c r="C224" s="8">
        <v>152.55555951595306</v>
      </c>
      <c r="D224" s="8">
        <v>2023</v>
      </c>
      <c r="E224" s="9">
        <f t="shared" si="0"/>
        <v>0.19179436480474543</v>
      </c>
      <c r="F224" s="10">
        <f t="shared" si="1"/>
        <v>0.39318443174214707</v>
      </c>
      <c r="G224" s="10">
        <f t="shared" si="2"/>
        <v>7.5410558337099878E-2</v>
      </c>
      <c r="H224" s="8">
        <v>1844</v>
      </c>
      <c r="I224" s="8">
        <v>746.22224128246307</v>
      </c>
      <c r="J224" s="8">
        <v>8789</v>
      </c>
      <c r="K224" s="11">
        <f t="shared" si="3"/>
        <v>0.20980771418818978</v>
      </c>
      <c r="L224" s="12">
        <f t="shared" si="4"/>
        <v>0.4046758358364767</v>
      </c>
      <c r="M224" s="12">
        <f t="shared" si="5"/>
        <v>8.4904112104046303E-2</v>
      </c>
      <c r="N224" s="9">
        <f t="shared" si="6"/>
        <v>1.1258915724308576</v>
      </c>
      <c r="P224" s="16"/>
      <c r="T224" s="22"/>
      <c r="U224" s="22"/>
      <c r="V224" s="22"/>
      <c r="W224" s="19"/>
    </row>
    <row r="225" spans="1:23" ht="15.75" customHeight="1">
      <c r="A225" s="8">
        <v>50901</v>
      </c>
      <c r="B225" s="8">
        <v>504</v>
      </c>
      <c r="C225" s="8">
        <v>212.11111688613892</v>
      </c>
      <c r="D225" s="8">
        <v>1635</v>
      </c>
      <c r="E225" s="9">
        <f t="shared" si="0"/>
        <v>0.30825688073394497</v>
      </c>
      <c r="F225" s="10">
        <f t="shared" si="1"/>
        <v>0.42085539064710104</v>
      </c>
      <c r="G225" s="10">
        <f t="shared" si="2"/>
        <v>0.12973156996094123</v>
      </c>
      <c r="H225" s="8">
        <v>4805</v>
      </c>
      <c r="I225" s="8">
        <v>2162.7778337299824</v>
      </c>
      <c r="J225" s="8">
        <v>9280</v>
      </c>
      <c r="K225" s="11">
        <f t="shared" si="3"/>
        <v>0.51778017241379315</v>
      </c>
      <c r="L225" s="12">
        <f t="shared" si="4"/>
        <v>0.45010985093235845</v>
      </c>
      <c r="M225" s="12">
        <f t="shared" si="5"/>
        <v>0.23305795622090328</v>
      </c>
      <c r="N225" s="9">
        <f t="shared" si="6"/>
        <v>1.7964629295018237</v>
      </c>
      <c r="P225" s="16"/>
      <c r="T225" s="22"/>
      <c r="U225" s="22"/>
      <c r="V225" s="22"/>
      <c r="W225" s="19"/>
    </row>
    <row r="226" spans="1:23" ht="15.75" customHeight="1">
      <c r="A226" s="8">
        <v>50902</v>
      </c>
      <c r="B226" s="8">
        <v>30</v>
      </c>
      <c r="C226" s="8">
        <v>13.000000298023224</v>
      </c>
      <c r="D226" s="8">
        <v>89</v>
      </c>
      <c r="E226" s="9">
        <f t="shared" si="0"/>
        <v>0.33707865168539325</v>
      </c>
      <c r="F226" s="10">
        <f t="shared" si="1"/>
        <v>0.43333334326744077</v>
      </c>
      <c r="G226" s="10">
        <f t="shared" si="2"/>
        <v>0.1460674190789126</v>
      </c>
      <c r="H226" s="8">
        <v>368</v>
      </c>
      <c r="I226" s="8">
        <v>153.00000357627869</v>
      </c>
      <c r="J226" s="8">
        <v>854</v>
      </c>
      <c r="K226" s="11">
        <f t="shared" si="3"/>
        <v>0.43091334894613581</v>
      </c>
      <c r="L226" s="12">
        <f t="shared" si="4"/>
        <v>0.41576087928336597</v>
      </c>
      <c r="M226" s="12">
        <f t="shared" si="5"/>
        <v>0.17915691285278532</v>
      </c>
      <c r="N226" s="9">
        <f t="shared" si="6"/>
        <v>1.2265357598739812</v>
      </c>
      <c r="P226" s="16"/>
      <c r="T226" s="22"/>
      <c r="U226" s="22"/>
      <c r="V226" s="22"/>
      <c r="W226" s="19"/>
    </row>
    <row r="227" spans="1:23" ht="15.75" customHeight="1">
      <c r="A227" s="8">
        <v>51001</v>
      </c>
      <c r="B227" s="8">
        <v>97</v>
      </c>
      <c r="C227" s="8">
        <v>41.222223371267319</v>
      </c>
      <c r="D227" s="8">
        <v>177</v>
      </c>
      <c r="E227" s="9">
        <f t="shared" si="0"/>
        <v>0.54802259887005644</v>
      </c>
      <c r="F227" s="10">
        <f t="shared" si="1"/>
        <v>0.42497137496151877</v>
      </c>
      <c r="G227" s="10">
        <f t="shared" si="2"/>
        <v>0.23289391735179274</v>
      </c>
      <c r="H227" s="8">
        <v>1727</v>
      </c>
      <c r="I227" s="8">
        <v>778.55557411909103</v>
      </c>
      <c r="J227" s="8">
        <v>2743</v>
      </c>
      <c r="K227" s="11">
        <f t="shared" si="3"/>
        <v>0.62960262486328833</v>
      </c>
      <c r="L227" s="12">
        <f t="shared" si="4"/>
        <v>0.45081388194504401</v>
      </c>
      <c r="M227" s="12">
        <f t="shared" si="5"/>
        <v>0.28383360339740832</v>
      </c>
      <c r="N227" s="9">
        <f t="shared" si="6"/>
        <v>1.2187248453065855</v>
      </c>
      <c r="P227" s="16"/>
      <c r="T227" s="22"/>
      <c r="U227" s="22"/>
      <c r="V227" s="22"/>
      <c r="W227" s="19"/>
    </row>
    <row r="228" spans="1:23" ht="15.75" customHeight="1">
      <c r="A228" s="8">
        <v>51002</v>
      </c>
      <c r="B228" s="8">
        <v>4</v>
      </c>
      <c r="C228" s="8">
        <v>1.444444477558136</v>
      </c>
      <c r="D228" s="8">
        <v>5</v>
      </c>
      <c r="E228" s="9">
        <f t="shared" si="0"/>
        <v>0.8</v>
      </c>
      <c r="F228" s="10">
        <f t="shared" si="1"/>
        <v>0.361111119389534</v>
      </c>
      <c r="G228" s="10">
        <f t="shared" si="2"/>
        <v>0.28888889551162722</v>
      </c>
      <c r="H228" s="8">
        <v>838</v>
      </c>
      <c r="I228" s="8">
        <v>409.77778965234756</v>
      </c>
      <c r="J228" s="8">
        <v>1163</v>
      </c>
      <c r="K228" s="11">
        <f t="shared" si="3"/>
        <v>0.72055030094582972</v>
      </c>
      <c r="L228" s="12">
        <f t="shared" si="4"/>
        <v>0.48899497571879186</v>
      </c>
      <c r="M228" s="12">
        <f t="shared" si="5"/>
        <v>0.35234547691517415</v>
      </c>
      <c r="N228" s="9">
        <f t="shared" si="6"/>
        <v>1.2196573921305083</v>
      </c>
      <c r="P228" s="16"/>
      <c r="T228" s="22"/>
      <c r="U228" s="22"/>
      <c r="V228" s="22"/>
      <c r="W228" s="19"/>
    </row>
    <row r="229" spans="1:23" ht="15.75" customHeight="1">
      <c r="A229" s="8">
        <v>51003</v>
      </c>
      <c r="B229" s="8">
        <v>24</v>
      </c>
      <c r="C229" s="8">
        <v>11.666666954755783</v>
      </c>
      <c r="D229" s="8">
        <v>69</v>
      </c>
      <c r="E229" s="9">
        <f t="shared" si="0"/>
        <v>0.34782608695652173</v>
      </c>
      <c r="F229" s="10">
        <f t="shared" si="1"/>
        <v>0.4861111231148243</v>
      </c>
      <c r="G229" s="10">
        <f t="shared" si="2"/>
        <v>0.16908212977906931</v>
      </c>
      <c r="H229" s="8">
        <v>1176</v>
      </c>
      <c r="I229" s="8">
        <v>515.33334663510323</v>
      </c>
      <c r="J229" s="8">
        <v>2049</v>
      </c>
      <c r="K229" s="11">
        <f t="shared" si="3"/>
        <v>0.57393850658857981</v>
      </c>
      <c r="L229" s="12">
        <f t="shared" si="4"/>
        <v>0.43820862809107419</v>
      </c>
      <c r="M229" s="12">
        <f t="shared" si="5"/>
        <v>0.2515048055808215</v>
      </c>
      <c r="N229" s="9">
        <f t="shared" si="6"/>
        <v>1.4874712419902065</v>
      </c>
      <c r="P229" s="16"/>
      <c r="T229" s="22"/>
      <c r="U229" s="22"/>
      <c r="V229" s="22"/>
      <c r="W229" s="19"/>
    </row>
    <row r="230" spans="1:23" ht="15.75" customHeight="1">
      <c r="A230" s="8">
        <v>51101</v>
      </c>
      <c r="B230" s="8">
        <v>406</v>
      </c>
      <c r="C230" s="8">
        <v>176.2222264111042</v>
      </c>
      <c r="D230" s="8">
        <v>797</v>
      </c>
      <c r="E230" s="9">
        <f t="shared" si="0"/>
        <v>0.50941028858218318</v>
      </c>
      <c r="F230" s="10">
        <f t="shared" si="1"/>
        <v>0.43404489263818768</v>
      </c>
      <c r="G230" s="10">
        <f t="shared" si="2"/>
        <v>0.22110693401644191</v>
      </c>
      <c r="H230" s="8">
        <v>10472</v>
      </c>
      <c r="I230" s="8">
        <v>4601.3334512412548</v>
      </c>
      <c r="J230" s="8">
        <v>20461</v>
      </c>
      <c r="K230" s="11">
        <f t="shared" si="3"/>
        <v>0.51180294218268907</v>
      </c>
      <c r="L230" s="12">
        <f t="shared" si="4"/>
        <v>0.43939395065329018</v>
      </c>
      <c r="M230" s="12">
        <f t="shared" si="5"/>
        <v>0.22488311672162919</v>
      </c>
      <c r="N230" s="9">
        <f t="shared" si="6"/>
        <v>1.0170785358767016</v>
      </c>
      <c r="P230" s="16"/>
      <c r="T230" s="22"/>
      <c r="U230" s="22"/>
      <c r="V230" s="22"/>
      <c r="W230" s="19"/>
    </row>
    <row r="231" spans="1:23" ht="15.75" customHeight="1">
      <c r="A231" s="8">
        <v>51102</v>
      </c>
      <c r="B231" s="8">
        <v>375</v>
      </c>
      <c r="C231" s="8">
        <v>151.0000037252903</v>
      </c>
      <c r="D231" s="8">
        <v>766</v>
      </c>
      <c r="E231" s="9">
        <f t="shared" si="0"/>
        <v>0.48955613577023499</v>
      </c>
      <c r="F231" s="10">
        <f t="shared" si="1"/>
        <v>0.40266667660077415</v>
      </c>
      <c r="G231" s="10">
        <f t="shared" si="2"/>
        <v>0.19712794220011789</v>
      </c>
      <c r="H231" s="8">
        <v>5060</v>
      </c>
      <c r="I231" s="8">
        <v>2176.5556087195873</v>
      </c>
      <c r="J231" s="8">
        <v>10755</v>
      </c>
      <c r="K231" s="11">
        <f t="shared" si="3"/>
        <v>0.47047884704788473</v>
      </c>
      <c r="L231" s="12">
        <f t="shared" si="4"/>
        <v>0.43014932978647968</v>
      </c>
      <c r="M231" s="12">
        <f t="shared" si="5"/>
        <v>0.2023761607363633</v>
      </c>
      <c r="N231" s="9">
        <f t="shared" si="6"/>
        <v>1.0266234125800269</v>
      </c>
      <c r="P231" s="16"/>
      <c r="T231" s="22"/>
      <c r="U231" s="22"/>
      <c r="V231" s="22"/>
      <c r="W231" s="19"/>
    </row>
    <row r="232" spans="1:23" ht="15.75" customHeight="1">
      <c r="A232" s="8">
        <v>51103</v>
      </c>
      <c r="B232" s="8">
        <v>278</v>
      </c>
      <c r="C232" s="8">
        <v>138.66667020320892</v>
      </c>
      <c r="D232" s="8">
        <v>434</v>
      </c>
      <c r="E232" s="9">
        <f t="shared" si="0"/>
        <v>0.64055299539170507</v>
      </c>
      <c r="F232" s="10">
        <f t="shared" si="1"/>
        <v>0.49880097195398893</v>
      </c>
      <c r="G232" s="10">
        <f t="shared" si="2"/>
        <v>0.31950845668942146</v>
      </c>
      <c r="H232" s="8">
        <v>13365</v>
      </c>
      <c r="I232" s="8">
        <v>7279.666861474514</v>
      </c>
      <c r="J232" s="8">
        <v>15102</v>
      </c>
      <c r="K232" s="11">
        <f t="shared" si="3"/>
        <v>0.88498212157330158</v>
      </c>
      <c r="L232" s="12">
        <f t="shared" si="4"/>
        <v>0.54468139629438939</v>
      </c>
      <c r="M232" s="12">
        <f t="shared" si="5"/>
        <v>0.48203329767411696</v>
      </c>
      <c r="N232" s="9">
        <f t="shared" si="6"/>
        <v>1.5086714845318725</v>
      </c>
      <c r="P232" s="16"/>
      <c r="T232" s="22"/>
      <c r="U232" s="22"/>
      <c r="V232" s="22"/>
      <c r="W232" s="19"/>
    </row>
    <row r="233" spans="1:23" ht="15.75" customHeight="1">
      <c r="A233" s="8">
        <v>51201</v>
      </c>
      <c r="B233" s="8">
        <v>1705</v>
      </c>
      <c r="C233" s="8">
        <v>732.33335188031197</v>
      </c>
      <c r="D233" s="8">
        <v>5273</v>
      </c>
      <c r="E233" s="9">
        <f t="shared" si="0"/>
        <v>0.32334534420633415</v>
      </c>
      <c r="F233" s="10">
        <f t="shared" si="1"/>
        <v>0.42952102749578414</v>
      </c>
      <c r="G233" s="10">
        <f t="shared" si="2"/>
        <v>0.13888362447948263</v>
      </c>
      <c r="H233" s="8">
        <v>9025</v>
      </c>
      <c r="I233" s="8">
        <v>4049.0001064538956</v>
      </c>
      <c r="J233" s="8">
        <v>22953</v>
      </c>
      <c r="K233" s="11">
        <f t="shared" si="3"/>
        <v>0.39319478935215441</v>
      </c>
      <c r="L233" s="12">
        <f t="shared" si="4"/>
        <v>0.44864267107522388</v>
      </c>
      <c r="M233" s="12">
        <f t="shared" si="5"/>
        <v>0.17640396054781055</v>
      </c>
      <c r="N233" s="9">
        <f t="shared" si="6"/>
        <v>1.2701566596418343</v>
      </c>
      <c r="P233" s="16"/>
      <c r="T233" s="22"/>
      <c r="U233" s="22"/>
      <c r="V233" s="22"/>
      <c r="W233" s="19"/>
    </row>
    <row r="234" spans="1:23" ht="15.75" customHeight="1">
      <c r="A234" s="8">
        <v>51202</v>
      </c>
      <c r="B234" s="8">
        <v>720</v>
      </c>
      <c r="C234" s="8">
        <v>311.11111804842949</v>
      </c>
      <c r="D234" s="8">
        <v>1040</v>
      </c>
      <c r="E234" s="9">
        <f t="shared" si="0"/>
        <v>0.69230769230769229</v>
      </c>
      <c r="F234" s="10">
        <f t="shared" si="1"/>
        <v>0.43209877506726319</v>
      </c>
      <c r="G234" s="10">
        <f t="shared" si="2"/>
        <v>0.29914530581579757</v>
      </c>
      <c r="H234" s="8">
        <v>5210</v>
      </c>
      <c r="I234" s="8">
        <v>2331.6667252182961</v>
      </c>
      <c r="J234" s="8">
        <v>7597</v>
      </c>
      <c r="K234" s="11">
        <f t="shared" si="3"/>
        <v>0.6857970251415032</v>
      </c>
      <c r="L234" s="12">
        <f t="shared" si="4"/>
        <v>0.44753679946608371</v>
      </c>
      <c r="M234" s="12">
        <f t="shared" si="5"/>
        <v>0.30691940571518966</v>
      </c>
      <c r="N234" s="9">
        <f t="shared" si="6"/>
        <v>1.0259877047984804</v>
      </c>
      <c r="P234" s="16"/>
      <c r="T234" s="22"/>
      <c r="U234" s="22"/>
      <c r="V234" s="22"/>
      <c r="W234" s="19"/>
    </row>
    <row r="235" spans="1:23" ht="15.75" customHeight="1">
      <c r="A235" s="8">
        <v>51203</v>
      </c>
      <c r="B235" s="8">
        <v>523</v>
      </c>
      <c r="C235" s="8">
        <v>225.88889434933662</v>
      </c>
      <c r="D235" s="8">
        <v>2059</v>
      </c>
      <c r="E235" s="9">
        <f t="shared" si="0"/>
        <v>0.25400679941719279</v>
      </c>
      <c r="F235" s="10">
        <f t="shared" si="1"/>
        <v>0.43190993183429566</v>
      </c>
      <c r="G235" s="10">
        <f t="shared" si="2"/>
        <v>0.10970805942172734</v>
      </c>
      <c r="H235" s="8">
        <v>2486</v>
      </c>
      <c r="I235" s="8">
        <v>1171.4444741606712</v>
      </c>
      <c r="J235" s="8">
        <v>8553</v>
      </c>
      <c r="K235" s="11">
        <f t="shared" si="3"/>
        <v>0.29065824856775402</v>
      </c>
      <c r="L235" s="12">
        <f t="shared" si="4"/>
        <v>0.47121660263904713</v>
      </c>
      <c r="M235" s="12">
        <f t="shared" si="5"/>
        <v>0.13696299241911272</v>
      </c>
      <c r="N235" s="9">
        <f t="shared" si="6"/>
        <v>1.2484314565497421</v>
      </c>
      <c r="P235" s="16"/>
      <c r="T235" s="22"/>
      <c r="U235" s="22"/>
      <c r="V235" s="22"/>
      <c r="W235" s="19"/>
    </row>
    <row r="236" spans="1:23" ht="15.75" customHeight="1">
      <c r="A236" s="23">
        <v>51204</v>
      </c>
      <c r="B236" s="8">
        <v>331</v>
      </c>
      <c r="C236" s="8">
        <v>149.22222572565079</v>
      </c>
      <c r="D236" s="8">
        <v>590</v>
      </c>
      <c r="E236" s="9">
        <f t="shared" si="0"/>
        <v>0.56101694915254241</v>
      </c>
      <c r="F236" s="10">
        <f t="shared" si="1"/>
        <v>0.45082243421646762</v>
      </c>
      <c r="G236" s="10">
        <f t="shared" si="2"/>
        <v>0.25291902665364541</v>
      </c>
      <c r="H236" s="8">
        <v>3466</v>
      </c>
      <c r="I236" s="8">
        <v>1631.8889309465885</v>
      </c>
      <c r="J236" s="8">
        <v>5131</v>
      </c>
      <c r="K236" s="11">
        <f t="shared" si="3"/>
        <v>0.67550185149093744</v>
      </c>
      <c r="L236" s="12">
        <f t="shared" si="4"/>
        <v>0.47082773541448025</v>
      </c>
      <c r="M236" s="12">
        <f t="shared" si="5"/>
        <v>0.31804500700576666</v>
      </c>
      <c r="N236" s="9">
        <f t="shared" si="6"/>
        <v>1.2574973548403958</v>
      </c>
      <c r="P236" s="16"/>
      <c r="T236" s="22"/>
      <c r="U236" s="22"/>
      <c r="V236" s="22"/>
      <c r="W236" s="19"/>
    </row>
    <row r="237" spans="1:23" ht="15.75" customHeight="1">
      <c r="A237" s="8">
        <v>51301</v>
      </c>
      <c r="B237" s="8">
        <v>128</v>
      </c>
      <c r="C237" s="8">
        <v>60.333335071802139</v>
      </c>
      <c r="D237" s="8">
        <v>243</v>
      </c>
      <c r="E237" s="9">
        <f t="shared" si="0"/>
        <v>0.52674897119341568</v>
      </c>
      <c r="F237" s="10">
        <f t="shared" si="1"/>
        <v>0.47135418024845421</v>
      </c>
      <c r="G237" s="10">
        <f t="shared" si="2"/>
        <v>0.24828532951358906</v>
      </c>
      <c r="H237" s="8">
        <v>2930</v>
      </c>
      <c r="I237" s="8">
        <v>1477.3333741128445</v>
      </c>
      <c r="J237" s="8">
        <v>3851</v>
      </c>
      <c r="K237" s="11">
        <f t="shared" si="3"/>
        <v>0.76084133991171121</v>
      </c>
      <c r="L237" s="12">
        <f t="shared" si="4"/>
        <v>0.50420934270062956</v>
      </c>
      <c r="M237" s="12">
        <f t="shared" si="5"/>
        <v>0.38362331189635018</v>
      </c>
      <c r="N237" s="9">
        <f t="shared" si="6"/>
        <v>1.5450905321224542</v>
      </c>
      <c r="P237" s="16"/>
      <c r="T237" s="22"/>
      <c r="U237" s="22"/>
      <c r="V237" s="22"/>
      <c r="W237" s="19"/>
    </row>
    <row r="238" spans="1:23" ht="15.75" customHeight="1">
      <c r="A238" s="8">
        <v>51302</v>
      </c>
      <c r="B238" s="8">
        <v>160</v>
      </c>
      <c r="C238" s="8">
        <v>71.555557131767273</v>
      </c>
      <c r="D238" s="8">
        <v>470</v>
      </c>
      <c r="E238" s="9">
        <f t="shared" si="0"/>
        <v>0.34042553191489361</v>
      </c>
      <c r="F238" s="10">
        <f t="shared" si="1"/>
        <v>0.44722223207354544</v>
      </c>
      <c r="G238" s="10">
        <f t="shared" si="2"/>
        <v>0.1522458662378027</v>
      </c>
      <c r="H238" s="8">
        <v>4020</v>
      </c>
      <c r="I238" s="8">
        <v>1911.6667173802853</v>
      </c>
      <c r="J238" s="8">
        <v>5579</v>
      </c>
      <c r="K238" s="11">
        <f t="shared" si="3"/>
        <v>0.72055924000716975</v>
      </c>
      <c r="L238" s="12">
        <f t="shared" si="4"/>
        <v>0.47553898442295656</v>
      </c>
      <c r="M238" s="12">
        <f t="shared" si="5"/>
        <v>0.34265400920958689</v>
      </c>
      <c r="N238" s="9">
        <f t="shared" si="6"/>
        <v>2.2506621537715406</v>
      </c>
      <c r="P238" s="16"/>
      <c r="T238" s="22"/>
      <c r="U238" s="22"/>
      <c r="V238" s="22"/>
      <c r="W238" s="19"/>
    </row>
    <row r="239" spans="1:23" ht="15.75" customHeight="1">
      <c r="A239" s="8">
        <v>51401</v>
      </c>
      <c r="B239" s="8">
        <v>268</v>
      </c>
      <c r="C239" s="8">
        <v>114.00000289082527</v>
      </c>
      <c r="D239" s="8">
        <v>557</v>
      </c>
      <c r="E239" s="9">
        <f t="shared" si="0"/>
        <v>0.48114901256732495</v>
      </c>
      <c r="F239" s="10">
        <f t="shared" si="1"/>
        <v>0.42537314511501967</v>
      </c>
      <c r="G239" s="10">
        <f t="shared" si="2"/>
        <v>0.20466786874474913</v>
      </c>
      <c r="H239" s="8">
        <v>1966</v>
      </c>
      <c r="I239" s="8">
        <v>827.66668716073036</v>
      </c>
      <c r="J239" s="8">
        <v>3356</v>
      </c>
      <c r="K239" s="11">
        <f t="shared" si="3"/>
        <v>0.58581644815256262</v>
      </c>
      <c r="L239" s="12">
        <f t="shared" si="4"/>
        <v>0.42099017658226368</v>
      </c>
      <c r="M239" s="12">
        <f t="shared" si="5"/>
        <v>0.24662296995254185</v>
      </c>
      <c r="N239" s="9">
        <f t="shared" si="6"/>
        <v>1.2049911471942716</v>
      </c>
      <c r="P239" s="16"/>
      <c r="T239" s="22"/>
      <c r="U239" s="22"/>
      <c r="V239" s="22"/>
      <c r="W239" s="19"/>
    </row>
    <row r="240" spans="1:23" ht="15.75" customHeight="1">
      <c r="A240" s="8">
        <v>51402</v>
      </c>
      <c r="B240" s="8">
        <v>25</v>
      </c>
      <c r="C240" s="8">
        <v>10.444444686174393</v>
      </c>
      <c r="D240" s="8">
        <v>94</v>
      </c>
      <c r="E240" s="9">
        <f t="shared" si="0"/>
        <v>0.26595744680851063</v>
      </c>
      <c r="F240" s="10">
        <f t="shared" si="1"/>
        <v>0.41777778744697569</v>
      </c>
      <c r="G240" s="10">
        <f t="shared" si="2"/>
        <v>0.11111111368270629</v>
      </c>
      <c r="H240" s="8">
        <v>586</v>
      </c>
      <c r="I240" s="8">
        <v>241.00000622868538</v>
      </c>
      <c r="J240" s="8">
        <v>1556</v>
      </c>
      <c r="K240" s="11">
        <f t="shared" si="3"/>
        <v>0.37660668380462725</v>
      </c>
      <c r="L240" s="12">
        <f t="shared" si="4"/>
        <v>0.41126280926396824</v>
      </c>
      <c r="M240" s="12">
        <f t="shared" si="5"/>
        <v>0.15488432276907801</v>
      </c>
      <c r="N240" s="9">
        <f t="shared" si="6"/>
        <v>1.3939588726594208</v>
      </c>
      <c r="P240" s="16"/>
      <c r="T240" s="22"/>
      <c r="U240" s="22"/>
      <c r="V240" s="22"/>
      <c r="W240" s="19"/>
    </row>
    <row r="241" spans="1:23" ht="15.75" customHeight="1">
      <c r="A241" s="8">
        <v>51501</v>
      </c>
      <c r="B241" s="8">
        <v>773</v>
      </c>
      <c r="C241" s="8">
        <v>334.44445267319679</v>
      </c>
      <c r="D241" s="8">
        <v>3438</v>
      </c>
      <c r="E241" s="9">
        <f t="shared" si="0"/>
        <v>0.22484002326934263</v>
      </c>
      <c r="F241" s="10">
        <f t="shared" si="1"/>
        <v>0.4326577654245754</v>
      </c>
      <c r="G241" s="10">
        <f t="shared" si="2"/>
        <v>9.7278782045723322E-2</v>
      </c>
      <c r="H241" s="8">
        <v>10181</v>
      </c>
      <c r="I241" s="8">
        <v>4451.6667813658714</v>
      </c>
      <c r="J241" s="8">
        <v>39046</v>
      </c>
      <c r="K241" s="11">
        <f t="shared" si="3"/>
        <v>0.26074373815499668</v>
      </c>
      <c r="L241" s="12">
        <f t="shared" si="4"/>
        <v>0.43725240952419914</v>
      </c>
      <c r="M241" s="12">
        <f t="shared" si="5"/>
        <v>0.11401082777661915</v>
      </c>
      <c r="N241" s="9">
        <f t="shared" si="6"/>
        <v>1.1720009788263115</v>
      </c>
      <c r="P241" s="16"/>
      <c r="T241" s="22"/>
      <c r="U241" s="22"/>
      <c r="V241" s="22"/>
      <c r="W241" s="19"/>
    </row>
    <row r="242" spans="1:23" ht="15.75" customHeight="1">
      <c r="A242" s="8">
        <v>51601</v>
      </c>
      <c r="B242" s="8">
        <v>40</v>
      </c>
      <c r="C242" s="8">
        <v>17.111111521720886</v>
      </c>
      <c r="D242" s="8">
        <v>79</v>
      </c>
      <c r="E242" s="9">
        <f t="shared" si="0"/>
        <v>0.50632911392405067</v>
      </c>
      <c r="F242" s="10">
        <f t="shared" si="1"/>
        <v>0.42777778804302213</v>
      </c>
      <c r="G242" s="10">
        <f t="shared" si="2"/>
        <v>0.21659634837621375</v>
      </c>
      <c r="H242" s="8">
        <v>814</v>
      </c>
      <c r="I242" s="8">
        <v>373.55556550621986</v>
      </c>
      <c r="J242" s="8">
        <v>1551</v>
      </c>
      <c r="K242" s="11">
        <f t="shared" si="3"/>
        <v>0.52482269503546097</v>
      </c>
      <c r="L242" s="12">
        <f t="shared" si="4"/>
        <v>0.45891347113786224</v>
      </c>
      <c r="M242" s="12">
        <f t="shared" si="5"/>
        <v>0.2408482047106511</v>
      </c>
      <c r="N242" s="9">
        <f t="shared" si="6"/>
        <v>1.1119679833766793</v>
      </c>
      <c r="P242" s="16"/>
      <c r="T242" s="22"/>
      <c r="U242" s="22"/>
      <c r="V242" s="22"/>
      <c r="W242" s="19"/>
    </row>
    <row r="243" spans="1:23" ht="15.75" customHeight="1">
      <c r="A243" s="8">
        <v>60101</v>
      </c>
      <c r="B243" s="8">
        <v>1994</v>
      </c>
      <c r="C243" s="8">
        <v>819.66668635606766</v>
      </c>
      <c r="D243" s="8">
        <v>15533</v>
      </c>
      <c r="E243" s="9">
        <f t="shared" si="0"/>
        <v>0.1283718534732505</v>
      </c>
      <c r="F243" s="10">
        <f t="shared" si="1"/>
        <v>0.41106654280645316</v>
      </c>
      <c r="G243" s="10">
        <f t="shared" si="2"/>
        <v>5.2769374000905658E-2</v>
      </c>
      <c r="H243" s="8">
        <v>19661</v>
      </c>
      <c r="I243" s="8">
        <v>7993.0001992583275</v>
      </c>
      <c r="J243" s="8">
        <v>179143</v>
      </c>
      <c r="K243" s="11">
        <f t="shared" si="3"/>
        <v>0.10975031120389857</v>
      </c>
      <c r="L243" s="12">
        <f t="shared" si="4"/>
        <v>0.40654087784234411</v>
      </c>
      <c r="M243" s="12">
        <f t="shared" si="5"/>
        <v>4.4617987860303375E-2</v>
      </c>
      <c r="N243" s="9">
        <f t="shared" si="6"/>
        <v>0.84552808717301853</v>
      </c>
      <c r="P243" s="16"/>
      <c r="T243" s="22"/>
      <c r="U243" s="22"/>
      <c r="V243" s="22"/>
      <c r="W243" s="19"/>
    </row>
    <row r="244" spans="1:23" ht="15.75" customHeight="1">
      <c r="A244" s="8">
        <v>60201</v>
      </c>
      <c r="B244" s="8">
        <v>323</v>
      </c>
      <c r="C244" s="8">
        <v>145.44444793462753</v>
      </c>
      <c r="D244" s="8">
        <v>997</v>
      </c>
      <c r="E244" s="9">
        <f t="shared" si="0"/>
        <v>0.32397191574724171</v>
      </c>
      <c r="F244" s="10">
        <f t="shared" si="1"/>
        <v>0.45029240846633911</v>
      </c>
      <c r="G244" s="10">
        <f t="shared" si="2"/>
        <v>0.14588209421727938</v>
      </c>
      <c r="H244" s="8">
        <v>6486</v>
      </c>
      <c r="I244" s="8">
        <v>2807.0000715553761</v>
      </c>
      <c r="J244" s="8">
        <v>16940</v>
      </c>
      <c r="K244" s="11">
        <f t="shared" si="3"/>
        <v>0.38288075560802831</v>
      </c>
      <c r="L244" s="12">
        <f t="shared" si="4"/>
        <v>0.43277830273749246</v>
      </c>
      <c r="M244" s="12">
        <f t="shared" si="5"/>
        <v>0.16570248356289113</v>
      </c>
      <c r="N244" s="9">
        <f t="shared" si="6"/>
        <v>1.135865813086635</v>
      </c>
      <c r="P244" s="16"/>
      <c r="T244" s="22"/>
      <c r="U244" s="22"/>
      <c r="V244" s="22"/>
      <c r="W244" s="19"/>
    </row>
    <row r="245" spans="1:23" ht="15.75" customHeight="1">
      <c r="A245" s="8">
        <v>60202</v>
      </c>
      <c r="B245" s="8">
        <v>447</v>
      </c>
      <c r="C245" s="8">
        <v>189.00000521540642</v>
      </c>
      <c r="D245" s="8">
        <v>2922</v>
      </c>
      <c r="E245" s="9">
        <f t="shared" si="0"/>
        <v>0.15297741273100615</v>
      </c>
      <c r="F245" s="10">
        <f t="shared" si="1"/>
        <v>0.42281880361388463</v>
      </c>
      <c r="G245" s="10">
        <f t="shared" si="2"/>
        <v>6.4681726630871461E-2</v>
      </c>
      <c r="H245" s="8">
        <v>3857</v>
      </c>
      <c r="I245" s="8">
        <v>1525.0000381469727</v>
      </c>
      <c r="J245" s="8">
        <v>29441</v>
      </c>
      <c r="K245" s="11">
        <f t="shared" si="3"/>
        <v>0.13100777826840121</v>
      </c>
      <c r="L245" s="12">
        <f t="shared" si="4"/>
        <v>0.39538502415010957</v>
      </c>
      <c r="M245" s="12">
        <f t="shared" si="5"/>
        <v>5.1798513574504011E-2</v>
      </c>
      <c r="N245" s="9">
        <f t="shared" si="6"/>
        <v>0.8008214417359335</v>
      </c>
      <c r="P245" s="16"/>
      <c r="T245" s="22"/>
      <c r="U245" s="22"/>
      <c r="V245" s="22"/>
      <c r="W245" s="19"/>
    </row>
    <row r="246" spans="1:23" ht="15.75" customHeight="1">
      <c r="A246" s="8">
        <v>60301</v>
      </c>
      <c r="B246" s="8">
        <v>1931</v>
      </c>
      <c r="C246" s="8">
        <v>861.11113268136978</v>
      </c>
      <c r="D246" s="8">
        <v>7914</v>
      </c>
      <c r="E246" s="9">
        <f t="shared" si="0"/>
        <v>0.24399797826636341</v>
      </c>
      <c r="F246" s="10">
        <f t="shared" si="1"/>
        <v>0.44594051407631785</v>
      </c>
      <c r="G246" s="10">
        <f t="shared" si="2"/>
        <v>0.10880858386168432</v>
      </c>
      <c r="H246" s="8">
        <v>13039</v>
      </c>
      <c r="I246" s="8">
        <v>5454.3334737122059</v>
      </c>
      <c r="J246" s="8">
        <v>78332</v>
      </c>
      <c r="K246" s="11">
        <f t="shared" si="3"/>
        <v>0.16645815247919113</v>
      </c>
      <c r="L246" s="12">
        <f t="shared" si="4"/>
        <v>0.41830918580506221</v>
      </c>
      <c r="M246" s="12">
        <f t="shared" si="5"/>
        <v>6.9630974234185336E-2</v>
      </c>
      <c r="N246" s="9">
        <f t="shared" si="6"/>
        <v>0.6399400834285196</v>
      </c>
      <c r="P246" s="16"/>
      <c r="T246" s="22"/>
      <c r="U246" s="22"/>
      <c r="V246" s="22"/>
      <c r="W246" s="19"/>
    </row>
    <row r="247" spans="1:23" ht="15.75" customHeight="1">
      <c r="A247" s="8">
        <v>60302</v>
      </c>
      <c r="B247" s="8">
        <v>381</v>
      </c>
      <c r="C247" s="8">
        <v>152.44444841146469</v>
      </c>
      <c r="D247" s="8">
        <v>2109</v>
      </c>
      <c r="E247" s="9">
        <f t="shared" si="0"/>
        <v>0.18065433854907539</v>
      </c>
      <c r="F247" s="10">
        <f t="shared" si="1"/>
        <v>0.40011666249728267</v>
      </c>
      <c r="G247" s="10">
        <f t="shared" si="2"/>
        <v>7.2282811005910247E-2</v>
      </c>
      <c r="H247" s="8">
        <v>1968</v>
      </c>
      <c r="I247" s="8">
        <v>809.2222441136837</v>
      </c>
      <c r="J247" s="8">
        <v>10998</v>
      </c>
      <c r="K247" s="11">
        <f t="shared" si="3"/>
        <v>0.17894162575013639</v>
      </c>
      <c r="L247" s="12">
        <f t="shared" si="4"/>
        <v>0.41119016469191244</v>
      </c>
      <c r="M247" s="12">
        <f t="shared" si="5"/>
        <v>7.3579036562437139E-2</v>
      </c>
      <c r="N247" s="9">
        <f t="shared" si="6"/>
        <v>1.0179326943499873</v>
      </c>
      <c r="P247" s="16"/>
      <c r="T247" s="22"/>
      <c r="U247" s="22"/>
      <c r="V247" s="22"/>
      <c r="W247" s="19"/>
    </row>
    <row r="248" spans="1:23" ht="15.75" customHeight="1">
      <c r="A248" s="8">
        <v>60303</v>
      </c>
      <c r="B248" s="8">
        <v>1362</v>
      </c>
      <c r="C248" s="8">
        <v>564.6666816174984</v>
      </c>
      <c r="D248" s="8">
        <v>5420</v>
      </c>
      <c r="E248" s="9">
        <f t="shared" si="0"/>
        <v>0.25129151291512913</v>
      </c>
      <c r="F248" s="10">
        <f t="shared" si="1"/>
        <v>0.41458640353707665</v>
      </c>
      <c r="G248" s="10">
        <f t="shared" si="2"/>
        <v>0.10418204457887424</v>
      </c>
      <c r="H248" s="8">
        <v>7462</v>
      </c>
      <c r="I248" s="8">
        <v>3055.6667442619801</v>
      </c>
      <c r="J248" s="8">
        <v>31675</v>
      </c>
      <c r="K248" s="11">
        <f t="shared" si="3"/>
        <v>0.23558011049723757</v>
      </c>
      <c r="L248" s="12">
        <f t="shared" si="4"/>
        <v>0.40949701745671135</v>
      </c>
      <c r="M248" s="12">
        <f t="shared" si="5"/>
        <v>9.6469352620741286E-2</v>
      </c>
      <c r="N248" s="9">
        <f t="shared" si="6"/>
        <v>0.92596908623449192</v>
      </c>
      <c r="P248" s="16"/>
      <c r="T248" s="22"/>
      <c r="U248" s="22"/>
      <c r="V248" s="22"/>
      <c r="W248" s="19"/>
    </row>
    <row r="249" spans="1:23" ht="15.75" customHeight="1">
      <c r="A249" s="8">
        <v>60401</v>
      </c>
      <c r="B249" s="8">
        <v>293</v>
      </c>
      <c r="C249" s="8">
        <v>131.55555936694145</v>
      </c>
      <c r="D249" s="8">
        <v>763</v>
      </c>
      <c r="E249" s="9">
        <f t="shared" si="0"/>
        <v>0.38401048492791612</v>
      </c>
      <c r="F249" s="10">
        <f t="shared" si="1"/>
        <v>0.44899508316362269</v>
      </c>
      <c r="G249" s="10">
        <f t="shared" si="2"/>
        <v>0.17241881961591277</v>
      </c>
      <c r="H249" s="8">
        <v>4517</v>
      </c>
      <c r="I249" s="8">
        <v>1967.3333841860294</v>
      </c>
      <c r="J249" s="8">
        <v>13537</v>
      </c>
      <c r="K249" s="11">
        <f t="shared" si="3"/>
        <v>0.33367806751865259</v>
      </c>
      <c r="L249" s="12">
        <f t="shared" si="4"/>
        <v>0.43553982381802731</v>
      </c>
      <c r="M249" s="12">
        <f t="shared" si="5"/>
        <v>0.14533008673901376</v>
      </c>
      <c r="N249" s="9">
        <f t="shared" si="6"/>
        <v>0.84288992966520138</v>
      </c>
      <c r="P249" s="16"/>
      <c r="T249" s="22"/>
      <c r="U249" s="22"/>
      <c r="V249" s="22"/>
      <c r="W249" s="19"/>
    </row>
    <row r="250" spans="1:23" ht="15.75" customHeight="1">
      <c r="A250" s="8">
        <v>60402</v>
      </c>
      <c r="B250" s="8">
        <v>150</v>
      </c>
      <c r="C250" s="8">
        <v>69.777779400348663</v>
      </c>
      <c r="D250" s="8">
        <v>407</v>
      </c>
      <c r="E250" s="9">
        <f t="shared" si="0"/>
        <v>0.36855036855036855</v>
      </c>
      <c r="F250" s="10">
        <f t="shared" si="1"/>
        <v>0.46518519600232444</v>
      </c>
      <c r="G250" s="10">
        <f t="shared" si="2"/>
        <v>0.1714441754308321</v>
      </c>
      <c r="H250" s="8">
        <v>1790</v>
      </c>
      <c r="I250" s="8">
        <v>780.44446521997452</v>
      </c>
      <c r="J250" s="8">
        <v>4750</v>
      </c>
      <c r="K250" s="11">
        <f t="shared" si="3"/>
        <v>0.37684210526315787</v>
      </c>
      <c r="L250" s="12">
        <f t="shared" si="4"/>
        <v>0.43600249453629863</v>
      </c>
      <c r="M250" s="12">
        <f t="shared" si="5"/>
        <v>0.16430409794104725</v>
      </c>
      <c r="N250" s="9">
        <f t="shared" si="6"/>
        <v>0.95835333879472939</v>
      </c>
      <c r="P250" s="16"/>
      <c r="T250" s="22"/>
      <c r="U250" s="22"/>
      <c r="V250" s="22"/>
      <c r="W250" s="19"/>
    </row>
    <row r="251" spans="1:23" ht="15.75" customHeight="1">
      <c r="A251" s="8">
        <v>60501</v>
      </c>
      <c r="B251" s="8">
        <v>398</v>
      </c>
      <c r="C251" s="8">
        <v>165.55555972456932</v>
      </c>
      <c r="D251" s="8">
        <v>1609</v>
      </c>
      <c r="E251" s="9">
        <f t="shared" si="0"/>
        <v>0.2473586078309509</v>
      </c>
      <c r="F251" s="10">
        <f t="shared" si="1"/>
        <v>0.41596874302655606</v>
      </c>
      <c r="G251" s="10">
        <f t="shared" si="2"/>
        <v>0.10289344917623948</v>
      </c>
      <c r="H251" s="8">
        <v>6462</v>
      </c>
      <c r="I251" s="8">
        <v>2999.8889660835266</v>
      </c>
      <c r="J251" s="8">
        <v>21010</v>
      </c>
      <c r="K251" s="11">
        <f t="shared" si="3"/>
        <v>0.30756782484531175</v>
      </c>
      <c r="L251" s="12">
        <f t="shared" si="4"/>
        <v>0.46423537079596511</v>
      </c>
      <c r="M251" s="12">
        <f t="shared" si="5"/>
        <v>0.14278386321197176</v>
      </c>
      <c r="N251" s="9">
        <f t="shared" si="6"/>
        <v>1.3876866249026854</v>
      </c>
      <c r="P251" s="16"/>
      <c r="T251" s="22"/>
      <c r="U251" s="22"/>
      <c r="V251" s="22"/>
      <c r="W251" s="19"/>
    </row>
    <row r="252" spans="1:23" ht="15.75" customHeight="1">
      <c r="A252" s="8">
        <v>60502</v>
      </c>
      <c r="B252" s="8">
        <v>162</v>
      </c>
      <c r="C252" s="8">
        <v>69.777779549360275</v>
      </c>
      <c r="D252" s="8">
        <v>681</v>
      </c>
      <c r="E252" s="9">
        <f t="shared" si="0"/>
        <v>0.23788546255506607</v>
      </c>
      <c r="F252" s="10">
        <f t="shared" si="1"/>
        <v>0.43072703425531034</v>
      </c>
      <c r="G252" s="10">
        <f t="shared" si="2"/>
        <v>0.10246369977879628</v>
      </c>
      <c r="H252" s="8">
        <v>3359</v>
      </c>
      <c r="I252" s="8">
        <v>1432.8889261782169</v>
      </c>
      <c r="J252" s="8">
        <v>10088</v>
      </c>
      <c r="K252" s="11">
        <f t="shared" si="3"/>
        <v>0.33296986518636001</v>
      </c>
      <c r="L252" s="12">
        <f t="shared" si="4"/>
        <v>0.42658199648056472</v>
      </c>
      <c r="M252" s="12">
        <f t="shared" si="5"/>
        <v>0.14203894985906193</v>
      </c>
      <c r="N252" s="9">
        <f t="shared" si="6"/>
        <v>1.3862367859612981</v>
      </c>
      <c r="P252" s="16"/>
      <c r="T252" s="22"/>
      <c r="U252" s="22"/>
      <c r="V252" s="22"/>
      <c r="W252" s="19"/>
    </row>
    <row r="253" spans="1:23" ht="15.75" customHeight="1">
      <c r="A253" s="8">
        <v>60601</v>
      </c>
      <c r="B253" s="8">
        <v>450</v>
      </c>
      <c r="C253" s="8">
        <v>206.88889417052269</v>
      </c>
      <c r="D253" s="8">
        <v>1466</v>
      </c>
      <c r="E253" s="9">
        <f t="shared" si="0"/>
        <v>0.30695770804911321</v>
      </c>
      <c r="F253" s="10">
        <f t="shared" si="1"/>
        <v>0.45975309815671711</v>
      </c>
      <c r="G253" s="10">
        <f t="shared" si="2"/>
        <v>0.14112475727866486</v>
      </c>
      <c r="H253" s="8">
        <v>8412</v>
      </c>
      <c r="I253" s="8">
        <v>3808.3334347903728</v>
      </c>
      <c r="J253" s="8">
        <v>18489</v>
      </c>
      <c r="K253" s="11">
        <f t="shared" si="3"/>
        <v>0.45497322732435502</v>
      </c>
      <c r="L253" s="12">
        <f t="shared" si="4"/>
        <v>0.4527262761281946</v>
      </c>
      <c r="M253" s="12">
        <f t="shared" si="5"/>
        <v>0.20597833494458181</v>
      </c>
      <c r="N253" s="9">
        <f t="shared" si="6"/>
        <v>1.4595478420406216</v>
      </c>
      <c r="P253" s="16"/>
      <c r="T253" s="22"/>
      <c r="U253" s="22"/>
      <c r="V253" s="22"/>
      <c r="W253" s="19"/>
    </row>
    <row r="254" spans="1:23" ht="15.75" customHeight="1">
      <c r="A254" s="8">
        <v>70101</v>
      </c>
      <c r="B254" s="8">
        <v>12813</v>
      </c>
      <c r="C254" s="8">
        <v>4817.5556740164757</v>
      </c>
      <c r="D254" s="8">
        <v>75032</v>
      </c>
      <c r="E254" s="9">
        <f t="shared" si="0"/>
        <v>0.17076713935387569</v>
      </c>
      <c r="F254" s="10">
        <f t="shared" si="1"/>
        <v>0.37598967252138266</v>
      </c>
      <c r="G254" s="10">
        <f t="shared" si="2"/>
        <v>6.4206680803077038E-2</v>
      </c>
      <c r="H254" s="8">
        <v>178219</v>
      </c>
      <c r="I254" s="8">
        <v>66195.668334782124</v>
      </c>
      <c r="J254" s="8">
        <v>1295572</v>
      </c>
      <c r="K254" s="11">
        <f t="shared" si="3"/>
        <v>0.13756008928874658</v>
      </c>
      <c r="L254" s="12">
        <f t="shared" si="4"/>
        <v>0.37142879454369132</v>
      </c>
      <c r="M254" s="12">
        <f t="shared" si="5"/>
        <v>5.1093778141841684E-2</v>
      </c>
      <c r="N254" s="9">
        <f t="shared" si="6"/>
        <v>0.79577043234094524</v>
      </c>
      <c r="P254" s="16"/>
      <c r="T254" s="22"/>
      <c r="U254" s="22"/>
      <c r="V254" s="22"/>
      <c r="W254" s="19"/>
    </row>
    <row r="255" spans="1:23" ht="15.75" customHeight="1">
      <c r="A255" s="8">
        <v>70102</v>
      </c>
      <c r="B255" s="8">
        <v>1347</v>
      </c>
      <c r="C255" s="8">
        <v>539.11112424731255</v>
      </c>
      <c r="D255" s="8">
        <v>4417</v>
      </c>
      <c r="E255" s="9">
        <f t="shared" si="0"/>
        <v>0.30495811636857595</v>
      </c>
      <c r="F255" s="10">
        <f t="shared" si="1"/>
        <v>0.40023097568471605</v>
      </c>
      <c r="G255" s="10">
        <f t="shared" si="2"/>
        <v>0.12205368445716833</v>
      </c>
      <c r="H255" s="8">
        <v>12685</v>
      </c>
      <c r="I255" s="8">
        <v>4943.8890134692192</v>
      </c>
      <c r="J255" s="8">
        <v>49411</v>
      </c>
      <c r="K255" s="11">
        <f t="shared" si="3"/>
        <v>0.25672421120803057</v>
      </c>
      <c r="L255" s="12">
        <f t="shared" si="4"/>
        <v>0.38974292577605196</v>
      </c>
      <c r="M255" s="12">
        <f t="shared" si="5"/>
        <v>0.10005644519376694</v>
      </c>
      <c r="N255" s="9">
        <f t="shared" si="6"/>
        <v>0.81977406613136072</v>
      </c>
      <c r="P255" s="16"/>
      <c r="T255" s="22"/>
      <c r="U255" s="22"/>
      <c r="V255" s="22"/>
      <c r="W255" s="19"/>
    </row>
    <row r="256" spans="1:23" ht="15.75" customHeight="1">
      <c r="A256" s="8">
        <v>70103</v>
      </c>
      <c r="B256" s="8">
        <v>347</v>
      </c>
      <c r="C256" s="8">
        <v>151.11111479997635</v>
      </c>
      <c r="D256" s="8">
        <v>1120</v>
      </c>
      <c r="E256" s="9">
        <f t="shared" si="0"/>
        <v>0.30982142857142858</v>
      </c>
      <c r="F256" s="10">
        <f t="shared" si="1"/>
        <v>0.43547871700281371</v>
      </c>
      <c r="G256" s="10">
        <f t="shared" si="2"/>
        <v>0.13492063821426462</v>
      </c>
      <c r="H256" s="8">
        <v>4307</v>
      </c>
      <c r="I256" s="8">
        <v>1847.5556035041809</v>
      </c>
      <c r="J256" s="8">
        <v>13751</v>
      </c>
      <c r="K256" s="11">
        <f t="shared" si="3"/>
        <v>0.31321358446658426</v>
      </c>
      <c r="L256" s="12">
        <f t="shared" si="4"/>
        <v>0.42896577745627607</v>
      </c>
      <c r="M256" s="12">
        <f t="shared" si="5"/>
        <v>0.1343579087705753</v>
      </c>
      <c r="N256" s="9">
        <f t="shared" si="6"/>
        <v>0.99582918187211911</v>
      </c>
      <c r="P256" s="16"/>
      <c r="T256" s="22"/>
      <c r="U256" s="22"/>
      <c r="V256" s="22"/>
      <c r="W256" s="19"/>
    </row>
    <row r="257" spans="1:23" ht="15.75" customHeight="1">
      <c r="A257" s="8">
        <v>70104</v>
      </c>
      <c r="B257" s="8">
        <v>1875</v>
      </c>
      <c r="C257" s="8">
        <v>743.44446283578873</v>
      </c>
      <c r="D257" s="8">
        <v>6903</v>
      </c>
      <c r="E257" s="9">
        <f t="shared" ref="E257:E346" si="14">B257/D257</f>
        <v>0.27162103433289875</v>
      </c>
      <c r="F257" s="10">
        <f t="shared" ref="F257:F346" si="15">C257/B257</f>
        <v>0.39650371351242064</v>
      </c>
      <c r="G257" s="10">
        <f t="shared" ref="G257:G346" si="16">E257*F257</f>
        <v>0.10769874878107906</v>
      </c>
      <c r="H257" s="8">
        <v>19184</v>
      </c>
      <c r="I257" s="8">
        <v>7284.6668519675732</v>
      </c>
      <c r="J257" s="8">
        <v>79430</v>
      </c>
      <c r="K257" s="11">
        <f t="shared" ref="K257:K346" si="17">H257/J257</f>
        <v>0.24152083595618784</v>
      </c>
      <c r="L257" s="12">
        <f t="shared" ref="L257:L346" si="18">I257/H257</f>
        <v>0.37972617034860162</v>
      </c>
      <c r="M257" s="12">
        <f t="shared" ref="M257:M346" si="19">K257*L257</f>
        <v>9.1711782097036051E-2</v>
      </c>
      <c r="N257" s="9">
        <f t="shared" ref="N257:N346" si="20">M257/G257</f>
        <v>0.85155847338078205</v>
      </c>
      <c r="P257" s="16"/>
      <c r="T257" s="22"/>
      <c r="U257" s="22"/>
      <c r="V257" s="22"/>
      <c r="W257" s="19"/>
    </row>
    <row r="258" spans="1:23" ht="15.75" customHeight="1">
      <c r="A258" s="8">
        <v>70105</v>
      </c>
      <c r="B258" s="8">
        <v>1461</v>
      </c>
      <c r="C258" s="8">
        <v>642.77779427170753</v>
      </c>
      <c r="D258" s="8">
        <v>3927</v>
      </c>
      <c r="E258" s="9">
        <f t="shared" si="14"/>
        <v>0.37203972498090143</v>
      </c>
      <c r="F258" s="10">
        <f t="shared" si="15"/>
        <v>0.43995742249945757</v>
      </c>
      <c r="G258" s="10">
        <f t="shared" si="16"/>
        <v>0.16368163847000444</v>
      </c>
      <c r="H258" s="8">
        <v>13165</v>
      </c>
      <c r="I258" s="8">
        <v>5627.7779258191586</v>
      </c>
      <c r="J258" s="8">
        <v>44268</v>
      </c>
      <c r="K258" s="11">
        <f t="shared" si="17"/>
        <v>0.29739315080871059</v>
      </c>
      <c r="L258" s="12">
        <f t="shared" si="18"/>
        <v>0.42748028300943097</v>
      </c>
      <c r="M258" s="12">
        <f t="shared" si="19"/>
        <v>0.12712970827277398</v>
      </c>
      <c r="N258" s="9">
        <f t="shared" si="20"/>
        <v>0.77668887885717974</v>
      </c>
      <c r="P258" s="16"/>
      <c r="T258" s="22"/>
      <c r="U258" s="22"/>
      <c r="V258" s="22"/>
      <c r="W258" s="19"/>
    </row>
    <row r="259" spans="1:23" ht="15.75" customHeight="1">
      <c r="A259" s="8">
        <v>70201</v>
      </c>
      <c r="B259" s="8">
        <v>3388</v>
      </c>
      <c r="C259" s="8">
        <v>1361.3333651423454</v>
      </c>
      <c r="D259" s="8">
        <v>11353</v>
      </c>
      <c r="E259" s="9">
        <f t="shared" si="14"/>
        <v>0.29842332423148066</v>
      </c>
      <c r="F259" s="10">
        <f t="shared" si="15"/>
        <v>0.40181032028994845</v>
      </c>
      <c r="G259" s="10">
        <f t="shared" si="16"/>
        <v>0.11990957149144238</v>
      </c>
      <c r="H259" s="8">
        <v>21022</v>
      </c>
      <c r="I259" s="8">
        <v>8315.6668764650822</v>
      </c>
      <c r="J259" s="8">
        <v>81939</v>
      </c>
      <c r="K259" s="11">
        <f t="shared" si="17"/>
        <v>0.25655670681848691</v>
      </c>
      <c r="L259" s="12">
        <f t="shared" si="18"/>
        <v>0.39556973059009998</v>
      </c>
      <c r="M259" s="12">
        <f t="shared" si="19"/>
        <v>0.10148606739727213</v>
      </c>
      <c r="N259" s="9">
        <f t="shared" si="20"/>
        <v>0.84635501682628322</v>
      </c>
      <c r="P259" s="16"/>
      <c r="T259" s="22"/>
      <c r="U259" s="22"/>
      <c r="V259" s="22"/>
      <c r="W259" s="19"/>
    </row>
    <row r="260" spans="1:23" ht="15.75" customHeight="1">
      <c r="A260" s="8">
        <v>70202</v>
      </c>
      <c r="B260" s="8">
        <v>151</v>
      </c>
      <c r="C260" s="8">
        <v>58.11111244559288</v>
      </c>
      <c r="D260" s="8">
        <v>573</v>
      </c>
      <c r="E260" s="9">
        <f t="shared" si="14"/>
        <v>0.26352530541012215</v>
      </c>
      <c r="F260" s="10">
        <f t="shared" si="15"/>
        <v>0.38484180427544956</v>
      </c>
      <c r="G260" s="10">
        <f t="shared" si="16"/>
        <v>0.10141555400627029</v>
      </c>
      <c r="H260" s="8">
        <v>3113</v>
      </c>
      <c r="I260" s="8">
        <v>1240.555587053299</v>
      </c>
      <c r="J260" s="8">
        <v>11399</v>
      </c>
      <c r="K260" s="11">
        <f t="shared" si="17"/>
        <v>0.27309413106412844</v>
      </c>
      <c r="L260" s="12">
        <f t="shared" si="18"/>
        <v>0.39850805880285867</v>
      </c>
      <c r="M260" s="12">
        <f t="shared" si="19"/>
        <v>0.10883021204081929</v>
      </c>
      <c r="N260" s="9">
        <f t="shared" si="20"/>
        <v>1.0731116455183054</v>
      </c>
      <c r="P260" s="16"/>
      <c r="T260" s="22"/>
      <c r="U260" s="22"/>
      <c r="V260" s="22"/>
      <c r="W260" s="19"/>
    </row>
    <row r="261" spans="1:23" ht="15.75" customHeight="1">
      <c r="A261" s="8">
        <v>70301</v>
      </c>
      <c r="B261" s="8">
        <v>2448</v>
      </c>
      <c r="C261" s="8">
        <v>1031.2222484648228</v>
      </c>
      <c r="D261" s="8">
        <v>5228</v>
      </c>
      <c r="E261" s="9">
        <f t="shared" si="14"/>
        <v>0.46824789594491201</v>
      </c>
      <c r="F261" s="10">
        <f t="shared" si="15"/>
        <v>0.4212509184905322</v>
      </c>
      <c r="G261" s="10">
        <f t="shared" si="16"/>
        <v>0.19724985624805333</v>
      </c>
      <c r="H261" s="8">
        <v>20885</v>
      </c>
      <c r="I261" s="8">
        <v>8991.4446772634983</v>
      </c>
      <c r="J261" s="8">
        <v>45233</v>
      </c>
      <c r="K261" s="11">
        <f t="shared" si="17"/>
        <v>0.46172042535317137</v>
      </c>
      <c r="L261" s="12">
        <f t="shared" si="18"/>
        <v>0.43052165081462762</v>
      </c>
      <c r="M261" s="12">
        <f t="shared" si="19"/>
        <v>0.19878063973787938</v>
      </c>
      <c r="N261" s="9">
        <f t="shared" si="20"/>
        <v>1.0077606317132166</v>
      </c>
      <c r="P261" s="16"/>
      <c r="T261" s="22"/>
      <c r="U261" s="22"/>
      <c r="V261" s="22"/>
      <c r="W261" s="19"/>
    </row>
    <row r="262" spans="1:23" ht="15.75" customHeight="1">
      <c r="A262" s="8">
        <v>70302</v>
      </c>
      <c r="B262" s="8">
        <v>445</v>
      </c>
      <c r="C262" s="8">
        <v>212.66667264699936</v>
      </c>
      <c r="D262" s="8">
        <v>805</v>
      </c>
      <c r="E262" s="9">
        <f t="shared" si="14"/>
        <v>0.55279503105590067</v>
      </c>
      <c r="F262" s="10">
        <f t="shared" si="15"/>
        <v>0.47790263516179632</v>
      </c>
      <c r="G262" s="10">
        <f t="shared" si="16"/>
        <v>0.26418220204596193</v>
      </c>
      <c r="H262" s="8">
        <v>6043</v>
      </c>
      <c r="I262" s="8">
        <v>2707.7778451144695</v>
      </c>
      <c r="J262" s="8">
        <v>10365</v>
      </c>
      <c r="K262" s="11">
        <f t="shared" si="17"/>
        <v>0.58301977809937289</v>
      </c>
      <c r="L262" s="12">
        <f t="shared" si="18"/>
        <v>0.44808503146027956</v>
      </c>
      <c r="M262" s="12">
        <f t="shared" si="19"/>
        <v>0.26124243561162269</v>
      </c>
      <c r="N262" s="9">
        <f t="shared" si="20"/>
        <v>0.98887220103560269</v>
      </c>
      <c r="P262" s="16"/>
      <c r="T262" s="22"/>
      <c r="U262" s="22"/>
      <c r="V262" s="22"/>
      <c r="W262" s="19"/>
    </row>
    <row r="263" spans="1:23" ht="15.75" customHeight="1">
      <c r="A263" s="8">
        <v>70303</v>
      </c>
      <c r="B263" s="8">
        <v>139</v>
      </c>
      <c r="C263" s="8">
        <v>59.888890296220779</v>
      </c>
      <c r="D263" s="8">
        <v>318</v>
      </c>
      <c r="E263" s="9">
        <f t="shared" si="14"/>
        <v>0.43710691823899372</v>
      </c>
      <c r="F263" s="10">
        <f t="shared" si="15"/>
        <v>0.43085532587209197</v>
      </c>
      <c r="G263" s="10">
        <f t="shared" si="16"/>
        <v>0.18832984369880751</v>
      </c>
      <c r="H263" s="8">
        <v>2977</v>
      </c>
      <c r="I263" s="8">
        <v>1327.2222596108913</v>
      </c>
      <c r="J263" s="8">
        <v>5268</v>
      </c>
      <c r="K263" s="11">
        <f t="shared" si="17"/>
        <v>0.5651100987091876</v>
      </c>
      <c r="L263" s="12">
        <f t="shared" si="18"/>
        <v>0.44582541471645659</v>
      </c>
      <c r="M263" s="12">
        <f t="shared" si="19"/>
        <v>0.25194044411748129</v>
      </c>
      <c r="N263" s="9">
        <f t="shared" si="20"/>
        <v>1.3377616588500176</v>
      </c>
      <c r="P263" s="16"/>
      <c r="T263" s="22"/>
      <c r="U263" s="22"/>
      <c r="V263" s="22"/>
      <c r="W263" s="19"/>
    </row>
    <row r="264" spans="1:23" ht="15.75" customHeight="1">
      <c r="A264" s="8">
        <v>70401</v>
      </c>
      <c r="B264" s="8">
        <v>379</v>
      </c>
      <c r="C264" s="8">
        <v>165.00000435113907</v>
      </c>
      <c r="D264" s="8">
        <v>1166</v>
      </c>
      <c r="E264" s="9">
        <f t="shared" si="14"/>
        <v>0.32504288164665524</v>
      </c>
      <c r="F264" s="10">
        <f t="shared" si="15"/>
        <v>0.43535621200828251</v>
      </c>
      <c r="G264" s="10">
        <f t="shared" si="16"/>
        <v>0.14150943769394431</v>
      </c>
      <c r="H264" s="8">
        <v>3476</v>
      </c>
      <c r="I264" s="8">
        <v>1519.3333728909492</v>
      </c>
      <c r="J264" s="8">
        <v>11232</v>
      </c>
      <c r="K264" s="11">
        <f t="shared" si="17"/>
        <v>0.30947293447293445</v>
      </c>
      <c r="L264" s="12">
        <f t="shared" si="18"/>
        <v>0.43709245480176906</v>
      </c>
      <c r="M264" s="12">
        <f t="shared" si="19"/>
        <v>0.13526828462348195</v>
      </c>
      <c r="N264" s="9">
        <f t="shared" si="20"/>
        <v>0.95589585279844946</v>
      </c>
      <c r="P264" s="16"/>
      <c r="T264" s="22"/>
      <c r="U264" s="22"/>
      <c r="V264" s="22"/>
      <c r="W264" s="19"/>
    </row>
    <row r="265" spans="1:23" ht="15.75" customHeight="1">
      <c r="A265" s="8">
        <v>70402</v>
      </c>
      <c r="B265" s="8">
        <v>581</v>
      </c>
      <c r="C265" s="8">
        <v>246.66667225956917</v>
      </c>
      <c r="D265" s="8">
        <v>1303</v>
      </c>
      <c r="E265" s="9">
        <f t="shared" si="14"/>
        <v>0.44589409056024559</v>
      </c>
      <c r="F265" s="10">
        <f t="shared" si="15"/>
        <v>0.42455537394073867</v>
      </c>
      <c r="G265" s="10">
        <f t="shared" si="16"/>
        <v>0.18930673235577067</v>
      </c>
      <c r="H265" s="8">
        <v>7659</v>
      </c>
      <c r="I265" s="8">
        <v>3310.6667525470257</v>
      </c>
      <c r="J265" s="8">
        <v>18176</v>
      </c>
      <c r="K265" s="11">
        <f t="shared" si="17"/>
        <v>0.42137984154929575</v>
      </c>
      <c r="L265" s="12">
        <f t="shared" si="18"/>
        <v>0.43225835651482253</v>
      </c>
      <c r="M265" s="12">
        <f t="shared" si="19"/>
        <v>0.18214495777657491</v>
      </c>
      <c r="N265" s="9">
        <f t="shared" si="20"/>
        <v>0.96216841054687696</v>
      </c>
      <c r="P265" s="16"/>
      <c r="T265" s="22"/>
      <c r="U265" s="22"/>
      <c r="V265" s="22"/>
      <c r="W265" s="19"/>
    </row>
    <row r="266" spans="1:23" ht="15.75" customHeight="1">
      <c r="A266" s="8">
        <v>70403</v>
      </c>
      <c r="B266" s="8">
        <v>2578</v>
      </c>
      <c r="C266" s="8">
        <v>1121.3333610594273</v>
      </c>
      <c r="D266" s="8">
        <v>5157</v>
      </c>
      <c r="E266" s="9">
        <f t="shared" si="14"/>
        <v>0.49990304440566219</v>
      </c>
      <c r="F266" s="10">
        <f t="shared" si="15"/>
        <v>0.43496251398736513</v>
      </c>
      <c r="G266" s="10">
        <f t="shared" si="16"/>
        <v>0.21743908494462424</v>
      </c>
      <c r="H266" s="8">
        <v>20796</v>
      </c>
      <c r="I266" s="8">
        <v>9326.8891173899174</v>
      </c>
      <c r="J266" s="8">
        <v>43199</v>
      </c>
      <c r="K266" s="11">
        <f t="shared" si="17"/>
        <v>0.4814000324081576</v>
      </c>
      <c r="L266" s="12">
        <f t="shared" si="18"/>
        <v>0.44849437956289273</v>
      </c>
      <c r="M266" s="12">
        <f t="shared" si="19"/>
        <v>0.21590520885645309</v>
      </c>
      <c r="N266" s="9">
        <f t="shared" si="20"/>
        <v>0.99294572045977014</v>
      </c>
      <c r="P266" s="16"/>
      <c r="T266" s="22"/>
      <c r="U266" s="22"/>
      <c r="V266" s="22"/>
      <c r="W266" s="19"/>
    </row>
    <row r="267" spans="1:23" ht="15.75" customHeight="1">
      <c r="A267" s="8">
        <v>70404</v>
      </c>
      <c r="B267" s="8">
        <v>286</v>
      </c>
      <c r="C267" s="8">
        <v>130.77778083086014</v>
      </c>
      <c r="D267" s="8">
        <v>636</v>
      </c>
      <c r="E267" s="9">
        <f t="shared" si="14"/>
        <v>0.44968553459119498</v>
      </c>
      <c r="F267" s="10">
        <f t="shared" si="15"/>
        <v>0.45726496794007043</v>
      </c>
      <c r="G267" s="10">
        <f t="shared" si="16"/>
        <v>0.2056254415579562</v>
      </c>
      <c r="H267" s="8">
        <v>3243</v>
      </c>
      <c r="I267" s="8">
        <v>1393.7778144478798</v>
      </c>
      <c r="J267" s="8">
        <v>7439</v>
      </c>
      <c r="K267" s="11">
        <f t="shared" si="17"/>
        <v>0.43594569162521846</v>
      </c>
      <c r="L267" s="12">
        <f t="shared" si="18"/>
        <v>0.42978039298423676</v>
      </c>
      <c r="M267" s="12">
        <f t="shared" si="19"/>
        <v>0.18736091066647129</v>
      </c>
      <c r="N267" s="9">
        <f t="shared" si="20"/>
        <v>0.9111757243991766</v>
      </c>
      <c r="P267" s="16"/>
      <c r="T267" s="22"/>
      <c r="U267" s="22"/>
      <c r="V267" s="22"/>
      <c r="W267" s="19"/>
    </row>
    <row r="268" spans="1:23" ht="15.75" customHeight="1">
      <c r="A268" s="8">
        <v>70501</v>
      </c>
      <c r="B268" s="8">
        <v>701</v>
      </c>
      <c r="C268" s="8">
        <v>276.22222888469696</v>
      </c>
      <c r="D268" s="8">
        <v>2073</v>
      </c>
      <c r="E268" s="9">
        <f t="shared" si="14"/>
        <v>0.33815726000964785</v>
      </c>
      <c r="F268" s="10">
        <f t="shared" si="15"/>
        <v>0.39404026945035231</v>
      </c>
      <c r="G268" s="10">
        <f t="shared" si="16"/>
        <v>0.1332475778507945</v>
      </c>
      <c r="H268" s="8">
        <v>6322</v>
      </c>
      <c r="I268" s="8">
        <v>2472.3333929181099</v>
      </c>
      <c r="J268" s="8">
        <v>19590</v>
      </c>
      <c r="K268" s="11">
        <f t="shared" si="17"/>
        <v>0.32271567126084738</v>
      </c>
      <c r="L268" s="12">
        <f t="shared" si="18"/>
        <v>0.39106823677920116</v>
      </c>
      <c r="M268" s="12">
        <f t="shared" si="19"/>
        <v>0.12620384854099589</v>
      </c>
      <c r="N268" s="9">
        <f t="shared" si="20"/>
        <v>0.94713803114915984</v>
      </c>
      <c r="P268" s="16"/>
      <c r="T268" s="22"/>
      <c r="U268" s="22"/>
      <c r="V268" s="22"/>
      <c r="W268" s="19"/>
    </row>
    <row r="269" spans="1:23" ht="15.75" customHeight="1">
      <c r="A269" s="8">
        <v>70502</v>
      </c>
      <c r="B269" s="8">
        <v>1333</v>
      </c>
      <c r="C269" s="8">
        <v>546.44445842504501</v>
      </c>
      <c r="D269" s="8">
        <v>3668</v>
      </c>
      <c r="E269" s="9">
        <f t="shared" si="14"/>
        <v>0.36341330425299889</v>
      </c>
      <c r="F269" s="10">
        <f t="shared" si="15"/>
        <v>0.40993582777572768</v>
      </c>
      <c r="G269" s="10">
        <f t="shared" si="16"/>
        <v>0.14897613370366547</v>
      </c>
      <c r="H269" s="8">
        <v>10879</v>
      </c>
      <c r="I269" s="8">
        <v>4222.2223272621632</v>
      </c>
      <c r="J269" s="8">
        <v>31871</v>
      </c>
      <c r="K269" s="11">
        <f t="shared" si="17"/>
        <v>0.34134479620972041</v>
      </c>
      <c r="L269" s="12">
        <f t="shared" si="18"/>
        <v>0.38810757673151608</v>
      </c>
      <c r="M269" s="12">
        <f t="shared" si="19"/>
        <v>0.13247850168686778</v>
      </c>
      <c r="N269" s="9">
        <f t="shared" si="20"/>
        <v>0.88925989951105988</v>
      </c>
      <c r="P269" s="16"/>
      <c r="T269" s="22"/>
      <c r="U269" s="22"/>
      <c r="V269" s="22"/>
      <c r="W269" s="19"/>
    </row>
    <row r="270" spans="1:23" ht="15.75" customHeight="1">
      <c r="A270" s="8">
        <v>70503</v>
      </c>
      <c r="B270" s="8">
        <v>305</v>
      </c>
      <c r="C270" s="8">
        <v>133.55555856227875</v>
      </c>
      <c r="D270" s="8">
        <v>1383</v>
      </c>
      <c r="E270" s="9">
        <f t="shared" si="14"/>
        <v>0.22053506869125089</v>
      </c>
      <c r="F270" s="10">
        <f t="shared" si="15"/>
        <v>0.43788707725337295</v>
      </c>
      <c r="G270" s="10">
        <f t="shared" si="16"/>
        <v>9.6569456661083686E-2</v>
      </c>
      <c r="H270" s="8">
        <v>2911</v>
      </c>
      <c r="I270" s="8">
        <v>1218.4444750845432</v>
      </c>
      <c r="J270" s="8">
        <v>13204</v>
      </c>
      <c r="K270" s="11">
        <f t="shared" si="17"/>
        <v>0.22046349591033021</v>
      </c>
      <c r="L270" s="12">
        <f t="shared" si="18"/>
        <v>0.41856560463227183</v>
      </c>
      <c r="M270" s="12">
        <f t="shared" si="19"/>
        <v>9.2278436465051752E-2</v>
      </c>
      <c r="N270" s="9">
        <f t="shared" si="20"/>
        <v>0.95556545159934447</v>
      </c>
      <c r="P270" s="16"/>
      <c r="T270" s="22"/>
      <c r="U270" s="22"/>
      <c r="V270" s="22"/>
      <c r="W270" s="19"/>
    </row>
    <row r="271" spans="1:23" ht="15.75" customHeight="1">
      <c r="A271" s="8">
        <v>70601</v>
      </c>
      <c r="B271" s="8">
        <v>259</v>
      </c>
      <c r="C271" s="8">
        <v>107.7777806520462</v>
      </c>
      <c r="D271" s="8">
        <v>860</v>
      </c>
      <c r="E271" s="9">
        <f t="shared" si="14"/>
        <v>0.30116279069767443</v>
      </c>
      <c r="F271" s="10">
        <f t="shared" si="15"/>
        <v>0.41613042722797761</v>
      </c>
      <c r="G271" s="10">
        <f t="shared" si="16"/>
        <v>0.12532300075819325</v>
      </c>
      <c r="H271" s="8">
        <v>3618</v>
      </c>
      <c r="I271" s="8">
        <v>1469.0000375807285</v>
      </c>
      <c r="J271" s="8">
        <v>16167</v>
      </c>
      <c r="K271" s="11">
        <f t="shared" si="17"/>
        <v>0.22378920022267582</v>
      </c>
      <c r="L271" s="12">
        <f t="shared" si="18"/>
        <v>0.40602543880064362</v>
      </c>
      <c r="M271" s="12">
        <f t="shared" si="19"/>
        <v>9.0864108219257042E-2</v>
      </c>
      <c r="N271" s="9">
        <f t="shared" si="20"/>
        <v>0.72503935965095867</v>
      </c>
      <c r="P271" s="16"/>
      <c r="T271" s="22"/>
      <c r="U271" s="22"/>
      <c r="V271" s="22"/>
      <c r="W271" s="19"/>
    </row>
    <row r="272" spans="1:23" ht="15.75" customHeight="1">
      <c r="A272" s="8">
        <v>70602</v>
      </c>
      <c r="B272" s="8">
        <v>934</v>
      </c>
      <c r="C272" s="8">
        <v>433.55556762218475</v>
      </c>
      <c r="D272" s="8">
        <v>1664</v>
      </c>
      <c r="E272" s="9">
        <f t="shared" si="14"/>
        <v>0.56129807692307687</v>
      </c>
      <c r="F272" s="10">
        <f t="shared" si="15"/>
        <v>0.46419225655480167</v>
      </c>
      <c r="G272" s="10">
        <f t="shared" si="16"/>
        <v>0.2605502209267937</v>
      </c>
      <c r="H272" s="8">
        <v>8791</v>
      </c>
      <c r="I272" s="8">
        <v>3935.5556568801403</v>
      </c>
      <c r="J272" s="8">
        <v>17130</v>
      </c>
      <c r="K272" s="11">
        <f t="shared" si="17"/>
        <v>0.51319322825452418</v>
      </c>
      <c r="L272" s="12">
        <f t="shared" si="18"/>
        <v>0.44768008837221479</v>
      </c>
      <c r="M272" s="12">
        <f t="shared" si="19"/>
        <v>0.22974638977700759</v>
      </c>
      <c r="N272" s="9">
        <f t="shared" si="20"/>
        <v>0.88177392043570368</v>
      </c>
      <c r="P272" s="16"/>
      <c r="T272" s="22"/>
      <c r="U272" s="22"/>
      <c r="V272" s="22"/>
      <c r="W272" s="19"/>
    </row>
    <row r="273" spans="1:23" ht="15.75" customHeight="1">
      <c r="A273" s="8">
        <v>70603</v>
      </c>
      <c r="B273" s="8">
        <v>173</v>
      </c>
      <c r="C273" s="8">
        <v>66.000001430511475</v>
      </c>
      <c r="D273" s="8">
        <v>543</v>
      </c>
      <c r="E273" s="9">
        <f t="shared" si="14"/>
        <v>0.31860036832412525</v>
      </c>
      <c r="F273" s="10">
        <f t="shared" si="15"/>
        <v>0.38150289844226287</v>
      </c>
      <c r="G273" s="10">
        <f t="shared" si="16"/>
        <v>0.1215469639604263</v>
      </c>
      <c r="H273" s="8">
        <v>1757</v>
      </c>
      <c r="I273" s="8">
        <v>731.33335229754448</v>
      </c>
      <c r="J273" s="8">
        <v>5395</v>
      </c>
      <c r="K273" s="11">
        <f t="shared" si="17"/>
        <v>0.32567191844300281</v>
      </c>
      <c r="L273" s="12">
        <f t="shared" si="18"/>
        <v>0.416239813487504</v>
      </c>
      <c r="M273" s="12">
        <f t="shared" si="19"/>
        <v>0.1355576185908331</v>
      </c>
      <c r="N273" s="9">
        <f t="shared" si="20"/>
        <v>1.1152694742335847</v>
      </c>
      <c r="P273" s="16"/>
      <c r="T273" s="22"/>
      <c r="U273" s="22"/>
      <c r="V273" s="22"/>
      <c r="W273" s="19"/>
    </row>
    <row r="274" spans="1:23" ht="15.75" customHeight="1">
      <c r="A274" s="8">
        <v>70701</v>
      </c>
      <c r="B274" s="8">
        <v>136</v>
      </c>
      <c r="C274" s="8">
        <v>55.777779251337051</v>
      </c>
      <c r="D274" s="8">
        <v>345</v>
      </c>
      <c r="E274" s="9">
        <f t="shared" si="14"/>
        <v>0.39420289855072466</v>
      </c>
      <c r="F274" s="10">
        <f t="shared" si="15"/>
        <v>0.41013072978924303</v>
      </c>
      <c r="G274" s="10">
        <f t="shared" si="16"/>
        <v>0.16167472246764364</v>
      </c>
      <c r="H274" s="8">
        <v>2598</v>
      </c>
      <c r="I274" s="8">
        <v>1215.5555870831013</v>
      </c>
      <c r="J274" s="8">
        <v>4706</v>
      </c>
      <c r="K274" s="11">
        <f t="shared" si="17"/>
        <v>0.55206119847003821</v>
      </c>
      <c r="L274" s="12">
        <f t="shared" si="18"/>
        <v>0.46788128833067794</v>
      </c>
      <c r="M274" s="12">
        <f t="shared" si="19"/>
        <v>0.25829910477753959</v>
      </c>
      <c r="N274" s="9">
        <f t="shared" si="20"/>
        <v>1.5976468110482369</v>
      </c>
      <c r="P274" s="16"/>
      <c r="T274" s="22"/>
      <c r="U274" s="22"/>
      <c r="V274" s="22"/>
      <c r="W274" s="19"/>
    </row>
    <row r="275" spans="1:23" ht="15.75" customHeight="1">
      <c r="A275" s="8">
        <v>70702</v>
      </c>
      <c r="B275" s="8">
        <v>886</v>
      </c>
      <c r="C275" s="8">
        <v>372.77778750658035</v>
      </c>
      <c r="D275" s="8">
        <v>1916</v>
      </c>
      <c r="E275" s="9">
        <f t="shared" si="14"/>
        <v>0.46242171189979125</v>
      </c>
      <c r="F275" s="10">
        <f t="shared" si="15"/>
        <v>0.42074242382232546</v>
      </c>
      <c r="G275" s="10">
        <f t="shared" si="16"/>
        <v>0.19456043189278727</v>
      </c>
      <c r="H275" s="8">
        <v>16280</v>
      </c>
      <c r="I275" s="8">
        <v>7030.8890694379807</v>
      </c>
      <c r="J275" s="8">
        <v>28749</v>
      </c>
      <c r="K275" s="11">
        <f t="shared" si="17"/>
        <v>0.56628056628056633</v>
      </c>
      <c r="L275" s="12">
        <f t="shared" si="18"/>
        <v>0.43187279296302095</v>
      </c>
      <c r="M275" s="12">
        <f t="shared" si="19"/>
        <v>0.24456116976026929</v>
      </c>
      <c r="N275" s="9">
        <f t="shared" si="20"/>
        <v>1.2569933535871003</v>
      </c>
      <c r="P275" s="16"/>
      <c r="T275" s="22"/>
      <c r="U275" s="22"/>
      <c r="V275" s="22"/>
      <c r="W275" s="19"/>
    </row>
    <row r="276" spans="1:23" ht="15.75" customHeight="1">
      <c r="A276" s="8">
        <v>70703</v>
      </c>
      <c r="B276" s="8">
        <v>746</v>
      </c>
      <c r="C276" s="8">
        <v>341.33334156870842</v>
      </c>
      <c r="D276" s="8">
        <v>1693</v>
      </c>
      <c r="E276" s="9">
        <f t="shared" si="14"/>
        <v>0.44063792085056114</v>
      </c>
      <c r="F276" s="10">
        <f t="shared" si="15"/>
        <v>0.45755139620470298</v>
      </c>
      <c r="G276" s="10">
        <f t="shared" si="16"/>
        <v>0.20161449590591166</v>
      </c>
      <c r="H276" s="8">
        <v>8792</v>
      </c>
      <c r="I276" s="8">
        <v>3629.3334241509438</v>
      </c>
      <c r="J276" s="8">
        <v>23123</v>
      </c>
      <c r="K276" s="11">
        <f t="shared" si="17"/>
        <v>0.38022747913333044</v>
      </c>
      <c r="L276" s="12">
        <f t="shared" si="18"/>
        <v>0.41279952503991624</v>
      </c>
      <c r="M276" s="12">
        <f t="shared" si="19"/>
        <v>0.15695772279336348</v>
      </c>
      <c r="N276" s="9">
        <f t="shared" si="20"/>
        <v>0.77850415511100768</v>
      </c>
      <c r="P276" s="16"/>
      <c r="T276" s="22"/>
      <c r="U276" s="22"/>
      <c r="V276" s="22"/>
      <c r="W276" s="19"/>
    </row>
    <row r="277" spans="1:23" ht="15.75" customHeight="1">
      <c r="A277" s="8">
        <v>70704</v>
      </c>
      <c r="B277" s="8">
        <v>136</v>
      </c>
      <c r="C277" s="8">
        <v>60.333335101604462</v>
      </c>
      <c r="D277" s="8">
        <v>356</v>
      </c>
      <c r="E277" s="9">
        <f t="shared" si="14"/>
        <v>0.38202247191011235</v>
      </c>
      <c r="F277" s="10">
        <f t="shared" si="15"/>
        <v>0.44362746398238573</v>
      </c>
      <c r="G277" s="10">
        <f t="shared" si="16"/>
        <v>0.16947566039776532</v>
      </c>
      <c r="H277" s="8">
        <v>2213</v>
      </c>
      <c r="I277" s="8">
        <v>1081.7778069376945</v>
      </c>
      <c r="J277" s="8">
        <v>4415</v>
      </c>
      <c r="K277" s="11">
        <f t="shared" si="17"/>
        <v>0.5012457531143828</v>
      </c>
      <c r="L277" s="12">
        <f t="shared" si="18"/>
        <v>0.48882865202787823</v>
      </c>
      <c r="M277" s="12">
        <f t="shared" si="19"/>
        <v>0.24502328582960239</v>
      </c>
      <c r="N277" s="9">
        <f t="shared" si="20"/>
        <v>1.4457727160025466</v>
      </c>
      <c r="P277" s="16"/>
      <c r="T277" s="22"/>
      <c r="U277" s="22"/>
      <c r="V277" s="22"/>
      <c r="W277" s="19"/>
    </row>
    <row r="278" spans="1:23" ht="15.75" customHeight="1">
      <c r="A278" s="8">
        <v>70705</v>
      </c>
      <c r="B278" s="8">
        <v>321</v>
      </c>
      <c r="C278" s="8">
        <v>139.00000348687172</v>
      </c>
      <c r="D278" s="8">
        <v>518</v>
      </c>
      <c r="E278" s="9">
        <f t="shared" si="14"/>
        <v>0.61969111969111967</v>
      </c>
      <c r="F278" s="10">
        <f t="shared" si="15"/>
        <v>0.43302181771611126</v>
      </c>
      <c r="G278" s="10">
        <f t="shared" si="16"/>
        <v>0.2683397750711809</v>
      </c>
      <c r="H278" s="8">
        <v>7983</v>
      </c>
      <c r="I278" s="8">
        <v>3866.0001009106636</v>
      </c>
      <c r="J278" s="8">
        <v>11328</v>
      </c>
      <c r="K278" s="11">
        <f t="shared" si="17"/>
        <v>0.70471398305084743</v>
      </c>
      <c r="L278" s="12">
        <f t="shared" si="18"/>
        <v>0.4842791057134741</v>
      </c>
      <c r="M278" s="12">
        <f t="shared" si="19"/>
        <v>0.34127825749564472</v>
      </c>
      <c r="N278" s="9">
        <f t="shared" si="20"/>
        <v>1.2718139061013816</v>
      </c>
      <c r="P278" s="16"/>
      <c r="T278" s="22"/>
      <c r="U278" s="22"/>
      <c r="V278" s="22"/>
      <c r="W278" s="19"/>
    </row>
    <row r="279" spans="1:23" ht="15.75" customHeight="1">
      <c r="A279" s="8">
        <v>70706</v>
      </c>
      <c r="B279" s="8">
        <v>410</v>
      </c>
      <c r="C279" s="8">
        <v>161.88889342546463</v>
      </c>
      <c r="D279" s="8">
        <v>3033</v>
      </c>
      <c r="E279" s="9">
        <f t="shared" si="14"/>
        <v>0.1351796900758325</v>
      </c>
      <c r="F279" s="10">
        <f t="shared" si="15"/>
        <v>0.39485095957430399</v>
      </c>
      <c r="G279" s="10">
        <f t="shared" si="16"/>
        <v>5.3375830341399477E-2</v>
      </c>
      <c r="H279" s="8">
        <v>4958</v>
      </c>
      <c r="I279" s="8">
        <v>2026.2222747206688</v>
      </c>
      <c r="J279" s="8">
        <v>29617</v>
      </c>
      <c r="K279" s="11">
        <f t="shared" si="17"/>
        <v>0.16740385589357465</v>
      </c>
      <c r="L279" s="12">
        <f t="shared" si="18"/>
        <v>0.40867734463910221</v>
      </c>
      <c r="M279" s="12">
        <f t="shared" si="19"/>
        <v>6.8414163308933004E-2</v>
      </c>
      <c r="N279" s="9">
        <f t="shared" si="20"/>
        <v>1.281744244002317</v>
      </c>
      <c r="P279" s="16"/>
      <c r="T279" s="22"/>
      <c r="U279" s="22"/>
      <c r="V279" s="22"/>
      <c r="W279" s="19"/>
    </row>
    <row r="280" spans="1:23" ht="15.75" customHeight="1">
      <c r="A280" s="8">
        <v>70707</v>
      </c>
      <c r="B280" s="8">
        <v>110</v>
      </c>
      <c r="C280" s="8">
        <v>47.666667580604553</v>
      </c>
      <c r="D280" s="8">
        <v>270</v>
      </c>
      <c r="E280" s="9">
        <f t="shared" si="14"/>
        <v>0.40740740740740738</v>
      </c>
      <c r="F280" s="10">
        <f t="shared" si="15"/>
        <v>0.43333334164185955</v>
      </c>
      <c r="G280" s="10">
        <f t="shared" si="16"/>
        <v>0.17654321326149833</v>
      </c>
      <c r="H280" s="8">
        <v>2264</v>
      </c>
      <c r="I280" s="8">
        <v>1062.555583178997</v>
      </c>
      <c r="J280" s="8">
        <v>4610</v>
      </c>
      <c r="K280" s="11">
        <f t="shared" si="17"/>
        <v>0.49110629067245121</v>
      </c>
      <c r="L280" s="12">
        <f t="shared" si="18"/>
        <v>0.46932667101545805</v>
      </c>
      <c r="M280" s="12">
        <f t="shared" si="19"/>
        <v>0.23048928051605141</v>
      </c>
      <c r="N280" s="9">
        <f t="shared" si="20"/>
        <v>1.3055686268417885</v>
      </c>
      <c r="P280" s="16"/>
      <c r="T280" s="22"/>
      <c r="U280" s="22"/>
      <c r="V280" s="22"/>
      <c r="W280" s="19"/>
    </row>
    <row r="281" spans="1:23" ht="15.75" customHeight="1">
      <c r="A281" s="8">
        <v>70801</v>
      </c>
      <c r="B281" s="8">
        <v>500</v>
      </c>
      <c r="C281" s="8">
        <v>211.77778333425522</v>
      </c>
      <c r="D281" s="8">
        <v>1823</v>
      </c>
      <c r="E281" s="9">
        <f t="shared" si="14"/>
        <v>0.27427317608337903</v>
      </c>
      <c r="F281" s="10">
        <f t="shared" si="15"/>
        <v>0.42355556666851046</v>
      </c>
      <c r="G281" s="10">
        <f t="shared" si="16"/>
        <v>0.11616993051796776</v>
      </c>
      <c r="H281" s="8">
        <v>4783</v>
      </c>
      <c r="I281" s="8">
        <v>2136.7778339385986</v>
      </c>
      <c r="J281" s="8">
        <v>14749</v>
      </c>
      <c r="K281" s="11">
        <f t="shared" si="17"/>
        <v>0.32429317241846906</v>
      </c>
      <c r="L281" s="12">
        <f t="shared" si="18"/>
        <v>0.44674426801977812</v>
      </c>
      <c r="M281" s="12">
        <f t="shared" si="19"/>
        <v>0.14487611593590066</v>
      </c>
      <c r="N281" s="9">
        <f t="shared" si="20"/>
        <v>1.2471051268597684</v>
      </c>
      <c r="P281" s="16"/>
      <c r="T281" s="22"/>
      <c r="U281" s="22"/>
      <c r="V281" s="22"/>
      <c r="W281" s="19"/>
    </row>
    <row r="282" spans="1:23" ht="15.75" customHeight="1">
      <c r="A282" s="8">
        <v>70802</v>
      </c>
      <c r="B282" s="8">
        <v>64</v>
      </c>
      <c r="C282" s="8">
        <v>28.88888955116272</v>
      </c>
      <c r="D282" s="8">
        <v>219</v>
      </c>
      <c r="E282" s="9">
        <f t="shared" si="14"/>
        <v>0.29223744292237441</v>
      </c>
      <c r="F282" s="10">
        <f t="shared" si="15"/>
        <v>0.4513888992369175</v>
      </c>
      <c r="G282" s="10">
        <f t="shared" si="16"/>
        <v>0.1319127376765421</v>
      </c>
      <c r="H282" s="8">
        <v>413</v>
      </c>
      <c r="I282" s="8">
        <v>168.22222682833672</v>
      </c>
      <c r="J282" s="8">
        <v>1843</v>
      </c>
      <c r="K282" s="11">
        <f t="shared" si="17"/>
        <v>0.22409115572436245</v>
      </c>
      <c r="L282" s="12">
        <f t="shared" si="18"/>
        <v>0.40731774050444725</v>
      </c>
      <c r="M282" s="12">
        <f t="shared" si="19"/>
        <v>9.127630321667754E-2</v>
      </c>
      <c r="N282" s="9">
        <f t="shared" si="20"/>
        <v>0.6919445750606168</v>
      </c>
      <c r="P282" s="16"/>
      <c r="T282" s="22"/>
      <c r="U282" s="22"/>
      <c r="V282" s="22"/>
      <c r="W282" s="19"/>
    </row>
    <row r="283" spans="1:23" ht="15.75" customHeight="1">
      <c r="A283" s="8">
        <v>70803</v>
      </c>
      <c r="B283" s="8">
        <v>111</v>
      </c>
      <c r="C283" s="8">
        <v>56.333334982395172</v>
      </c>
      <c r="D283" s="8">
        <v>242</v>
      </c>
      <c r="E283" s="9">
        <f t="shared" si="14"/>
        <v>0.45867768595041325</v>
      </c>
      <c r="F283" s="10">
        <f t="shared" si="15"/>
        <v>0.50750752236392049</v>
      </c>
      <c r="G283" s="10">
        <f t="shared" si="16"/>
        <v>0.23278237596031065</v>
      </c>
      <c r="H283" s="8">
        <v>1108</v>
      </c>
      <c r="I283" s="8">
        <v>501.00001218914986</v>
      </c>
      <c r="J283" s="8">
        <v>2503</v>
      </c>
      <c r="K283" s="11">
        <f t="shared" si="17"/>
        <v>0.44266879744306831</v>
      </c>
      <c r="L283" s="12">
        <f t="shared" si="18"/>
        <v>0.45216607598298725</v>
      </c>
      <c r="M283" s="12">
        <f t="shared" si="19"/>
        <v>0.20015981309994002</v>
      </c>
      <c r="N283" s="9">
        <f t="shared" si="20"/>
        <v>0.85985810684425368</v>
      </c>
      <c r="P283" s="16"/>
      <c r="T283" s="22"/>
      <c r="U283" s="22"/>
      <c r="V283" s="22"/>
      <c r="W283" s="19"/>
    </row>
    <row r="284" spans="1:23" ht="15.75" customHeight="1">
      <c r="A284" s="8">
        <v>70804</v>
      </c>
      <c r="B284" s="8">
        <v>95</v>
      </c>
      <c r="C284" s="8">
        <v>49.000001579523087</v>
      </c>
      <c r="D284" s="8">
        <v>174</v>
      </c>
      <c r="E284" s="9">
        <f t="shared" si="14"/>
        <v>0.54597701149425293</v>
      </c>
      <c r="F284" s="10">
        <f t="shared" si="15"/>
        <v>0.51578949031076937</v>
      </c>
      <c r="G284" s="10">
        <f t="shared" si="16"/>
        <v>0.28160920448001781</v>
      </c>
      <c r="H284" s="8">
        <v>1064</v>
      </c>
      <c r="I284" s="8">
        <v>579.00001591444016</v>
      </c>
      <c r="J284" s="8">
        <v>2106</v>
      </c>
      <c r="K284" s="11">
        <f t="shared" si="17"/>
        <v>0.50522317188983856</v>
      </c>
      <c r="L284" s="12">
        <f t="shared" si="18"/>
        <v>0.54417294728800769</v>
      </c>
      <c r="M284" s="12">
        <f t="shared" si="19"/>
        <v>0.27492878248548919</v>
      </c>
      <c r="N284" s="9">
        <f t="shared" si="20"/>
        <v>0.97627768592697883</v>
      </c>
      <c r="P284" s="16"/>
      <c r="T284" s="22"/>
      <c r="U284" s="22"/>
      <c r="V284" s="22"/>
      <c r="W284" s="19"/>
    </row>
    <row r="285" spans="1:23" ht="15.75" customHeight="1">
      <c r="A285" s="8">
        <v>70805</v>
      </c>
      <c r="B285" s="8">
        <v>73</v>
      </c>
      <c r="C285" s="8">
        <v>36.000001013278961</v>
      </c>
      <c r="D285" s="8">
        <v>114</v>
      </c>
      <c r="E285" s="9">
        <f t="shared" si="14"/>
        <v>0.64035087719298245</v>
      </c>
      <c r="F285" s="10">
        <f t="shared" si="15"/>
        <v>0.49315069881204054</v>
      </c>
      <c r="G285" s="10">
        <f t="shared" si="16"/>
        <v>0.31578948257262246</v>
      </c>
      <c r="H285" s="8">
        <v>1012</v>
      </c>
      <c r="I285" s="8">
        <v>461.66667845845222</v>
      </c>
      <c r="J285" s="8">
        <v>1926</v>
      </c>
      <c r="K285" s="11">
        <f t="shared" si="17"/>
        <v>0.52544132917964692</v>
      </c>
      <c r="L285" s="12">
        <f t="shared" si="18"/>
        <v>0.45619237001823343</v>
      </c>
      <c r="M285" s="12">
        <f t="shared" si="19"/>
        <v>0.23970232526399388</v>
      </c>
      <c r="N285" s="9">
        <f t="shared" si="20"/>
        <v>0.75905734197106856</v>
      </c>
      <c r="P285" s="16"/>
      <c r="T285" s="22"/>
      <c r="U285" s="22"/>
      <c r="V285" s="22"/>
      <c r="W285" s="19"/>
    </row>
    <row r="286" spans="1:23" ht="15.75" customHeight="1">
      <c r="A286" s="8">
        <v>70901</v>
      </c>
      <c r="B286" s="8">
        <v>390</v>
      </c>
      <c r="C286" s="8">
        <v>167.22222638130188</v>
      </c>
      <c r="D286" s="8">
        <v>1126</v>
      </c>
      <c r="E286" s="9">
        <f t="shared" si="14"/>
        <v>0.34635879218472471</v>
      </c>
      <c r="F286" s="10">
        <f t="shared" si="15"/>
        <v>0.42877493943923561</v>
      </c>
      <c r="G286" s="10">
        <f t="shared" si="16"/>
        <v>0.14850997014325212</v>
      </c>
      <c r="H286" s="8">
        <v>3082</v>
      </c>
      <c r="I286" s="8">
        <v>1415.1111498177052</v>
      </c>
      <c r="J286" s="8">
        <v>8861</v>
      </c>
      <c r="K286" s="11">
        <f t="shared" si="17"/>
        <v>0.34781627355828915</v>
      </c>
      <c r="L286" s="12">
        <f t="shared" si="18"/>
        <v>0.45915352038212365</v>
      </c>
      <c r="M286" s="12">
        <f t="shared" si="19"/>
        <v>0.15970106645048021</v>
      </c>
      <c r="N286" s="9">
        <f t="shared" si="20"/>
        <v>1.0753558585759138</v>
      </c>
      <c r="P286" s="16"/>
      <c r="T286" s="22"/>
      <c r="U286" s="22"/>
      <c r="V286" s="22"/>
      <c r="W286" s="19"/>
    </row>
    <row r="287" spans="1:23" ht="15.75" customHeight="1">
      <c r="A287" s="8">
        <v>70902</v>
      </c>
      <c r="B287" s="8">
        <v>462</v>
      </c>
      <c r="C287" s="8">
        <v>212.00000622868538</v>
      </c>
      <c r="D287" s="8">
        <v>948</v>
      </c>
      <c r="E287" s="9">
        <f t="shared" si="14"/>
        <v>0.48734177215189872</v>
      </c>
      <c r="F287" s="10">
        <f t="shared" si="15"/>
        <v>0.45887447235646184</v>
      </c>
      <c r="G287" s="10">
        <f t="shared" si="16"/>
        <v>0.22362869855346557</v>
      </c>
      <c r="H287" s="8">
        <v>2576</v>
      </c>
      <c r="I287" s="8">
        <v>1140.0000313818455</v>
      </c>
      <c r="J287" s="8">
        <v>8028</v>
      </c>
      <c r="K287" s="11">
        <f t="shared" si="17"/>
        <v>0.32087693074240159</v>
      </c>
      <c r="L287" s="12">
        <f t="shared" si="18"/>
        <v>0.44254659603332508</v>
      </c>
      <c r="M287" s="12">
        <f t="shared" si="19"/>
        <v>0.14200299344567083</v>
      </c>
      <c r="N287" s="9">
        <f t="shared" si="20"/>
        <v>0.63499449920431605</v>
      </c>
      <c r="P287" s="16"/>
      <c r="T287" s="22"/>
      <c r="U287" s="22"/>
      <c r="V287" s="22"/>
      <c r="W287" s="19"/>
    </row>
    <row r="288" spans="1:23" ht="15.75" customHeight="1">
      <c r="A288" s="8">
        <v>70903</v>
      </c>
      <c r="B288" s="8">
        <v>667</v>
      </c>
      <c r="C288" s="8">
        <v>267.33334022760391</v>
      </c>
      <c r="D288" s="8">
        <v>1786</v>
      </c>
      <c r="E288" s="9">
        <f t="shared" si="14"/>
        <v>0.37346024636058228</v>
      </c>
      <c r="F288" s="10">
        <f t="shared" si="15"/>
        <v>0.40079961053613777</v>
      </c>
      <c r="G288" s="10">
        <f t="shared" si="16"/>
        <v>0.14968272129205143</v>
      </c>
      <c r="H288" s="8">
        <v>1982</v>
      </c>
      <c r="I288" s="8">
        <v>836.44446569681168</v>
      </c>
      <c r="J288" s="8">
        <v>8116</v>
      </c>
      <c r="K288" s="11">
        <f t="shared" si="17"/>
        <v>0.24420896993592903</v>
      </c>
      <c r="L288" s="12">
        <f t="shared" si="18"/>
        <v>0.42202041659778589</v>
      </c>
      <c r="M288" s="12">
        <f t="shared" si="19"/>
        <v>0.10306117122927694</v>
      </c>
      <c r="N288" s="9">
        <f t="shared" si="20"/>
        <v>0.68853084938368081</v>
      </c>
      <c r="P288" s="16"/>
      <c r="T288" s="22"/>
      <c r="U288" s="22"/>
      <c r="V288" s="22"/>
      <c r="W288" s="19"/>
    </row>
    <row r="289" spans="1:23" ht="15.75" customHeight="1">
      <c r="A289" s="8">
        <v>70904</v>
      </c>
      <c r="B289" s="8">
        <v>62</v>
      </c>
      <c r="C289" s="8">
        <v>27.666667371988297</v>
      </c>
      <c r="D289" s="8">
        <v>311</v>
      </c>
      <c r="E289" s="9">
        <f t="shared" si="14"/>
        <v>0.19935691318327975</v>
      </c>
      <c r="F289" s="10">
        <f t="shared" si="15"/>
        <v>0.44623657051594029</v>
      </c>
      <c r="G289" s="10">
        <f t="shared" si="16"/>
        <v>8.8960345247550796E-2</v>
      </c>
      <c r="H289" s="8">
        <v>818</v>
      </c>
      <c r="I289" s="8">
        <v>369.6666764318943</v>
      </c>
      <c r="J289" s="8">
        <v>2577</v>
      </c>
      <c r="K289" s="11">
        <f t="shared" si="17"/>
        <v>0.31742336049670161</v>
      </c>
      <c r="L289" s="12">
        <f t="shared" si="18"/>
        <v>0.45191525236172897</v>
      </c>
      <c r="M289" s="12">
        <f t="shared" si="19"/>
        <v>0.14344845806437498</v>
      </c>
      <c r="N289" s="9">
        <f t="shared" si="20"/>
        <v>1.6124988911092868</v>
      </c>
      <c r="P289" s="16"/>
      <c r="T289" s="22"/>
      <c r="U289" s="22"/>
      <c r="V289" s="22"/>
      <c r="W289" s="19"/>
    </row>
    <row r="290" spans="1:23" ht="15.75" customHeight="1">
      <c r="A290" s="8">
        <v>71001</v>
      </c>
      <c r="B290" s="8">
        <v>2383</v>
      </c>
      <c r="C290" s="8">
        <v>991.44446906447411</v>
      </c>
      <c r="D290" s="8">
        <v>7545</v>
      </c>
      <c r="E290" s="9">
        <f t="shared" si="14"/>
        <v>0.31583830351225978</v>
      </c>
      <c r="F290" s="10">
        <f t="shared" si="15"/>
        <v>0.41604887497460097</v>
      </c>
      <c r="G290" s="10">
        <f t="shared" si="16"/>
        <v>0.13140417085016223</v>
      </c>
      <c r="H290" s="8">
        <v>19793</v>
      </c>
      <c r="I290" s="8">
        <v>7879.4446440041065</v>
      </c>
      <c r="J290" s="8">
        <v>97250</v>
      </c>
      <c r="K290" s="11">
        <f t="shared" si="17"/>
        <v>0.20352699228791774</v>
      </c>
      <c r="L290" s="12">
        <f t="shared" si="18"/>
        <v>0.39809248946618031</v>
      </c>
      <c r="M290" s="12">
        <f t="shared" si="19"/>
        <v>8.1022567033461251E-2</v>
      </c>
      <c r="N290" s="9">
        <f t="shared" si="20"/>
        <v>0.61659052760090693</v>
      </c>
      <c r="P290" s="16"/>
      <c r="T290" s="22"/>
      <c r="U290" s="22"/>
      <c r="V290" s="22"/>
      <c r="W290" s="19"/>
    </row>
    <row r="291" spans="1:23" ht="15.75" customHeight="1">
      <c r="A291" s="8">
        <v>71002</v>
      </c>
      <c r="B291" s="8">
        <v>514</v>
      </c>
      <c r="C291" s="8">
        <v>228.11111694574356</v>
      </c>
      <c r="D291" s="8">
        <v>1105</v>
      </c>
      <c r="E291" s="9">
        <f t="shared" si="14"/>
        <v>0.46515837104072399</v>
      </c>
      <c r="F291" s="10">
        <f t="shared" si="15"/>
        <v>0.44379594736525985</v>
      </c>
      <c r="G291" s="10">
        <f t="shared" si="16"/>
        <v>0.20643539995089916</v>
      </c>
      <c r="H291" s="8">
        <v>4127</v>
      </c>
      <c r="I291" s="8">
        <v>1690.5555998682976</v>
      </c>
      <c r="J291" s="8">
        <v>12693</v>
      </c>
      <c r="K291" s="11">
        <f t="shared" si="17"/>
        <v>0.32513984085716535</v>
      </c>
      <c r="L291" s="12">
        <f t="shared" si="18"/>
        <v>0.4096330506102005</v>
      </c>
      <c r="M291" s="12">
        <f t="shared" si="19"/>
        <v>0.13318802488523576</v>
      </c>
      <c r="N291" s="9">
        <f t="shared" si="20"/>
        <v>0.64518016249594135</v>
      </c>
      <c r="P291" s="16"/>
      <c r="T291" s="22"/>
      <c r="U291" s="22"/>
      <c r="V291" s="22"/>
      <c r="W291" s="19"/>
    </row>
    <row r="292" spans="1:23" ht="15.75" customHeight="1">
      <c r="A292" s="8">
        <v>71003</v>
      </c>
      <c r="B292" s="8">
        <v>341</v>
      </c>
      <c r="C292" s="8">
        <v>130.88889208436012</v>
      </c>
      <c r="D292" s="8">
        <v>874</v>
      </c>
      <c r="E292" s="9">
        <f t="shared" si="14"/>
        <v>0.39016018306636158</v>
      </c>
      <c r="F292" s="10">
        <f t="shared" si="15"/>
        <v>0.38383839320926721</v>
      </c>
      <c r="G292" s="10">
        <f t="shared" si="16"/>
        <v>0.14975845776242577</v>
      </c>
      <c r="H292" s="8">
        <v>8069</v>
      </c>
      <c r="I292" s="8">
        <v>3262.11119389534</v>
      </c>
      <c r="J292" s="8">
        <v>21762</v>
      </c>
      <c r="K292" s="11">
        <f t="shared" si="17"/>
        <v>0.37078393530006432</v>
      </c>
      <c r="L292" s="12">
        <f t="shared" si="18"/>
        <v>0.40427701002544802</v>
      </c>
      <c r="M292" s="12">
        <f t="shared" si="19"/>
        <v>0.14989942072857917</v>
      </c>
      <c r="N292" s="9">
        <f t="shared" si="20"/>
        <v>1.0009412688155284</v>
      </c>
      <c r="P292" s="16"/>
      <c r="T292" s="22"/>
      <c r="U292" s="22"/>
      <c r="V292" s="22"/>
      <c r="W292" s="19"/>
    </row>
    <row r="293" spans="1:23" ht="15.75" customHeight="1">
      <c r="A293" s="8">
        <v>71004</v>
      </c>
      <c r="B293" s="8">
        <v>427</v>
      </c>
      <c r="C293" s="8">
        <v>175.55556026101112</v>
      </c>
      <c r="D293" s="8">
        <v>972</v>
      </c>
      <c r="E293" s="9">
        <f t="shared" si="14"/>
        <v>0.43930041152263377</v>
      </c>
      <c r="F293" s="10">
        <f t="shared" si="15"/>
        <v>0.41113714346841013</v>
      </c>
      <c r="G293" s="10">
        <f t="shared" si="16"/>
        <v>0.1806127163179127</v>
      </c>
      <c r="H293" s="8">
        <v>4129</v>
      </c>
      <c r="I293" s="8">
        <v>1640.8889304101467</v>
      </c>
      <c r="J293" s="8">
        <v>12682</v>
      </c>
      <c r="K293" s="11">
        <f t="shared" si="17"/>
        <v>0.3255795615833465</v>
      </c>
      <c r="L293" s="12">
        <f t="shared" si="18"/>
        <v>0.39740589256724307</v>
      </c>
      <c r="M293" s="12">
        <f t="shared" si="19"/>
        <v>0.12938723627268151</v>
      </c>
      <c r="N293" s="9">
        <f t="shared" si="20"/>
        <v>0.71637943833885642</v>
      </c>
      <c r="P293" s="16"/>
      <c r="T293" s="22"/>
      <c r="U293" s="22"/>
      <c r="V293" s="22"/>
      <c r="W293" s="19"/>
    </row>
    <row r="294" spans="1:23" ht="15.75" customHeight="1">
      <c r="A294" s="8">
        <v>71005</v>
      </c>
      <c r="B294" s="8">
        <v>405</v>
      </c>
      <c r="C294" s="8">
        <v>159.6666707098484</v>
      </c>
      <c r="D294" s="8">
        <v>1316</v>
      </c>
      <c r="E294" s="9">
        <f t="shared" si="14"/>
        <v>0.30775075987841943</v>
      </c>
      <c r="F294" s="10">
        <f t="shared" si="15"/>
        <v>0.39423869311073678</v>
      </c>
      <c r="G294" s="10">
        <f t="shared" si="16"/>
        <v>0.12132725737830424</v>
      </c>
      <c r="H294" s="8">
        <v>4265</v>
      </c>
      <c r="I294" s="8">
        <v>1680.8889318108559</v>
      </c>
      <c r="J294" s="8">
        <v>14591</v>
      </c>
      <c r="K294" s="11">
        <f t="shared" si="17"/>
        <v>0.29230347474470564</v>
      </c>
      <c r="L294" s="12">
        <f t="shared" si="18"/>
        <v>0.39411229350782084</v>
      </c>
      <c r="M294" s="12">
        <f t="shared" si="19"/>
        <v>0.11520039283194132</v>
      </c>
      <c r="N294" s="9">
        <f t="shared" si="20"/>
        <v>0.94950133482982257</v>
      </c>
      <c r="P294" s="16"/>
      <c r="T294" s="22"/>
      <c r="U294" s="22"/>
      <c r="V294" s="22"/>
      <c r="W294" s="19"/>
    </row>
    <row r="295" spans="1:23" ht="15.75" customHeight="1">
      <c r="A295" s="8">
        <v>71101</v>
      </c>
      <c r="B295" s="8">
        <v>1435</v>
      </c>
      <c r="C295" s="8">
        <v>645.11112749576569</v>
      </c>
      <c r="D295" s="8">
        <v>2333</v>
      </c>
      <c r="E295" s="9">
        <f t="shared" si="14"/>
        <v>0.61508786969567086</v>
      </c>
      <c r="F295" s="10">
        <f t="shared" si="15"/>
        <v>0.44955479267997611</v>
      </c>
      <c r="G295" s="10">
        <f t="shared" si="16"/>
        <v>0.27651569974100548</v>
      </c>
      <c r="H295" s="8">
        <v>8448</v>
      </c>
      <c r="I295" s="8">
        <v>3795.333432495594</v>
      </c>
      <c r="J295" s="8">
        <v>15980</v>
      </c>
      <c r="K295" s="11">
        <f t="shared" si="17"/>
        <v>0.52866082603254072</v>
      </c>
      <c r="L295" s="12">
        <f t="shared" si="18"/>
        <v>0.44925821880866407</v>
      </c>
      <c r="M295" s="12">
        <f t="shared" si="19"/>
        <v>0.23750522105729627</v>
      </c>
      <c r="N295" s="9">
        <f t="shared" si="20"/>
        <v>0.85892128830208259</v>
      </c>
      <c r="P295" s="16"/>
      <c r="T295" s="22"/>
      <c r="U295" s="22"/>
      <c r="V295" s="22"/>
      <c r="W295" s="19"/>
    </row>
    <row r="296" spans="1:23" ht="15.75" customHeight="1">
      <c r="A296" s="8">
        <v>71102</v>
      </c>
      <c r="B296" s="8">
        <v>834</v>
      </c>
      <c r="C296" s="8">
        <v>383.1111201941967</v>
      </c>
      <c r="D296" s="8">
        <v>1573</v>
      </c>
      <c r="E296" s="9">
        <f t="shared" si="14"/>
        <v>0.53019707565162111</v>
      </c>
      <c r="F296" s="10">
        <f t="shared" si="15"/>
        <v>0.4593658515517946</v>
      </c>
      <c r="G296" s="10">
        <f t="shared" si="16"/>
        <v>0.2435544311469782</v>
      </c>
      <c r="H296" s="8">
        <v>5860</v>
      </c>
      <c r="I296" s="8">
        <v>2696.2222938537598</v>
      </c>
      <c r="J296" s="8">
        <v>11691</v>
      </c>
      <c r="K296" s="11">
        <f t="shared" si="17"/>
        <v>0.50124027029338802</v>
      </c>
      <c r="L296" s="12">
        <f t="shared" si="18"/>
        <v>0.46010619349040272</v>
      </c>
      <c r="M296" s="12">
        <f t="shared" si="19"/>
        <v>0.23062375278879135</v>
      </c>
      <c r="N296" s="9">
        <f t="shared" si="20"/>
        <v>0.94690846601602763</v>
      </c>
      <c r="P296" s="16"/>
      <c r="T296" s="22"/>
      <c r="U296" s="22"/>
      <c r="V296" s="22"/>
      <c r="W296" s="19"/>
    </row>
    <row r="297" spans="1:23" ht="15.75" customHeight="1">
      <c r="A297" s="8">
        <v>71103</v>
      </c>
      <c r="B297" s="8">
        <v>1888</v>
      </c>
      <c r="C297" s="8">
        <v>769.77779695391655</v>
      </c>
      <c r="D297" s="8">
        <v>5042</v>
      </c>
      <c r="E297" s="9">
        <f t="shared" si="14"/>
        <v>0.37445458151527172</v>
      </c>
      <c r="F297" s="10">
        <f t="shared" si="15"/>
        <v>0.40772129075948971</v>
      </c>
      <c r="G297" s="10">
        <f t="shared" si="16"/>
        <v>0.15267310530621114</v>
      </c>
      <c r="H297" s="8">
        <v>16743</v>
      </c>
      <c r="I297" s="8">
        <v>6738.7779430747032</v>
      </c>
      <c r="J297" s="8">
        <v>40787</v>
      </c>
      <c r="K297" s="11">
        <f t="shared" si="17"/>
        <v>0.41049844313138989</v>
      </c>
      <c r="L297" s="12">
        <f t="shared" si="18"/>
        <v>0.4024833030564835</v>
      </c>
      <c r="M297" s="12">
        <f t="shared" si="19"/>
        <v>0.16521876929106585</v>
      </c>
      <c r="N297" s="9">
        <f t="shared" si="20"/>
        <v>1.0821733727082599</v>
      </c>
      <c r="P297" s="16"/>
      <c r="T297" s="22"/>
      <c r="U297" s="22"/>
      <c r="V297" s="22"/>
      <c r="W297" s="19"/>
    </row>
    <row r="298" spans="1:23" ht="15.75" customHeight="1">
      <c r="A298" s="8">
        <v>71104</v>
      </c>
      <c r="B298" s="8">
        <v>85</v>
      </c>
      <c r="C298" s="8">
        <v>34.555556625127792</v>
      </c>
      <c r="D298" s="8">
        <v>168</v>
      </c>
      <c r="E298" s="9">
        <f t="shared" si="14"/>
        <v>0.50595238095238093</v>
      </c>
      <c r="F298" s="10">
        <f t="shared" si="15"/>
        <v>0.40653596029562111</v>
      </c>
      <c r="G298" s="10">
        <f t="shared" si="16"/>
        <v>0.20568783705433211</v>
      </c>
      <c r="H298" s="8">
        <v>2212</v>
      </c>
      <c r="I298" s="8">
        <v>946.55558043718338</v>
      </c>
      <c r="J298" s="8">
        <v>6275</v>
      </c>
      <c r="K298" s="11">
        <f t="shared" si="17"/>
        <v>0.35250996015936253</v>
      </c>
      <c r="L298" s="12">
        <f t="shared" si="18"/>
        <v>0.42791843600234331</v>
      </c>
      <c r="M298" s="12">
        <f t="shared" si="19"/>
        <v>0.15084551082664277</v>
      </c>
      <c r="N298" s="9">
        <f t="shared" si="20"/>
        <v>0.73337107816830793</v>
      </c>
      <c r="P298" s="16"/>
      <c r="T298" s="22"/>
      <c r="U298" s="22"/>
      <c r="V298" s="22"/>
      <c r="W298" s="19"/>
    </row>
    <row r="299" spans="1:23" ht="15.75" customHeight="1">
      <c r="A299" s="8">
        <v>71105</v>
      </c>
      <c r="B299" s="8">
        <v>526</v>
      </c>
      <c r="C299" s="8">
        <v>232.66667279601097</v>
      </c>
      <c r="D299" s="8">
        <v>994</v>
      </c>
      <c r="E299" s="9">
        <f t="shared" si="14"/>
        <v>0.52917505030181089</v>
      </c>
      <c r="F299" s="10">
        <f t="shared" si="15"/>
        <v>0.4423320775589562</v>
      </c>
      <c r="G299" s="10">
        <f t="shared" si="16"/>
        <v>0.23407109939236517</v>
      </c>
      <c r="H299" s="8">
        <v>2415</v>
      </c>
      <c r="I299" s="8">
        <v>1057.5555807650089</v>
      </c>
      <c r="J299" s="8">
        <v>5871</v>
      </c>
      <c r="K299" s="11">
        <f t="shared" si="17"/>
        <v>0.41134389371486968</v>
      </c>
      <c r="L299" s="12">
        <f t="shared" si="18"/>
        <v>0.43791121356729146</v>
      </c>
      <c r="M299" s="12">
        <f t="shared" si="19"/>
        <v>0.18013210369017355</v>
      </c>
      <c r="N299" s="9">
        <f t="shared" si="20"/>
        <v>0.76956148861515117</v>
      </c>
      <c r="P299" s="16"/>
      <c r="T299" s="22"/>
      <c r="U299" s="22"/>
      <c r="V299" s="22"/>
      <c r="W299" s="19"/>
    </row>
    <row r="300" spans="1:23" ht="15.75" customHeight="1">
      <c r="A300" s="8">
        <v>71106</v>
      </c>
      <c r="B300" s="8">
        <v>571</v>
      </c>
      <c r="C300" s="8">
        <v>226.88889479637146</v>
      </c>
      <c r="D300" s="8">
        <v>1740</v>
      </c>
      <c r="E300" s="9">
        <f t="shared" si="14"/>
        <v>0.32816091954022991</v>
      </c>
      <c r="F300" s="10">
        <f t="shared" si="15"/>
        <v>0.39735358107945967</v>
      </c>
      <c r="G300" s="10">
        <f t="shared" si="16"/>
        <v>0.13039591654963878</v>
      </c>
      <c r="H300" s="8">
        <v>5890</v>
      </c>
      <c r="I300" s="8">
        <v>2270.5556127429008</v>
      </c>
      <c r="J300" s="8">
        <v>19329</v>
      </c>
      <c r="K300" s="11">
        <f t="shared" si="17"/>
        <v>0.30472347250245746</v>
      </c>
      <c r="L300" s="12">
        <f t="shared" si="18"/>
        <v>0.38549331285957572</v>
      </c>
      <c r="M300" s="12">
        <f t="shared" si="19"/>
        <v>0.11746886092104615</v>
      </c>
      <c r="N300" s="9">
        <f t="shared" si="20"/>
        <v>0.90086303336292295</v>
      </c>
      <c r="P300" s="16"/>
      <c r="T300" s="22"/>
      <c r="U300" s="22"/>
      <c r="V300" s="22"/>
      <c r="W300" s="19"/>
    </row>
    <row r="301" spans="1:23" ht="15.75" customHeight="1">
      <c r="A301" s="8">
        <v>71201</v>
      </c>
      <c r="B301" s="8">
        <v>530</v>
      </c>
      <c r="C301" s="8">
        <v>235.33333972096443</v>
      </c>
      <c r="D301" s="8">
        <v>1164</v>
      </c>
      <c r="E301" s="9">
        <f t="shared" si="14"/>
        <v>0.45532646048109965</v>
      </c>
      <c r="F301" s="10">
        <f t="shared" si="15"/>
        <v>0.44402516928483854</v>
      </c>
      <c r="G301" s="10">
        <f t="shared" si="16"/>
        <v>0.20217640869498663</v>
      </c>
      <c r="H301" s="8">
        <v>6894</v>
      </c>
      <c r="I301" s="8">
        <v>3077.6667493581772</v>
      </c>
      <c r="J301" s="8">
        <v>12714</v>
      </c>
      <c r="K301" s="11">
        <f t="shared" si="17"/>
        <v>0.54223690420009441</v>
      </c>
      <c r="L301" s="12">
        <f t="shared" si="18"/>
        <v>0.44642685659387543</v>
      </c>
      <c r="M301" s="12">
        <f t="shared" si="19"/>
        <v>0.24206911667124251</v>
      </c>
      <c r="N301" s="9">
        <f t="shared" si="20"/>
        <v>1.1973163349460816</v>
      </c>
      <c r="P301" s="16"/>
      <c r="T301" s="22"/>
      <c r="U301" s="22"/>
      <c r="V301" s="22"/>
      <c r="W301" s="19"/>
    </row>
    <row r="302" spans="1:23" ht="15.75" customHeight="1">
      <c r="A302" s="8">
        <v>71301</v>
      </c>
      <c r="B302" s="8">
        <v>597</v>
      </c>
      <c r="C302" s="8">
        <v>265.0000067949295</v>
      </c>
      <c r="D302" s="8">
        <v>1748</v>
      </c>
      <c r="E302" s="9">
        <f t="shared" si="14"/>
        <v>0.34153318077803202</v>
      </c>
      <c r="F302" s="10">
        <f t="shared" si="15"/>
        <v>0.44388610853422028</v>
      </c>
      <c r="G302" s="10">
        <f t="shared" si="16"/>
        <v>0.151601834550875</v>
      </c>
      <c r="H302" s="8">
        <v>4817</v>
      </c>
      <c r="I302" s="8">
        <v>2206.3333907425404</v>
      </c>
      <c r="J302" s="8">
        <v>13801</v>
      </c>
      <c r="K302" s="11">
        <f t="shared" si="17"/>
        <v>0.34903267879139194</v>
      </c>
      <c r="L302" s="12">
        <f t="shared" si="18"/>
        <v>0.45803059803664942</v>
      </c>
      <c r="M302" s="12">
        <f t="shared" si="19"/>
        <v>0.15986764660115502</v>
      </c>
      <c r="N302" s="9">
        <f t="shared" si="20"/>
        <v>1.0545231663902204</v>
      </c>
      <c r="P302" s="16"/>
      <c r="T302" s="22"/>
      <c r="U302" s="22"/>
      <c r="V302" s="22"/>
      <c r="W302" s="19"/>
    </row>
    <row r="303" spans="1:23" ht="15.75" customHeight="1">
      <c r="A303" s="8">
        <v>71302</v>
      </c>
      <c r="B303" s="8">
        <v>446</v>
      </c>
      <c r="C303" s="8">
        <v>193.22222775220871</v>
      </c>
      <c r="D303" s="8">
        <v>1106</v>
      </c>
      <c r="E303" s="9">
        <f t="shared" si="14"/>
        <v>0.40325497287522605</v>
      </c>
      <c r="F303" s="10">
        <f t="shared" si="15"/>
        <v>0.4332336945116787</v>
      </c>
      <c r="G303" s="10">
        <f t="shared" si="16"/>
        <v>0.17470364172894096</v>
      </c>
      <c r="H303" s="8">
        <v>2223</v>
      </c>
      <c r="I303" s="8">
        <v>924.11113581061363</v>
      </c>
      <c r="J303" s="8">
        <v>5938</v>
      </c>
      <c r="K303" s="11">
        <f t="shared" si="17"/>
        <v>0.37436847423374875</v>
      </c>
      <c r="L303" s="12">
        <f t="shared" si="18"/>
        <v>0.41570451453468898</v>
      </c>
      <c r="M303" s="12">
        <f t="shared" si="19"/>
        <v>0.15562666483843274</v>
      </c>
      <c r="N303" s="9">
        <f t="shared" si="20"/>
        <v>0.89080378232694868</v>
      </c>
      <c r="P303" s="16"/>
      <c r="T303" s="22"/>
      <c r="U303" s="22"/>
      <c r="V303" s="22"/>
      <c r="W303" s="19"/>
    </row>
    <row r="304" spans="1:23" ht="15.75" customHeight="1">
      <c r="A304" s="8">
        <v>71401</v>
      </c>
      <c r="B304" s="8">
        <v>498</v>
      </c>
      <c r="C304" s="8">
        <v>206.77778321504593</v>
      </c>
      <c r="D304" s="8">
        <v>1657</v>
      </c>
      <c r="E304" s="9">
        <f t="shared" si="14"/>
        <v>0.30054315027157513</v>
      </c>
      <c r="F304" s="10">
        <f t="shared" si="15"/>
        <v>0.41521643215872678</v>
      </c>
      <c r="G304" s="10">
        <f t="shared" si="16"/>
        <v>0.1247904545655075</v>
      </c>
      <c r="H304" s="8">
        <v>3738</v>
      </c>
      <c r="I304" s="8">
        <v>1489.1111477315426</v>
      </c>
      <c r="J304" s="8">
        <v>16642</v>
      </c>
      <c r="K304" s="11">
        <f t="shared" si="17"/>
        <v>0.22461242639105877</v>
      </c>
      <c r="L304" s="12">
        <f t="shared" si="18"/>
        <v>0.39837109356114037</v>
      </c>
      <c r="M304" s="12">
        <f t="shared" si="19"/>
        <v>8.9479097928827231E-2</v>
      </c>
      <c r="N304" s="9">
        <f t="shared" si="20"/>
        <v>0.71703479437087936</v>
      </c>
      <c r="P304" s="16"/>
      <c r="T304" s="22"/>
      <c r="U304" s="22"/>
      <c r="V304" s="22"/>
      <c r="W304" s="19"/>
    </row>
    <row r="305" spans="1:23" ht="15.75" customHeight="1">
      <c r="A305" s="8">
        <v>71402</v>
      </c>
      <c r="B305" s="8">
        <v>646</v>
      </c>
      <c r="C305" s="8">
        <v>253.44445031881332</v>
      </c>
      <c r="D305" s="8">
        <v>2459</v>
      </c>
      <c r="E305" s="9">
        <f t="shared" si="14"/>
        <v>0.26270841805612039</v>
      </c>
      <c r="F305" s="10">
        <f t="shared" si="15"/>
        <v>0.39232887046255932</v>
      </c>
      <c r="G305" s="10">
        <f t="shared" si="16"/>
        <v>0.10306809691696353</v>
      </c>
      <c r="H305" s="8">
        <v>3550</v>
      </c>
      <c r="I305" s="8">
        <v>1368.8889214396477</v>
      </c>
      <c r="J305" s="8">
        <v>12986</v>
      </c>
      <c r="K305" s="11">
        <f t="shared" si="17"/>
        <v>0.27337132296319111</v>
      </c>
      <c r="L305" s="12">
        <f t="shared" si="18"/>
        <v>0.38560251308159088</v>
      </c>
      <c r="M305" s="12">
        <f t="shared" si="19"/>
        <v>0.10541266913904571</v>
      </c>
      <c r="N305" s="9">
        <f t="shared" si="20"/>
        <v>1.022747797739693</v>
      </c>
      <c r="P305" s="16"/>
      <c r="T305" s="22"/>
      <c r="U305" s="22"/>
      <c r="V305" s="22"/>
      <c r="W305" s="19"/>
    </row>
    <row r="306" spans="1:23" ht="15.75" customHeight="1">
      <c r="A306" s="8">
        <v>71403</v>
      </c>
      <c r="B306" s="8">
        <v>433</v>
      </c>
      <c r="C306" s="8">
        <v>187.55556035041809</v>
      </c>
      <c r="D306" s="8">
        <v>861</v>
      </c>
      <c r="E306" s="9">
        <f t="shared" si="14"/>
        <v>0.50290360046457605</v>
      </c>
      <c r="F306" s="10">
        <f t="shared" si="15"/>
        <v>0.43315371905408334</v>
      </c>
      <c r="G306" s="10">
        <f t="shared" si="16"/>
        <v>0.21783456486691996</v>
      </c>
      <c r="H306" s="8">
        <v>2379</v>
      </c>
      <c r="I306" s="8">
        <v>1037.555581599474</v>
      </c>
      <c r="J306" s="8">
        <v>5155</v>
      </c>
      <c r="K306" s="11">
        <f t="shared" si="17"/>
        <v>0.46149369544131913</v>
      </c>
      <c r="L306" s="12">
        <f t="shared" si="18"/>
        <v>0.43613097166854725</v>
      </c>
      <c r="M306" s="12">
        <f t="shared" si="19"/>
        <v>0.20127169381173113</v>
      </c>
      <c r="N306" s="9">
        <f t="shared" si="20"/>
        <v>0.92396582670290428</v>
      </c>
      <c r="P306" s="16"/>
      <c r="T306" s="22"/>
      <c r="U306" s="22"/>
      <c r="V306" s="22"/>
      <c r="W306" s="19"/>
    </row>
    <row r="307" spans="1:23" ht="15.75" customHeight="1">
      <c r="A307" s="8">
        <v>71501</v>
      </c>
      <c r="B307" s="8">
        <v>2207</v>
      </c>
      <c r="C307" s="8">
        <v>966.7778032720089</v>
      </c>
      <c r="D307" s="8">
        <v>3643</v>
      </c>
      <c r="E307" s="9">
        <f t="shared" si="14"/>
        <v>0.60581937963217125</v>
      </c>
      <c r="F307" s="10">
        <f t="shared" si="15"/>
        <v>0.43805065848301267</v>
      </c>
      <c r="G307" s="10">
        <f t="shared" si="16"/>
        <v>0.26537957816964286</v>
      </c>
      <c r="H307" s="8">
        <v>13716</v>
      </c>
      <c r="I307" s="8">
        <v>6066.1112692058086</v>
      </c>
      <c r="J307" s="8">
        <v>22254</v>
      </c>
      <c r="K307" s="11">
        <f t="shared" si="17"/>
        <v>0.61633863575087622</v>
      </c>
      <c r="L307" s="12">
        <f t="shared" si="18"/>
        <v>0.44226533021331355</v>
      </c>
      <c r="M307" s="12">
        <f t="shared" si="19"/>
        <v>0.27258521026358445</v>
      </c>
      <c r="N307" s="9">
        <f t="shared" si="20"/>
        <v>1.0271521725358062</v>
      </c>
      <c r="P307" s="16"/>
      <c r="T307" s="22"/>
      <c r="U307" s="22"/>
      <c r="V307" s="22"/>
      <c r="W307" s="19"/>
    </row>
    <row r="308" spans="1:23" ht="15.75" customHeight="1">
      <c r="A308" s="8">
        <v>71502</v>
      </c>
      <c r="B308" s="8">
        <v>81</v>
      </c>
      <c r="C308" s="8">
        <v>37.11111244559288</v>
      </c>
      <c r="D308" s="8">
        <v>221</v>
      </c>
      <c r="E308" s="9">
        <f t="shared" si="14"/>
        <v>0.36651583710407237</v>
      </c>
      <c r="F308" s="10">
        <f t="shared" si="15"/>
        <v>0.45816188204435654</v>
      </c>
      <c r="G308" s="10">
        <f t="shared" si="16"/>
        <v>0.1679235857266646</v>
      </c>
      <c r="H308" s="8">
        <v>3723</v>
      </c>
      <c r="I308" s="8">
        <v>1648.5555990040302</v>
      </c>
      <c r="J308" s="8">
        <v>6528</v>
      </c>
      <c r="K308" s="11">
        <f t="shared" si="17"/>
        <v>0.5703125</v>
      </c>
      <c r="L308" s="12">
        <f t="shared" si="18"/>
        <v>0.44280300805910022</v>
      </c>
      <c r="M308" s="12">
        <f t="shared" si="19"/>
        <v>0.25253609053370557</v>
      </c>
      <c r="N308" s="9">
        <f t="shared" si="20"/>
        <v>1.5038750479326224</v>
      </c>
      <c r="P308" s="16"/>
      <c r="T308" s="22"/>
      <c r="U308" s="22"/>
      <c r="V308" s="22"/>
      <c r="W308" s="19"/>
    </row>
    <row r="309" spans="1:23" ht="15.75" customHeight="1">
      <c r="A309" s="8">
        <v>71503</v>
      </c>
      <c r="B309" s="8">
        <v>1967</v>
      </c>
      <c r="C309" s="8">
        <v>882.44446736574173</v>
      </c>
      <c r="D309" s="8">
        <v>2750</v>
      </c>
      <c r="E309" s="9">
        <f t="shared" si="14"/>
        <v>0.71527272727272728</v>
      </c>
      <c r="F309" s="10">
        <f t="shared" si="15"/>
        <v>0.44862453856926371</v>
      </c>
      <c r="G309" s="10">
        <f t="shared" si="16"/>
        <v>0.32088889722390607</v>
      </c>
      <c r="H309" s="8">
        <v>6952</v>
      </c>
      <c r="I309" s="8">
        <v>3054.8889665603638</v>
      </c>
      <c r="J309" s="8">
        <v>11020</v>
      </c>
      <c r="K309" s="11">
        <f t="shared" si="17"/>
        <v>0.63085299455535393</v>
      </c>
      <c r="L309" s="12">
        <f t="shared" si="18"/>
        <v>0.43942591578831469</v>
      </c>
      <c r="M309" s="12">
        <f t="shared" si="19"/>
        <v>0.27721315486028708</v>
      </c>
      <c r="N309" s="9">
        <f t="shared" si="20"/>
        <v>0.86389138813630117</v>
      </c>
      <c r="P309" s="16"/>
      <c r="T309" s="22"/>
      <c r="U309" s="22"/>
      <c r="V309" s="22"/>
      <c r="W309" s="19"/>
    </row>
    <row r="310" spans="1:23" ht="15.75" customHeight="1">
      <c r="A310" s="8">
        <v>80101</v>
      </c>
      <c r="B310" s="8">
        <v>3464</v>
      </c>
      <c r="C310" s="8">
        <v>1443.7778162956238</v>
      </c>
      <c r="D310" s="8">
        <v>9428</v>
      </c>
      <c r="E310" s="9">
        <f t="shared" si="14"/>
        <v>0.36741620704285111</v>
      </c>
      <c r="F310" s="10">
        <f t="shared" si="15"/>
        <v>0.41679498160959116</v>
      </c>
      <c r="G310" s="10">
        <f t="shared" si="16"/>
        <v>0.15313723125749087</v>
      </c>
      <c r="H310" s="8">
        <v>32841</v>
      </c>
      <c r="I310" s="8">
        <v>13332.111452698708</v>
      </c>
      <c r="J310" s="8">
        <v>91800</v>
      </c>
      <c r="K310" s="11">
        <f t="shared" si="17"/>
        <v>0.35774509803921567</v>
      </c>
      <c r="L310" s="12">
        <f t="shared" si="18"/>
        <v>0.4059593633780551</v>
      </c>
      <c r="M310" s="12">
        <f t="shared" si="19"/>
        <v>0.1452299722516199</v>
      </c>
      <c r="N310" s="9">
        <f t="shared" si="20"/>
        <v>0.94836488200197766</v>
      </c>
      <c r="P310" s="16"/>
      <c r="T310" s="22"/>
      <c r="U310" s="22"/>
      <c r="V310" s="22"/>
      <c r="W310" s="19"/>
    </row>
    <row r="311" spans="1:23" ht="15.75" customHeight="1">
      <c r="A311" s="8">
        <v>80102</v>
      </c>
      <c r="B311" s="8">
        <v>810</v>
      </c>
      <c r="C311" s="8">
        <v>358.22223088145256</v>
      </c>
      <c r="D311" s="8">
        <v>1273</v>
      </c>
      <c r="E311" s="9">
        <f t="shared" si="14"/>
        <v>0.63629222309505107</v>
      </c>
      <c r="F311" s="10">
        <f t="shared" si="15"/>
        <v>0.44224966775487973</v>
      </c>
      <c r="G311" s="10">
        <f t="shared" si="16"/>
        <v>0.28140002425880012</v>
      </c>
      <c r="H311" s="8">
        <v>2196</v>
      </c>
      <c r="I311" s="8">
        <v>928.1111353635788</v>
      </c>
      <c r="J311" s="8">
        <v>3919</v>
      </c>
      <c r="K311" s="11">
        <f t="shared" si="17"/>
        <v>0.56034702730288344</v>
      </c>
      <c r="L311" s="12">
        <f t="shared" si="18"/>
        <v>0.42263712903623807</v>
      </c>
      <c r="M311" s="12">
        <f t="shared" si="19"/>
        <v>0.23682345888328116</v>
      </c>
      <c r="N311" s="9">
        <f t="shared" si="20"/>
        <v>0.84159004430460727</v>
      </c>
      <c r="P311" s="16"/>
      <c r="T311" s="22"/>
      <c r="U311" s="22"/>
      <c r="V311" s="22"/>
      <c r="W311" s="19"/>
    </row>
    <row r="312" spans="1:23" ht="15.75" customHeight="1">
      <c r="A312" s="8">
        <v>80201</v>
      </c>
      <c r="B312" s="8">
        <v>4440</v>
      </c>
      <c r="C312" s="8">
        <v>2042.4445002675056</v>
      </c>
      <c r="D312" s="8">
        <v>6831</v>
      </c>
      <c r="E312" s="9">
        <f t="shared" si="14"/>
        <v>0.64997804128238912</v>
      </c>
      <c r="F312" s="10">
        <f t="shared" si="15"/>
        <v>0.46001002258277152</v>
      </c>
      <c r="G312" s="10">
        <f t="shared" si="16"/>
        <v>0.29899641344861744</v>
      </c>
      <c r="H312" s="8">
        <v>53345</v>
      </c>
      <c r="I312" s="8">
        <v>23253.778370797634</v>
      </c>
      <c r="J312" s="8">
        <v>78857</v>
      </c>
      <c r="K312" s="11">
        <f t="shared" si="17"/>
        <v>0.67647767477839638</v>
      </c>
      <c r="L312" s="12">
        <f t="shared" si="18"/>
        <v>0.43591298848622428</v>
      </c>
      <c r="M312" s="12">
        <f t="shared" si="19"/>
        <v>0.29488540485686288</v>
      </c>
      <c r="N312" s="9">
        <f t="shared" si="20"/>
        <v>0.98625064245975969</v>
      </c>
      <c r="P312" s="16"/>
      <c r="T312" s="22"/>
      <c r="U312" s="22"/>
      <c r="V312" s="22"/>
      <c r="W312" s="19"/>
    </row>
    <row r="313" spans="1:23" ht="15.75" customHeight="1">
      <c r="A313" s="8">
        <v>80202</v>
      </c>
      <c r="B313" s="8">
        <v>1576</v>
      </c>
      <c r="C313" s="8">
        <v>704.22224059700966</v>
      </c>
      <c r="D313" s="8">
        <v>3884</v>
      </c>
      <c r="E313" s="9">
        <f t="shared" si="14"/>
        <v>0.40576725025746652</v>
      </c>
      <c r="F313" s="10">
        <f t="shared" si="15"/>
        <v>0.44684152322145282</v>
      </c>
      <c r="G313" s="10">
        <f t="shared" si="16"/>
        <v>0.18131365617842679</v>
      </c>
      <c r="H313" s="8">
        <v>13312</v>
      </c>
      <c r="I313" s="8">
        <v>5470.7779168784618</v>
      </c>
      <c r="J313" s="8">
        <v>35442</v>
      </c>
      <c r="K313" s="11">
        <f t="shared" si="17"/>
        <v>0.3755995711302974</v>
      </c>
      <c r="L313" s="12">
        <f t="shared" si="18"/>
        <v>0.4109658891885864</v>
      </c>
      <c r="M313" s="12">
        <f t="shared" si="19"/>
        <v>0.15435861172841439</v>
      </c>
      <c r="N313" s="9">
        <f t="shared" si="20"/>
        <v>0.85133472559018653</v>
      </c>
      <c r="P313" s="16"/>
      <c r="T313" s="22"/>
      <c r="U313" s="22"/>
      <c r="V313" s="22"/>
      <c r="W313" s="19"/>
    </row>
    <row r="314" spans="1:23" ht="15.75" customHeight="1">
      <c r="A314" s="8">
        <v>80301</v>
      </c>
      <c r="B314" s="8">
        <v>722</v>
      </c>
      <c r="C314" s="8">
        <v>333.66667637228966</v>
      </c>
      <c r="D314" s="8">
        <v>1103</v>
      </c>
      <c r="E314" s="9">
        <f t="shared" si="14"/>
        <v>0.65457842248413423</v>
      </c>
      <c r="F314" s="10">
        <f t="shared" si="15"/>
        <v>0.46214221104195241</v>
      </c>
      <c r="G314" s="10">
        <f t="shared" si="16"/>
        <v>0.30250831946717105</v>
      </c>
      <c r="H314" s="8">
        <v>7454</v>
      </c>
      <c r="I314" s="8">
        <v>3285.777863740921</v>
      </c>
      <c r="J314" s="8">
        <v>11511</v>
      </c>
      <c r="K314" s="11">
        <f t="shared" si="17"/>
        <v>0.64755451307445056</v>
      </c>
      <c r="L314" s="12">
        <f t="shared" si="18"/>
        <v>0.44080733347745116</v>
      </c>
      <c r="M314" s="12">
        <f t="shared" si="19"/>
        <v>0.28544677818963782</v>
      </c>
      <c r="N314" s="9">
        <f t="shared" si="20"/>
        <v>0.94359976179304783</v>
      </c>
      <c r="P314" s="16"/>
      <c r="T314" s="22"/>
      <c r="U314" s="22"/>
      <c r="V314" s="22"/>
      <c r="W314" s="19"/>
    </row>
    <row r="315" spans="1:23" ht="15.75" customHeight="1">
      <c r="A315" s="8">
        <v>80302</v>
      </c>
      <c r="B315" s="8">
        <v>2186</v>
      </c>
      <c r="C315" s="8">
        <v>1068.4444709122181</v>
      </c>
      <c r="D315" s="8">
        <v>4016</v>
      </c>
      <c r="E315" s="9">
        <f t="shared" si="14"/>
        <v>0.54432270916334657</v>
      </c>
      <c r="F315" s="10">
        <f t="shared" si="15"/>
        <v>0.48876691258564414</v>
      </c>
      <c r="G315" s="10">
        <f t="shared" si="16"/>
        <v>0.26604693000802243</v>
      </c>
      <c r="H315" s="8">
        <v>22041</v>
      </c>
      <c r="I315" s="8">
        <v>11912.444736152887</v>
      </c>
      <c r="J315" s="8">
        <v>35454</v>
      </c>
      <c r="K315" s="11">
        <f t="shared" si="17"/>
        <v>0.62167879505838552</v>
      </c>
      <c r="L315" s="12">
        <f t="shared" si="18"/>
        <v>0.54046752579977708</v>
      </c>
      <c r="M315" s="12">
        <f t="shared" si="19"/>
        <v>0.33599720020739232</v>
      </c>
      <c r="N315" s="9">
        <f t="shared" si="20"/>
        <v>1.2629245531878928</v>
      </c>
      <c r="P315" s="16"/>
      <c r="T315" s="22"/>
      <c r="U315" s="22"/>
      <c r="V315" s="22"/>
      <c r="W315" s="19"/>
    </row>
    <row r="316" spans="1:23" ht="15.75" customHeight="1">
      <c r="A316" s="8">
        <v>80303</v>
      </c>
      <c r="B316" s="8">
        <v>704</v>
      </c>
      <c r="C316" s="8">
        <v>313.11111968755722</v>
      </c>
      <c r="D316" s="8">
        <v>1199</v>
      </c>
      <c r="E316" s="9">
        <f t="shared" si="14"/>
        <v>0.58715596330275233</v>
      </c>
      <c r="F316" s="10">
        <f t="shared" si="15"/>
        <v>0.44476011319255288</v>
      </c>
      <c r="G316" s="10">
        <f t="shared" si="16"/>
        <v>0.26114355270021455</v>
      </c>
      <c r="H316" s="8">
        <v>3576</v>
      </c>
      <c r="I316" s="8">
        <v>1523.0000378787518</v>
      </c>
      <c r="J316" s="8">
        <v>7971</v>
      </c>
      <c r="K316" s="11">
        <f t="shared" si="17"/>
        <v>0.44862627022958224</v>
      </c>
      <c r="L316" s="12">
        <f t="shared" si="18"/>
        <v>0.42589486517862185</v>
      </c>
      <c r="M316" s="12">
        <f t="shared" si="19"/>
        <v>0.19106762487501591</v>
      </c>
      <c r="N316" s="9">
        <f t="shared" si="20"/>
        <v>0.73165744625660423</v>
      </c>
      <c r="P316" s="16"/>
      <c r="T316" s="22"/>
      <c r="U316" s="22"/>
      <c r="V316" s="22"/>
      <c r="W316" s="19"/>
    </row>
    <row r="317" spans="1:23" ht="15.75" customHeight="1">
      <c r="A317" s="8">
        <v>80304</v>
      </c>
      <c r="B317" s="8">
        <v>876</v>
      </c>
      <c r="C317" s="8">
        <v>390.11112105846405</v>
      </c>
      <c r="D317" s="8">
        <v>2505</v>
      </c>
      <c r="E317" s="9">
        <f t="shared" si="14"/>
        <v>0.34970059880239523</v>
      </c>
      <c r="F317" s="10">
        <f t="shared" si="15"/>
        <v>0.44533232997541561</v>
      </c>
      <c r="G317" s="10">
        <f t="shared" si="16"/>
        <v>0.1557329824584687</v>
      </c>
      <c r="H317" s="8">
        <v>5619</v>
      </c>
      <c r="I317" s="8">
        <v>2632.3334000706673</v>
      </c>
      <c r="J317" s="8">
        <v>15488</v>
      </c>
      <c r="K317" s="11">
        <f t="shared" si="17"/>
        <v>0.36279700413223143</v>
      </c>
      <c r="L317" s="12">
        <f t="shared" si="18"/>
        <v>0.46847008365735315</v>
      </c>
      <c r="M317" s="12">
        <f t="shared" si="19"/>
        <v>0.16995954287646356</v>
      </c>
      <c r="N317" s="9">
        <f t="shared" si="20"/>
        <v>1.0913522632997081</v>
      </c>
      <c r="P317" s="16"/>
      <c r="T317" s="22"/>
      <c r="U317" s="22"/>
      <c r="V317" s="22"/>
      <c r="W317" s="19"/>
    </row>
    <row r="318" spans="1:23" ht="15.75" customHeight="1">
      <c r="A318" s="8">
        <v>80401</v>
      </c>
      <c r="B318" s="8">
        <v>756</v>
      </c>
      <c r="C318" s="8">
        <v>328.77778685092926</v>
      </c>
      <c r="D318" s="8">
        <v>1505</v>
      </c>
      <c r="E318" s="9">
        <f t="shared" si="14"/>
        <v>0.50232558139534889</v>
      </c>
      <c r="F318" s="10">
        <f t="shared" si="15"/>
        <v>0.43489125244831911</v>
      </c>
      <c r="G318" s="10">
        <f t="shared" si="16"/>
        <v>0.21845700122985334</v>
      </c>
      <c r="H318" s="8">
        <v>6044</v>
      </c>
      <c r="I318" s="8">
        <v>2730.0000675618649</v>
      </c>
      <c r="J318" s="8">
        <v>14919</v>
      </c>
      <c r="K318" s="11">
        <f t="shared" si="17"/>
        <v>0.40512098666130436</v>
      </c>
      <c r="L318" s="12">
        <f t="shared" si="18"/>
        <v>0.45168763526834294</v>
      </c>
      <c r="M318" s="12">
        <f t="shared" si="19"/>
        <v>0.18298814046262246</v>
      </c>
      <c r="N318" s="9">
        <f t="shared" si="20"/>
        <v>0.83763916666643379</v>
      </c>
      <c r="P318" s="16"/>
      <c r="T318" s="22"/>
      <c r="U318" s="22"/>
      <c r="V318" s="22"/>
      <c r="W318" s="19"/>
    </row>
    <row r="319" spans="1:23" ht="15.75" customHeight="1">
      <c r="A319" s="8">
        <v>80402</v>
      </c>
      <c r="B319" s="8">
        <v>622</v>
      </c>
      <c r="C319" s="8">
        <v>291.5555631518364</v>
      </c>
      <c r="D319" s="8">
        <v>918</v>
      </c>
      <c r="E319" s="9">
        <f t="shared" si="14"/>
        <v>0.6775599128540305</v>
      </c>
      <c r="F319" s="10">
        <f t="shared" si="15"/>
        <v>0.46873884751099099</v>
      </c>
      <c r="G319" s="10">
        <f t="shared" si="16"/>
        <v>0.31759865267084575</v>
      </c>
      <c r="H319" s="8">
        <v>3706</v>
      </c>
      <c r="I319" s="8">
        <v>1794.4444916248322</v>
      </c>
      <c r="J319" s="8">
        <v>5044</v>
      </c>
      <c r="K319" s="11">
        <f t="shared" si="17"/>
        <v>0.73473433782712139</v>
      </c>
      <c r="L319" s="12">
        <f t="shared" si="18"/>
        <v>0.4841998088572132</v>
      </c>
      <c r="M319" s="12">
        <f t="shared" si="19"/>
        <v>0.35575822593672329</v>
      </c>
      <c r="N319" s="9">
        <f t="shared" si="20"/>
        <v>1.120150299584002</v>
      </c>
      <c r="P319" s="16"/>
      <c r="T319" s="22"/>
      <c r="U319" s="22"/>
      <c r="V319" s="22"/>
      <c r="W319" s="19"/>
    </row>
    <row r="320" spans="1:23" ht="15.75" customHeight="1">
      <c r="A320" s="8">
        <v>80501</v>
      </c>
      <c r="B320" s="8">
        <v>2018</v>
      </c>
      <c r="C320" s="8">
        <v>938.77780222892761</v>
      </c>
      <c r="D320" s="8">
        <v>3140</v>
      </c>
      <c r="E320" s="9">
        <f t="shared" si="14"/>
        <v>0.64267515923566876</v>
      </c>
      <c r="F320" s="10">
        <f t="shared" si="15"/>
        <v>0.46520208237310584</v>
      </c>
      <c r="G320" s="10">
        <f t="shared" si="16"/>
        <v>0.29897382236590048</v>
      </c>
      <c r="H320" s="8">
        <v>10517</v>
      </c>
      <c r="I320" s="8">
        <v>4931.1112377941608</v>
      </c>
      <c r="J320" s="8">
        <v>15410</v>
      </c>
      <c r="K320" s="11">
        <f t="shared" si="17"/>
        <v>0.68247890979883197</v>
      </c>
      <c r="L320" s="12">
        <f t="shared" si="18"/>
        <v>0.4688705179988743</v>
      </c>
      <c r="M320" s="12">
        <f t="shared" si="19"/>
        <v>0.31999423996068538</v>
      </c>
      <c r="N320" s="9">
        <f t="shared" si="20"/>
        <v>1.0703085555398859</v>
      </c>
      <c r="P320" s="16"/>
      <c r="T320" s="22"/>
      <c r="U320" s="22"/>
      <c r="V320" s="22"/>
      <c r="W320" s="19"/>
    </row>
    <row r="321" spans="1:23" ht="15.75" customHeight="1">
      <c r="A321" s="8">
        <v>80601</v>
      </c>
      <c r="B321" s="8">
        <v>189</v>
      </c>
      <c r="C321" s="8">
        <v>89.222224771976471</v>
      </c>
      <c r="D321" s="8">
        <v>291</v>
      </c>
      <c r="E321" s="9">
        <f t="shared" si="14"/>
        <v>0.64948453608247425</v>
      </c>
      <c r="F321" s="10">
        <f t="shared" si="15"/>
        <v>0.47207526334379085</v>
      </c>
      <c r="G321" s="10">
        <f t="shared" si="16"/>
        <v>0.30660558340885385</v>
      </c>
      <c r="H321" s="8">
        <v>2272</v>
      </c>
      <c r="I321" s="8">
        <v>1109.7778061032295</v>
      </c>
      <c r="J321" s="8">
        <v>3390</v>
      </c>
      <c r="K321" s="11">
        <f t="shared" si="17"/>
        <v>0.67020648967551621</v>
      </c>
      <c r="L321" s="12">
        <f t="shared" si="18"/>
        <v>0.48845854141867495</v>
      </c>
      <c r="M321" s="12">
        <f t="shared" si="19"/>
        <v>0.32736808439623288</v>
      </c>
      <c r="N321" s="9">
        <f t="shared" si="20"/>
        <v>1.067717295805708</v>
      </c>
      <c r="P321" s="16"/>
      <c r="T321" s="22"/>
      <c r="U321" s="22"/>
      <c r="V321" s="22"/>
      <c r="W321" s="19"/>
    </row>
    <row r="322" spans="1:23" ht="15.75" customHeight="1">
      <c r="A322" s="8">
        <v>80602</v>
      </c>
      <c r="B322" s="8">
        <v>1201</v>
      </c>
      <c r="C322" s="8">
        <v>514.11112385988235</v>
      </c>
      <c r="D322" s="8">
        <v>2061</v>
      </c>
      <c r="E322" s="9">
        <f t="shared" si="14"/>
        <v>0.58272683163512862</v>
      </c>
      <c r="F322" s="10">
        <f t="shared" si="15"/>
        <v>0.42806921220639665</v>
      </c>
      <c r="G322" s="10">
        <f t="shared" si="16"/>
        <v>0.24944741574957904</v>
      </c>
      <c r="H322" s="8">
        <v>4892</v>
      </c>
      <c r="I322" s="8">
        <v>2139.3333877623081</v>
      </c>
      <c r="J322" s="8">
        <v>9622</v>
      </c>
      <c r="K322" s="11">
        <f t="shared" si="17"/>
        <v>0.50841820827270834</v>
      </c>
      <c r="L322" s="12">
        <f t="shared" si="18"/>
        <v>0.4373126303684195</v>
      </c>
      <c r="M322" s="12">
        <f t="shared" si="19"/>
        <v>0.22233770398693703</v>
      </c>
      <c r="N322" s="9">
        <f t="shared" si="20"/>
        <v>0.89132093559206271</v>
      </c>
      <c r="P322" s="16"/>
      <c r="T322" s="22"/>
      <c r="U322" s="22"/>
      <c r="V322" s="22"/>
      <c r="W322" s="19"/>
    </row>
    <row r="323" spans="1:23" ht="15.75" customHeight="1">
      <c r="A323" s="8">
        <v>80701</v>
      </c>
      <c r="B323" s="8">
        <v>494</v>
      </c>
      <c r="C323" s="8">
        <v>223.222227871418</v>
      </c>
      <c r="D323" s="8">
        <v>848</v>
      </c>
      <c r="E323" s="9">
        <f t="shared" si="14"/>
        <v>0.58254716981132071</v>
      </c>
      <c r="F323" s="10">
        <f t="shared" si="15"/>
        <v>0.45186685803930771</v>
      </c>
      <c r="G323" s="10">
        <f t="shared" si="16"/>
        <v>0.26323375928233256</v>
      </c>
      <c r="H323" s="8">
        <v>2969</v>
      </c>
      <c r="I323" s="8">
        <v>1241.8889198303223</v>
      </c>
      <c r="J323" s="8">
        <v>5581</v>
      </c>
      <c r="K323" s="11">
        <f t="shared" si="17"/>
        <v>0.53198351549901446</v>
      </c>
      <c r="L323" s="12">
        <f t="shared" si="18"/>
        <v>0.4182852542372254</v>
      </c>
      <c r="M323" s="12">
        <f t="shared" si="19"/>
        <v>0.22252086003051821</v>
      </c>
      <c r="N323" s="9">
        <f t="shared" si="20"/>
        <v>0.84533557032041795</v>
      </c>
      <c r="P323" s="16"/>
      <c r="T323" s="22"/>
      <c r="U323" s="22"/>
      <c r="V323" s="22"/>
      <c r="W323" s="19"/>
    </row>
    <row r="324" spans="1:23" ht="15.75" customHeight="1">
      <c r="A324" s="8">
        <v>80702</v>
      </c>
      <c r="B324" s="8">
        <v>324</v>
      </c>
      <c r="C324" s="8">
        <v>136.77778127789497</v>
      </c>
      <c r="D324" s="8">
        <v>670</v>
      </c>
      <c r="E324" s="9">
        <f t="shared" si="14"/>
        <v>0.4835820895522388</v>
      </c>
      <c r="F324" s="10">
        <f t="shared" si="15"/>
        <v>0.42215364591942894</v>
      </c>
      <c r="G324" s="10">
        <f t="shared" si="16"/>
        <v>0.20414594220581339</v>
      </c>
      <c r="H324" s="8">
        <v>1817</v>
      </c>
      <c r="I324" s="8">
        <v>773.44446390867233</v>
      </c>
      <c r="J324" s="8">
        <v>3986</v>
      </c>
      <c r="K324" s="11">
        <f t="shared" si="17"/>
        <v>0.45584545910687407</v>
      </c>
      <c r="L324" s="12">
        <f t="shared" si="18"/>
        <v>0.42567114139167439</v>
      </c>
      <c r="M324" s="12">
        <f t="shared" si="19"/>
        <v>0.19404025687623491</v>
      </c>
      <c r="N324" s="9">
        <f t="shared" si="20"/>
        <v>0.95049774087897254</v>
      </c>
      <c r="P324" s="16"/>
      <c r="T324" s="22"/>
      <c r="U324" s="22"/>
      <c r="V324" s="22"/>
      <c r="W324" s="19"/>
    </row>
    <row r="325" spans="1:23" ht="15.75" customHeight="1">
      <c r="A325" s="8">
        <v>80703</v>
      </c>
      <c r="B325" s="8">
        <v>107</v>
      </c>
      <c r="C325" s="8">
        <v>48.22222363948822</v>
      </c>
      <c r="D325" s="8">
        <v>203</v>
      </c>
      <c r="E325" s="9">
        <f t="shared" si="14"/>
        <v>0.52709359605911332</v>
      </c>
      <c r="F325" s="10">
        <f t="shared" si="15"/>
        <v>0.45067498728493666</v>
      </c>
      <c r="G325" s="10">
        <f t="shared" si="16"/>
        <v>0.23754789970191242</v>
      </c>
      <c r="H325" s="8">
        <v>296</v>
      </c>
      <c r="I325" s="8">
        <v>126.88889217376709</v>
      </c>
      <c r="J325" s="8">
        <v>617</v>
      </c>
      <c r="K325" s="11">
        <f t="shared" si="17"/>
        <v>0.47974068071312803</v>
      </c>
      <c r="L325" s="12">
        <f t="shared" si="18"/>
        <v>0.42867868977624018</v>
      </c>
      <c r="M325" s="12">
        <f t="shared" si="19"/>
        <v>0.20565460644046529</v>
      </c>
      <c r="N325" s="9">
        <f t="shared" si="20"/>
        <v>0.86573952747438088</v>
      </c>
      <c r="P325" s="16"/>
      <c r="T325" s="22"/>
      <c r="U325" s="22"/>
      <c r="V325" s="22"/>
      <c r="W325" s="19"/>
    </row>
    <row r="326" spans="1:23" ht="15.75" customHeight="1">
      <c r="A326" s="8">
        <v>80801</v>
      </c>
      <c r="B326" s="8">
        <v>640</v>
      </c>
      <c r="C326" s="8">
        <v>290.11111822724342</v>
      </c>
      <c r="D326" s="8">
        <v>1107</v>
      </c>
      <c r="E326" s="9">
        <f t="shared" si="14"/>
        <v>0.57813911472448054</v>
      </c>
      <c r="F326" s="10">
        <f t="shared" si="15"/>
        <v>0.45329862223006784</v>
      </c>
      <c r="G326" s="10">
        <f t="shared" si="16"/>
        <v>0.26206966416191818</v>
      </c>
      <c r="H326" s="8">
        <v>5699</v>
      </c>
      <c r="I326" s="8">
        <v>2440.1111717522144</v>
      </c>
      <c r="J326" s="8">
        <v>9732</v>
      </c>
      <c r="K326" s="11">
        <f t="shared" si="17"/>
        <v>0.58559391697492802</v>
      </c>
      <c r="L326" s="12">
        <f t="shared" si="18"/>
        <v>0.42816479588563161</v>
      </c>
      <c r="M326" s="12">
        <f t="shared" si="19"/>
        <v>0.25073069993343755</v>
      </c>
      <c r="N326" s="9">
        <f t="shared" si="20"/>
        <v>0.95673301499911523</v>
      </c>
      <c r="P326" s="16"/>
      <c r="T326" s="22"/>
      <c r="U326" s="22"/>
      <c r="V326" s="22"/>
      <c r="W326" s="19"/>
    </row>
    <row r="327" spans="1:23" ht="15.75" customHeight="1">
      <c r="A327" s="8">
        <v>80802</v>
      </c>
      <c r="B327" s="8">
        <v>544</v>
      </c>
      <c r="C327" s="8">
        <v>233.44445064663887</v>
      </c>
      <c r="D327" s="8">
        <v>839</v>
      </c>
      <c r="E327" s="9">
        <f t="shared" si="14"/>
        <v>0.6483909415971395</v>
      </c>
      <c r="F327" s="10">
        <f t="shared" si="15"/>
        <v>0.42912582839455676</v>
      </c>
      <c r="G327" s="10">
        <f t="shared" si="16"/>
        <v>0.27824129993639918</v>
      </c>
      <c r="H327" s="8">
        <v>2130</v>
      </c>
      <c r="I327" s="8">
        <v>882.55557599663734</v>
      </c>
      <c r="J327" s="8">
        <v>4564</v>
      </c>
      <c r="K327" s="11">
        <f t="shared" si="17"/>
        <v>0.46669588080631025</v>
      </c>
      <c r="L327" s="12">
        <f t="shared" si="18"/>
        <v>0.41434534084349173</v>
      </c>
      <c r="M327" s="12">
        <f t="shared" si="19"/>
        <v>0.1933732638029442</v>
      </c>
      <c r="N327" s="9">
        <f t="shared" si="20"/>
        <v>0.6949840438753907</v>
      </c>
      <c r="P327" s="16"/>
      <c r="T327" s="22"/>
      <c r="U327" s="22"/>
      <c r="V327" s="22"/>
      <c r="W327" s="19"/>
    </row>
    <row r="328" spans="1:23" ht="15.75" customHeight="1">
      <c r="A328" s="8">
        <v>80803</v>
      </c>
      <c r="B328" s="8">
        <v>213</v>
      </c>
      <c r="C328" s="8">
        <v>99.555558234453201</v>
      </c>
      <c r="D328" s="8">
        <v>391</v>
      </c>
      <c r="E328" s="9">
        <f t="shared" si="14"/>
        <v>0.54475703324808189</v>
      </c>
      <c r="F328" s="10">
        <f t="shared" si="15"/>
        <v>0.46739698701621224</v>
      </c>
      <c r="G328" s="10">
        <f t="shared" si="16"/>
        <v>0.25461779599604401</v>
      </c>
      <c r="H328" s="8">
        <v>1859</v>
      </c>
      <c r="I328" s="8">
        <v>803.22224354743958</v>
      </c>
      <c r="J328" s="8">
        <v>3558</v>
      </c>
      <c r="K328" s="11">
        <f t="shared" si="17"/>
        <v>0.5224845418774593</v>
      </c>
      <c r="L328" s="12">
        <f t="shared" si="18"/>
        <v>0.43207221277430852</v>
      </c>
      <c r="M328" s="12">
        <f t="shared" si="19"/>
        <v>0.22575105214936469</v>
      </c>
      <c r="N328" s="9">
        <f t="shared" si="20"/>
        <v>0.88662715528678993</v>
      </c>
      <c r="P328" s="16"/>
      <c r="T328" s="22"/>
      <c r="U328" s="22"/>
      <c r="V328" s="22"/>
      <c r="W328" s="19"/>
    </row>
    <row r="329" spans="1:23" ht="15.75" customHeight="1">
      <c r="A329" s="23">
        <v>80901</v>
      </c>
      <c r="B329" s="8">
        <v>362</v>
      </c>
      <c r="C329" s="8">
        <v>193.44444927573204</v>
      </c>
      <c r="D329" s="8">
        <v>440</v>
      </c>
      <c r="E329" s="9">
        <f t="shared" si="14"/>
        <v>0.82272727272727275</v>
      </c>
      <c r="F329" s="10">
        <f t="shared" si="15"/>
        <v>0.53437693170091727</v>
      </c>
      <c r="G329" s="10">
        <f t="shared" si="16"/>
        <v>0.43964647562666376</v>
      </c>
      <c r="H329" s="8">
        <v>2414</v>
      </c>
      <c r="I329" s="8">
        <v>1253.666698127985</v>
      </c>
      <c r="J329" s="8">
        <v>2700</v>
      </c>
      <c r="K329" s="11">
        <f t="shared" si="17"/>
        <v>0.89407407407407402</v>
      </c>
      <c r="L329" s="12">
        <f t="shared" si="18"/>
        <v>0.51933168936536245</v>
      </c>
      <c r="M329" s="12">
        <f t="shared" si="19"/>
        <v>0.46432099930666104</v>
      </c>
      <c r="N329" s="9">
        <f t="shared" si="20"/>
        <v>1.0561235561932498</v>
      </c>
      <c r="P329" s="16"/>
      <c r="T329" s="22"/>
      <c r="U329" s="22"/>
      <c r="V329" s="22"/>
      <c r="W329" s="19"/>
    </row>
    <row r="330" spans="1:23" ht="15.75" customHeight="1">
      <c r="A330" s="8">
        <v>90101</v>
      </c>
      <c r="B330" s="8">
        <v>2003</v>
      </c>
      <c r="C330" s="8">
        <v>837.88890942931175</v>
      </c>
      <c r="D330" s="8">
        <v>7756</v>
      </c>
      <c r="E330" s="9">
        <f t="shared" si="14"/>
        <v>0.25825167612171224</v>
      </c>
      <c r="F330" s="10">
        <f t="shared" si="15"/>
        <v>0.4183169792457872</v>
      </c>
      <c r="G330" s="10">
        <f t="shared" si="16"/>
        <v>0.10803106104039606</v>
      </c>
      <c r="H330" s="8">
        <v>9658</v>
      </c>
      <c r="I330" s="8">
        <v>3998.00009983778</v>
      </c>
      <c r="J330" s="8">
        <v>35045</v>
      </c>
      <c r="K330" s="11">
        <f t="shared" si="17"/>
        <v>0.27558852903409903</v>
      </c>
      <c r="L330" s="12">
        <f t="shared" si="18"/>
        <v>0.41395735140171669</v>
      </c>
      <c r="M330" s="12">
        <f t="shared" si="19"/>
        <v>0.11408189755565074</v>
      </c>
      <c r="N330" s="9">
        <f t="shared" si="20"/>
        <v>1.0560101553847747</v>
      </c>
      <c r="P330" s="16"/>
      <c r="T330" s="22"/>
      <c r="U330" s="22"/>
      <c r="V330" s="22"/>
      <c r="W330" s="19"/>
    </row>
    <row r="331" spans="1:23" ht="15.75" customHeight="1">
      <c r="A331" s="8">
        <v>90102</v>
      </c>
      <c r="B331" s="8">
        <v>197</v>
      </c>
      <c r="C331" s="8">
        <v>83.44444677233696</v>
      </c>
      <c r="D331" s="8">
        <v>505</v>
      </c>
      <c r="E331" s="9">
        <f t="shared" si="14"/>
        <v>0.39009900990099011</v>
      </c>
      <c r="F331" s="10">
        <f t="shared" si="15"/>
        <v>0.42357587194079677</v>
      </c>
      <c r="G331" s="10">
        <f t="shared" si="16"/>
        <v>0.1652365282620534</v>
      </c>
      <c r="H331" s="8">
        <v>2784</v>
      </c>
      <c r="I331" s="8">
        <v>1187.4444737434387</v>
      </c>
      <c r="J331" s="8">
        <v>7105</v>
      </c>
      <c r="K331" s="11">
        <f t="shared" si="17"/>
        <v>0.39183673469387753</v>
      </c>
      <c r="L331" s="12">
        <f t="shared" si="18"/>
        <v>0.42652459545382138</v>
      </c>
      <c r="M331" s="12">
        <f t="shared" si="19"/>
        <v>0.16712800474925246</v>
      </c>
      <c r="N331" s="9">
        <f t="shared" si="20"/>
        <v>1.0114470844134373</v>
      </c>
      <c r="P331" s="16"/>
      <c r="T331" s="22"/>
      <c r="U331" s="22"/>
      <c r="V331" s="22"/>
      <c r="W331" s="19"/>
    </row>
    <row r="332" spans="1:23" ht="15.75" customHeight="1">
      <c r="A332" s="8">
        <v>90103</v>
      </c>
      <c r="B332" s="8">
        <v>190</v>
      </c>
      <c r="C332" s="8">
        <v>91.555557668209076</v>
      </c>
      <c r="D332" s="8">
        <v>230</v>
      </c>
      <c r="E332" s="9">
        <f t="shared" si="14"/>
        <v>0.82608695652173914</v>
      </c>
      <c r="F332" s="10">
        <f t="shared" si="15"/>
        <v>0.48187135614846882</v>
      </c>
      <c r="G332" s="10">
        <f t="shared" si="16"/>
        <v>0.39806764203569162</v>
      </c>
      <c r="H332" s="8">
        <v>1347</v>
      </c>
      <c r="I332" s="8">
        <v>637.44446128606796</v>
      </c>
      <c r="J332" s="8">
        <v>1779</v>
      </c>
      <c r="K332" s="11">
        <f t="shared" si="17"/>
        <v>0.75716694772344018</v>
      </c>
      <c r="L332" s="12">
        <f t="shared" si="18"/>
        <v>0.47323271068008016</v>
      </c>
      <c r="M332" s="12">
        <f t="shared" si="19"/>
        <v>0.35831616710852615</v>
      </c>
      <c r="N332" s="9">
        <f t="shared" si="20"/>
        <v>0.90013889417416837</v>
      </c>
      <c r="P332" s="16"/>
      <c r="T332" s="22"/>
      <c r="U332" s="22"/>
      <c r="V332" s="22"/>
      <c r="W332" s="19"/>
    </row>
    <row r="333" spans="1:23" ht="15.75" customHeight="1">
      <c r="A333" s="8">
        <v>90104</v>
      </c>
      <c r="B333" s="8">
        <v>435</v>
      </c>
      <c r="C333" s="8">
        <v>197.33333840966225</v>
      </c>
      <c r="D333" s="8">
        <v>920</v>
      </c>
      <c r="E333" s="9">
        <f t="shared" si="14"/>
        <v>0.47282608695652173</v>
      </c>
      <c r="F333" s="10">
        <f t="shared" si="15"/>
        <v>0.45363985841301668</v>
      </c>
      <c r="G333" s="10">
        <f t="shared" si="16"/>
        <v>0.21449275914093724</v>
      </c>
      <c r="H333" s="8">
        <v>1702</v>
      </c>
      <c r="I333" s="8">
        <v>808.00002264976501</v>
      </c>
      <c r="J333" s="8">
        <v>2574</v>
      </c>
      <c r="K333" s="11">
        <f t="shared" si="17"/>
        <v>0.66122766122766119</v>
      </c>
      <c r="L333" s="12">
        <f t="shared" si="18"/>
        <v>0.47473561847812279</v>
      </c>
      <c r="M333" s="12">
        <f t="shared" si="19"/>
        <v>0.31390832270775637</v>
      </c>
      <c r="N333" s="9">
        <f t="shared" si="20"/>
        <v>1.4634914668681003</v>
      </c>
      <c r="P333" s="16"/>
      <c r="T333" s="22"/>
      <c r="U333" s="22"/>
      <c r="V333" s="22"/>
      <c r="W333" s="19"/>
    </row>
    <row r="334" spans="1:23" ht="15.75" customHeight="1">
      <c r="A334" s="8">
        <v>90201</v>
      </c>
      <c r="B334" s="8">
        <v>718</v>
      </c>
      <c r="C334" s="8">
        <v>315.22223007678986</v>
      </c>
      <c r="D334" s="8">
        <v>1296</v>
      </c>
      <c r="E334" s="9">
        <f t="shared" si="14"/>
        <v>0.55401234567901236</v>
      </c>
      <c r="F334" s="10">
        <f t="shared" si="15"/>
        <v>0.43902817559441482</v>
      </c>
      <c r="G334" s="10">
        <f t="shared" si="16"/>
        <v>0.24322702938023907</v>
      </c>
      <c r="H334" s="8">
        <v>2062</v>
      </c>
      <c r="I334" s="8">
        <v>900.11113357543945</v>
      </c>
      <c r="J334" s="8">
        <v>4275</v>
      </c>
      <c r="K334" s="11">
        <f t="shared" si="17"/>
        <v>0.48233918128654973</v>
      </c>
      <c r="L334" s="12">
        <f t="shared" si="18"/>
        <v>0.43652334315006763</v>
      </c>
      <c r="M334" s="12">
        <f t="shared" si="19"/>
        <v>0.21055231194747123</v>
      </c>
      <c r="N334" s="9">
        <f t="shared" si="20"/>
        <v>0.86566165151946517</v>
      </c>
      <c r="P334" s="16"/>
      <c r="T334" s="22"/>
      <c r="U334" s="22"/>
      <c r="V334" s="22"/>
      <c r="W334" s="19"/>
    </row>
    <row r="335" spans="1:23" ht="15.75" customHeight="1">
      <c r="A335" s="8">
        <v>90202</v>
      </c>
      <c r="B335" s="8">
        <v>115</v>
      </c>
      <c r="C335" s="8">
        <v>58.000001788139343</v>
      </c>
      <c r="D335" s="8">
        <v>128</v>
      </c>
      <c r="E335" s="9">
        <f t="shared" si="14"/>
        <v>0.8984375</v>
      </c>
      <c r="F335" s="10">
        <f t="shared" si="15"/>
        <v>0.50434784163599433</v>
      </c>
      <c r="G335" s="10">
        <f t="shared" si="16"/>
        <v>0.45312501396983867</v>
      </c>
      <c r="H335" s="8">
        <v>2631</v>
      </c>
      <c r="I335" s="8">
        <v>1346.5555935502052</v>
      </c>
      <c r="J335" s="8">
        <v>2841</v>
      </c>
      <c r="K335" s="11">
        <f t="shared" si="17"/>
        <v>0.92608236536430832</v>
      </c>
      <c r="L335" s="12">
        <f t="shared" si="18"/>
        <v>0.51180372236799898</v>
      </c>
      <c r="M335" s="12">
        <f t="shared" si="19"/>
        <v>0.47397240181281425</v>
      </c>
      <c r="N335" s="9">
        <f t="shared" si="20"/>
        <v>1.0460080269246916</v>
      </c>
      <c r="P335" s="16"/>
      <c r="T335" s="22"/>
      <c r="U335" s="22"/>
      <c r="V335" s="22"/>
      <c r="W335" s="19"/>
    </row>
    <row r="336" spans="1:23" ht="15.75" customHeight="1">
      <c r="A336" s="8">
        <v>90203</v>
      </c>
      <c r="B336" s="8">
        <v>837</v>
      </c>
      <c r="C336" s="8">
        <v>373.11112064123154</v>
      </c>
      <c r="D336" s="8">
        <v>1206</v>
      </c>
      <c r="E336" s="9">
        <f t="shared" si="14"/>
        <v>0.69402985074626866</v>
      </c>
      <c r="F336" s="10">
        <f t="shared" si="15"/>
        <v>0.44577194819740923</v>
      </c>
      <c r="G336" s="10">
        <f t="shared" si="16"/>
        <v>0.30937903867432132</v>
      </c>
      <c r="H336" s="8">
        <v>2800</v>
      </c>
      <c r="I336" s="8">
        <v>1254.6666986048222</v>
      </c>
      <c r="J336" s="8">
        <v>4283</v>
      </c>
      <c r="K336" s="11">
        <f t="shared" si="17"/>
        <v>0.65374737333644639</v>
      </c>
      <c r="L336" s="12">
        <f t="shared" si="18"/>
        <v>0.44809524950172219</v>
      </c>
      <c r="M336" s="12">
        <f t="shared" si="19"/>
        <v>0.29294109236629046</v>
      </c>
      <c r="N336" s="9">
        <f t="shared" si="20"/>
        <v>0.9468679378587932</v>
      </c>
      <c r="P336" s="16"/>
      <c r="T336" s="22"/>
      <c r="U336" s="22"/>
      <c r="V336" s="22"/>
      <c r="W336" s="19"/>
    </row>
    <row r="337" spans="1:23" ht="15.75" customHeight="1">
      <c r="A337" s="8">
        <v>90301</v>
      </c>
      <c r="B337" s="8">
        <v>594</v>
      </c>
      <c r="C337" s="8">
        <v>274.22223034501076</v>
      </c>
      <c r="D337" s="8">
        <v>1011</v>
      </c>
      <c r="E337" s="9">
        <f t="shared" si="14"/>
        <v>0.58753709198813053</v>
      </c>
      <c r="F337" s="10">
        <f t="shared" si="15"/>
        <v>0.46165358643941207</v>
      </c>
      <c r="G337" s="10">
        <f t="shared" si="16"/>
        <v>0.27123860568250324</v>
      </c>
      <c r="H337" s="8">
        <v>4583</v>
      </c>
      <c r="I337" s="8">
        <v>2255.8889470696449</v>
      </c>
      <c r="J337" s="8">
        <v>6505</v>
      </c>
      <c r="K337" s="11">
        <f t="shared" si="17"/>
        <v>0.70453497309761726</v>
      </c>
      <c r="L337" s="12">
        <f t="shared" si="18"/>
        <v>0.49222975061523999</v>
      </c>
      <c r="M337" s="12">
        <f t="shared" si="19"/>
        <v>0.34679307410755494</v>
      </c>
      <c r="N337" s="9">
        <f t="shared" si="20"/>
        <v>1.2785535201928133</v>
      </c>
      <c r="P337" s="16"/>
      <c r="T337" s="22"/>
      <c r="U337" s="22"/>
      <c r="V337" s="22"/>
      <c r="W337" s="19"/>
    </row>
    <row r="338" spans="1:23" ht="15.75" customHeight="1">
      <c r="A338" s="8">
        <v>90302</v>
      </c>
      <c r="B338" s="8">
        <v>893</v>
      </c>
      <c r="C338" s="8">
        <v>424.00001123547554</v>
      </c>
      <c r="D338" s="8">
        <v>1160</v>
      </c>
      <c r="E338" s="9">
        <f t="shared" si="14"/>
        <v>0.76982758620689651</v>
      </c>
      <c r="F338" s="10">
        <f t="shared" si="15"/>
        <v>0.47480404393670272</v>
      </c>
      <c r="G338" s="10">
        <f t="shared" si="16"/>
        <v>0.36551725106506511</v>
      </c>
      <c r="H338" s="8">
        <v>4282</v>
      </c>
      <c r="I338" s="8">
        <v>2002.4444959461689</v>
      </c>
      <c r="J338" s="8">
        <v>5887</v>
      </c>
      <c r="K338" s="11">
        <f t="shared" si="17"/>
        <v>0.72736538134873452</v>
      </c>
      <c r="L338" s="12">
        <f t="shared" si="18"/>
        <v>0.46764233908130987</v>
      </c>
      <c r="M338" s="12">
        <f t="shared" si="19"/>
        <v>0.34014684830069114</v>
      </c>
      <c r="N338" s="9">
        <f t="shared" si="20"/>
        <v>0.93059040937069804</v>
      </c>
      <c r="P338" s="16"/>
      <c r="T338" s="22"/>
      <c r="U338" s="22"/>
      <c r="V338" s="22"/>
      <c r="W338" s="19"/>
    </row>
    <row r="339" spans="1:23" ht="15.75" customHeight="1">
      <c r="A339" s="8">
        <v>90303</v>
      </c>
      <c r="B339" s="8">
        <v>1940</v>
      </c>
      <c r="C339" s="8">
        <v>1037.5555846989155</v>
      </c>
      <c r="D339" s="8">
        <v>2043</v>
      </c>
      <c r="E339" s="9">
        <f t="shared" si="14"/>
        <v>0.94958394517865885</v>
      </c>
      <c r="F339" s="10">
        <f t="shared" si="15"/>
        <v>0.53482246633964714</v>
      </c>
      <c r="G339" s="10">
        <f t="shared" si="16"/>
        <v>0.50785882755698264</v>
      </c>
      <c r="H339" s="8">
        <v>5799</v>
      </c>
      <c r="I339" s="8">
        <v>3089.0000842511654</v>
      </c>
      <c r="J339" s="8">
        <v>6100</v>
      </c>
      <c r="K339" s="11">
        <f t="shared" si="17"/>
        <v>0.95065573770491807</v>
      </c>
      <c r="L339" s="12">
        <f t="shared" si="18"/>
        <v>0.53267806246786775</v>
      </c>
      <c r="M339" s="12">
        <f t="shared" si="19"/>
        <v>0.5063934564346172</v>
      </c>
      <c r="N339" s="9">
        <f t="shared" si="20"/>
        <v>0.99711460933067853</v>
      </c>
      <c r="P339" s="16"/>
      <c r="T339" s="22"/>
      <c r="U339" s="22"/>
      <c r="V339" s="22"/>
      <c r="W339" s="19"/>
    </row>
    <row r="340" spans="1:23" ht="15.75" customHeight="1">
      <c r="A340" s="8">
        <v>90401</v>
      </c>
      <c r="B340" s="8">
        <v>503</v>
      </c>
      <c r="C340" s="8">
        <v>212.55556112527847</v>
      </c>
      <c r="D340" s="8">
        <v>993</v>
      </c>
      <c r="E340" s="9">
        <f t="shared" si="14"/>
        <v>0.50654582074521648</v>
      </c>
      <c r="F340" s="10">
        <f t="shared" si="15"/>
        <v>0.42257566824111026</v>
      </c>
      <c r="G340" s="10">
        <f t="shared" si="16"/>
        <v>0.2140539386961515</v>
      </c>
      <c r="H340" s="8">
        <v>583</v>
      </c>
      <c r="I340" s="8">
        <v>248.11111730337143</v>
      </c>
      <c r="J340" s="8">
        <v>1115</v>
      </c>
      <c r="K340" s="11">
        <f t="shared" si="17"/>
        <v>0.52286995515695067</v>
      </c>
      <c r="L340" s="12">
        <f t="shared" si="18"/>
        <v>0.42557653053751532</v>
      </c>
      <c r="M340" s="12">
        <f t="shared" si="19"/>
        <v>0.22252118143800129</v>
      </c>
      <c r="N340" s="9">
        <f t="shared" si="20"/>
        <v>1.0395565846320118</v>
      </c>
      <c r="P340" s="16"/>
      <c r="T340" s="22"/>
      <c r="U340" s="22"/>
      <c r="V340" s="22"/>
      <c r="W340" s="19"/>
    </row>
    <row r="341" spans="1:23" ht="15.75" customHeight="1">
      <c r="A341" s="8">
        <v>90402</v>
      </c>
      <c r="B341" s="8">
        <v>359</v>
      </c>
      <c r="C341" s="8">
        <v>163.22222647070885</v>
      </c>
      <c r="D341" s="8">
        <v>442</v>
      </c>
      <c r="E341" s="9">
        <f t="shared" si="14"/>
        <v>0.81221719457013575</v>
      </c>
      <c r="F341" s="10">
        <f t="shared" si="15"/>
        <v>0.45465801245322801</v>
      </c>
      <c r="G341" s="10">
        <f t="shared" si="16"/>
        <v>0.36928105536359468</v>
      </c>
      <c r="H341" s="8">
        <v>743</v>
      </c>
      <c r="I341" s="8">
        <v>338.77778750658035</v>
      </c>
      <c r="J341" s="8">
        <v>1162</v>
      </c>
      <c r="K341" s="11">
        <f t="shared" si="17"/>
        <v>0.63941480206540446</v>
      </c>
      <c r="L341" s="12">
        <f t="shared" si="18"/>
        <v>0.45595933715555903</v>
      </c>
      <c r="M341" s="12">
        <f t="shared" si="19"/>
        <v>0.29154714931719478</v>
      </c>
      <c r="N341" s="9">
        <f t="shared" si="20"/>
        <v>0.7894993395481309</v>
      </c>
      <c r="P341" s="16"/>
      <c r="T341" s="22"/>
      <c r="U341" s="22"/>
      <c r="V341" s="22"/>
      <c r="W341" s="19"/>
    </row>
    <row r="342" spans="1:23" ht="15.75" customHeight="1">
      <c r="A342" s="8">
        <v>90501</v>
      </c>
      <c r="B342" s="8">
        <v>557</v>
      </c>
      <c r="C342" s="8">
        <v>253.0000074505806</v>
      </c>
      <c r="D342" s="8">
        <v>710</v>
      </c>
      <c r="E342" s="9">
        <f t="shared" si="14"/>
        <v>0.78450704225352108</v>
      </c>
      <c r="F342" s="10">
        <f t="shared" si="15"/>
        <v>0.45421904389691309</v>
      </c>
      <c r="G342" s="10">
        <f t="shared" si="16"/>
        <v>0.35633803866278957</v>
      </c>
      <c r="H342" s="8">
        <v>805</v>
      </c>
      <c r="I342" s="8">
        <v>352.11112007498741</v>
      </c>
      <c r="J342" s="8">
        <v>1031</v>
      </c>
      <c r="K342" s="11">
        <f t="shared" si="17"/>
        <v>0.78079534432589714</v>
      </c>
      <c r="L342" s="12">
        <f t="shared" si="18"/>
        <v>0.43740511810557442</v>
      </c>
      <c r="M342" s="12">
        <f t="shared" si="19"/>
        <v>0.34152387980115168</v>
      </c>
      <c r="N342" s="9">
        <f t="shared" si="20"/>
        <v>0.95842667003155158</v>
      </c>
      <c r="P342" s="16"/>
      <c r="T342" s="22"/>
      <c r="U342" s="22"/>
      <c r="V342" s="22"/>
      <c r="W342" s="19"/>
    </row>
    <row r="343" spans="1:23" ht="15.75" customHeight="1">
      <c r="A343" s="8">
        <v>90502</v>
      </c>
      <c r="B343" s="8">
        <v>498</v>
      </c>
      <c r="C343" s="8">
        <v>244.22222846746445</v>
      </c>
      <c r="D343" s="8">
        <v>618</v>
      </c>
      <c r="E343" s="9">
        <f t="shared" si="14"/>
        <v>0.80582524271844658</v>
      </c>
      <c r="F343" s="10">
        <f t="shared" si="15"/>
        <v>0.49040608125996876</v>
      </c>
      <c r="G343" s="10">
        <f t="shared" si="16"/>
        <v>0.39518159946191656</v>
      </c>
      <c r="H343" s="8">
        <v>1697</v>
      </c>
      <c r="I343" s="8">
        <v>787.33335423469543</v>
      </c>
      <c r="J343" s="8">
        <v>2160</v>
      </c>
      <c r="K343" s="11">
        <f t="shared" si="17"/>
        <v>0.7856481481481481</v>
      </c>
      <c r="L343" s="12">
        <f t="shared" si="18"/>
        <v>0.4639560131023544</v>
      </c>
      <c r="M343" s="12">
        <f t="shared" si="19"/>
        <v>0.36450618251606265</v>
      </c>
      <c r="N343" s="9">
        <f t="shared" si="20"/>
        <v>0.92237640368979257</v>
      </c>
      <c r="P343" s="16"/>
      <c r="T343" s="22"/>
      <c r="U343" s="22"/>
      <c r="V343" s="22"/>
      <c r="W343" s="19"/>
    </row>
    <row r="344" spans="1:23" ht="15.75" customHeight="1">
      <c r="A344" s="8">
        <v>90503</v>
      </c>
      <c r="B344" s="8">
        <v>519</v>
      </c>
      <c r="C344" s="8">
        <v>238.11111655831337</v>
      </c>
      <c r="D344" s="8">
        <v>647</v>
      </c>
      <c r="E344" s="9">
        <f t="shared" si="14"/>
        <v>0.80216383307573413</v>
      </c>
      <c r="F344" s="10">
        <f t="shared" si="15"/>
        <v>0.45878827853239568</v>
      </c>
      <c r="G344" s="10">
        <f t="shared" si="16"/>
        <v>0.36802336407776404</v>
      </c>
      <c r="H344" s="8">
        <v>1047</v>
      </c>
      <c r="I344" s="8">
        <v>496.33334714174271</v>
      </c>
      <c r="J344" s="8">
        <v>1317</v>
      </c>
      <c r="K344" s="11">
        <f t="shared" si="17"/>
        <v>0.79498861047835989</v>
      </c>
      <c r="L344" s="12">
        <f t="shared" si="18"/>
        <v>0.47405286259956325</v>
      </c>
      <c r="M344" s="12">
        <f t="shared" si="19"/>
        <v>0.37686662653131564</v>
      </c>
      <c r="N344" s="9">
        <f t="shared" si="20"/>
        <v>1.0240290789029443</v>
      </c>
      <c r="P344" s="16"/>
      <c r="T344" s="22"/>
      <c r="U344" s="22"/>
      <c r="V344" s="22"/>
      <c r="W344" s="19"/>
    </row>
    <row r="345" spans="1:23" ht="15.75" customHeight="1">
      <c r="A345" s="8">
        <v>10</v>
      </c>
      <c r="B345" s="8">
        <f t="shared" ref="B345:D345" si="21">SUM(B246:B248)</f>
        <v>3674</v>
      </c>
      <c r="C345" s="8">
        <f t="shared" si="21"/>
        <v>1578.2222627103329</v>
      </c>
      <c r="D345" s="8">
        <f t="shared" si="21"/>
        <v>15443</v>
      </c>
      <c r="E345" s="9">
        <f t="shared" si="14"/>
        <v>0.23790714239461244</v>
      </c>
      <c r="F345" s="10">
        <f t="shared" si="15"/>
        <v>0.42956512322001439</v>
      </c>
      <c r="G345" s="10">
        <f t="shared" si="16"/>
        <v>0.1021966109376632</v>
      </c>
      <c r="H345" s="8">
        <f t="shared" ref="H345:J345" si="22">SUM(H246:H248)</f>
        <v>22469</v>
      </c>
      <c r="I345" s="8">
        <f t="shared" si="22"/>
        <v>9319.2224620878696</v>
      </c>
      <c r="J345" s="8">
        <f t="shared" si="22"/>
        <v>121005</v>
      </c>
      <c r="K345" s="11">
        <f t="shared" si="17"/>
        <v>0.18568654187843478</v>
      </c>
      <c r="L345" s="12">
        <f t="shared" si="18"/>
        <v>0.41475911086776757</v>
      </c>
      <c r="M345" s="12">
        <f t="shared" si="19"/>
        <v>7.701518500961009E-2</v>
      </c>
      <c r="N345" s="9">
        <f t="shared" si="20"/>
        <v>0.75359822897245576</v>
      </c>
      <c r="P345" s="16"/>
      <c r="T345" s="22"/>
      <c r="U345" s="22"/>
      <c r="V345" s="22"/>
      <c r="W345" s="19"/>
    </row>
    <row r="346" spans="1:23" ht="15.75" customHeight="1">
      <c r="A346" s="8">
        <v>11</v>
      </c>
      <c r="B346" s="8">
        <f t="shared" ref="B346:D346" si="23">SUM(B2:B344)</f>
        <v>226181</v>
      </c>
      <c r="C346" s="8">
        <f t="shared" si="23"/>
        <v>97314.00245937705</v>
      </c>
      <c r="D346" s="8">
        <f t="shared" si="23"/>
        <v>704971</v>
      </c>
      <c r="E346" s="9">
        <f t="shared" si="14"/>
        <v>0.32083731103832641</v>
      </c>
      <c r="F346" s="10">
        <f t="shared" si="15"/>
        <v>0.43024835180398463</v>
      </c>
      <c r="G346" s="10">
        <f t="shared" si="16"/>
        <v>0.1380397242714623</v>
      </c>
      <c r="H346" s="8">
        <f t="shared" ref="H346:J346" si="24">SUM(H2:H344)</f>
        <v>2705586</v>
      </c>
      <c r="I346" s="8">
        <f t="shared" si="24"/>
        <v>1201105.6975788772</v>
      </c>
      <c r="J346" s="8">
        <f t="shared" si="24"/>
        <v>8949055</v>
      </c>
      <c r="K346" s="11">
        <f t="shared" si="17"/>
        <v>0.30233203394101388</v>
      </c>
      <c r="L346" s="12">
        <f t="shared" si="18"/>
        <v>0.44393550882466026</v>
      </c>
      <c r="M346" s="12">
        <f t="shared" si="19"/>
        <v>0.13421592532159846</v>
      </c>
      <c r="N346" s="9">
        <f t="shared" si="20"/>
        <v>0.97229928580309144</v>
      </c>
      <c r="P346" s="16"/>
      <c r="T346" s="22"/>
      <c r="U346" s="22"/>
      <c r="V346" s="22"/>
      <c r="W346" s="19"/>
    </row>
    <row r="347" spans="1:23" ht="15.75" customHeight="1">
      <c r="A347" s="14"/>
      <c r="E347" s="19"/>
      <c r="F347" s="19"/>
      <c r="G347" s="19"/>
      <c r="K347" s="12"/>
      <c r="L347" s="12"/>
      <c r="M347" s="12"/>
      <c r="N347" s="19"/>
      <c r="P347" s="16"/>
      <c r="T347" s="22"/>
      <c r="U347" s="22"/>
      <c r="V347" s="22"/>
      <c r="W347" s="19"/>
    </row>
    <row r="348" spans="1:23" ht="15.75" customHeight="1">
      <c r="A348" s="14"/>
      <c r="E348" s="19"/>
      <c r="F348" s="19"/>
      <c r="G348" s="19"/>
      <c r="K348" s="12"/>
      <c r="L348" s="12"/>
      <c r="M348" s="12"/>
      <c r="N348" s="19"/>
      <c r="P348" s="16"/>
      <c r="T348" s="22"/>
      <c r="U348" s="22"/>
      <c r="V348" s="22"/>
      <c r="W348" s="19"/>
    </row>
    <row r="349" spans="1:23" ht="15.75" customHeight="1">
      <c r="A349" s="14"/>
      <c r="E349" s="19"/>
      <c r="F349" s="19"/>
      <c r="G349" s="19"/>
      <c r="K349" s="12"/>
      <c r="L349" s="12"/>
      <c r="M349" s="12"/>
      <c r="N349" s="19"/>
      <c r="P349" s="16"/>
      <c r="T349" s="22"/>
      <c r="U349" s="22"/>
      <c r="V349" s="22"/>
      <c r="W349" s="19"/>
    </row>
    <row r="350" spans="1:23" ht="15.75" customHeight="1">
      <c r="A350" s="14"/>
      <c r="E350" s="19"/>
      <c r="F350" s="19"/>
      <c r="G350" s="19"/>
      <c r="K350" s="12"/>
      <c r="L350" s="12"/>
      <c r="M350" s="12"/>
      <c r="N350" s="19"/>
      <c r="P350" s="16"/>
      <c r="T350" s="22"/>
      <c r="U350" s="22"/>
      <c r="V350" s="22"/>
      <c r="W350" s="19"/>
    </row>
    <row r="351" spans="1:23" ht="15.75" customHeight="1">
      <c r="A351" s="14"/>
      <c r="E351" s="19"/>
      <c r="F351" s="19"/>
      <c r="G351" s="19"/>
      <c r="K351" s="12"/>
      <c r="L351" s="12"/>
      <c r="M351" s="12"/>
      <c r="N351" s="19"/>
      <c r="P351" s="16"/>
      <c r="T351" s="22"/>
      <c r="U351" s="22"/>
      <c r="V351" s="22"/>
      <c r="W351" s="19"/>
    </row>
    <row r="352" spans="1:23" ht="15.75" customHeight="1">
      <c r="A352" s="14"/>
      <c r="E352" s="19"/>
      <c r="F352" s="19"/>
      <c r="G352" s="19"/>
      <c r="K352" s="12"/>
      <c r="L352" s="12"/>
      <c r="M352" s="12"/>
      <c r="N352" s="19"/>
      <c r="P352" s="16"/>
      <c r="T352" s="22"/>
      <c r="U352" s="22"/>
      <c r="V352" s="22"/>
      <c r="W352" s="19"/>
    </row>
    <row r="353" spans="1:23" ht="15.75" customHeight="1">
      <c r="A353" s="14"/>
      <c r="E353" s="19"/>
      <c r="F353" s="19"/>
      <c r="G353" s="19"/>
      <c r="K353" s="12"/>
      <c r="L353" s="12"/>
      <c r="M353" s="12"/>
      <c r="N353" s="19"/>
      <c r="P353" s="16"/>
      <c r="T353" s="22"/>
      <c r="U353" s="22"/>
      <c r="V353" s="22"/>
      <c r="W353" s="19"/>
    </row>
    <row r="354" spans="1:23" ht="15.75" customHeight="1">
      <c r="A354" s="14"/>
      <c r="E354" s="19"/>
      <c r="F354" s="19"/>
      <c r="G354" s="19"/>
      <c r="K354" s="12"/>
      <c r="L354" s="12"/>
      <c r="M354" s="12"/>
      <c r="N354" s="19"/>
      <c r="P354" s="16"/>
      <c r="T354" s="22"/>
      <c r="U354" s="22"/>
      <c r="V354" s="22"/>
      <c r="W354" s="19"/>
    </row>
    <row r="355" spans="1:23" ht="15.75" customHeight="1">
      <c r="A355" s="14"/>
      <c r="E355" s="19"/>
      <c r="F355" s="19"/>
      <c r="G355" s="19"/>
      <c r="K355" s="12"/>
      <c r="L355" s="12"/>
      <c r="M355" s="12"/>
      <c r="N355" s="19"/>
      <c r="P355" s="16"/>
      <c r="T355" s="22"/>
      <c r="U355" s="22"/>
      <c r="V355" s="22"/>
      <c r="W355" s="19"/>
    </row>
    <row r="356" spans="1:23" ht="15.75" customHeight="1">
      <c r="A356" s="14"/>
      <c r="E356" s="19"/>
      <c r="F356" s="19"/>
      <c r="G356" s="19"/>
      <c r="K356" s="12"/>
      <c r="L356" s="12"/>
      <c r="M356" s="12"/>
      <c r="N356" s="19"/>
      <c r="P356" s="16"/>
      <c r="T356" s="22"/>
      <c r="U356" s="22"/>
      <c r="V356" s="22"/>
      <c r="W356" s="19"/>
    </row>
    <row r="357" spans="1:23" ht="15.75" customHeight="1">
      <c r="A357" s="14"/>
      <c r="E357" s="19"/>
      <c r="F357" s="19"/>
      <c r="G357" s="19"/>
      <c r="K357" s="12"/>
      <c r="L357" s="12"/>
      <c r="M357" s="12"/>
      <c r="N357" s="19"/>
      <c r="P357" s="16"/>
      <c r="T357" s="22"/>
      <c r="U357" s="22"/>
      <c r="V357" s="22"/>
      <c r="W357" s="19"/>
    </row>
    <row r="358" spans="1:23" ht="15.75" customHeight="1">
      <c r="A358" s="14"/>
      <c r="E358" s="19"/>
      <c r="F358" s="19"/>
      <c r="G358" s="19"/>
      <c r="K358" s="12"/>
      <c r="L358" s="12"/>
      <c r="M358" s="12"/>
      <c r="N358" s="19"/>
      <c r="P358" s="16"/>
      <c r="T358" s="22"/>
      <c r="U358" s="22"/>
      <c r="V358" s="22"/>
      <c r="W358" s="19"/>
    </row>
    <row r="359" spans="1:23" ht="15.75" customHeight="1">
      <c r="A359" s="14"/>
      <c r="E359" s="19"/>
      <c r="F359" s="19"/>
      <c r="G359" s="19"/>
      <c r="K359" s="12"/>
      <c r="L359" s="12"/>
      <c r="M359" s="12"/>
      <c r="N359" s="19"/>
      <c r="P359" s="16"/>
      <c r="T359" s="22"/>
      <c r="U359" s="22"/>
      <c r="V359" s="22"/>
      <c r="W359" s="19"/>
    </row>
    <row r="360" spans="1:23" ht="15.75" customHeight="1">
      <c r="A360" s="14"/>
      <c r="E360" s="19"/>
      <c r="F360" s="19"/>
      <c r="G360" s="19"/>
      <c r="K360" s="12"/>
      <c r="L360" s="12"/>
      <c r="M360" s="12"/>
      <c r="N360" s="19"/>
      <c r="P360" s="16"/>
      <c r="T360" s="22"/>
      <c r="U360" s="22"/>
      <c r="V360" s="22"/>
      <c r="W360" s="19"/>
    </row>
    <row r="361" spans="1:23" ht="15.75" customHeight="1">
      <c r="A361" s="14"/>
      <c r="E361" s="19"/>
      <c r="F361" s="19"/>
      <c r="G361" s="19"/>
      <c r="K361" s="12"/>
      <c r="L361" s="12"/>
      <c r="M361" s="12"/>
      <c r="N361" s="19"/>
      <c r="P361" s="16"/>
      <c r="T361" s="22"/>
      <c r="U361" s="22"/>
      <c r="V361" s="22"/>
      <c r="W361" s="19"/>
    </row>
    <row r="362" spans="1:23" ht="15.75" customHeight="1">
      <c r="A362" s="14"/>
      <c r="E362" s="19"/>
      <c r="F362" s="19"/>
      <c r="G362" s="19"/>
      <c r="K362" s="12"/>
      <c r="L362" s="12"/>
      <c r="M362" s="12"/>
      <c r="N362" s="19"/>
      <c r="P362" s="16"/>
      <c r="T362" s="22"/>
      <c r="U362" s="22"/>
      <c r="V362" s="22"/>
      <c r="W362" s="19"/>
    </row>
    <row r="363" spans="1:23" ht="15.75" customHeight="1">
      <c r="A363" s="14"/>
      <c r="E363" s="19"/>
      <c r="F363" s="19"/>
      <c r="G363" s="19"/>
      <c r="K363" s="12"/>
      <c r="L363" s="12"/>
      <c r="M363" s="12"/>
      <c r="N363" s="19"/>
      <c r="P363" s="16"/>
      <c r="T363" s="22"/>
      <c r="U363" s="22"/>
      <c r="V363" s="22"/>
      <c r="W363" s="19"/>
    </row>
    <row r="364" spans="1:23" ht="15.75" customHeight="1">
      <c r="A364" s="14"/>
      <c r="E364" s="19"/>
      <c r="F364" s="19"/>
      <c r="G364" s="19"/>
      <c r="K364" s="12"/>
      <c r="L364" s="12"/>
      <c r="M364" s="12"/>
      <c r="N364" s="19"/>
      <c r="P364" s="16"/>
      <c r="T364" s="22"/>
      <c r="U364" s="22"/>
      <c r="V364" s="22"/>
      <c r="W364" s="19"/>
    </row>
    <row r="365" spans="1:23" ht="15.75" customHeight="1">
      <c r="A365" s="14"/>
      <c r="E365" s="19"/>
      <c r="F365" s="19"/>
      <c r="G365" s="19"/>
      <c r="K365" s="12"/>
      <c r="L365" s="12"/>
      <c r="M365" s="12"/>
      <c r="N365" s="19"/>
      <c r="P365" s="16"/>
      <c r="T365" s="22"/>
      <c r="U365" s="22"/>
      <c r="V365" s="22"/>
      <c r="W365" s="19"/>
    </row>
    <row r="366" spans="1:23" ht="15.75" customHeight="1">
      <c r="A366" s="14"/>
      <c r="E366" s="19"/>
      <c r="F366" s="19"/>
      <c r="G366" s="19"/>
      <c r="K366" s="12"/>
      <c r="L366" s="12"/>
      <c r="M366" s="12"/>
      <c r="N366" s="19"/>
      <c r="P366" s="16"/>
      <c r="T366" s="22"/>
      <c r="U366" s="22"/>
      <c r="V366" s="22"/>
      <c r="W366" s="19"/>
    </row>
    <row r="367" spans="1:23" ht="15.75" customHeight="1">
      <c r="A367" s="14"/>
      <c r="E367" s="19"/>
      <c r="F367" s="19"/>
      <c r="G367" s="19"/>
      <c r="K367" s="12"/>
      <c r="L367" s="12"/>
      <c r="M367" s="12"/>
      <c r="N367" s="19"/>
      <c r="P367" s="16"/>
      <c r="T367" s="22"/>
      <c r="U367" s="22"/>
      <c r="V367" s="22"/>
      <c r="W367" s="19"/>
    </row>
    <row r="368" spans="1:23" ht="15.75" customHeight="1">
      <c r="A368" s="14"/>
      <c r="E368" s="19"/>
      <c r="F368" s="19"/>
      <c r="G368" s="19"/>
      <c r="K368" s="12"/>
      <c r="L368" s="12"/>
      <c r="M368" s="12"/>
      <c r="N368" s="19"/>
      <c r="P368" s="16"/>
      <c r="T368" s="22"/>
      <c r="U368" s="22"/>
      <c r="V368" s="22"/>
      <c r="W368" s="19"/>
    </row>
    <row r="369" spans="1:23" ht="15.75" customHeight="1">
      <c r="A369" s="14"/>
      <c r="E369" s="19"/>
      <c r="F369" s="19"/>
      <c r="G369" s="19"/>
      <c r="K369" s="12"/>
      <c r="L369" s="12"/>
      <c r="M369" s="12"/>
      <c r="N369" s="19"/>
      <c r="P369" s="16"/>
      <c r="T369" s="22"/>
      <c r="U369" s="22"/>
      <c r="V369" s="22"/>
      <c r="W369" s="19"/>
    </row>
    <row r="370" spans="1:23" ht="15.75" customHeight="1">
      <c r="A370" s="14"/>
      <c r="E370" s="19"/>
      <c r="F370" s="19"/>
      <c r="G370" s="19"/>
      <c r="K370" s="12"/>
      <c r="L370" s="12"/>
      <c r="M370" s="12"/>
      <c r="N370" s="19"/>
      <c r="P370" s="16"/>
      <c r="T370" s="22"/>
      <c r="U370" s="22"/>
      <c r="V370" s="22"/>
      <c r="W370" s="19"/>
    </row>
    <row r="371" spans="1:23" ht="15.75" customHeight="1">
      <c r="A371" s="14"/>
      <c r="E371" s="19"/>
      <c r="F371" s="19"/>
      <c r="G371" s="19"/>
      <c r="K371" s="12"/>
      <c r="L371" s="12"/>
      <c r="M371" s="12"/>
      <c r="N371" s="19"/>
      <c r="P371" s="16"/>
      <c r="T371" s="22"/>
      <c r="U371" s="22"/>
      <c r="V371" s="22"/>
      <c r="W371" s="19"/>
    </row>
    <row r="372" spans="1:23" ht="15.75" customHeight="1">
      <c r="A372" s="14"/>
      <c r="E372" s="19"/>
      <c r="F372" s="19"/>
      <c r="G372" s="19"/>
      <c r="K372" s="12"/>
      <c r="L372" s="12"/>
      <c r="M372" s="12"/>
      <c r="N372" s="19"/>
      <c r="P372" s="16"/>
      <c r="T372" s="22"/>
      <c r="U372" s="22"/>
      <c r="V372" s="22"/>
      <c r="W372" s="19"/>
    </row>
    <row r="373" spans="1:23" ht="15.75" customHeight="1">
      <c r="A373" s="14"/>
      <c r="E373" s="19"/>
      <c r="F373" s="19"/>
      <c r="G373" s="19"/>
      <c r="K373" s="12"/>
      <c r="L373" s="12"/>
      <c r="M373" s="12"/>
      <c r="N373" s="19"/>
      <c r="P373" s="16"/>
      <c r="T373" s="22"/>
      <c r="U373" s="22"/>
      <c r="V373" s="22"/>
      <c r="W373" s="19"/>
    </row>
    <row r="374" spans="1:23" ht="15.75" customHeight="1">
      <c r="A374" s="14"/>
      <c r="E374" s="19"/>
      <c r="F374" s="19"/>
      <c r="G374" s="19"/>
      <c r="K374" s="12"/>
      <c r="L374" s="12"/>
      <c r="M374" s="12"/>
      <c r="N374" s="19"/>
      <c r="P374" s="16"/>
      <c r="T374" s="22"/>
      <c r="U374" s="22"/>
      <c r="V374" s="22"/>
      <c r="W374" s="19"/>
    </row>
    <row r="375" spans="1:23" ht="15.75" customHeight="1">
      <c r="A375" s="14"/>
      <c r="E375" s="19"/>
      <c r="F375" s="19"/>
      <c r="G375" s="19"/>
      <c r="K375" s="12"/>
      <c r="L375" s="12"/>
      <c r="M375" s="12"/>
      <c r="N375" s="19"/>
      <c r="P375" s="16"/>
      <c r="T375" s="22"/>
      <c r="U375" s="22"/>
      <c r="V375" s="22"/>
      <c r="W375" s="19"/>
    </row>
    <row r="376" spans="1:23" ht="15.75" customHeight="1">
      <c r="A376" s="14"/>
      <c r="E376" s="19"/>
      <c r="F376" s="19"/>
      <c r="G376" s="19"/>
      <c r="K376" s="12"/>
      <c r="L376" s="12"/>
      <c r="M376" s="12"/>
      <c r="N376" s="19"/>
      <c r="P376" s="16"/>
      <c r="T376" s="22"/>
      <c r="U376" s="22"/>
      <c r="V376" s="22"/>
      <c r="W376" s="19"/>
    </row>
    <row r="377" spans="1:23" ht="15.75" customHeight="1">
      <c r="A377" s="14"/>
      <c r="E377" s="19"/>
      <c r="F377" s="19"/>
      <c r="G377" s="19"/>
      <c r="K377" s="12"/>
      <c r="L377" s="12"/>
      <c r="M377" s="12"/>
      <c r="N377" s="19"/>
      <c r="P377" s="16"/>
      <c r="T377" s="22"/>
      <c r="U377" s="22"/>
      <c r="V377" s="22"/>
      <c r="W377" s="19"/>
    </row>
    <row r="378" spans="1:23" ht="15.75" customHeight="1">
      <c r="A378" s="14"/>
      <c r="E378" s="19"/>
      <c r="F378" s="19"/>
      <c r="G378" s="19"/>
      <c r="K378" s="12"/>
      <c r="L378" s="12"/>
      <c r="M378" s="12"/>
      <c r="N378" s="19"/>
      <c r="P378" s="16"/>
      <c r="T378" s="22"/>
      <c r="U378" s="22"/>
      <c r="V378" s="22"/>
      <c r="W378" s="19"/>
    </row>
    <row r="379" spans="1:23" ht="15.75" customHeight="1">
      <c r="A379" s="14"/>
      <c r="E379" s="19"/>
      <c r="F379" s="19"/>
      <c r="G379" s="19"/>
      <c r="K379" s="12"/>
      <c r="L379" s="12"/>
      <c r="M379" s="12"/>
      <c r="N379" s="19"/>
      <c r="P379" s="16"/>
      <c r="T379" s="22"/>
      <c r="U379" s="22"/>
      <c r="V379" s="22"/>
      <c r="W379" s="19"/>
    </row>
    <row r="380" spans="1:23" ht="15.75" customHeight="1">
      <c r="A380" s="14"/>
      <c r="E380" s="19"/>
      <c r="F380" s="19"/>
      <c r="G380" s="19"/>
      <c r="K380" s="12"/>
      <c r="L380" s="12"/>
      <c r="M380" s="12"/>
      <c r="N380" s="19"/>
      <c r="P380" s="16"/>
      <c r="T380" s="22"/>
      <c r="U380" s="22"/>
      <c r="V380" s="22"/>
      <c r="W380" s="19"/>
    </row>
    <row r="381" spans="1:23" ht="15.75" customHeight="1">
      <c r="A381" s="14"/>
      <c r="E381" s="19"/>
      <c r="F381" s="19"/>
      <c r="G381" s="19"/>
      <c r="K381" s="12"/>
      <c r="L381" s="12"/>
      <c r="M381" s="12"/>
      <c r="N381" s="19"/>
      <c r="P381" s="16"/>
      <c r="T381" s="22"/>
      <c r="U381" s="22"/>
      <c r="V381" s="22"/>
      <c r="W381" s="19"/>
    </row>
    <row r="382" spans="1:23" ht="15.75" customHeight="1">
      <c r="A382" s="14"/>
      <c r="E382" s="19"/>
      <c r="F382" s="19"/>
      <c r="G382" s="19"/>
      <c r="K382" s="12"/>
      <c r="L382" s="12"/>
      <c r="M382" s="12"/>
      <c r="N382" s="19"/>
      <c r="P382" s="16"/>
      <c r="T382" s="22"/>
      <c r="U382" s="22"/>
      <c r="V382" s="22"/>
      <c r="W382" s="19"/>
    </row>
    <row r="383" spans="1:23" ht="15.75" customHeight="1">
      <c r="A383" s="14"/>
      <c r="E383" s="19"/>
      <c r="F383" s="19"/>
      <c r="G383" s="19"/>
      <c r="K383" s="12"/>
      <c r="L383" s="12"/>
      <c r="M383" s="12"/>
      <c r="N383" s="19"/>
      <c r="P383" s="16"/>
      <c r="T383" s="22"/>
      <c r="U383" s="22"/>
      <c r="V383" s="22"/>
      <c r="W383" s="19"/>
    </row>
    <row r="384" spans="1:23" ht="15.75" customHeight="1">
      <c r="A384" s="14"/>
      <c r="E384" s="19"/>
      <c r="F384" s="19"/>
      <c r="G384" s="19"/>
      <c r="K384" s="12"/>
      <c r="L384" s="12"/>
      <c r="M384" s="12"/>
      <c r="N384" s="19"/>
      <c r="P384" s="16"/>
      <c r="T384" s="22"/>
      <c r="U384" s="22"/>
      <c r="V384" s="22"/>
      <c r="W384" s="19"/>
    </row>
    <row r="385" spans="1:23" ht="15.75" customHeight="1">
      <c r="A385" s="14"/>
      <c r="E385" s="19"/>
      <c r="F385" s="19"/>
      <c r="G385" s="19"/>
      <c r="K385" s="12"/>
      <c r="L385" s="12"/>
      <c r="M385" s="12"/>
      <c r="N385" s="19"/>
      <c r="P385" s="16"/>
      <c r="T385" s="22"/>
      <c r="U385" s="22"/>
      <c r="V385" s="22"/>
      <c r="W385" s="19"/>
    </row>
    <row r="386" spans="1:23" ht="15.75" customHeight="1">
      <c r="A386" s="14"/>
      <c r="E386" s="19"/>
      <c r="F386" s="19"/>
      <c r="G386" s="19"/>
      <c r="K386" s="12"/>
      <c r="L386" s="12"/>
      <c r="M386" s="12"/>
      <c r="N386" s="19"/>
      <c r="P386" s="16"/>
      <c r="T386" s="22"/>
      <c r="U386" s="22"/>
      <c r="V386" s="22"/>
      <c r="W386" s="19"/>
    </row>
    <row r="387" spans="1:23" ht="15.75" customHeight="1">
      <c r="A387" s="14"/>
      <c r="E387" s="19"/>
      <c r="F387" s="19"/>
      <c r="G387" s="19"/>
      <c r="K387" s="12"/>
      <c r="L387" s="12"/>
      <c r="M387" s="12"/>
      <c r="N387" s="19"/>
      <c r="P387" s="16"/>
      <c r="T387" s="22"/>
      <c r="U387" s="22"/>
      <c r="V387" s="22"/>
      <c r="W387" s="19"/>
    </row>
    <row r="388" spans="1:23" ht="15.75" customHeight="1">
      <c r="A388" s="14"/>
      <c r="E388" s="19"/>
      <c r="F388" s="19"/>
      <c r="G388" s="19"/>
      <c r="K388" s="12"/>
      <c r="L388" s="12"/>
      <c r="M388" s="12"/>
      <c r="N388" s="19"/>
      <c r="P388" s="16"/>
      <c r="T388" s="22"/>
      <c r="U388" s="22"/>
      <c r="V388" s="22"/>
      <c r="W388" s="19"/>
    </row>
    <row r="389" spans="1:23" ht="15.75" customHeight="1">
      <c r="A389" s="14"/>
      <c r="E389" s="19"/>
      <c r="F389" s="19"/>
      <c r="G389" s="19"/>
      <c r="K389" s="12"/>
      <c r="L389" s="12"/>
      <c r="M389" s="12"/>
      <c r="N389" s="19"/>
      <c r="P389" s="16"/>
      <c r="T389" s="22"/>
      <c r="U389" s="22"/>
      <c r="V389" s="22"/>
      <c r="W389" s="19"/>
    </row>
    <row r="390" spans="1:23" ht="15.75" customHeight="1">
      <c r="A390" s="14"/>
      <c r="E390" s="19"/>
      <c r="F390" s="19"/>
      <c r="G390" s="19"/>
      <c r="K390" s="12"/>
      <c r="L390" s="12"/>
      <c r="M390" s="12"/>
      <c r="N390" s="19"/>
      <c r="P390" s="16"/>
      <c r="T390" s="22"/>
      <c r="U390" s="22"/>
      <c r="V390" s="22"/>
      <c r="W390" s="19"/>
    </row>
    <row r="391" spans="1:23" ht="15.75" customHeight="1">
      <c r="A391" s="14"/>
      <c r="E391" s="19"/>
      <c r="F391" s="19"/>
      <c r="G391" s="19"/>
      <c r="K391" s="12"/>
      <c r="L391" s="12"/>
      <c r="M391" s="12"/>
      <c r="N391" s="19"/>
      <c r="P391" s="16"/>
      <c r="T391" s="22"/>
      <c r="U391" s="22"/>
      <c r="V391" s="22"/>
      <c r="W391" s="19"/>
    </row>
    <row r="392" spans="1:23" ht="15.75" customHeight="1">
      <c r="A392" s="14"/>
      <c r="E392" s="19"/>
      <c r="F392" s="19"/>
      <c r="G392" s="19"/>
      <c r="K392" s="12"/>
      <c r="L392" s="12"/>
      <c r="M392" s="12"/>
      <c r="N392" s="19"/>
      <c r="P392" s="16"/>
      <c r="T392" s="22"/>
      <c r="U392" s="22"/>
      <c r="V392" s="22"/>
      <c r="W392" s="19"/>
    </row>
    <row r="393" spans="1:23" ht="15.75" customHeight="1">
      <c r="A393" s="14"/>
      <c r="E393" s="19"/>
      <c r="F393" s="19"/>
      <c r="G393" s="19"/>
      <c r="K393" s="12"/>
      <c r="L393" s="12"/>
      <c r="M393" s="12"/>
      <c r="N393" s="19"/>
      <c r="P393" s="16"/>
      <c r="T393" s="22"/>
      <c r="U393" s="22"/>
      <c r="V393" s="22"/>
      <c r="W393" s="19"/>
    </row>
    <row r="394" spans="1:23" ht="15.75" customHeight="1">
      <c r="A394" s="14"/>
      <c r="E394" s="19"/>
      <c r="F394" s="19"/>
      <c r="G394" s="19"/>
      <c r="K394" s="12"/>
      <c r="L394" s="12"/>
      <c r="M394" s="12"/>
      <c r="N394" s="19"/>
      <c r="P394" s="16"/>
      <c r="T394" s="22"/>
      <c r="U394" s="22"/>
      <c r="V394" s="22"/>
      <c r="W394" s="19"/>
    </row>
    <row r="395" spans="1:23" ht="15.75" customHeight="1">
      <c r="A395" s="14"/>
      <c r="E395" s="19"/>
      <c r="F395" s="19"/>
      <c r="G395" s="19"/>
      <c r="K395" s="12"/>
      <c r="L395" s="12"/>
      <c r="M395" s="12"/>
      <c r="N395" s="19"/>
      <c r="P395" s="16"/>
      <c r="T395" s="22"/>
      <c r="U395" s="22"/>
      <c r="V395" s="22"/>
      <c r="W395" s="19"/>
    </row>
    <row r="396" spans="1:23" ht="15.75" customHeight="1">
      <c r="A396" s="14"/>
      <c r="E396" s="19"/>
      <c r="F396" s="19"/>
      <c r="G396" s="19"/>
      <c r="K396" s="12"/>
      <c r="L396" s="12"/>
      <c r="M396" s="12"/>
      <c r="N396" s="19"/>
      <c r="P396" s="16"/>
      <c r="T396" s="22"/>
      <c r="U396" s="22"/>
      <c r="V396" s="22"/>
      <c r="W396" s="19"/>
    </row>
    <row r="397" spans="1:23" ht="15.75" customHeight="1">
      <c r="A397" s="14"/>
      <c r="E397" s="19"/>
      <c r="F397" s="19"/>
      <c r="G397" s="19"/>
      <c r="K397" s="12"/>
      <c r="L397" s="12"/>
      <c r="M397" s="12"/>
      <c r="N397" s="19"/>
      <c r="P397" s="16"/>
      <c r="T397" s="22"/>
      <c r="U397" s="22"/>
      <c r="V397" s="22"/>
      <c r="W397" s="19"/>
    </row>
    <row r="398" spans="1:23" ht="15.75" customHeight="1">
      <c r="A398" s="14"/>
      <c r="E398" s="19"/>
      <c r="F398" s="19"/>
      <c r="G398" s="19"/>
      <c r="K398" s="12"/>
      <c r="L398" s="12"/>
      <c r="M398" s="12"/>
      <c r="N398" s="19"/>
      <c r="P398" s="16"/>
      <c r="T398" s="22"/>
      <c r="U398" s="22"/>
      <c r="V398" s="22"/>
      <c r="W398" s="19"/>
    </row>
    <row r="399" spans="1:23" ht="15.75" customHeight="1">
      <c r="A399" s="14"/>
      <c r="E399" s="19"/>
      <c r="F399" s="19"/>
      <c r="G399" s="19"/>
      <c r="K399" s="12"/>
      <c r="L399" s="12"/>
      <c r="M399" s="12"/>
      <c r="N399" s="19"/>
      <c r="P399" s="16"/>
      <c r="T399" s="22"/>
      <c r="U399" s="22"/>
      <c r="V399" s="22"/>
      <c r="W399" s="19"/>
    </row>
    <row r="400" spans="1:23" ht="15.75" customHeight="1">
      <c r="A400" s="14"/>
      <c r="E400" s="19"/>
      <c r="F400" s="19"/>
      <c r="G400" s="19"/>
      <c r="K400" s="12"/>
      <c r="L400" s="12"/>
      <c r="M400" s="12"/>
      <c r="N400" s="19"/>
      <c r="P400" s="16"/>
      <c r="T400" s="22"/>
      <c r="U400" s="22"/>
      <c r="V400" s="22"/>
      <c r="W400" s="19"/>
    </row>
    <row r="401" spans="1:23" ht="15.75" customHeight="1">
      <c r="A401" s="14"/>
      <c r="E401" s="19"/>
      <c r="F401" s="19"/>
      <c r="G401" s="19"/>
      <c r="K401" s="12"/>
      <c r="L401" s="12"/>
      <c r="M401" s="12"/>
      <c r="N401" s="19"/>
      <c r="P401" s="16"/>
      <c r="T401" s="22"/>
      <c r="U401" s="22"/>
      <c r="V401" s="22"/>
      <c r="W401" s="19"/>
    </row>
    <row r="402" spans="1:23" ht="15.75" customHeight="1">
      <c r="A402" s="14"/>
      <c r="E402" s="19"/>
      <c r="F402" s="19"/>
      <c r="G402" s="19"/>
      <c r="K402" s="12"/>
      <c r="L402" s="12"/>
      <c r="M402" s="12"/>
      <c r="N402" s="19"/>
      <c r="P402" s="16"/>
      <c r="T402" s="22"/>
      <c r="U402" s="22"/>
      <c r="V402" s="22"/>
      <c r="W402" s="19"/>
    </row>
    <row r="403" spans="1:23" ht="15.75" customHeight="1">
      <c r="A403" s="14"/>
      <c r="E403" s="19"/>
      <c r="F403" s="19"/>
      <c r="G403" s="19"/>
      <c r="K403" s="12"/>
      <c r="L403" s="12"/>
      <c r="M403" s="12"/>
      <c r="N403" s="19"/>
      <c r="P403" s="16"/>
      <c r="T403" s="22"/>
      <c r="U403" s="22"/>
      <c r="V403" s="22"/>
      <c r="W403" s="19"/>
    </row>
    <row r="404" spans="1:23" ht="15.75" customHeight="1">
      <c r="A404" s="14"/>
      <c r="E404" s="19"/>
      <c r="F404" s="19"/>
      <c r="G404" s="19"/>
      <c r="K404" s="12"/>
      <c r="L404" s="12"/>
      <c r="M404" s="12"/>
      <c r="N404" s="19"/>
      <c r="P404" s="16"/>
      <c r="T404" s="22"/>
      <c r="U404" s="22"/>
      <c r="V404" s="22"/>
      <c r="W404" s="19"/>
    </row>
    <row r="405" spans="1:23" ht="15.75" customHeight="1">
      <c r="A405" s="14"/>
      <c r="E405" s="19"/>
      <c r="F405" s="19"/>
      <c r="G405" s="19"/>
      <c r="K405" s="12"/>
      <c r="L405" s="12"/>
      <c r="M405" s="12"/>
      <c r="N405" s="19"/>
      <c r="P405" s="16"/>
      <c r="T405" s="22"/>
      <c r="U405" s="22"/>
      <c r="V405" s="22"/>
      <c r="W405" s="19"/>
    </row>
    <row r="406" spans="1:23" ht="15.75" customHeight="1">
      <c r="A406" s="14"/>
      <c r="E406" s="19"/>
      <c r="F406" s="19"/>
      <c r="G406" s="19"/>
      <c r="K406" s="12"/>
      <c r="L406" s="12"/>
      <c r="M406" s="12"/>
      <c r="N406" s="19"/>
      <c r="P406" s="16"/>
      <c r="T406" s="22"/>
      <c r="U406" s="22"/>
      <c r="V406" s="22"/>
      <c r="W406" s="19"/>
    </row>
    <row r="407" spans="1:23" ht="15.75" customHeight="1">
      <c r="A407" s="14"/>
      <c r="E407" s="19"/>
      <c r="F407" s="19"/>
      <c r="G407" s="19"/>
      <c r="K407" s="12"/>
      <c r="L407" s="12"/>
      <c r="M407" s="12"/>
      <c r="N407" s="19"/>
      <c r="P407" s="16"/>
      <c r="T407" s="22"/>
      <c r="U407" s="22"/>
      <c r="V407" s="22"/>
      <c r="W407" s="19"/>
    </row>
    <row r="408" spans="1:23" ht="15.75" customHeight="1">
      <c r="A408" s="14"/>
      <c r="E408" s="19"/>
      <c r="F408" s="19"/>
      <c r="G408" s="19"/>
      <c r="K408" s="12"/>
      <c r="L408" s="12"/>
      <c r="M408" s="12"/>
      <c r="N408" s="19"/>
      <c r="P408" s="16"/>
      <c r="T408" s="22"/>
      <c r="U408" s="22"/>
      <c r="V408" s="22"/>
      <c r="W408" s="19"/>
    </row>
    <row r="409" spans="1:23" ht="15.75" customHeight="1">
      <c r="A409" s="14"/>
      <c r="E409" s="19"/>
      <c r="F409" s="19"/>
      <c r="G409" s="19"/>
      <c r="K409" s="12"/>
      <c r="L409" s="12"/>
      <c r="M409" s="12"/>
      <c r="N409" s="19"/>
      <c r="P409" s="16"/>
      <c r="T409" s="22"/>
      <c r="U409" s="22"/>
      <c r="V409" s="22"/>
      <c r="W409" s="19"/>
    </row>
    <row r="410" spans="1:23" ht="15.75" customHeight="1">
      <c r="A410" s="14"/>
      <c r="E410" s="19"/>
      <c r="F410" s="19"/>
      <c r="G410" s="19"/>
      <c r="K410" s="12"/>
      <c r="L410" s="12"/>
      <c r="M410" s="12"/>
      <c r="N410" s="19"/>
      <c r="P410" s="16"/>
      <c r="T410" s="22"/>
      <c r="U410" s="22"/>
      <c r="V410" s="22"/>
      <c r="W410" s="19"/>
    </row>
    <row r="411" spans="1:23" ht="15.75" customHeight="1">
      <c r="A411" s="14"/>
      <c r="E411" s="19"/>
      <c r="F411" s="19"/>
      <c r="G411" s="19"/>
      <c r="K411" s="12"/>
      <c r="L411" s="12"/>
      <c r="M411" s="12"/>
      <c r="N411" s="19"/>
      <c r="P411" s="16"/>
      <c r="T411" s="22"/>
      <c r="U411" s="22"/>
      <c r="V411" s="22"/>
      <c r="W411" s="19"/>
    </row>
    <row r="412" spans="1:23" ht="15.75" customHeight="1">
      <c r="A412" s="14"/>
      <c r="E412" s="19"/>
      <c r="F412" s="19"/>
      <c r="G412" s="19"/>
      <c r="K412" s="12"/>
      <c r="L412" s="12"/>
      <c r="M412" s="12"/>
      <c r="N412" s="19"/>
      <c r="P412" s="16"/>
      <c r="T412" s="22"/>
      <c r="U412" s="22"/>
      <c r="V412" s="22"/>
      <c r="W412" s="19"/>
    </row>
    <row r="413" spans="1:23" ht="15.75" customHeight="1">
      <c r="A413" s="14"/>
      <c r="E413" s="19"/>
      <c r="F413" s="19"/>
      <c r="G413" s="19"/>
      <c r="K413" s="12"/>
      <c r="L413" s="12"/>
      <c r="M413" s="12"/>
      <c r="N413" s="19"/>
      <c r="P413" s="16"/>
      <c r="T413" s="22"/>
      <c r="U413" s="22"/>
      <c r="V413" s="22"/>
      <c r="W413" s="19"/>
    </row>
    <row r="414" spans="1:23" ht="15.75" customHeight="1">
      <c r="A414" s="14"/>
      <c r="E414" s="19"/>
      <c r="F414" s="19"/>
      <c r="G414" s="19"/>
      <c r="K414" s="12"/>
      <c r="L414" s="12"/>
      <c r="M414" s="12"/>
      <c r="N414" s="19"/>
      <c r="P414" s="16"/>
      <c r="T414" s="22"/>
      <c r="U414" s="22"/>
      <c r="V414" s="22"/>
      <c r="W414" s="19"/>
    </row>
    <row r="415" spans="1:23" ht="15.75" customHeight="1">
      <c r="A415" s="14"/>
      <c r="E415" s="19"/>
      <c r="F415" s="19"/>
      <c r="G415" s="19"/>
      <c r="K415" s="12"/>
      <c r="L415" s="12"/>
      <c r="M415" s="12"/>
      <c r="N415" s="19"/>
      <c r="P415" s="16"/>
      <c r="T415" s="22"/>
      <c r="U415" s="22"/>
      <c r="V415" s="22"/>
      <c r="W415" s="19"/>
    </row>
    <row r="416" spans="1:23" ht="15.75" customHeight="1">
      <c r="A416" s="14"/>
      <c r="E416" s="19"/>
      <c r="F416" s="19"/>
      <c r="G416" s="19"/>
      <c r="K416" s="12"/>
      <c r="L416" s="12"/>
      <c r="M416" s="12"/>
      <c r="N416" s="19"/>
      <c r="P416" s="16"/>
      <c r="T416" s="22"/>
      <c r="U416" s="22"/>
      <c r="V416" s="22"/>
      <c r="W416" s="19"/>
    </row>
    <row r="417" spans="1:23" ht="15.75" customHeight="1">
      <c r="A417" s="14"/>
      <c r="E417" s="19"/>
      <c r="F417" s="19"/>
      <c r="G417" s="19"/>
      <c r="K417" s="12"/>
      <c r="L417" s="12"/>
      <c r="M417" s="12"/>
      <c r="N417" s="19"/>
      <c r="P417" s="16"/>
      <c r="T417" s="22"/>
      <c r="U417" s="22"/>
      <c r="V417" s="22"/>
      <c r="W417" s="19"/>
    </row>
    <row r="418" spans="1:23" ht="15.75" customHeight="1">
      <c r="A418" s="14"/>
      <c r="E418" s="19"/>
      <c r="F418" s="19"/>
      <c r="G418" s="19"/>
      <c r="K418" s="12"/>
      <c r="L418" s="12"/>
      <c r="M418" s="12"/>
      <c r="N418" s="19"/>
      <c r="P418" s="16"/>
      <c r="T418" s="22"/>
      <c r="U418" s="22"/>
      <c r="V418" s="22"/>
      <c r="W418" s="19"/>
    </row>
    <row r="419" spans="1:23" ht="15.75" customHeight="1">
      <c r="A419" s="14"/>
      <c r="E419" s="19"/>
      <c r="F419" s="19"/>
      <c r="G419" s="19"/>
      <c r="K419" s="12"/>
      <c r="L419" s="12"/>
      <c r="M419" s="12"/>
      <c r="N419" s="19"/>
      <c r="P419" s="16"/>
      <c r="T419" s="22"/>
      <c r="U419" s="22"/>
      <c r="V419" s="22"/>
      <c r="W419" s="19"/>
    </row>
    <row r="420" spans="1:23" ht="15.75" customHeight="1">
      <c r="A420" s="14"/>
      <c r="E420" s="19"/>
      <c r="F420" s="19"/>
      <c r="G420" s="19"/>
      <c r="K420" s="12"/>
      <c r="L420" s="12"/>
      <c r="M420" s="12"/>
      <c r="N420" s="19"/>
      <c r="P420" s="16"/>
      <c r="T420" s="22"/>
      <c r="U420" s="22"/>
      <c r="V420" s="22"/>
      <c r="W420" s="19"/>
    </row>
    <row r="421" spans="1:23" ht="15.75" customHeight="1">
      <c r="A421" s="14"/>
      <c r="E421" s="19"/>
      <c r="F421" s="19"/>
      <c r="G421" s="19"/>
      <c r="K421" s="12"/>
      <c r="L421" s="12"/>
      <c r="M421" s="12"/>
      <c r="N421" s="19"/>
      <c r="P421" s="16"/>
      <c r="T421" s="22"/>
      <c r="U421" s="22"/>
      <c r="V421" s="22"/>
      <c r="W421" s="19"/>
    </row>
    <row r="422" spans="1:23" ht="15.75" customHeight="1">
      <c r="A422" s="14"/>
      <c r="E422" s="19"/>
      <c r="F422" s="19"/>
      <c r="G422" s="19"/>
      <c r="K422" s="12"/>
      <c r="L422" s="12"/>
      <c r="M422" s="12"/>
      <c r="N422" s="19"/>
      <c r="P422" s="16"/>
      <c r="T422" s="22"/>
      <c r="U422" s="22"/>
      <c r="V422" s="22"/>
      <c r="W422" s="19"/>
    </row>
    <row r="423" spans="1:23" ht="15.75" customHeight="1">
      <c r="A423" s="14"/>
      <c r="E423" s="19"/>
      <c r="F423" s="19"/>
      <c r="G423" s="19"/>
      <c r="K423" s="12"/>
      <c r="L423" s="12"/>
      <c r="M423" s="12"/>
      <c r="N423" s="19"/>
      <c r="P423" s="16"/>
      <c r="T423" s="22"/>
      <c r="U423" s="22"/>
      <c r="V423" s="22"/>
      <c r="W423" s="19"/>
    </row>
    <row r="424" spans="1:23" ht="15.75" customHeight="1">
      <c r="A424" s="14"/>
      <c r="E424" s="19"/>
      <c r="F424" s="19"/>
      <c r="G424" s="19"/>
      <c r="K424" s="12"/>
      <c r="L424" s="12"/>
      <c r="M424" s="12"/>
      <c r="N424" s="19"/>
      <c r="P424" s="16"/>
      <c r="T424" s="22"/>
      <c r="U424" s="22"/>
      <c r="V424" s="22"/>
      <c r="W424" s="19"/>
    </row>
    <row r="425" spans="1:23" ht="15.75" customHeight="1">
      <c r="A425" s="14"/>
      <c r="E425" s="19"/>
      <c r="F425" s="19"/>
      <c r="G425" s="19"/>
      <c r="K425" s="12"/>
      <c r="L425" s="12"/>
      <c r="M425" s="12"/>
      <c r="N425" s="19"/>
      <c r="P425" s="16"/>
      <c r="T425" s="22"/>
      <c r="U425" s="22"/>
      <c r="V425" s="22"/>
      <c r="W425" s="19"/>
    </row>
    <row r="426" spans="1:23" ht="15.75" customHeight="1">
      <c r="A426" s="14"/>
      <c r="E426" s="19"/>
      <c r="F426" s="19"/>
      <c r="G426" s="19"/>
      <c r="K426" s="12"/>
      <c r="L426" s="12"/>
      <c r="M426" s="12"/>
      <c r="N426" s="19"/>
      <c r="P426" s="16"/>
      <c r="T426" s="22"/>
      <c r="U426" s="22"/>
      <c r="V426" s="22"/>
      <c r="W426" s="19"/>
    </row>
    <row r="427" spans="1:23" ht="15.75" customHeight="1">
      <c r="A427" s="14"/>
      <c r="E427" s="19"/>
      <c r="F427" s="19"/>
      <c r="G427" s="19"/>
      <c r="K427" s="12"/>
      <c r="L427" s="12"/>
      <c r="M427" s="12"/>
      <c r="N427" s="19"/>
      <c r="P427" s="16"/>
      <c r="T427" s="22"/>
      <c r="U427" s="22"/>
      <c r="V427" s="22"/>
      <c r="W427" s="19"/>
    </row>
    <row r="428" spans="1:23" ht="15.75" customHeight="1">
      <c r="A428" s="14"/>
      <c r="E428" s="19"/>
      <c r="F428" s="19"/>
      <c r="G428" s="19"/>
      <c r="K428" s="12"/>
      <c r="L428" s="12"/>
      <c r="M428" s="12"/>
      <c r="N428" s="19"/>
      <c r="P428" s="16"/>
      <c r="T428" s="22"/>
      <c r="U428" s="22"/>
      <c r="V428" s="22"/>
      <c r="W428" s="19"/>
    </row>
    <row r="429" spans="1:23" ht="15.75" customHeight="1">
      <c r="A429" s="14"/>
      <c r="E429" s="19"/>
      <c r="F429" s="19"/>
      <c r="G429" s="19"/>
      <c r="K429" s="12"/>
      <c r="L429" s="12"/>
      <c r="M429" s="12"/>
      <c r="N429" s="19"/>
      <c r="P429" s="16"/>
      <c r="T429" s="22"/>
      <c r="U429" s="22"/>
      <c r="V429" s="22"/>
      <c r="W429" s="19"/>
    </row>
    <row r="430" spans="1:23" ht="15.75" customHeight="1">
      <c r="A430" s="14"/>
      <c r="E430" s="19"/>
      <c r="F430" s="19"/>
      <c r="G430" s="19"/>
      <c r="K430" s="12"/>
      <c r="L430" s="12"/>
      <c r="M430" s="12"/>
      <c r="N430" s="19"/>
      <c r="P430" s="16"/>
      <c r="T430" s="22"/>
      <c r="U430" s="22"/>
      <c r="V430" s="22"/>
      <c r="W430" s="19"/>
    </row>
    <row r="431" spans="1:23" ht="15.75" customHeight="1">
      <c r="A431" s="14"/>
      <c r="E431" s="19"/>
      <c r="F431" s="19"/>
      <c r="G431" s="19"/>
      <c r="K431" s="12"/>
      <c r="L431" s="12"/>
      <c r="M431" s="12"/>
      <c r="N431" s="19"/>
      <c r="P431" s="16"/>
      <c r="T431" s="22"/>
      <c r="U431" s="22"/>
      <c r="V431" s="22"/>
      <c r="W431" s="19"/>
    </row>
    <row r="432" spans="1:23" ht="15.75" customHeight="1">
      <c r="A432" s="14"/>
      <c r="E432" s="19"/>
      <c r="F432" s="19"/>
      <c r="G432" s="19"/>
      <c r="K432" s="12"/>
      <c r="L432" s="12"/>
      <c r="M432" s="12"/>
      <c r="N432" s="19"/>
      <c r="P432" s="16"/>
      <c r="T432" s="22"/>
      <c r="U432" s="22"/>
      <c r="V432" s="22"/>
      <c r="W432" s="19"/>
    </row>
    <row r="433" spans="1:23" ht="15.75" customHeight="1">
      <c r="A433" s="14"/>
      <c r="E433" s="19"/>
      <c r="F433" s="19"/>
      <c r="G433" s="19"/>
      <c r="K433" s="12"/>
      <c r="L433" s="12"/>
      <c r="M433" s="12"/>
      <c r="N433" s="19"/>
      <c r="P433" s="16"/>
      <c r="T433" s="22"/>
      <c r="U433" s="22"/>
      <c r="V433" s="22"/>
      <c r="W433" s="19"/>
    </row>
    <row r="434" spans="1:23" ht="15.75" customHeight="1">
      <c r="A434" s="14"/>
      <c r="E434" s="19"/>
      <c r="F434" s="19"/>
      <c r="G434" s="19"/>
      <c r="K434" s="12"/>
      <c r="L434" s="12"/>
      <c r="M434" s="12"/>
      <c r="N434" s="19"/>
      <c r="P434" s="16"/>
      <c r="T434" s="22"/>
      <c r="U434" s="22"/>
      <c r="V434" s="22"/>
      <c r="W434" s="19"/>
    </row>
    <row r="435" spans="1:23" ht="15.75" customHeight="1">
      <c r="A435" s="14"/>
      <c r="E435" s="19"/>
      <c r="F435" s="19"/>
      <c r="G435" s="19"/>
      <c r="K435" s="12"/>
      <c r="L435" s="12"/>
      <c r="M435" s="12"/>
      <c r="N435" s="19"/>
      <c r="P435" s="16"/>
      <c r="T435" s="22"/>
      <c r="U435" s="22"/>
      <c r="V435" s="22"/>
      <c r="W435" s="19"/>
    </row>
    <row r="436" spans="1:23" ht="15.75" customHeight="1">
      <c r="A436" s="14"/>
      <c r="E436" s="19"/>
      <c r="F436" s="19"/>
      <c r="G436" s="19"/>
      <c r="K436" s="12"/>
      <c r="L436" s="12"/>
      <c r="M436" s="12"/>
      <c r="N436" s="19"/>
      <c r="P436" s="16"/>
      <c r="T436" s="22"/>
      <c r="U436" s="22"/>
      <c r="V436" s="22"/>
      <c r="W436" s="19"/>
    </row>
    <row r="437" spans="1:23" ht="15.75" customHeight="1">
      <c r="A437" s="14"/>
      <c r="E437" s="19"/>
      <c r="F437" s="19"/>
      <c r="G437" s="19"/>
      <c r="K437" s="12"/>
      <c r="L437" s="12"/>
      <c r="M437" s="12"/>
      <c r="N437" s="19"/>
      <c r="P437" s="16"/>
      <c r="T437" s="22"/>
      <c r="U437" s="22"/>
      <c r="V437" s="22"/>
      <c r="W437" s="19"/>
    </row>
    <row r="438" spans="1:23" ht="15.75" customHeight="1">
      <c r="A438" s="14"/>
      <c r="E438" s="19"/>
      <c r="F438" s="19"/>
      <c r="G438" s="19"/>
      <c r="K438" s="12"/>
      <c r="L438" s="12"/>
      <c r="M438" s="12"/>
      <c r="N438" s="19"/>
      <c r="P438" s="16"/>
      <c r="T438" s="22"/>
      <c r="U438" s="22"/>
      <c r="V438" s="22"/>
      <c r="W438" s="19"/>
    </row>
    <row r="439" spans="1:23" ht="15.75" customHeight="1">
      <c r="A439" s="14"/>
      <c r="E439" s="19"/>
      <c r="F439" s="19"/>
      <c r="G439" s="19"/>
      <c r="K439" s="12"/>
      <c r="L439" s="12"/>
      <c r="M439" s="12"/>
      <c r="N439" s="19"/>
      <c r="P439" s="16"/>
      <c r="T439" s="22"/>
      <c r="U439" s="22"/>
      <c r="V439" s="22"/>
      <c r="W439" s="19"/>
    </row>
    <row r="440" spans="1:23" ht="15.75" customHeight="1">
      <c r="A440" s="14"/>
      <c r="E440" s="19"/>
      <c r="F440" s="19"/>
      <c r="G440" s="19"/>
      <c r="K440" s="12"/>
      <c r="L440" s="12"/>
      <c r="M440" s="12"/>
      <c r="N440" s="19"/>
      <c r="P440" s="16"/>
      <c r="T440" s="22"/>
      <c r="U440" s="22"/>
      <c r="V440" s="22"/>
      <c r="W440" s="19"/>
    </row>
    <row r="441" spans="1:23" ht="15.75" customHeight="1">
      <c r="A441" s="14"/>
      <c r="E441" s="19"/>
      <c r="F441" s="19"/>
      <c r="G441" s="19"/>
      <c r="K441" s="12"/>
      <c r="L441" s="12"/>
      <c r="M441" s="12"/>
      <c r="N441" s="19"/>
      <c r="P441" s="16"/>
      <c r="T441" s="22"/>
      <c r="U441" s="22"/>
      <c r="V441" s="22"/>
      <c r="W441" s="19"/>
    </row>
    <row r="442" spans="1:23" ht="15.75" customHeight="1">
      <c r="A442" s="14"/>
      <c r="E442" s="19"/>
      <c r="F442" s="19"/>
      <c r="G442" s="19"/>
      <c r="K442" s="12"/>
      <c r="L442" s="12"/>
      <c r="M442" s="12"/>
      <c r="N442" s="19"/>
      <c r="P442" s="16"/>
      <c r="T442" s="22"/>
      <c r="U442" s="22"/>
      <c r="V442" s="22"/>
      <c r="W442" s="19"/>
    </row>
    <row r="443" spans="1:23" ht="15.75" customHeight="1">
      <c r="A443" s="14"/>
      <c r="E443" s="19"/>
      <c r="F443" s="19"/>
      <c r="G443" s="19"/>
      <c r="K443" s="12"/>
      <c r="L443" s="12"/>
      <c r="M443" s="12"/>
      <c r="N443" s="19"/>
      <c r="P443" s="16"/>
      <c r="T443" s="22"/>
      <c r="U443" s="22"/>
      <c r="V443" s="22"/>
      <c r="W443" s="19"/>
    </row>
    <row r="444" spans="1:23" ht="15.75" customHeight="1">
      <c r="A444" s="14"/>
      <c r="E444" s="19"/>
      <c r="F444" s="19"/>
      <c r="G444" s="19"/>
      <c r="K444" s="12"/>
      <c r="L444" s="12"/>
      <c r="M444" s="12"/>
      <c r="N444" s="19"/>
      <c r="P444" s="16"/>
      <c r="T444" s="22"/>
      <c r="U444" s="22"/>
      <c r="V444" s="22"/>
      <c r="W444" s="19"/>
    </row>
    <row r="445" spans="1:23" ht="15.75" customHeight="1">
      <c r="A445" s="14"/>
      <c r="E445" s="19"/>
      <c r="F445" s="19"/>
      <c r="G445" s="19"/>
      <c r="K445" s="12"/>
      <c r="L445" s="12"/>
      <c r="M445" s="12"/>
      <c r="N445" s="19"/>
      <c r="P445" s="16"/>
      <c r="T445" s="22"/>
      <c r="U445" s="22"/>
      <c r="V445" s="22"/>
      <c r="W445" s="19"/>
    </row>
    <row r="446" spans="1:23" ht="15.75" customHeight="1">
      <c r="A446" s="14"/>
      <c r="E446" s="19"/>
      <c r="F446" s="19"/>
      <c r="G446" s="19"/>
      <c r="K446" s="12"/>
      <c r="L446" s="12"/>
      <c r="M446" s="12"/>
      <c r="N446" s="19"/>
      <c r="P446" s="16"/>
      <c r="T446" s="22"/>
      <c r="U446" s="22"/>
      <c r="V446" s="22"/>
      <c r="W446" s="19"/>
    </row>
    <row r="447" spans="1:23" ht="15.75" customHeight="1">
      <c r="A447" s="14"/>
      <c r="E447" s="19"/>
      <c r="F447" s="19"/>
      <c r="G447" s="19"/>
      <c r="K447" s="12"/>
      <c r="L447" s="12"/>
      <c r="M447" s="12"/>
      <c r="N447" s="19"/>
      <c r="P447" s="16"/>
      <c r="T447" s="22"/>
      <c r="U447" s="22"/>
      <c r="V447" s="22"/>
      <c r="W447" s="19"/>
    </row>
    <row r="448" spans="1:23" ht="15.75" customHeight="1">
      <c r="A448" s="14"/>
      <c r="E448" s="19"/>
      <c r="F448" s="19"/>
      <c r="G448" s="19"/>
      <c r="K448" s="12"/>
      <c r="L448" s="12"/>
      <c r="M448" s="12"/>
      <c r="N448" s="19"/>
      <c r="P448" s="16"/>
      <c r="T448" s="22"/>
      <c r="U448" s="22"/>
      <c r="V448" s="22"/>
      <c r="W448" s="19"/>
    </row>
    <row r="449" spans="1:23" ht="15.75" customHeight="1">
      <c r="A449" s="14"/>
      <c r="E449" s="19"/>
      <c r="F449" s="19"/>
      <c r="G449" s="19"/>
      <c r="K449" s="12"/>
      <c r="L449" s="12"/>
      <c r="M449" s="12"/>
      <c r="N449" s="19"/>
      <c r="P449" s="16"/>
      <c r="T449" s="22"/>
      <c r="U449" s="22"/>
      <c r="V449" s="22"/>
      <c r="W449" s="19"/>
    </row>
    <row r="450" spans="1:23" ht="15.75" customHeight="1">
      <c r="A450" s="14"/>
      <c r="E450" s="19"/>
      <c r="F450" s="19"/>
      <c r="G450" s="19"/>
      <c r="K450" s="12"/>
      <c r="L450" s="12"/>
      <c r="M450" s="12"/>
      <c r="N450" s="19"/>
      <c r="P450" s="16"/>
      <c r="T450" s="22"/>
      <c r="U450" s="22"/>
      <c r="V450" s="22"/>
      <c r="W450" s="19"/>
    </row>
    <row r="451" spans="1:23" ht="15.75" customHeight="1">
      <c r="A451" s="14"/>
      <c r="E451" s="19"/>
      <c r="F451" s="19"/>
      <c r="G451" s="19"/>
      <c r="K451" s="12"/>
      <c r="L451" s="12"/>
      <c r="M451" s="12"/>
      <c r="N451" s="19"/>
      <c r="P451" s="16"/>
      <c r="T451" s="22"/>
      <c r="U451" s="22"/>
      <c r="V451" s="22"/>
      <c r="W451" s="19"/>
    </row>
    <row r="452" spans="1:23" ht="15.75" customHeight="1">
      <c r="A452" s="14"/>
      <c r="E452" s="19"/>
      <c r="F452" s="19"/>
      <c r="G452" s="19"/>
      <c r="K452" s="12"/>
      <c r="L452" s="12"/>
      <c r="M452" s="12"/>
      <c r="N452" s="19"/>
      <c r="P452" s="16"/>
      <c r="T452" s="22"/>
      <c r="U452" s="22"/>
      <c r="V452" s="22"/>
      <c r="W452" s="19"/>
    </row>
    <row r="453" spans="1:23" ht="15.75" customHeight="1">
      <c r="A453" s="14"/>
      <c r="E453" s="19"/>
      <c r="F453" s="19"/>
      <c r="G453" s="19"/>
      <c r="K453" s="12"/>
      <c r="L453" s="12"/>
      <c r="M453" s="12"/>
      <c r="N453" s="19"/>
      <c r="P453" s="16"/>
      <c r="T453" s="22"/>
      <c r="U453" s="22"/>
      <c r="V453" s="22"/>
      <c r="W453" s="19"/>
    </row>
    <row r="454" spans="1:23" ht="15.75" customHeight="1">
      <c r="A454" s="14"/>
      <c r="E454" s="19"/>
      <c r="F454" s="19"/>
      <c r="G454" s="19"/>
      <c r="K454" s="12"/>
      <c r="L454" s="12"/>
      <c r="M454" s="12"/>
      <c r="N454" s="19"/>
      <c r="P454" s="16"/>
      <c r="T454" s="22"/>
      <c r="U454" s="22"/>
      <c r="V454" s="22"/>
      <c r="W454" s="19"/>
    </row>
    <row r="455" spans="1:23" ht="15.75" customHeight="1">
      <c r="A455" s="14"/>
      <c r="E455" s="19"/>
      <c r="F455" s="19"/>
      <c r="G455" s="19"/>
      <c r="K455" s="12"/>
      <c r="L455" s="12"/>
      <c r="M455" s="12"/>
      <c r="N455" s="19"/>
      <c r="P455" s="16"/>
      <c r="T455" s="22"/>
      <c r="U455" s="22"/>
      <c r="V455" s="22"/>
      <c r="W455" s="19"/>
    </row>
    <row r="456" spans="1:23" ht="15.75" customHeight="1">
      <c r="A456" s="14"/>
      <c r="E456" s="19"/>
      <c r="F456" s="19"/>
      <c r="G456" s="19"/>
      <c r="K456" s="12"/>
      <c r="L456" s="12"/>
      <c r="M456" s="12"/>
      <c r="N456" s="19"/>
      <c r="P456" s="16"/>
      <c r="T456" s="22"/>
      <c r="U456" s="22"/>
      <c r="V456" s="22"/>
      <c r="W456" s="19"/>
    </row>
    <row r="457" spans="1:23" ht="15.75" customHeight="1">
      <c r="A457" s="14"/>
      <c r="E457" s="19"/>
      <c r="F457" s="19"/>
      <c r="G457" s="19"/>
      <c r="K457" s="12"/>
      <c r="L457" s="12"/>
      <c r="M457" s="12"/>
      <c r="N457" s="19"/>
      <c r="P457" s="16"/>
      <c r="T457" s="22"/>
      <c r="U457" s="22"/>
      <c r="V457" s="22"/>
      <c r="W457" s="19"/>
    </row>
    <row r="458" spans="1:23" ht="15.75" customHeight="1">
      <c r="A458" s="14"/>
      <c r="E458" s="19"/>
      <c r="F458" s="19"/>
      <c r="G458" s="19"/>
      <c r="K458" s="12"/>
      <c r="L458" s="12"/>
      <c r="M458" s="12"/>
      <c r="N458" s="19"/>
      <c r="P458" s="16"/>
      <c r="T458" s="22"/>
      <c r="U458" s="22"/>
      <c r="V458" s="22"/>
      <c r="W458" s="19"/>
    </row>
    <row r="459" spans="1:23" ht="15.75" customHeight="1">
      <c r="A459" s="14"/>
      <c r="E459" s="19"/>
      <c r="F459" s="19"/>
      <c r="G459" s="19"/>
      <c r="K459" s="12"/>
      <c r="L459" s="12"/>
      <c r="M459" s="12"/>
      <c r="N459" s="19"/>
      <c r="P459" s="16"/>
      <c r="T459" s="22"/>
      <c r="U459" s="22"/>
      <c r="V459" s="22"/>
      <c r="W459" s="19"/>
    </row>
    <row r="460" spans="1:23" ht="15.75" customHeight="1">
      <c r="A460" s="14"/>
      <c r="E460" s="19"/>
      <c r="F460" s="19"/>
      <c r="G460" s="19"/>
      <c r="K460" s="12"/>
      <c r="L460" s="12"/>
      <c r="M460" s="12"/>
      <c r="N460" s="19"/>
      <c r="P460" s="16"/>
      <c r="T460" s="22"/>
      <c r="U460" s="22"/>
      <c r="V460" s="22"/>
      <c r="W460" s="19"/>
    </row>
    <row r="461" spans="1:23" ht="15.75" customHeight="1">
      <c r="A461" s="14"/>
      <c r="E461" s="19"/>
      <c r="F461" s="19"/>
      <c r="G461" s="19"/>
      <c r="K461" s="12"/>
      <c r="L461" s="12"/>
      <c r="M461" s="12"/>
      <c r="N461" s="19"/>
      <c r="P461" s="16"/>
      <c r="T461" s="22"/>
      <c r="U461" s="22"/>
      <c r="V461" s="22"/>
      <c r="W461" s="19"/>
    </row>
    <row r="462" spans="1:23" ht="15.75" customHeight="1">
      <c r="A462" s="14"/>
      <c r="E462" s="19"/>
      <c r="F462" s="19"/>
      <c r="G462" s="19"/>
      <c r="K462" s="12"/>
      <c r="L462" s="12"/>
      <c r="M462" s="12"/>
      <c r="N462" s="19"/>
      <c r="P462" s="16"/>
      <c r="T462" s="22"/>
      <c r="U462" s="22"/>
      <c r="V462" s="22"/>
      <c r="W462" s="19"/>
    </row>
    <row r="463" spans="1:23" ht="15.75" customHeight="1">
      <c r="A463" s="14"/>
      <c r="E463" s="19"/>
      <c r="F463" s="19"/>
      <c r="G463" s="19"/>
      <c r="K463" s="12"/>
      <c r="L463" s="12"/>
      <c r="M463" s="12"/>
      <c r="N463" s="19"/>
      <c r="P463" s="16"/>
      <c r="T463" s="22"/>
      <c r="U463" s="22"/>
      <c r="V463" s="22"/>
      <c r="W463" s="19"/>
    </row>
    <row r="464" spans="1:23" ht="15.75" customHeight="1">
      <c r="A464" s="14"/>
      <c r="E464" s="19"/>
      <c r="F464" s="19"/>
      <c r="G464" s="19"/>
      <c r="K464" s="12"/>
      <c r="L464" s="12"/>
      <c r="M464" s="12"/>
      <c r="N464" s="19"/>
      <c r="P464" s="16"/>
      <c r="T464" s="22"/>
      <c r="U464" s="22"/>
      <c r="V464" s="22"/>
      <c r="W464" s="19"/>
    </row>
    <row r="465" spans="1:23" ht="15.75" customHeight="1">
      <c r="A465" s="14"/>
      <c r="E465" s="19"/>
      <c r="F465" s="19"/>
      <c r="G465" s="19"/>
      <c r="K465" s="12"/>
      <c r="L465" s="12"/>
      <c r="M465" s="12"/>
      <c r="N465" s="19"/>
      <c r="P465" s="16"/>
      <c r="T465" s="22"/>
      <c r="U465" s="22"/>
      <c r="V465" s="22"/>
      <c r="W465" s="19"/>
    </row>
    <row r="466" spans="1:23" ht="15.75" customHeight="1">
      <c r="A466" s="14"/>
      <c r="E466" s="19"/>
      <c r="F466" s="19"/>
      <c r="G466" s="19"/>
      <c r="K466" s="12"/>
      <c r="L466" s="12"/>
      <c r="M466" s="12"/>
      <c r="N466" s="19"/>
      <c r="P466" s="16"/>
      <c r="T466" s="22"/>
      <c r="U466" s="22"/>
      <c r="V466" s="22"/>
      <c r="W466" s="19"/>
    </row>
    <row r="467" spans="1:23" ht="15.75" customHeight="1">
      <c r="A467" s="14"/>
      <c r="E467" s="19"/>
      <c r="F467" s="19"/>
      <c r="G467" s="19"/>
      <c r="K467" s="12"/>
      <c r="L467" s="12"/>
      <c r="M467" s="12"/>
      <c r="N467" s="19"/>
      <c r="P467" s="16"/>
      <c r="T467" s="22"/>
      <c r="U467" s="22"/>
      <c r="V467" s="22"/>
      <c r="W467" s="19"/>
    </row>
    <row r="468" spans="1:23" ht="15.75" customHeight="1">
      <c r="A468" s="14"/>
      <c r="E468" s="19"/>
      <c r="F468" s="19"/>
      <c r="G468" s="19"/>
      <c r="K468" s="12"/>
      <c r="L468" s="12"/>
      <c r="M468" s="12"/>
      <c r="N468" s="19"/>
      <c r="P468" s="16"/>
      <c r="T468" s="22"/>
      <c r="U468" s="22"/>
      <c r="V468" s="22"/>
      <c r="W468" s="19"/>
    </row>
    <row r="469" spans="1:23" ht="15.75" customHeight="1">
      <c r="A469" s="14"/>
      <c r="E469" s="19"/>
      <c r="F469" s="19"/>
      <c r="G469" s="19"/>
      <c r="K469" s="12"/>
      <c r="L469" s="12"/>
      <c r="M469" s="12"/>
      <c r="N469" s="19"/>
      <c r="P469" s="16"/>
      <c r="T469" s="22"/>
      <c r="U469" s="22"/>
      <c r="V469" s="22"/>
      <c r="W469" s="19"/>
    </row>
    <row r="470" spans="1:23" ht="15.75" customHeight="1">
      <c r="A470" s="14"/>
      <c r="E470" s="19"/>
      <c r="F470" s="19"/>
      <c r="G470" s="19"/>
      <c r="K470" s="12"/>
      <c r="L470" s="12"/>
      <c r="M470" s="12"/>
      <c r="N470" s="19"/>
      <c r="P470" s="16"/>
      <c r="T470" s="22"/>
      <c r="U470" s="22"/>
      <c r="V470" s="22"/>
      <c r="W470" s="19"/>
    </row>
    <row r="471" spans="1:23" ht="15.75" customHeight="1">
      <c r="A471" s="14"/>
      <c r="E471" s="19"/>
      <c r="F471" s="19"/>
      <c r="G471" s="19"/>
      <c r="K471" s="12"/>
      <c r="L471" s="12"/>
      <c r="M471" s="12"/>
      <c r="N471" s="19"/>
      <c r="P471" s="16"/>
      <c r="T471" s="22"/>
      <c r="U471" s="22"/>
      <c r="V471" s="22"/>
      <c r="W471" s="19"/>
    </row>
    <row r="472" spans="1:23" ht="15.75" customHeight="1">
      <c r="A472" s="14"/>
      <c r="E472" s="19"/>
      <c r="F472" s="19"/>
      <c r="G472" s="19"/>
      <c r="K472" s="12"/>
      <c r="L472" s="12"/>
      <c r="M472" s="12"/>
      <c r="N472" s="19"/>
      <c r="P472" s="16"/>
      <c r="T472" s="22"/>
      <c r="U472" s="22"/>
      <c r="V472" s="22"/>
      <c r="W472" s="19"/>
    </row>
    <row r="473" spans="1:23" ht="15.75" customHeight="1">
      <c r="A473" s="14"/>
      <c r="E473" s="19"/>
      <c r="F473" s="19"/>
      <c r="G473" s="19"/>
      <c r="K473" s="12"/>
      <c r="L473" s="12"/>
      <c r="M473" s="12"/>
      <c r="N473" s="19"/>
      <c r="P473" s="16"/>
      <c r="T473" s="22"/>
      <c r="U473" s="22"/>
      <c r="V473" s="22"/>
      <c r="W473" s="19"/>
    </row>
    <row r="474" spans="1:23" ht="15.75" customHeight="1">
      <c r="A474" s="14"/>
      <c r="E474" s="19"/>
      <c r="F474" s="19"/>
      <c r="G474" s="19"/>
      <c r="K474" s="12"/>
      <c r="L474" s="12"/>
      <c r="M474" s="12"/>
      <c r="N474" s="19"/>
      <c r="P474" s="16"/>
      <c r="T474" s="22"/>
      <c r="U474" s="22"/>
      <c r="V474" s="22"/>
      <c r="W474" s="19"/>
    </row>
    <row r="475" spans="1:23" ht="15.75" customHeight="1">
      <c r="A475" s="14"/>
      <c r="E475" s="19"/>
      <c r="F475" s="19"/>
      <c r="G475" s="19"/>
      <c r="K475" s="12"/>
      <c r="L475" s="12"/>
      <c r="M475" s="12"/>
      <c r="N475" s="19"/>
      <c r="P475" s="16"/>
      <c r="T475" s="22"/>
      <c r="U475" s="22"/>
      <c r="V475" s="22"/>
      <c r="W475" s="19"/>
    </row>
    <row r="476" spans="1:23" ht="15.75" customHeight="1">
      <c r="A476" s="14"/>
      <c r="E476" s="19"/>
      <c r="F476" s="19"/>
      <c r="G476" s="19"/>
      <c r="K476" s="12"/>
      <c r="L476" s="12"/>
      <c r="M476" s="12"/>
      <c r="N476" s="19"/>
      <c r="P476" s="16"/>
      <c r="T476" s="22"/>
      <c r="U476" s="22"/>
      <c r="V476" s="22"/>
      <c r="W476" s="19"/>
    </row>
    <row r="477" spans="1:23" ht="15.75" customHeight="1">
      <c r="A477" s="14"/>
      <c r="E477" s="19"/>
      <c r="F477" s="19"/>
      <c r="G477" s="19"/>
      <c r="K477" s="12"/>
      <c r="L477" s="12"/>
      <c r="M477" s="12"/>
      <c r="N477" s="19"/>
      <c r="P477" s="16"/>
      <c r="T477" s="22"/>
      <c r="U477" s="22"/>
      <c r="V477" s="22"/>
      <c r="W477" s="19"/>
    </row>
    <row r="478" spans="1:23" ht="15.75" customHeight="1">
      <c r="A478" s="14"/>
      <c r="E478" s="19"/>
      <c r="F478" s="19"/>
      <c r="G478" s="19"/>
      <c r="K478" s="12"/>
      <c r="L478" s="12"/>
      <c r="M478" s="12"/>
      <c r="N478" s="19"/>
      <c r="P478" s="16"/>
      <c r="T478" s="22"/>
      <c r="U478" s="22"/>
      <c r="V478" s="22"/>
      <c r="W478" s="19"/>
    </row>
    <row r="479" spans="1:23" ht="15.75" customHeight="1">
      <c r="A479" s="14"/>
      <c r="E479" s="19"/>
      <c r="F479" s="19"/>
      <c r="G479" s="19"/>
      <c r="K479" s="12"/>
      <c r="L479" s="12"/>
      <c r="M479" s="12"/>
      <c r="N479" s="19"/>
      <c r="P479" s="16"/>
      <c r="T479" s="22"/>
      <c r="U479" s="22"/>
      <c r="V479" s="22"/>
      <c r="W479" s="19"/>
    </row>
    <row r="480" spans="1:23" ht="15.75" customHeight="1">
      <c r="A480" s="14"/>
      <c r="E480" s="19"/>
      <c r="F480" s="19"/>
      <c r="G480" s="19"/>
      <c r="K480" s="12"/>
      <c r="L480" s="12"/>
      <c r="M480" s="12"/>
      <c r="N480" s="19"/>
      <c r="P480" s="16"/>
      <c r="T480" s="22"/>
      <c r="U480" s="22"/>
      <c r="V480" s="22"/>
      <c r="W480" s="19"/>
    </row>
    <row r="481" spans="1:23" ht="15.75" customHeight="1">
      <c r="A481" s="14"/>
      <c r="E481" s="19"/>
      <c r="F481" s="19"/>
      <c r="G481" s="19"/>
      <c r="K481" s="12"/>
      <c r="L481" s="12"/>
      <c r="M481" s="12"/>
      <c r="N481" s="19"/>
      <c r="P481" s="16"/>
      <c r="T481" s="22"/>
      <c r="U481" s="22"/>
      <c r="V481" s="22"/>
      <c r="W481" s="19"/>
    </row>
    <row r="482" spans="1:23" ht="15.75" customHeight="1">
      <c r="A482" s="14"/>
      <c r="E482" s="19"/>
      <c r="F482" s="19"/>
      <c r="G482" s="19"/>
      <c r="K482" s="12"/>
      <c r="L482" s="12"/>
      <c r="M482" s="12"/>
      <c r="N482" s="19"/>
      <c r="P482" s="16"/>
      <c r="T482" s="22"/>
      <c r="U482" s="22"/>
      <c r="V482" s="22"/>
      <c r="W482" s="19"/>
    </row>
    <row r="483" spans="1:23" ht="15.75" customHeight="1">
      <c r="A483" s="14"/>
      <c r="E483" s="19"/>
      <c r="F483" s="19"/>
      <c r="G483" s="19"/>
      <c r="K483" s="12"/>
      <c r="L483" s="12"/>
      <c r="M483" s="12"/>
      <c r="N483" s="19"/>
      <c r="P483" s="16"/>
      <c r="T483" s="22"/>
      <c r="U483" s="22"/>
      <c r="V483" s="22"/>
      <c r="W483" s="19"/>
    </row>
    <row r="484" spans="1:23" ht="15.75" customHeight="1">
      <c r="A484" s="14"/>
      <c r="E484" s="19"/>
      <c r="F484" s="19"/>
      <c r="G484" s="19"/>
      <c r="K484" s="12"/>
      <c r="L484" s="12"/>
      <c r="M484" s="12"/>
      <c r="N484" s="19"/>
      <c r="P484" s="16"/>
      <c r="T484" s="22"/>
      <c r="U484" s="22"/>
      <c r="V484" s="22"/>
      <c r="W484" s="19"/>
    </row>
    <row r="485" spans="1:23" ht="15.75" customHeight="1">
      <c r="A485" s="14"/>
      <c r="E485" s="19"/>
      <c r="F485" s="19"/>
      <c r="G485" s="19"/>
      <c r="K485" s="12"/>
      <c r="L485" s="12"/>
      <c r="M485" s="12"/>
      <c r="N485" s="19"/>
      <c r="P485" s="16"/>
      <c r="T485" s="22"/>
      <c r="U485" s="22"/>
      <c r="V485" s="22"/>
      <c r="W485" s="19"/>
    </row>
    <row r="486" spans="1:23" ht="15.75" customHeight="1">
      <c r="A486" s="14"/>
      <c r="E486" s="19"/>
      <c r="F486" s="19"/>
      <c r="G486" s="19"/>
      <c r="K486" s="12"/>
      <c r="L486" s="12"/>
      <c r="M486" s="12"/>
      <c r="N486" s="19"/>
      <c r="P486" s="16"/>
      <c r="T486" s="22"/>
      <c r="U486" s="22"/>
      <c r="V486" s="22"/>
      <c r="W486" s="19"/>
    </row>
    <row r="487" spans="1:23" ht="15.75" customHeight="1">
      <c r="A487" s="14"/>
      <c r="E487" s="19"/>
      <c r="F487" s="19"/>
      <c r="G487" s="19"/>
      <c r="K487" s="12"/>
      <c r="L487" s="12"/>
      <c r="M487" s="12"/>
      <c r="N487" s="19"/>
      <c r="P487" s="16"/>
      <c r="T487" s="22"/>
      <c r="U487" s="22"/>
      <c r="V487" s="22"/>
      <c r="W487" s="19"/>
    </row>
    <row r="488" spans="1:23" ht="15.75" customHeight="1">
      <c r="A488" s="14"/>
      <c r="E488" s="19"/>
      <c r="F488" s="19"/>
      <c r="G488" s="19"/>
      <c r="K488" s="12"/>
      <c r="L488" s="12"/>
      <c r="M488" s="12"/>
      <c r="N488" s="19"/>
      <c r="P488" s="16"/>
      <c r="T488" s="22"/>
      <c r="U488" s="22"/>
      <c r="V488" s="22"/>
      <c r="W488" s="19"/>
    </row>
    <row r="489" spans="1:23" ht="15.75" customHeight="1">
      <c r="A489" s="14"/>
      <c r="E489" s="19"/>
      <c r="F489" s="19"/>
      <c r="G489" s="19"/>
      <c r="K489" s="12"/>
      <c r="L489" s="12"/>
      <c r="M489" s="12"/>
      <c r="N489" s="19"/>
      <c r="P489" s="16"/>
      <c r="T489" s="22"/>
      <c r="U489" s="22"/>
      <c r="V489" s="22"/>
      <c r="W489" s="19"/>
    </row>
    <row r="490" spans="1:23" ht="15.75" customHeight="1">
      <c r="A490" s="14"/>
      <c r="E490" s="19"/>
      <c r="F490" s="19"/>
      <c r="G490" s="19"/>
      <c r="K490" s="12"/>
      <c r="L490" s="12"/>
      <c r="M490" s="12"/>
      <c r="N490" s="19"/>
      <c r="P490" s="16"/>
      <c r="T490" s="22"/>
      <c r="U490" s="22"/>
      <c r="V490" s="22"/>
      <c r="W490" s="19"/>
    </row>
    <row r="491" spans="1:23" ht="15.75" customHeight="1">
      <c r="A491" s="14"/>
      <c r="E491" s="19"/>
      <c r="F491" s="19"/>
      <c r="G491" s="19"/>
      <c r="K491" s="12"/>
      <c r="L491" s="12"/>
      <c r="M491" s="12"/>
      <c r="N491" s="19"/>
      <c r="P491" s="16"/>
      <c r="T491" s="22"/>
      <c r="U491" s="22"/>
      <c r="V491" s="22"/>
      <c r="W491" s="19"/>
    </row>
    <row r="492" spans="1:23" ht="15.75" customHeight="1">
      <c r="A492" s="14"/>
      <c r="E492" s="19"/>
      <c r="F492" s="19"/>
      <c r="G492" s="19"/>
      <c r="K492" s="12"/>
      <c r="L492" s="12"/>
      <c r="M492" s="12"/>
      <c r="N492" s="19"/>
      <c r="P492" s="16"/>
      <c r="T492" s="22"/>
      <c r="U492" s="22"/>
      <c r="V492" s="22"/>
      <c r="W492" s="19"/>
    </row>
    <row r="493" spans="1:23" ht="15.75" customHeight="1">
      <c r="A493" s="14"/>
      <c r="E493" s="19"/>
      <c r="F493" s="19"/>
      <c r="G493" s="19"/>
      <c r="K493" s="12"/>
      <c r="L493" s="12"/>
      <c r="M493" s="12"/>
      <c r="N493" s="19"/>
      <c r="P493" s="16"/>
      <c r="T493" s="22"/>
      <c r="U493" s="22"/>
      <c r="V493" s="22"/>
      <c r="W493" s="19"/>
    </row>
    <row r="494" spans="1:23" ht="15.75" customHeight="1">
      <c r="A494" s="14"/>
      <c r="E494" s="19"/>
      <c r="F494" s="19"/>
      <c r="G494" s="19"/>
      <c r="K494" s="12"/>
      <c r="L494" s="12"/>
      <c r="M494" s="12"/>
      <c r="N494" s="19"/>
      <c r="P494" s="16"/>
      <c r="T494" s="22"/>
      <c r="U494" s="22"/>
      <c r="V494" s="22"/>
      <c r="W494" s="19"/>
    </row>
    <row r="495" spans="1:23" ht="15.75" customHeight="1">
      <c r="A495" s="14"/>
      <c r="E495" s="19"/>
      <c r="F495" s="19"/>
      <c r="G495" s="19"/>
      <c r="K495" s="12"/>
      <c r="L495" s="12"/>
      <c r="M495" s="12"/>
      <c r="N495" s="19"/>
      <c r="P495" s="16"/>
      <c r="T495" s="22"/>
      <c r="U495" s="22"/>
      <c r="V495" s="22"/>
      <c r="W495" s="19"/>
    </row>
    <row r="496" spans="1:23" ht="15.75" customHeight="1">
      <c r="A496" s="14"/>
      <c r="E496" s="19"/>
      <c r="F496" s="19"/>
      <c r="G496" s="19"/>
      <c r="K496" s="12"/>
      <c r="L496" s="12"/>
      <c r="M496" s="12"/>
      <c r="N496" s="19"/>
      <c r="P496" s="16"/>
      <c r="T496" s="22"/>
      <c r="U496" s="22"/>
      <c r="V496" s="22"/>
      <c r="W496" s="19"/>
    </row>
    <row r="497" spans="1:23" ht="15.75" customHeight="1">
      <c r="A497" s="14"/>
      <c r="E497" s="19"/>
      <c r="F497" s="19"/>
      <c r="G497" s="19"/>
      <c r="K497" s="12"/>
      <c r="L497" s="12"/>
      <c r="M497" s="12"/>
      <c r="N497" s="19"/>
      <c r="P497" s="16"/>
      <c r="T497" s="22"/>
      <c r="U497" s="22"/>
      <c r="V497" s="22"/>
      <c r="W497" s="19"/>
    </row>
    <row r="498" spans="1:23" ht="15.75" customHeight="1">
      <c r="A498" s="14"/>
      <c r="E498" s="19"/>
      <c r="F498" s="19"/>
      <c r="G498" s="19"/>
      <c r="K498" s="12"/>
      <c r="L498" s="12"/>
      <c r="M498" s="12"/>
      <c r="N498" s="19"/>
      <c r="P498" s="16"/>
      <c r="T498" s="22"/>
      <c r="U498" s="22"/>
      <c r="V498" s="22"/>
      <c r="W498" s="19"/>
    </row>
    <row r="499" spans="1:23" ht="15.75" customHeight="1">
      <c r="A499" s="14"/>
      <c r="E499" s="19"/>
      <c r="F499" s="19"/>
      <c r="G499" s="19"/>
      <c r="K499" s="12"/>
      <c r="L499" s="12"/>
      <c r="M499" s="12"/>
      <c r="N499" s="19"/>
      <c r="P499" s="16"/>
      <c r="T499" s="22"/>
      <c r="U499" s="22"/>
      <c r="V499" s="22"/>
      <c r="W499" s="19"/>
    </row>
    <row r="500" spans="1:23" ht="15.75" customHeight="1">
      <c r="A500" s="14"/>
      <c r="E500" s="19"/>
      <c r="F500" s="19"/>
      <c r="G500" s="19"/>
      <c r="K500" s="12"/>
      <c r="L500" s="12"/>
      <c r="M500" s="12"/>
      <c r="N500" s="19"/>
      <c r="P500" s="16"/>
      <c r="T500" s="22"/>
      <c r="U500" s="22"/>
      <c r="V500" s="22"/>
      <c r="W500" s="19"/>
    </row>
    <row r="501" spans="1:23" ht="15.75" customHeight="1">
      <c r="A501" s="14"/>
      <c r="E501" s="19"/>
      <c r="F501" s="19"/>
      <c r="G501" s="19"/>
      <c r="K501" s="12"/>
      <c r="L501" s="12"/>
      <c r="M501" s="12"/>
      <c r="N501" s="19"/>
      <c r="P501" s="16"/>
      <c r="T501" s="22"/>
      <c r="U501" s="22"/>
      <c r="V501" s="22"/>
      <c r="W501" s="19"/>
    </row>
    <row r="502" spans="1:23" ht="15.75" customHeight="1">
      <c r="A502" s="14"/>
      <c r="E502" s="19"/>
      <c r="F502" s="19"/>
      <c r="G502" s="19"/>
      <c r="K502" s="12"/>
      <c r="L502" s="12"/>
      <c r="M502" s="12"/>
      <c r="N502" s="19"/>
      <c r="P502" s="16"/>
      <c r="T502" s="22"/>
      <c r="U502" s="22"/>
      <c r="V502" s="22"/>
      <c r="W502" s="19"/>
    </row>
    <row r="503" spans="1:23" ht="15.75" customHeight="1">
      <c r="A503" s="14"/>
      <c r="E503" s="19"/>
      <c r="F503" s="19"/>
      <c r="G503" s="19"/>
      <c r="K503" s="12"/>
      <c r="L503" s="12"/>
      <c r="M503" s="12"/>
      <c r="N503" s="19"/>
      <c r="P503" s="16"/>
      <c r="T503" s="22"/>
      <c r="U503" s="22"/>
      <c r="V503" s="22"/>
      <c r="W503" s="19"/>
    </row>
    <row r="504" spans="1:23" ht="15.75" customHeight="1">
      <c r="A504" s="14"/>
      <c r="E504" s="19"/>
      <c r="F504" s="19"/>
      <c r="G504" s="19"/>
      <c r="K504" s="12"/>
      <c r="L504" s="12"/>
      <c r="M504" s="12"/>
      <c r="N504" s="19"/>
      <c r="P504" s="16"/>
      <c r="T504" s="22"/>
      <c r="U504" s="22"/>
      <c r="V504" s="22"/>
      <c r="W504" s="19"/>
    </row>
    <row r="505" spans="1:23" ht="15.75" customHeight="1">
      <c r="A505" s="14"/>
      <c r="E505" s="19"/>
      <c r="F505" s="19"/>
      <c r="G505" s="19"/>
      <c r="K505" s="12"/>
      <c r="L505" s="12"/>
      <c r="M505" s="12"/>
      <c r="N505" s="19"/>
      <c r="P505" s="16"/>
      <c r="T505" s="22"/>
      <c r="U505" s="22"/>
      <c r="V505" s="22"/>
      <c r="W505" s="19"/>
    </row>
    <row r="506" spans="1:23" ht="15.75" customHeight="1">
      <c r="A506" s="14"/>
      <c r="E506" s="19"/>
      <c r="F506" s="19"/>
      <c r="G506" s="19"/>
      <c r="K506" s="12"/>
      <c r="L506" s="12"/>
      <c r="M506" s="12"/>
      <c r="N506" s="19"/>
      <c r="P506" s="16"/>
      <c r="T506" s="22"/>
      <c r="U506" s="22"/>
      <c r="V506" s="22"/>
      <c r="W506" s="19"/>
    </row>
    <row r="507" spans="1:23" ht="15.75" customHeight="1">
      <c r="A507" s="14"/>
      <c r="E507" s="19"/>
      <c r="F507" s="19"/>
      <c r="G507" s="19"/>
      <c r="K507" s="12"/>
      <c r="L507" s="12"/>
      <c r="M507" s="12"/>
      <c r="N507" s="19"/>
      <c r="P507" s="16"/>
      <c r="T507" s="22"/>
      <c r="U507" s="22"/>
      <c r="V507" s="22"/>
      <c r="W507" s="19"/>
    </row>
    <row r="508" spans="1:23" ht="15.75" customHeight="1">
      <c r="A508" s="14"/>
      <c r="E508" s="19"/>
      <c r="F508" s="19"/>
      <c r="G508" s="19"/>
      <c r="K508" s="12"/>
      <c r="L508" s="12"/>
      <c r="M508" s="12"/>
      <c r="N508" s="19"/>
      <c r="P508" s="16"/>
      <c r="T508" s="22"/>
      <c r="U508" s="22"/>
      <c r="V508" s="22"/>
      <c r="W508" s="19"/>
    </row>
    <row r="509" spans="1:23" ht="15.75" customHeight="1">
      <c r="A509" s="14"/>
      <c r="E509" s="19"/>
      <c r="F509" s="19"/>
      <c r="G509" s="19"/>
      <c r="K509" s="12"/>
      <c r="L509" s="12"/>
      <c r="M509" s="12"/>
      <c r="N509" s="19"/>
      <c r="P509" s="16"/>
      <c r="T509" s="22"/>
      <c r="U509" s="22"/>
      <c r="V509" s="22"/>
      <c r="W509" s="19"/>
    </row>
    <row r="510" spans="1:23" ht="15.75" customHeight="1">
      <c r="A510" s="14"/>
      <c r="E510" s="19"/>
      <c r="F510" s="19"/>
      <c r="G510" s="19"/>
      <c r="K510" s="12"/>
      <c r="L510" s="12"/>
      <c r="M510" s="12"/>
      <c r="N510" s="19"/>
      <c r="P510" s="16"/>
      <c r="T510" s="22"/>
      <c r="U510" s="22"/>
      <c r="V510" s="22"/>
      <c r="W510" s="19"/>
    </row>
    <row r="511" spans="1:23" ht="15.75" customHeight="1">
      <c r="A511" s="14"/>
      <c r="E511" s="19"/>
      <c r="F511" s="19"/>
      <c r="G511" s="19"/>
      <c r="K511" s="12"/>
      <c r="L511" s="12"/>
      <c r="M511" s="12"/>
      <c r="N511" s="19"/>
      <c r="P511" s="16"/>
      <c r="T511" s="22"/>
      <c r="U511" s="22"/>
      <c r="V511" s="22"/>
      <c r="W511" s="19"/>
    </row>
    <row r="512" spans="1:23" ht="15.75" customHeight="1">
      <c r="A512" s="14"/>
      <c r="E512" s="19"/>
      <c r="F512" s="19"/>
      <c r="G512" s="19"/>
      <c r="K512" s="12"/>
      <c r="L512" s="12"/>
      <c r="M512" s="12"/>
      <c r="N512" s="19"/>
      <c r="P512" s="16"/>
      <c r="T512" s="22"/>
      <c r="U512" s="22"/>
      <c r="V512" s="22"/>
      <c r="W512" s="19"/>
    </row>
    <row r="513" spans="1:23" ht="15.75" customHeight="1">
      <c r="A513" s="14"/>
      <c r="E513" s="19"/>
      <c r="F513" s="19"/>
      <c r="G513" s="19"/>
      <c r="K513" s="12"/>
      <c r="L513" s="12"/>
      <c r="M513" s="12"/>
      <c r="N513" s="19"/>
      <c r="P513" s="16"/>
      <c r="T513" s="22"/>
      <c r="U513" s="22"/>
      <c r="V513" s="22"/>
      <c r="W513" s="19"/>
    </row>
    <row r="514" spans="1:23" ht="15.75" customHeight="1">
      <c r="A514" s="14"/>
      <c r="E514" s="19"/>
      <c r="F514" s="19"/>
      <c r="G514" s="19"/>
      <c r="K514" s="12"/>
      <c r="L514" s="12"/>
      <c r="M514" s="12"/>
      <c r="N514" s="19"/>
      <c r="P514" s="16"/>
      <c r="T514" s="22"/>
      <c r="U514" s="22"/>
      <c r="V514" s="22"/>
      <c r="W514" s="19"/>
    </row>
    <row r="515" spans="1:23" ht="15.75" customHeight="1">
      <c r="A515" s="14"/>
      <c r="E515" s="19"/>
      <c r="F515" s="19"/>
      <c r="G515" s="19"/>
      <c r="K515" s="12"/>
      <c r="L515" s="12"/>
      <c r="M515" s="12"/>
      <c r="N515" s="19"/>
      <c r="P515" s="16"/>
      <c r="T515" s="22"/>
      <c r="U515" s="22"/>
      <c r="V515" s="22"/>
      <c r="W515" s="19"/>
    </row>
    <row r="516" spans="1:23" ht="15.75" customHeight="1">
      <c r="A516" s="14"/>
      <c r="E516" s="19"/>
      <c r="F516" s="19"/>
      <c r="G516" s="19"/>
      <c r="K516" s="12"/>
      <c r="L516" s="12"/>
      <c r="M516" s="12"/>
      <c r="N516" s="19"/>
      <c r="P516" s="16"/>
      <c r="T516" s="22"/>
      <c r="U516" s="22"/>
      <c r="V516" s="22"/>
      <c r="W516" s="19"/>
    </row>
    <row r="517" spans="1:23" ht="15.75" customHeight="1">
      <c r="A517" s="14"/>
      <c r="E517" s="19"/>
      <c r="F517" s="19"/>
      <c r="G517" s="19"/>
      <c r="K517" s="12"/>
      <c r="L517" s="12"/>
      <c r="M517" s="12"/>
      <c r="N517" s="19"/>
      <c r="P517" s="16"/>
      <c r="T517" s="22"/>
      <c r="U517" s="22"/>
      <c r="V517" s="22"/>
      <c r="W517" s="19"/>
    </row>
    <row r="518" spans="1:23" ht="15.75" customHeight="1">
      <c r="A518" s="14"/>
      <c r="E518" s="19"/>
      <c r="F518" s="19"/>
      <c r="G518" s="19"/>
      <c r="K518" s="12"/>
      <c r="L518" s="12"/>
      <c r="M518" s="12"/>
      <c r="N518" s="19"/>
      <c r="P518" s="16"/>
      <c r="T518" s="22"/>
      <c r="U518" s="22"/>
      <c r="V518" s="22"/>
      <c r="W518" s="19"/>
    </row>
    <row r="519" spans="1:23" ht="15.75" customHeight="1">
      <c r="A519" s="14"/>
      <c r="E519" s="19"/>
      <c r="F519" s="19"/>
      <c r="G519" s="19"/>
      <c r="K519" s="12"/>
      <c r="L519" s="12"/>
      <c r="M519" s="12"/>
      <c r="N519" s="19"/>
      <c r="P519" s="16"/>
      <c r="T519" s="22"/>
      <c r="U519" s="22"/>
      <c r="V519" s="22"/>
      <c r="W519" s="19"/>
    </row>
    <row r="520" spans="1:23" ht="15.75" customHeight="1">
      <c r="A520" s="14"/>
      <c r="E520" s="19"/>
      <c r="F520" s="19"/>
      <c r="G520" s="19"/>
      <c r="K520" s="12"/>
      <c r="L520" s="12"/>
      <c r="M520" s="12"/>
      <c r="N520" s="19"/>
      <c r="P520" s="16"/>
      <c r="T520" s="22"/>
      <c r="U520" s="22"/>
      <c r="V520" s="22"/>
      <c r="W520" s="19"/>
    </row>
    <row r="521" spans="1:23" ht="15.75" customHeight="1">
      <c r="A521" s="14"/>
      <c r="E521" s="19"/>
      <c r="F521" s="19"/>
      <c r="G521" s="19"/>
      <c r="K521" s="12"/>
      <c r="L521" s="12"/>
      <c r="M521" s="12"/>
      <c r="N521" s="19"/>
      <c r="P521" s="16"/>
      <c r="T521" s="22"/>
      <c r="U521" s="22"/>
      <c r="V521" s="22"/>
      <c r="W521" s="19"/>
    </row>
    <row r="522" spans="1:23" ht="15.75" customHeight="1">
      <c r="A522" s="14"/>
      <c r="E522" s="19"/>
      <c r="F522" s="19"/>
      <c r="G522" s="19"/>
      <c r="K522" s="12"/>
      <c r="L522" s="12"/>
      <c r="M522" s="12"/>
      <c r="N522" s="19"/>
      <c r="P522" s="16"/>
      <c r="T522" s="22"/>
      <c r="U522" s="22"/>
      <c r="V522" s="22"/>
      <c r="W522" s="19"/>
    </row>
    <row r="523" spans="1:23" ht="15.75" customHeight="1">
      <c r="A523" s="14"/>
      <c r="E523" s="19"/>
      <c r="F523" s="19"/>
      <c r="G523" s="19"/>
      <c r="K523" s="12"/>
      <c r="L523" s="12"/>
      <c r="M523" s="12"/>
      <c r="N523" s="19"/>
      <c r="P523" s="16"/>
      <c r="T523" s="22"/>
      <c r="U523" s="22"/>
      <c r="V523" s="22"/>
      <c r="W523" s="19"/>
    </row>
    <row r="524" spans="1:23" ht="15.75" customHeight="1">
      <c r="A524" s="14"/>
      <c r="E524" s="19"/>
      <c r="F524" s="19"/>
      <c r="G524" s="19"/>
      <c r="K524" s="12"/>
      <c r="L524" s="12"/>
      <c r="M524" s="12"/>
      <c r="N524" s="19"/>
      <c r="P524" s="16"/>
      <c r="T524" s="22"/>
      <c r="U524" s="22"/>
      <c r="V524" s="22"/>
      <c r="W524" s="19"/>
    </row>
    <row r="525" spans="1:23" ht="15.75" customHeight="1">
      <c r="A525" s="14"/>
      <c r="E525" s="19"/>
      <c r="F525" s="19"/>
      <c r="G525" s="19"/>
      <c r="K525" s="12"/>
      <c r="L525" s="12"/>
      <c r="M525" s="12"/>
      <c r="N525" s="19"/>
      <c r="P525" s="16"/>
      <c r="T525" s="22"/>
      <c r="U525" s="22"/>
      <c r="V525" s="22"/>
      <c r="W525" s="19"/>
    </row>
    <row r="526" spans="1:23" ht="15.75" customHeight="1">
      <c r="A526" s="14"/>
      <c r="E526" s="19"/>
      <c r="F526" s="19"/>
      <c r="G526" s="19"/>
      <c r="K526" s="12"/>
      <c r="L526" s="12"/>
      <c r="M526" s="12"/>
      <c r="N526" s="19"/>
      <c r="P526" s="16"/>
      <c r="T526" s="22"/>
      <c r="U526" s="22"/>
      <c r="V526" s="22"/>
      <c r="W526" s="19"/>
    </row>
    <row r="527" spans="1:23" ht="15.75" customHeight="1">
      <c r="A527" s="14"/>
      <c r="E527" s="19"/>
      <c r="F527" s="19"/>
      <c r="G527" s="19"/>
      <c r="K527" s="12"/>
      <c r="L527" s="12"/>
      <c r="M527" s="12"/>
      <c r="N527" s="19"/>
      <c r="P527" s="16"/>
      <c r="T527" s="22"/>
      <c r="U527" s="22"/>
      <c r="V527" s="22"/>
      <c r="W527" s="19"/>
    </row>
    <row r="528" spans="1:23" ht="15.75" customHeight="1">
      <c r="A528" s="14"/>
      <c r="E528" s="19"/>
      <c r="F528" s="19"/>
      <c r="G528" s="19"/>
      <c r="K528" s="12"/>
      <c r="L528" s="12"/>
      <c r="M528" s="12"/>
      <c r="N528" s="19"/>
      <c r="P528" s="16"/>
      <c r="T528" s="22"/>
      <c r="U528" s="22"/>
      <c r="V528" s="22"/>
      <c r="W528" s="19"/>
    </row>
    <row r="529" spans="1:23" ht="15.75" customHeight="1">
      <c r="A529" s="14"/>
      <c r="E529" s="19"/>
      <c r="F529" s="19"/>
      <c r="G529" s="19"/>
      <c r="K529" s="12"/>
      <c r="L529" s="12"/>
      <c r="M529" s="12"/>
      <c r="N529" s="19"/>
      <c r="P529" s="16"/>
      <c r="T529" s="22"/>
      <c r="U529" s="22"/>
      <c r="V529" s="22"/>
      <c r="W529" s="19"/>
    </row>
    <row r="530" spans="1:23" ht="15.75" customHeight="1">
      <c r="A530" s="14"/>
      <c r="E530" s="19"/>
      <c r="F530" s="19"/>
      <c r="G530" s="19"/>
      <c r="K530" s="12"/>
      <c r="L530" s="12"/>
      <c r="M530" s="12"/>
      <c r="N530" s="19"/>
      <c r="P530" s="16"/>
      <c r="T530" s="22"/>
      <c r="U530" s="22"/>
      <c r="V530" s="22"/>
      <c r="W530" s="19"/>
    </row>
    <row r="531" spans="1:23" ht="15.75" customHeight="1">
      <c r="A531" s="14"/>
      <c r="E531" s="19"/>
      <c r="F531" s="19"/>
      <c r="G531" s="19"/>
      <c r="K531" s="12"/>
      <c r="L531" s="12"/>
      <c r="M531" s="12"/>
      <c r="N531" s="19"/>
      <c r="P531" s="16"/>
      <c r="T531" s="22"/>
      <c r="U531" s="22"/>
      <c r="V531" s="22"/>
      <c r="W531" s="19"/>
    </row>
    <row r="532" spans="1:23" ht="15.75" customHeight="1">
      <c r="A532" s="14"/>
      <c r="E532" s="19"/>
      <c r="F532" s="19"/>
      <c r="G532" s="19"/>
      <c r="K532" s="12"/>
      <c r="L532" s="12"/>
      <c r="M532" s="12"/>
      <c r="N532" s="19"/>
      <c r="P532" s="16"/>
      <c r="T532" s="22"/>
      <c r="U532" s="22"/>
      <c r="V532" s="22"/>
      <c r="W532" s="19"/>
    </row>
    <row r="533" spans="1:23" ht="15.75" customHeight="1">
      <c r="A533" s="14"/>
      <c r="E533" s="19"/>
      <c r="F533" s="19"/>
      <c r="G533" s="19"/>
      <c r="K533" s="12"/>
      <c r="L533" s="12"/>
      <c r="M533" s="12"/>
      <c r="N533" s="19"/>
      <c r="P533" s="16"/>
      <c r="T533" s="22"/>
      <c r="U533" s="22"/>
      <c r="V533" s="22"/>
      <c r="W533" s="19"/>
    </row>
    <row r="534" spans="1:23" ht="15.75" customHeight="1">
      <c r="A534" s="14"/>
      <c r="E534" s="19"/>
      <c r="F534" s="19"/>
      <c r="G534" s="19"/>
      <c r="K534" s="12"/>
      <c r="L534" s="12"/>
      <c r="M534" s="12"/>
      <c r="N534" s="19"/>
      <c r="P534" s="16"/>
      <c r="T534" s="22"/>
      <c r="U534" s="22"/>
      <c r="V534" s="22"/>
      <c r="W534" s="19"/>
    </row>
    <row r="535" spans="1:23" ht="15.75" customHeight="1">
      <c r="A535" s="14"/>
      <c r="E535" s="19"/>
      <c r="F535" s="19"/>
      <c r="G535" s="19"/>
      <c r="K535" s="12"/>
      <c r="L535" s="12"/>
      <c r="M535" s="12"/>
      <c r="N535" s="19"/>
      <c r="P535" s="16"/>
      <c r="T535" s="22"/>
      <c r="U535" s="22"/>
      <c r="V535" s="22"/>
      <c r="W535" s="19"/>
    </row>
    <row r="536" spans="1:23" ht="15.75" customHeight="1">
      <c r="A536" s="14"/>
      <c r="E536" s="19"/>
      <c r="F536" s="19"/>
      <c r="G536" s="19"/>
      <c r="K536" s="12"/>
      <c r="L536" s="12"/>
      <c r="M536" s="12"/>
      <c r="N536" s="19"/>
      <c r="P536" s="16"/>
      <c r="T536" s="22"/>
      <c r="U536" s="22"/>
      <c r="V536" s="22"/>
      <c r="W536" s="19"/>
    </row>
    <row r="537" spans="1:23" ht="15.75" customHeight="1">
      <c r="A537" s="14"/>
      <c r="E537" s="19"/>
      <c r="F537" s="19"/>
      <c r="G537" s="19"/>
      <c r="K537" s="12"/>
      <c r="L537" s="12"/>
      <c r="M537" s="12"/>
      <c r="N537" s="19"/>
      <c r="P537" s="16"/>
      <c r="T537" s="22"/>
      <c r="U537" s="22"/>
      <c r="V537" s="22"/>
      <c r="W537" s="19"/>
    </row>
    <row r="538" spans="1:23" ht="15.75" customHeight="1">
      <c r="A538" s="14"/>
      <c r="E538" s="19"/>
      <c r="F538" s="19"/>
      <c r="G538" s="19"/>
      <c r="K538" s="12"/>
      <c r="L538" s="12"/>
      <c r="M538" s="12"/>
      <c r="N538" s="19"/>
      <c r="P538" s="16"/>
      <c r="T538" s="22"/>
      <c r="U538" s="22"/>
      <c r="V538" s="22"/>
      <c r="W538" s="19"/>
    </row>
    <row r="539" spans="1:23" ht="15.75" customHeight="1">
      <c r="A539" s="14"/>
      <c r="E539" s="19"/>
      <c r="F539" s="19"/>
      <c r="G539" s="19"/>
      <c r="K539" s="12"/>
      <c r="L539" s="12"/>
      <c r="M539" s="12"/>
      <c r="N539" s="19"/>
      <c r="P539" s="16"/>
      <c r="T539" s="22"/>
      <c r="U539" s="22"/>
      <c r="V539" s="22"/>
      <c r="W539" s="19"/>
    </row>
    <row r="540" spans="1:23" ht="15.75" customHeight="1">
      <c r="A540" s="24"/>
      <c r="E540" s="22"/>
      <c r="F540" s="22"/>
      <c r="G540" s="22"/>
      <c r="P540" s="18"/>
      <c r="T540" s="22"/>
      <c r="U540" s="22"/>
      <c r="V540" s="22"/>
    </row>
    <row r="541" spans="1:23" ht="15.75" customHeight="1">
      <c r="A541" s="24"/>
      <c r="E541" s="22"/>
      <c r="F541" s="22"/>
      <c r="G541" s="22"/>
      <c r="P541" s="18"/>
      <c r="T541" s="22"/>
      <c r="U541" s="22"/>
      <c r="V541" s="22"/>
    </row>
    <row r="542" spans="1:23" ht="15.75" customHeight="1">
      <c r="A542" s="24"/>
      <c r="E542" s="22"/>
      <c r="F542" s="22"/>
      <c r="G542" s="22"/>
      <c r="P542" s="18"/>
      <c r="T542" s="22"/>
      <c r="U542" s="22"/>
      <c r="V542" s="22"/>
    </row>
    <row r="543" spans="1:23" ht="15.75" customHeight="1">
      <c r="A543" s="24"/>
      <c r="E543" s="22"/>
      <c r="F543" s="22"/>
      <c r="G543" s="22"/>
      <c r="P543" s="18"/>
      <c r="T543" s="22"/>
      <c r="U543" s="22"/>
      <c r="V543" s="22"/>
    </row>
    <row r="544" spans="1:23" ht="15.75" customHeight="1">
      <c r="A544" s="24"/>
      <c r="E544" s="22"/>
      <c r="F544" s="22"/>
      <c r="G544" s="22"/>
      <c r="P544" s="18"/>
      <c r="T544" s="22"/>
      <c r="U544" s="22"/>
      <c r="V544" s="22"/>
    </row>
    <row r="545" spans="1:22" ht="15.75" customHeight="1">
      <c r="A545" s="24"/>
      <c r="E545" s="22"/>
      <c r="F545" s="22"/>
      <c r="G545" s="22"/>
      <c r="P545" s="18"/>
      <c r="T545" s="22"/>
      <c r="U545" s="22"/>
      <c r="V545" s="22"/>
    </row>
    <row r="546" spans="1:22" ht="15.75" customHeight="1">
      <c r="A546" s="24"/>
      <c r="E546" s="22"/>
      <c r="F546" s="22"/>
      <c r="G546" s="22"/>
      <c r="P546" s="18"/>
      <c r="T546" s="22"/>
      <c r="U546" s="22"/>
      <c r="V546" s="22"/>
    </row>
    <row r="547" spans="1:22" ht="15.75" customHeight="1">
      <c r="A547" s="24"/>
      <c r="E547" s="22"/>
      <c r="F547" s="22"/>
      <c r="G547" s="22"/>
      <c r="P547" s="18"/>
      <c r="T547" s="22"/>
      <c r="U547" s="22"/>
      <c r="V547" s="22"/>
    </row>
    <row r="548" spans="1:22" ht="15.75" customHeight="1">
      <c r="A548" s="24"/>
      <c r="E548" s="22"/>
      <c r="F548" s="22"/>
      <c r="G548" s="22"/>
      <c r="P548" s="18"/>
      <c r="T548" s="22"/>
      <c r="U548" s="22"/>
      <c r="V548" s="22"/>
    </row>
    <row r="549" spans="1:22" ht="15.75" customHeight="1">
      <c r="A549" s="24"/>
      <c r="E549" s="22"/>
      <c r="F549" s="22"/>
      <c r="G549" s="22"/>
      <c r="P549" s="18"/>
      <c r="T549" s="22"/>
      <c r="U549" s="22"/>
      <c r="V549" s="22"/>
    </row>
    <row r="550" spans="1:22" ht="15.75" customHeight="1">
      <c r="A550" s="24"/>
      <c r="E550" s="22"/>
      <c r="F550" s="22"/>
      <c r="G550" s="22"/>
      <c r="P550" s="18"/>
      <c r="T550" s="22"/>
      <c r="U550" s="22"/>
      <c r="V550" s="22"/>
    </row>
    <row r="551" spans="1:22" ht="15.75" customHeight="1">
      <c r="A551" s="24"/>
      <c r="E551" s="22"/>
      <c r="F551" s="22"/>
      <c r="G551" s="22"/>
      <c r="P551" s="18"/>
      <c r="T551" s="22"/>
      <c r="U551" s="22"/>
      <c r="V551" s="22"/>
    </row>
    <row r="552" spans="1:22" ht="15.75" customHeight="1">
      <c r="A552" s="24"/>
      <c r="E552" s="22"/>
      <c r="F552" s="22"/>
      <c r="G552" s="22"/>
      <c r="P552" s="18"/>
      <c r="T552" s="22"/>
      <c r="U552" s="22"/>
      <c r="V552" s="22"/>
    </row>
    <row r="553" spans="1:22" ht="15.75" customHeight="1">
      <c r="A553" s="24"/>
      <c r="E553" s="22"/>
      <c r="F553" s="22"/>
      <c r="G553" s="22"/>
      <c r="P553" s="18"/>
      <c r="T553" s="22"/>
      <c r="U553" s="22"/>
      <c r="V553" s="22"/>
    </row>
    <row r="554" spans="1:22" ht="15.75" customHeight="1">
      <c r="A554" s="24"/>
      <c r="E554" s="22"/>
      <c r="F554" s="22"/>
      <c r="G554" s="22"/>
      <c r="P554" s="18"/>
      <c r="T554" s="22"/>
      <c r="U554" s="22"/>
      <c r="V554" s="22"/>
    </row>
    <row r="555" spans="1:22" ht="15.75" customHeight="1">
      <c r="A555" s="24"/>
      <c r="E555" s="22"/>
      <c r="F555" s="22"/>
      <c r="G555" s="22"/>
      <c r="P555" s="18"/>
      <c r="T555" s="22"/>
      <c r="U555" s="22"/>
      <c r="V555" s="22"/>
    </row>
    <row r="556" spans="1:22" ht="15.75" customHeight="1">
      <c r="A556" s="24"/>
      <c r="E556" s="22"/>
      <c r="F556" s="22"/>
      <c r="G556" s="22"/>
      <c r="P556" s="18"/>
      <c r="T556" s="22"/>
      <c r="U556" s="22"/>
      <c r="V556" s="22"/>
    </row>
    <row r="557" spans="1:22" ht="15.75" customHeight="1">
      <c r="A557" s="24"/>
      <c r="E557" s="22"/>
      <c r="F557" s="22"/>
      <c r="G557" s="22"/>
      <c r="P557" s="18"/>
      <c r="T557" s="22"/>
      <c r="U557" s="22"/>
      <c r="V557" s="22"/>
    </row>
    <row r="558" spans="1:22" ht="15.75" customHeight="1">
      <c r="A558" s="24"/>
      <c r="E558" s="22"/>
      <c r="F558" s="22"/>
      <c r="G558" s="22"/>
      <c r="P558" s="18"/>
      <c r="T558" s="22"/>
      <c r="U558" s="22"/>
      <c r="V558" s="22"/>
    </row>
    <row r="559" spans="1:22" ht="15.75" customHeight="1">
      <c r="A559" s="24"/>
      <c r="E559" s="22"/>
      <c r="F559" s="22"/>
      <c r="G559" s="22"/>
      <c r="P559" s="18"/>
      <c r="T559" s="22"/>
      <c r="U559" s="22"/>
      <c r="V559" s="22"/>
    </row>
    <row r="560" spans="1:22" ht="15.75" customHeight="1">
      <c r="A560" s="24"/>
      <c r="E560" s="22"/>
      <c r="F560" s="22"/>
      <c r="G560" s="22"/>
      <c r="P560" s="18"/>
      <c r="T560" s="22"/>
      <c r="U560" s="22"/>
      <c r="V560" s="22"/>
    </row>
    <row r="561" spans="1:22" ht="15.75" customHeight="1">
      <c r="A561" s="24"/>
      <c r="E561" s="22"/>
      <c r="F561" s="22"/>
      <c r="G561" s="22"/>
      <c r="P561" s="18"/>
      <c r="T561" s="22"/>
      <c r="U561" s="22"/>
      <c r="V561" s="22"/>
    </row>
    <row r="562" spans="1:22" ht="15.75" customHeight="1">
      <c r="A562" s="24"/>
      <c r="E562" s="22"/>
      <c r="F562" s="22"/>
      <c r="G562" s="22"/>
      <c r="P562" s="18"/>
      <c r="T562" s="22"/>
      <c r="U562" s="22"/>
      <c r="V562" s="22"/>
    </row>
    <row r="563" spans="1:22" ht="15.75" customHeight="1">
      <c r="A563" s="24"/>
      <c r="E563" s="22"/>
      <c r="F563" s="22"/>
      <c r="G563" s="22"/>
      <c r="P563" s="18"/>
      <c r="T563" s="22"/>
      <c r="U563" s="22"/>
      <c r="V563" s="22"/>
    </row>
    <row r="564" spans="1:22" ht="15.75" customHeight="1">
      <c r="A564" s="24"/>
      <c r="E564" s="22"/>
      <c r="F564" s="22"/>
      <c r="G564" s="22"/>
      <c r="P564" s="18"/>
      <c r="T564" s="22"/>
      <c r="U564" s="22"/>
      <c r="V564" s="22"/>
    </row>
    <row r="565" spans="1:22" ht="15.75" customHeight="1">
      <c r="A565" s="24"/>
      <c r="E565" s="22"/>
      <c r="F565" s="22"/>
      <c r="G565" s="22"/>
      <c r="P565" s="18"/>
      <c r="T565" s="22"/>
      <c r="U565" s="22"/>
      <c r="V565" s="22"/>
    </row>
    <row r="566" spans="1:22" ht="15.75" customHeight="1">
      <c r="A566" s="24"/>
      <c r="E566" s="22"/>
      <c r="F566" s="22"/>
      <c r="G566" s="22"/>
      <c r="P566" s="18"/>
      <c r="T566" s="22"/>
      <c r="U566" s="22"/>
      <c r="V566" s="22"/>
    </row>
    <row r="567" spans="1:22" ht="15.75" customHeight="1">
      <c r="A567" s="24"/>
      <c r="E567" s="22"/>
      <c r="F567" s="22"/>
      <c r="G567" s="22"/>
      <c r="P567" s="18"/>
      <c r="T567" s="22"/>
      <c r="U567" s="22"/>
      <c r="V567" s="22"/>
    </row>
    <row r="568" spans="1:22" ht="15.75" customHeight="1">
      <c r="A568" s="24"/>
      <c r="E568" s="22"/>
      <c r="F568" s="22"/>
      <c r="G568" s="22"/>
      <c r="P568" s="18"/>
      <c r="T568" s="22"/>
      <c r="U568" s="22"/>
      <c r="V568" s="22"/>
    </row>
    <row r="569" spans="1:22" ht="15.75" customHeight="1">
      <c r="A569" s="24"/>
      <c r="E569" s="22"/>
      <c r="F569" s="22"/>
      <c r="G569" s="22"/>
      <c r="P569" s="18"/>
      <c r="T569" s="22"/>
      <c r="U569" s="22"/>
      <c r="V569" s="22"/>
    </row>
    <row r="570" spans="1:22" ht="15.75" customHeight="1">
      <c r="A570" s="24"/>
      <c r="E570" s="22"/>
      <c r="F570" s="22"/>
      <c r="G570" s="22"/>
      <c r="P570" s="18"/>
      <c r="T570" s="22"/>
      <c r="U570" s="22"/>
      <c r="V570" s="22"/>
    </row>
    <row r="571" spans="1:22" ht="15.75" customHeight="1">
      <c r="A571" s="24"/>
      <c r="E571" s="22"/>
      <c r="F571" s="22"/>
      <c r="G571" s="22"/>
      <c r="P571" s="18"/>
      <c r="T571" s="22"/>
      <c r="U571" s="22"/>
      <c r="V571" s="22"/>
    </row>
    <row r="572" spans="1:22" ht="15.75" customHeight="1">
      <c r="A572" s="24"/>
      <c r="E572" s="22"/>
      <c r="F572" s="22"/>
      <c r="G572" s="22"/>
      <c r="P572" s="18"/>
      <c r="T572" s="22"/>
      <c r="U572" s="22"/>
      <c r="V572" s="22"/>
    </row>
    <row r="573" spans="1:22" ht="15.75" customHeight="1">
      <c r="A573" s="24"/>
      <c r="E573" s="22"/>
      <c r="F573" s="22"/>
      <c r="G573" s="22"/>
      <c r="P573" s="18"/>
      <c r="T573" s="22"/>
      <c r="U573" s="22"/>
      <c r="V573" s="22"/>
    </row>
    <row r="574" spans="1:22" ht="15.75" customHeight="1">
      <c r="A574" s="24"/>
      <c r="E574" s="22"/>
      <c r="F574" s="22"/>
      <c r="G574" s="22"/>
      <c r="P574" s="18"/>
      <c r="T574" s="22"/>
      <c r="U574" s="22"/>
      <c r="V574" s="22"/>
    </row>
    <row r="575" spans="1:22" ht="15.75" customHeight="1">
      <c r="A575" s="24"/>
      <c r="E575" s="22"/>
      <c r="F575" s="22"/>
      <c r="G575" s="22"/>
      <c r="P575" s="18"/>
      <c r="T575" s="22"/>
      <c r="U575" s="22"/>
      <c r="V575" s="22"/>
    </row>
    <row r="576" spans="1:22" ht="15.75" customHeight="1">
      <c r="A576" s="24"/>
      <c r="E576" s="22"/>
      <c r="F576" s="22"/>
      <c r="G576" s="22"/>
      <c r="P576" s="18"/>
      <c r="T576" s="22"/>
      <c r="U576" s="22"/>
      <c r="V576" s="22"/>
    </row>
    <row r="577" spans="1:22" ht="15.75" customHeight="1">
      <c r="A577" s="24"/>
      <c r="E577" s="22"/>
      <c r="F577" s="22"/>
      <c r="G577" s="22"/>
      <c r="P577" s="18"/>
      <c r="T577" s="22"/>
      <c r="U577" s="22"/>
      <c r="V577" s="22"/>
    </row>
    <row r="578" spans="1:22" ht="15.75" customHeight="1">
      <c r="A578" s="24"/>
      <c r="E578" s="22"/>
      <c r="F578" s="22"/>
      <c r="G578" s="22"/>
      <c r="P578" s="18"/>
      <c r="T578" s="22"/>
      <c r="U578" s="22"/>
      <c r="V578" s="22"/>
    </row>
    <row r="579" spans="1:22" ht="15.75" customHeight="1">
      <c r="A579" s="24"/>
      <c r="E579" s="22"/>
      <c r="F579" s="22"/>
      <c r="G579" s="22"/>
      <c r="P579" s="18"/>
      <c r="T579" s="22"/>
      <c r="U579" s="22"/>
      <c r="V579" s="22"/>
    </row>
    <row r="580" spans="1:22" ht="15.75" customHeight="1">
      <c r="A580" s="24"/>
      <c r="E580" s="22"/>
      <c r="F580" s="22"/>
      <c r="G580" s="22"/>
      <c r="P580" s="18"/>
      <c r="T580" s="22"/>
      <c r="U580" s="22"/>
      <c r="V580" s="22"/>
    </row>
    <row r="581" spans="1:22" ht="15.75" customHeight="1">
      <c r="A581" s="24"/>
      <c r="E581" s="22"/>
      <c r="F581" s="22"/>
      <c r="G581" s="22"/>
      <c r="P581" s="18"/>
      <c r="T581" s="22"/>
      <c r="U581" s="22"/>
      <c r="V581" s="22"/>
    </row>
    <row r="582" spans="1:22" ht="15.75" customHeight="1">
      <c r="A582" s="24"/>
      <c r="E582" s="22"/>
      <c r="F582" s="22"/>
      <c r="G582" s="22"/>
      <c r="P582" s="18"/>
      <c r="T582" s="22"/>
      <c r="U582" s="22"/>
      <c r="V582" s="22"/>
    </row>
    <row r="583" spans="1:22" ht="15.75" customHeight="1">
      <c r="A583" s="24"/>
      <c r="E583" s="22"/>
      <c r="F583" s="22"/>
      <c r="G583" s="22"/>
      <c r="P583" s="18"/>
      <c r="T583" s="22"/>
      <c r="U583" s="22"/>
      <c r="V583" s="22"/>
    </row>
    <row r="584" spans="1:22" ht="15.75" customHeight="1">
      <c r="A584" s="24"/>
      <c r="E584" s="22"/>
      <c r="F584" s="22"/>
      <c r="G584" s="22"/>
      <c r="P584" s="18"/>
      <c r="T584" s="22"/>
      <c r="U584" s="22"/>
      <c r="V584" s="22"/>
    </row>
    <row r="585" spans="1:22" ht="15.75" customHeight="1">
      <c r="A585" s="24"/>
      <c r="E585" s="22"/>
      <c r="F585" s="22"/>
      <c r="G585" s="22"/>
      <c r="P585" s="18"/>
      <c r="T585" s="22"/>
      <c r="U585" s="22"/>
      <c r="V585" s="22"/>
    </row>
    <row r="586" spans="1:22" ht="15.75" customHeight="1">
      <c r="A586" s="24"/>
      <c r="E586" s="22"/>
      <c r="F586" s="22"/>
      <c r="G586" s="22"/>
      <c r="P586" s="18"/>
      <c r="T586" s="22"/>
      <c r="U586" s="22"/>
      <c r="V586" s="22"/>
    </row>
    <row r="587" spans="1:22" ht="15.75" customHeight="1">
      <c r="A587" s="24"/>
      <c r="E587" s="22"/>
      <c r="F587" s="22"/>
      <c r="G587" s="22"/>
      <c r="P587" s="18"/>
      <c r="T587" s="22"/>
      <c r="U587" s="22"/>
      <c r="V587" s="22"/>
    </row>
    <row r="588" spans="1:22" ht="15.75" customHeight="1">
      <c r="A588" s="24"/>
      <c r="E588" s="22"/>
      <c r="F588" s="22"/>
      <c r="G588" s="22"/>
      <c r="P588" s="18"/>
      <c r="T588" s="22"/>
      <c r="U588" s="22"/>
      <c r="V588" s="22"/>
    </row>
    <row r="589" spans="1:22" ht="15.75" customHeight="1">
      <c r="A589" s="24"/>
      <c r="E589" s="22"/>
      <c r="F589" s="22"/>
      <c r="G589" s="22"/>
      <c r="P589" s="18"/>
      <c r="T589" s="22"/>
      <c r="U589" s="22"/>
      <c r="V589" s="22"/>
    </row>
    <row r="590" spans="1:22" ht="15.75" customHeight="1">
      <c r="A590" s="24"/>
      <c r="E590" s="22"/>
      <c r="F590" s="22"/>
      <c r="G590" s="22"/>
      <c r="P590" s="18"/>
      <c r="T590" s="22"/>
      <c r="U590" s="22"/>
      <c r="V590" s="22"/>
    </row>
    <row r="591" spans="1:22" ht="15.75" customHeight="1">
      <c r="A591" s="24"/>
      <c r="E591" s="22"/>
      <c r="F591" s="22"/>
      <c r="G591" s="22"/>
      <c r="P591" s="18"/>
      <c r="T591" s="22"/>
      <c r="U591" s="22"/>
      <c r="V591" s="22"/>
    </row>
    <row r="592" spans="1:22" ht="15.75" customHeight="1">
      <c r="A592" s="24"/>
      <c r="E592" s="22"/>
      <c r="F592" s="22"/>
      <c r="G592" s="22"/>
      <c r="P592" s="18"/>
      <c r="T592" s="22"/>
      <c r="U592" s="22"/>
      <c r="V592" s="22"/>
    </row>
    <row r="593" spans="1:22" ht="15.75" customHeight="1">
      <c r="A593" s="24"/>
      <c r="E593" s="22"/>
      <c r="F593" s="22"/>
      <c r="G593" s="22"/>
      <c r="P593" s="18"/>
      <c r="T593" s="22"/>
      <c r="U593" s="22"/>
      <c r="V593" s="22"/>
    </row>
    <row r="594" spans="1:22" ht="15.75" customHeight="1">
      <c r="A594" s="24"/>
      <c r="E594" s="22"/>
      <c r="F594" s="22"/>
      <c r="G594" s="22"/>
      <c r="P594" s="18"/>
      <c r="T594" s="22"/>
      <c r="U594" s="22"/>
      <c r="V594" s="22"/>
    </row>
    <row r="595" spans="1:22" ht="15.75" customHeight="1">
      <c r="A595" s="24"/>
      <c r="E595" s="22"/>
      <c r="F595" s="22"/>
      <c r="G595" s="22"/>
      <c r="P595" s="18"/>
      <c r="T595" s="22"/>
      <c r="U595" s="22"/>
      <c r="V595" s="22"/>
    </row>
    <row r="596" spans="1:22" ht="15.75" customHeight="1">
      <c r="A596" s="24"/>
      <c r="E596" s="22"/>
      <c r="F596" s="22"/>
      <c r="G596" s="22"/>
      <c r="P596" s="18"/>
      <c r="T596" s="22"/>
      <c r="U596" s="22"/>
      <c r="V596" s="22"/>
    </row>
    <row r="597" spans="1:22" ht="15.75" customHeight="1">
      <c r="A597" s="24"/>
      <c r="E597" s="22"/>
      <c r="F597" s="22"/>
      <c r="G597" s="22"/>
      <c r="P597" s="18"/>
      <c r="T597" s="22"/>
      <c r="U597" s="22"/>
      <c r="V597" s="22"/>
    </row>
    <row r="598" spans="1:22" ht="15.75" customHeight="1">
      <c r="A598" s="24"/>
      <c r="E598" s="22"/>
      <c r="F598" s="22"/>
      <c r="G598" s="22"/>
      <c r="P598" s="18"/>
      <c r="T598" s="22"/>
      <c r="U598" s="22"/>
      <c r="V598" s="22"/>
    </row>
    <row r="599" spans="1:22" ht="15.75" customHeight="1">
      <c r="A599" s="24"/>
      <c r="E599" s="22"/>
      <c r="F599" s="22"/>
      <c r="G599" s="22"/>
      <c r="P599" s="18"/>
      <c r="T599" s="22"/>
      <c r="U599" s="22"/>
      <c r="V599" s="22"/>
    </row>
    <row r="600" spans="1:22" ht="15.75" customHeight="1">
      <c r="A600" s="24"/>
      <c r="E600" s="22"/>
      <c r="F600" s="22"/>
      <c r="G600" s="22"/>
      <c r="P600" s="18"/>
      <c r="T600" s="22"/>
      <c r="U600" s="22"/>
      <c r="V600" s="22"/>
    </row>
    <row r="601" spans="1:22" ht="15.75" customHeight="1">
      <c r="A601" s="24"/>
      <c r="E601" s="22"/>
      <c r="F601" s="22"/>
      <c r="G601" s="22"/>
      <c r="P601" s="18"/>
      <c r="T601" s="22"/>
      <c r="U601" s="22"/>
      <c r="V601" s="22"/>
    </row>
    <row r="602" spans="1:22" ht="15.75" customHeight="1">
      <c r="A602" s="24"/>
      <c r="E602" s="22"/>
      <c r="F602" s="22"/>
      <c r="G602" s="22"/>
      <c r="P602" s="18"/>
      <c r="T602" s="22"/>
      <c r="U602" s="22"/>
      <c r="V602" s="22"/>
    </row>
    <row r="603" spans="1:22" ht="15.75" customHeight="1">
      <c r="A603" s="24"/>
      <c r="E603" s="22"/>
      <c r="F603" s="22"/>
      <c r="G603" s="22"/>
      <c r="P603" s="18"/>
      <c r="T603" s="22"/>
      <c r="U603" s="22"/>
      <c r="V603" s="22"/>
    </row>
    <row r="604" spans="1:22" ht="15.75" customHeight="1">
      <c r="A604" s="24"/>
      <c r="E604" s="22"/>
      <c r="F604" s="22"/>
      <c r="G604" s="22"/>
      <c r="P604" s="18"/>
      <c r="T604" s="22"/>
      <c r="U604" s="22"/>
      <c r="V604" s="22"/>
    </row>
    <row r="605" spans="1:22" ht="15.75" customHeight="1">
      <c r="A605" s="24"/>
      <c r="E605" s="22"/>
      <c r="F605" s="22"/>
      <c r="G605" s="22"/>
      <c r="P605" s="18"/>
      <c r="T605" s="22"/>
      <c r="U605" s="22"/>
      <c r="V605" s="22"/>
    </row>
    <row r="606" spans="1:22" ht="15.75" customHeight="1">
      <c r="A606" s="24"/>
      <c r="E606" s="22"/>
      <c r="F606" s="22"/>
      <c r="G606" s="22"/>
      <c r="P606" s="18"/>
      <c r="T606" s="22"/>
      <c r="U606" s="22"/>
      <c r="V606" s="22"/>
    </row>
    <row r="607" spans="1:22" ht="15.75" customHeight="1">
      <c r="A607" s="24"/>
      <c r="E607" s="22"/>
      <c r="F607" s="22"/>
      <c r="G607" s="22"/>
      <c r="P607" s="18"/>
      <c r="T607" s="22"/>
      <c r="U607" s="22"/>
      <c r="V607" s="22"/>
    </row>
    <row r="608" spans="1:22" ht="15.75" customHeight="1">
      <c r="A608" s="24"/>
      <c r="E608" s="22"/>
      <c r="F608" s="22"/>
      <c r="G608" s="22"/>
      <c r="P608" s="18"/>
      <c r="T608" s="22"/>
      <c r="U608" s="22"/>
      <c r="V608" s="22"/>
    </row>
    <row r="609" spans="1:22" ht="15.75" customHeight="1">
      <c r="A609" s="24"/>
      <c r="E609" s="22"/>
      <c r="F609" s="22"/>
      <c r="G609" s="22"/>
      <c r="P609" s="18"/>
      <c r="T609" s="22"/>
      <c r="U609" s="22"/>
      <c r="V609" s="22"/>
    </row>
    <row r="610" spans="1:22" ht="15.75" customHeight="1">
      <c r="A610" s="24"/>
      <c r="E610" s="22"/>
      <c r="F610" s="22"/>
      <c r="G610" s="22"/>
      <c r="P610" s="18"/>
      <c r="T610" s="22"/>
      <c r="U610" s="22"/>
      <c r="V610" s="22"/>
    </row>
    <row r="611" spans="1:22" ht="15.75" customHeight="1">
      <c r="A611" s="24"/>
      <c r="E611" s="22"/>
      <c r="F611" s="22"/>
      <c r="G611" s="22"/>
      <c r="P611" s="18"/>
      <c r="T611" s="22"/>
      <c r="U611" s="22"/>
      <c r="V611" s="22"/>
    </row>
    <row r="612" spans="1:22" ht="15.75" customHeight="1">
      <c r="A612" s="24"/>
      <c r="E612" s="22"/>
      <c r="F612" s="22"/>
      <c r="G612" s="22"/>
      <c r="P612" s="18"/>
      <c r="T612" s="22"/>
      <c r="U612" s="22"/>
      <c r="V612" s="22"/>
    </row>
    <row r="613" spans="1:22" ht="15.75" customHeight="1">
      <c r="A613" s="24"/>
      <c r="E613" s="22"/>
      <c r="F613" s="22"/>
      <c r="G613" s="22"/>
      <c r="P613" s="18"/>
      <c r="T613" s="22"/>
      <c r="U613" s="22"/>
      <c r="V613" s="22"/>
    </row>
    <row r="614" spans="1:22" ht="15.75" customHeight="1">
      <c r="A614" s="24"/>
      <c r="E614" s="22"/>
      <c r="F614" s="22"/>
      <c r="G614" s="22"/>
      <c r="P614" s="18"/>
      <c r="T614" s="22"/>
      <c r="U614" s="22"/>
      <c r="V614" s="22"/>
    </row>
    <row r="615" spans="1:22" ht="15.75" customHeight="1">
      <c r="A615" s="24"/>
      <c r="E615" s="22"/>
      <c r="F615" s="22"/>
      <c r="G615" s="22"/>
      <c r="P615" s="18"/>
      <c r="T615" s="22"/>
      <c r="U615" s="22"/>
      <c r="V615" s="22"/>
    </row>
    <row r="616" spans="1:22" ht="15.75" customHeight="1">
      <c r="A616" s="24"/>
      <c r="E616" s="22"/>
      <c r="F616" s="22"/>
      <c r="G616" s="22"/>
      <c r="P616" s="18"/>
      <c r="T616" s="22"/>
      <c r="U616" s="22"/>
      <c r="V616" s="22"/>
    </row>
    <row r="617" spans="1:22" ht="15.75" customHeight="1">
      <c r="A617" s="24"/>
      <c r="E617" s="22"/>
      <c r="F617" s="22"/>
      <c r="G617" s="22"/>
      <c r="P617" s="18"/>
      <c r="T617" s="22"/>
      <c r="U617" s="22"/>
      <c r="V617" s="22"/>
    </row>
    <row r="618" spans="1:22" ht="15.75" customHeight="1">
      <c r="A618" s="24"/>
      <c r="E618" s="22"/>
      <c r="F618" s="22"/>
      <c r="G618" s="22"/>
      <c r="P618" s="18"/>
      <c r="T618" s="22"/>
      <c r="U618" s="22"/>
      <c r="V618" s="22"/>
    </row>
    <row r="619" spans="1:22" ht="15.75" customHeight="1">
      <c r="A619" s="24"/>
      <c r="E619" s="22"/>
      <c r="F619" s="22"/>
      <c r="G619" s="22"/>
      <c r="P619" s="18"/>
      <c r="T619" s="22"/>
      <c r="U619" s="22"/>
      <c r="V619" s="22"/>
    </row>
    <row r="620" spans="1:22" ht="15.75" customHeight="1">
      <c r="A620" s="24"/>
      <c r="E620" s="22"/>
      <c r="F620" s="22"/>
      <c r="G620" s="22"/>
      <c r="P620" s="18"/>
      <c r="T620" s="22"/>
      <c r="U620" s="22"/>
      <c r="V620" s="22"/>
    </row>
    <row r="621" spans="1:22" ht="15.75" customHeight="1">
      <c r="A621" s="24"/>
      <c r="E621" s="22"/>
      <c r="F621" s="22"/>
      <c r="G621" s="22"/>
      <c r="P621" s="18"/>
      <c r="T621" s="22"/>
      <c r="U621" s="22"/>
      <c r="V621" s="22"/>
    </row>
    <row r="622" spans="1:22" ht="15.75" customHeight="1">
      <c r="A622" s="24"/>
      <c r="E622" s="22"/>
      <c r="F622" s="22"/>
      <c r="G622" s="22"/>
      <c r="P622" s="18"/>
      <c r="T622" s="22"/>
      <c r="U622" s="22"/>
      <c r="V622" s="22"/>
    </row>
    <row r="623" spans="1:22" ht="15.75" customHeight="1">
      <c r="A623" s="24"/>
      <c r="E623" s="22"/>
      <c r="F623" s="22"/>
      <c r="G623" s="22"/>
      <c r="P623" s="18"/>
      <c r="T623" s="22"/>
      <c r="U623" s="22"/>
      <c r="V623" s="22"/>
    </row>
    <row r="624" spans="1:22" ht="15.75" customHeight="1">
      <c r="A624" s="24"/>
      <c r="E624" s="22"/>
      <c r="F624" s="22"/>
      <c r="G624" s="22"/>
      <c r="P624" s="18"/>
      <c r="T624" s="22"/>
      <c r="U624" s="22"/>
      <c r="V624" s="22"/>
    </row>
    <row r="625" spans="1:22" ht="15.75" customHeight="1">
      <c r="A625" s="24"/>
      <c r="E625" s="22"/>
      <c r="F625" s="22"/>
      <c r="G625" s="22"/>
      <c r="P625" s="18"/>
      <c r="T625" s="22"/>
      <c r="U625" s="22"/>
      <c r="V625" s="22"/>
    </row>
    <row r="626" spans="1:22" ht="15.75" customHeight="1">
      <c r="A626" s="24"/>
      <c r="E626" s="22"/>
      <c r="F626" s="22"/>
      <c r="G626" s="22"/>
      <c r="P626" s="18"/>
      <c r="T626" s="22"/>
      <c r="U626" s="22"/>
      <c r="V626" s="22"/>
    </row>
    <row r="627" spans="1:22" ht="15.75" customHeight="1">
      <c r="A627" s="24"/>
      <c r="E627" s="22"/>
      <c r="F627" s="22"/>
      <c r="G627" s="22"/>
      <c r="P627" s="18"/>
      <c r="T627" s="22"/>
      <c r="U627" s="22"/>
      <c r="V627" s="22"/>
    </row>
    <row r="628" spans="1:22" ht="15.75" customHeight="1">
      <c r="A628" s="24"/>
      <c r="E628" s="22"/>
      <c r="F628" s="22"/>
      <c r="G628" s="22"/>
      <c r="P628" s="18"/>
      <c r="T628" s="22"/>
      <c r="U628" s="22"/>
      <c r="V628" s="22"/>
    </row>
    <row r="629" spans="1:22" ht="15.75" customHeight="1">
      <c r="A629" s="24"/>
      <c r="E629" s="22"/>
      <c r="F629" s="22"/>
      <c r="G629" s="22"/>
      <c r="P629" s="18"/>
      <c r="T629" s="22"/>
      <c r="U629" s="22"/>
      <c r="V629" s="22"/>
    </row>
    <row r="630" spans="1:22" ht="15.75" customHeight="1">
      <c r="A630" s="24"/>
      <c r="E630" s="22"/>
      <c r="F630" s="22"/>
      <c r="G630" s="22"/>
      <c r="P630" s="18"/>
      <c r="T630" s="22"/>
      <c r="U630" s="22"/>
      <c r="V630" s="22"/>
    </row>
    <row r="631" spans="1:22" ht="15.75" customHeight="1">
      <c r="A631" s="24"/>
      <c r="E631" s="22"/>
      <c r="F631" s="22"/>
      <c r="G631" s="22"/>
      <c r="P631" s="18"/>
      <c r="T631" s="22"/>
      <c r="U631" s="22"/>
      <c r="V631" s="22"/>
    </row>
    <row r="632" spans="1:22" ht="15.75" customHeight="1">
      <c r="A632" s="24"/>
      <c r="E632" s="22"/>
      <c r="F632" s="22"/>
      <c r="G632" s="22"/>
      <c r="P632" s="18"/>
      <c r="T632" s="22"/>
      <c r="U632" s="22"/>
      <c r="V632" s="22"/>
    </row>
    <row r="633" spans="1:22" ht="15.75" customHeight="1">
      <c r="A633" s="24"/>
      <c r="E633" s="22"/>
      <c r="F633" s="22"/>
      <c r="G633" s="22"/>
      <c r="P633" s="18"/>
      <c r="T633" s="22"/>
      <c r="U633" s="22"/>
      <c r="V633" s="22"/>
    </row>
    <row r="634" spans="1:22" ht="15.75" customHeight="1">
      <c r="A634" s="24"/>
      <c r="E634" s="22"/>
      <c r="F634" s="22"/>
      <c r="G634" s="22"/>
      <c r="P634" s="18"/>
      <c r="T634" s="22"/>
      <c r="U634" s="22"/>
      <c r="V634" s="22"/>
    </row>
    <row r="635" spans="1:22" ht="15.75" customHeight="1">
      <c r="A635" s="24"/>
      <c r="E635" s="22"/>
      <c r="F635" s="22"/>
      <c r="G635" s="22"/>
      <c r="P635" s="18"/>
      <c r="T635" s="22"/>
      <c r="U635" s="22"/>
      <c r="V635" s="22"/>
    </row>
    <row r="636" spans="1:22" ht="15.75" customHeight="1">
      <c r="A636" s="24"/>
      <c r="E636" s="22"/>
      <c r="F636" s="22"/>
      <c r="G636" s="22"/>
      <c r="P636" s="18"/>
      <c r="T636" s="22"/>
      <c r="U636" s="22"/>
      <c r="V636" s="22"/>
    </row>
    <row r="637" spans="1:22" ht="15.75" customHeight="1">
      <c r="A637" s="24"/>
      <c r="E637" s="22"/>
      <c r="F637" s="22"/>
      <c r="G637" s="22"/>
      <c r="P637" s="18"/>
      <c r="T637" s="22"/>
      <c r="U637" s="22"/>
      <c r="V637" s="22"/>
    </row>
    <row r="638" spans="1:22" ht="15.75" customHeight="1">
      <c r="A638" s="24"/>
      <c r="E638" s="22"/>
      <c r="F638" s="22"/>
      <c r="G638" s="22"/>
      <c r="P638" s="18"/>
      <c r="T638" s="22"/>
      <c r="U638" s="22"/>
      <c r="V638" s="22"/>
    </row>
    <row r="639" spans="1:22" ht="15.75" customHeight="1">
      <c r="A639" s="24"/>
      <c r="E639" s="22"/>
      <c r="F639" s="22"/>
      <c r="G639" s="22"/>
      <c r="P639" s="18"/>
      <c r="T639" s="22"/>
      <c r="U639" s="22"/>
      <c r="V639" s="22"/>
    </row>
    <row r="640" spans="1:22" ht="15.75" customHeight="1">
      <c r="A640" s="24"/>
      <c r="E640" s="22"/>
      <c r="F640" s="22"/>
      <c r="G640" s="22"/>
      <c r="P640" s="18"/>
      <c r="T640" s="22"/>
      <c r="U640" s="22"/>
      <c r="V640" s="22"/>
    </row>
    <row r="641" spans="1:22" ht="15.75" customHeight="1">
      <c r="A641" s="24"/>
      <c r="E641" s="22"/>
      <c r="F641" s="22"/>
      <c r="G641" s="22"/>
      <c r="P641" s="18"/>
      <c r="T641" s="22"/>
      <c r="U641" s="22"/>
      <c r="V641" s="22"/>
    </row>
    <row r="642" spans="1:22" ht="15.75" customHeight="1">
      <c r="A642" s="24"/>
      <c r="E642" s="22"/>
      <c r="F642" s="22"/>
      <c r="G642" s="22"/>
      <c r="P642" s="18"/>
      <c r="T642" s="22"/>
      <c r="U642" s="22"/>
      <c r="V642" s="22"/>
    </row>
    <row r="643" spans="1:22" ht="15.75" customHeight="1">
      <c r="A643" s="24"/>
      <c r="E643" s="22"/>
      <c r="F643" s="22"/>
      <c r="G643" s="22"/>
      <c r="P643" s="18"/>
      <c r="T643" s="22"/>
      <c r="U643" s="22"/>
      <c r="V643" s="22"/>
    </row>
    <row r="644" spans="1:22" ht="15.75" customHeight="1">
      <c r="A644" s="24"/>
      <c r="E644" s="22"/>
      <c r="F644" s="22"/>
      <c r="G644" s="22"/>
      <c r="P644" s="18"/>
      <c r="T644" s="22"/>
      <c r="U644" s="22"/>
      <c r="V644" s="22"/>
    </row>
    <row r="645" spans="1:22" ht="15.75" customHeight="1">
      <c r="A645" s="24"/>
      <c r="E645" s="22"/>
      <c r="F645" s="22"/>
      <c r="G645" s="22"/>
      <c r="P645" s="18"/>
      <c r="T645" s="22"/>
      <c r="U645" s="22"/>
      <c r="V645" s="22"/>
    </row>
    <row r="646" spans="1:22" ht="15.75" customHeight="1">
      <c r="A646" s="24"/>
      <c r="E646" s="22"/>
      <c r="F646" s="22"/>
      <c r="G646" s="22"/>
      <c r="P646" s="18"/>
      <c r="T646" s="22"/>
      <c r="U646" s="22"/>
      <c r="V646" s="22"/>
    </row>
    <row r="647" spans="1:22" ht="15.75" customHeight="1">
      <c r="A647" s="24"/>
      <c r="E647" s="22"/>
      <c r="F647" s="22"/>
      <c r="G647" s="22"/>
      <c r="P647" s="18"/>
      <c r="T647" s="22"/>
      <c r="U647" s="22"/>
      <c r="V647" s="22"/>
    </row>
    <row r="648" spans="1:22" ht="15.75" customHeight="1">
      <c r="A648" s="24"/>
      <c r="E648" s="22"/>
      <c r="F648" s="22"/>
      <c r="G648" s="22"/>
      <c r="P648" s="18"/>
      <c r="T648" s="22"/>
      <c r="U648" s="22"/>
      <c r="V648" s="22"/>
    </row>
    <row r="649" spans="1:22" ht="15.75" customHeight="1">
      <c r="A649" s="24"/>
      <c r="E649" s="22"/>
      <c r="F649" s="22"/>
      <c r="G649" s="22"/>
      <c r="P649" s="18"/>
      <c r="T649" s="22"/>
      <c r="U649" s="22"/>
      <c r="V649" s="22"/>
    </row>
    <row r="650" spans="1:22" ht="15.75" customHeight="1">
      <c r="A650" s="24"/>
      <c r="E650" s="22"/>
      <c r="F650" s="22"/>
      <c r="G650" s="22"/>
      <c r="P650" s="18"/>
      <c r="T650" s="22"/>
      <c r="U650" s="22"/>
      <c r="V650" s="22"/>
    </row>
    <row r="651" spans="1:22" ht="15.75" customHeight="1">
      <c r="A651" s="24"/>
      <c r="E651" s="22"/>
      <c r="F651" s="22"/>
      <c r="G651" s="22"/>
      <c r="P651" s="18"/>
      <c r="T651" s="22"/>
      <c r="U651" s="22"/>
      <c r="V651" s="22"/>
    </row>
    <row r="652" spans="1:22" ht="15.75" customHeight="1">
      <c r="A652" s="24"/>
      <c r="E652" s="22"/>
      <c r="F652" s="22"/>
      <c r="G652" s="22"/>
      <c r="P652" s="18"/>
      <c r="T652" s="22"/>
      <c r="U652" s="22"/>
      <c r="V652" s="22"/>
    </row>
    <row r="653" spans="1:22" ht="15.75" customHeight="1">
      <c r="A653" s="24"/>
      <c r="E653" s="22"/>
      <c r="F653" s="22"/>
      <c r="G653" s="22"/>
      <c r="P653" s="18"/>
      <c r="T653" s="22"/>
      <c r="U653" s="22"/>
      <c r="V653" s="22"/>
    </row>
    <row r="654" spans="1:22" ht="15.75" customHeight="1">
      <c r="A654" s="24"/>
      <c r="E654" s="22"/>
      <c r="F654" s="22"/>
      <c r="G654" s="22"/>
      <c r="P654" s="18"/>
      <c r="T654" s="22"/>
      <c r="U654" s="22"/>
      <c r="V654" s="22"/>
    </row>
    <row r="655" spans="1:22" ht="15.75" customHeight="1">
      <c r="A655" s="24"/>
      <c r="E655" s="22"/>
      <c r="F655" s="22"/>
      <c r="G655" s="22"/>
      <c r="P655" s="18"/>
      <c r="T655" s="22"/>
      <c r="U655" s="22"/>
      <c r="V655" s="22"/>
    </row>
    <row r="656" spans="1:22" ht="15.75" customHeight="1">
      <c r="A656" s="24"/>
      <c r="E656" s="22"/>
      <c r="F656" s="22"/>
      <c r="G656" s="22"/>
      <c r="P656" s="18"/>
      <c r="T656" s="22"/>
      <c r="U656" s="22"/>
      <c r="V656" s="22"/>
    </row>
    <row r="657" spans="1:22" ht="15.75" customHeight="1">
      <c r="A657" s="24"/>
      <c r="E657" s="22"/>
      <c r="F657" s="22"/>
      <c r="G657" s="22"/>
      <c r="P657" s="18"/>
      <c r="T657" s="22"/>
      <c r="U657" s="22"/>
      <c r="V657" s="22"/>
    </row>
    <row r="658" spans="1:22" ht="15.75" customHeight="1">
      <c r="A658" s="24"/>
      <c r="E658" s="22"/>
      <c r="F658" s="22"/>
      <c r="G658" s="22"/>
      <c r="P658" s="18"/>
      <c r="T658" s="22"/>
      <c r="U658" s="22"/>
      <c r="V658" s="22"/>
    </row>
    <row r="659" spans="1:22" ht="15.75" customHeight="1">
      <c r="A659" s="24"/>
      <c r="E659" s="22"/>
      <c r="F659" s="22"/>
      <c r="G659" s="22"/>
      <c r="P659" s="18"/>
      <c r="T659" s="22"/>
      <c r="U659" s="22"/>
      <c r="V659" s="22"/>
    </row>
    <row r="660" spans="1:22" ht="15.75" customHeight="1">
      <c r="A660" s="24"/>
      <c r="E660" s="22"/>
      <c r="F660" s="22"/>
      <c r="G660" s="22"/>
      <c r="P660" s="18"/>
      <c r="T660" s="22"/>
      <c r="U660" s="22"/>
      <c r="V660" s="22"/>
    </row>
    <row r="661" spans="1:22" ht="15.75" customHeight="1">
      <c r="A661" s="24"/>
      <c r="E661" s="22"/>
      <c r="F661" s="22"/>
      <c r="G661" s="22"/>
      <c r="P661" s="18"/>
      <c r="T661" s="22"/>
      <c r="U661" s="22"/>
      <c r="V661" s="22"/>
    </row>
    <row r="662" spans="1:22" ht="15.75" customHeight="1">
      <c r="A662" s="24"/>
      <c r="E662" s="22"/>
      <c r="F662" s="22"/>
      <c r="G662" s="22"/>
      <c r="P662" s="18"/>
      <c r="T662" s="22"/>
      <c r="U662" s="22"/>
      <c r="V662" s="22"/>
    </row>
    <row r="663" spans="1:22" ht="15.75" customHeight="1">
      <c r="A663" s="24"/>
      <c r="E663" s="22"/>
      <c r="F663" s="22"/>
      <c r="G663" s="22"/>
      <c r="P663" s="18"/>
      <c r="T663" s="22"/>
      <c r="U663" s="22"/>
      <c r="V663" s="22"/>
    </row>
    <row r="664" spans="1:22" ht="15.75" customHeight="1">
      <c r="A664" s="24"/>
      <c r="E664" s="22"/>
      <c r="F664" s="22"/>
      <c r="G664" s="22"/>
      <c r="P664" s="18"/>
      <c r="T664" s="22"/>
      <c r="U664" s="22"/>
      <c r="V664" s="22"/>
    </row>
    <row r="665" spans="1:22" ht="15.75" customHeight="1">
      <c r="A665" s="24"/>
      <c r="E665" s="22"/>
      <c r="F665" s="22"/>
      <c r="G665" s="22"/>
      <c r="P665" s="18"/>
      <c r="T665" s="22"/>
      <c r="U665" s="22"/>
      <c r="V665" s="22"/>
    </row>
    <row r="666" spans="1:22" ht="15.75" customHeight="1">
      <c r="A666" s="24"/>
      <c r="E666" s="22"/>
      <c r="F666" s="22"/>
      <c r="G666" s="22"/>
      <c r="P666" s="18"/>
      <c r="T666" s="22"/>
      <c r="U666" s="22"/>
      <c r="V666" s="22"/>
    </row>
    <row r="667" spans="1:22" ht="15.75" customHeight="1">
      <c r="A667" s="24"/>
      <c r="E667" s="22"/>
      <c r="F667" s="22"/>
      <c r="G667" s="22"/>
      <c r="P667" s="18"/>
      <c r="T667" s="22"/>
      <c r="U667" s="22"/>
      <c r="V667" s="22"/>
    </row>
    <row r="668" spans="1:22" ht="15.75" customHeight="1">
      <c r="A668" s="24"/>
      <c r="E668" s="22"/>
      <c r="F668" s="22"/>
      <c r="G668" s="22"/>
      <c r="P668" s="18"/>
      <c r="T668" s="22"/>
      <c r="U668" s="22"/>
      <c r="V668" s="22"/>
    </row>
    <row r="669" spans="1:22" ht="15.75" customHeight="1">
      <c r="A669" s="24"/>
      <c r="E669" s="22"/>
      <c r="F669" s="22"/>
      <c r="G669" s="22"/>
      <c r="P669" s="18"/>
      <c r="T669" s="22"/>
      <c r="U669" s="22"/>
      <c r="V669" s="22"/>
    </row>
    <row r="670" spans="1:22" ht="15.75" customHeight="1">
      <c r="A670" s="24"/>
      <c r="E670" s="22"/>
      <c r="F670" s="22"/>
      <c r="G670" s="22"/>
      <c r="P670" s="18"/>
      <c r="T670" s="22"/>
      <c r="U670" s="22"/>
      <c r="V670" s="22"/>
    </row>
    <row r="671" spans="1:22" ht="15.75" customHeight="1">
      <c r="A671" s="24"/>
      <c r="E671" s="22"/>
      <c r="F671" s="22"/>
      <c r="G671" s="22"/>
      <c r="P671" s="18"/>
      <c r="T671" s="22"/>
      <c r="U671" s="22"/>
      <c r="V671" s="22"/>
    </row>
    <row r="672" spans="1:22" ht="15.75" customHeight="1">
      <c r="A672" s="24"/>
      <c r="E672" s="22"/>
      <c r="F672" s="22"/>
      <c r="G672" s="22"/>
      <c r="P672" s="18"/>
      <c r="T672" s="22"/>
      <c r="U672" s="22"/>
      <c r="V672" s="22"/>
    </row>
    <row r="673" spans="1:22" ht="15.75" customHeight="1">
      <c r="A673" s="24"/>
      <c r="E673" s="22"/>
      <c r="F673" s="22"/>
      <c r="G673" s="22"/>
      <c r="P673" s="18"/>
      <c r="T673" s="22"/>
      <c r="U673" s="22"/>
      <c r="V673" s="22"/>
    </row>
    <row r="674" spans="1:22" ht="15.75" customHeight="1">
      <c r="A674" s="24"/>
      <c r="E674" s="22"/>
      <c r="F674" s="22"/>
      <c r="G674" s="22"/>
      <c r="P674" s="18"/>
      <c r="T674" s="22"/>
      <c r="U674" s="22"/>
      <c r="V674" s="22"/>
    </row>
    <row r="675" spans="1:22" ht="15.75" customHeight="1">
      <c r="A675" s="24"/>
      <c r="E675" s="22"/>
      <c r="F675" s="22"/>
      <c r="G675" s="22"/>
      <c r="P675" s="18"/>
      <c r="T675" s="22"/>
      <c r="U675" s="22"/>
      <c r="V675" s="22"/>
    </row>
    <row r="676" spans="1:22" ht="15.75" customHeight="1">
      <c r="A676" s="24"/>
      <c r="E676" s="22"/>
      <c r="F676" s="22"/>
      <c r="G676" s="22"/>
      <c r="P676" s="18"/>
      <c r="T676" s="22"/>
      <c r="U676" s="22"/>
      <c r="V676" s="22"/>
    </row>
    <row r="677" spans="1:22" ht="15.75" customHeight="1">
      <c r="A677" s="24"/>
      <c r="E677" s="22"/>
      <c r="F677" s="22"/>
      <c r="G677" s="22"/>
      <c r="P677" s="18"/>
      <c r="T677" s="22"/>
      <c r="U677" s="22"/>
      <c r="V677" s="22"/>
    </row>
    <row r="678" spans="1:22" ht="15.75" customHeight="1">
      <c r="A678" s="24"/>
      <c r="E678" s="22"/>
      <c r="F678" s="22"/>
      <c r="G678" s="22"/>
      <c r="P678" s="18"/>
      <c r="T678" s="22"/>
      <c r="U678" s="22"/>
      <c r="V678" s="22"/>
    </row>
    <row r="679" spans="1:22" ht="15.75" customHeight="1">
      <c r="A679" s="24"/>
      <c r="E679" s="22"/>
      <c r="F679" s="22"/>
      <c r="G679" s="22"/>
      <c r="P679" s="18"/>
      <c r="T679" s="22"/>
      <c r="U679" s="22"/>
      <c r="V679" s="22"/>
    </row>
    <row r="680" spans="1:22" ht="15.75" customHeight="1">
      <c r="A680" s="24"/>
      <c r="E680" s="22"/>
      <c r="F680" s="22"/>
      <c r="G680" s="22"/>
      <c r="P680" s="18"/>
      <c r="T680" s="22"/>
      <c r="U680" s="22"/>
      <c r="V680" s="22"/>
    </row>
    <row r="681" spans="1:22" ht="15.75" customHeight="1">
      <c r="A681" s="24"/>
      <c r="E681" s="22"/>
      <c r="F681" s="22"/>
      <c r="G681" s="22"/>
      <c r="P681" s="18"/>
      <c r="T681" s="22"/>
      <c r="U681" s="22"/>
      <c r="V681" s="22"/>
    </row>
    <row r="682" spans="1:22" ht="15.75" customHeight="1">
      <c r="A682" s="24"/>
      <c r="E682" s="22"/>
      <c r="F682" s="22"/>
      <c r="G682" s="22"/>
      <c r="P682" s="18"/>
      <c r="T682" s="22"/>
      <c r="U682" s="22"/>
      <c r="V682" s="22"/>
    </row>
    <row r="683" spans="1:22" ht="15.75" customHeight="1">
      <c r="A683" s="24"/>
      <c r="E683" s="22"/>
      <c r="F683" s="22"/>
      <c r="G683" s="22"/>
      <c r="P683" s="18"/>
      <c r="T683" s="22"/>
      <c r="U683" s="22"/>
      <c r="V683" s="22"/>
    </row>
    <row r="684" spans="1:22" ht="15.75" customHeight="1">
      <c r="A684" s="24"/>
      <c r="E684" s="22"/>
      <c r="F684" s="22"/>
      <c r="G684" s="22"/>
      <c r="P684" s="18"/>
      <c r="T684" s="22"/>
      <c r="U684" s="22"/>
      <c r="V684" s="22"/>
    </row>
    <row r="685" spans="1:22" ht="15.75" customHeight="1">
      <c r="A685" s="24"/>
      <c r="E685" s="22"/>
      <c r="F685" s="22"/>
      <c r="G685" s="22"/>
      <c r="P685" s="18"/>
      <c r="T685" s="22"/>
      <c r="U685" s="22"/>
      <c r="V685" s="22"/>
    </row>
    <row r="686" spans="1:22" ht="15.75" customHeight="1">
      <c r="A686" s="24"/>
      <c r="E686" s="22"/>
      <c r="F686" s="22"/>
      <c r="G686" s="22"/>
      <c r="P686" s="18"/>
      <c r="T686" s="22"/>
      <c r="U686" s="22"/>
      <c r="V686" s="22"/>
    </row>
    <row r="687" spans="1:22" ht="15.75" customHeight="1">
      <c r="A687" s="24"/>
      <c r="E687" s="22"/>
      <c r="F687" s="22"/>
      <c r="G687" s="22"/>
      <c r="P687" s="18"/>
      <c r="T687" s="22"/>
      <c r="U687" s="22"/>
      <c r="V687" s="22"/>
    </row>
    <row r="688" spans="1:22" ht="15.75" customHeight="1">
      <c r="A688" s="24"/>
      <c r="E688" s="22"/>
      <c r="F688" s="22"/>
      <c r="G688" s="22"/>
      <c r="P688" s="18"/>
      <c r="T688" s="22"/>
      <c r="U688" s="22"/>
      <c r="V688" s="22"/>
    </row>
    <row r="689" spans="1:22" ht="15.75" customHeight="1">
      <c r="A689" s="24"/>
      <c r="E689" s="22"/>
      <c r="F689" s="22"/>
      <c r="G689" s="22"/>
      <c r="P689" s="18"/>
      <c r="T689" s="22"/>
      <c r="U689" s="22"/>
      <c r="V689" s="22"/>
    </row>
    <row r="690" spans="1:22" ht="15.75" customHeight="1">
      <c r="A690" s="24"/>
      <c r="E690" s="22"/>
      <c r="F690" s="22"/>
      <c r="G690" s="22"/>
      <c r="P690" s="18"/>
      <c r="T690" s="22"/>
      <c r="U690" s="22"/>
      <c r="V690" s="22"/>
    </row>
    <row r="691" spans="1:22" ht="15.75" customHeight="1">
      <c r="A691" s="24"/>
      <c r="E691" s="22"/>
      <c r="F691" s="22"/>
      <c r="G691" s="22"/>
      <c r="P691" s="18"/>
      <c r="T691" s="22"/>
      <c r="U691" s="22"/>
      <c r="V691" s="22"/>
    </row>
    <row r="692" spans="1:22" ht="15.75" customHeight="1">
      <c r="A692" s="24"/>
      <c r="E692" s="22"/>
      <c r="F692" s="22"/>
      <c r="G692" s="22"/>
      <c r="P692" s="18"/>
      <c r="T692" s="22"/>
      <c r="U692" s="22"/>
      <c r="V692" s="22"/>
    </row>
    <row r="693" spans="1:22" ht="15.75" customHeight="1">
      <c r="A693" s="24"/>
      <c r="E693" s="22"/>
      <c r="F693" s="22"/>
      <c r="G693" s="22"/>
      <c r="P693" s="18"/>
      <c r="T693" s="22"/>
      <c r="U693" s="22"/>
      <c r="V693" s="22"/>
    </row>
    <row r="694" spans="1:22" ht="15.75" customHeight="1">
      <c r="A694" s="24"/>
      <c r="E694" s="22"/>
      <c r="F694" s="22"/>
      <c r="G694" s="22"/>
      <c r="P694" s="18"/>
      <c r="T694" s="22"/>
      <c r="U694" s="22"/>
      <c r="V694" s="22"/>
    </row>
    <row r="695" spans="1:22" ht="15.75" customHeight="1">
      <c r="A695" s="24"/>
      <c r="E695" s="22"/>
      <c r="F695" s="22"/>
      <c r="G695" s="22"/>
      <c r="P695" s="18"/>
      <c r="T695" s="22"/>
      <c r="U695" s="22"/>
      <c r="V695" s="22"/>
    </row>
    <row r="696" spans="1:22" ht="15.75" customHeight="1">
      <c r="A696" s="24"/>
      <c r="E696" s="22"/>
      <c r="F696" s="22"/>
      <c r="G696" s="22"/>
      <c r="P696" s="18"/>
      <c r="T696" s="22"/>
      <c r="U696" s="22"/>
      <c r="V696" s="22"/>
    </row>
    <row r="697" spans="1:22" ht="15.75" customHeight="1">
      <c r="A697" s="24"/>
      <c r="E697" s="22"/>
      <c r="F697" s="22"/>
      <c r="G697" s="22"/>
      <c r="P697" s="18"/>
      <c r="T697" s="22"/>
      <c r="U697" s="22"/>
      <c r="V697" s="22"/>
    </row>
    <row r="698" spans="1:22" ht="15.75" customHeight="1">
      <c r="A698" s="24"/>
      <c r="E698" s="22"/>
      <c r="F698" s="22"/>
      <c r="G698" s="22"/>
      <c r="P698" s="18"/>
      <c r="T698" s="22"/>
      <c r="U698" s="22"/>
      <c r="V698" s="22"/>
    </row>
    <row r="699" spans="1:22" ht="15.75" customHeight="1">
      <c r="A699" s="24"/>
      <c r="E699" s="22"/>
      <c r="F699" s="22"/>
      <c r="G699" s="22"/>
      <c r="P699" s="18"/>
      <c r="T699" s="22"/>
      <c r="U699" s="22"/>
      <c r="V699" s="22"/>
    </row>
    <row r="700" spans="1:22" ht="15.75" customHeight="1">
      <c r="A700" s="24"/>
      <c r="E700" s="22"/>
      <c r="F700" s="22"/>
      <c r="G700" s="22"/>
      <c r="P700" s="18"/>
      <c r="T700" s="22"/>
      <c r="U700" s="22"/>
      <c r="V700" s="22"/>
    </row>
    <row r="701" spans="1:22" ht="15.75" customHeight="1">
      <c r="A701" s="24"/>
      <c r="E701" s="22"/>
      <c r="F701" s="22"/>
      <c r="G701" s="22"/>
      <c r="P701" s="18"/>
      <c r="T701" s="22"/>
      <c r="U701" s="22"/>
      <c r="V701" s="22"/>
    </row>
    <row r="702" spans="1:22" ht="15.75" customHeight="1">
      <c r="A702" s="24"/>
      <c r="E702" s="22"/>
      <c r="F702" s="22"/>
      <c r="G702" s="22"/>
      <c r="P702" s="18"/>
      <c r="T702" s="22"/>
      <c r="U702" s="22"/>
      <c r="V702" s="22"/>
    </row>
    <row r="703" spans="1:22" ht="15.75" customHeight="1">
      <c r="A703" s="24"/>
      <c r="E703" s="22"/>
      <c r="F703" s="22"/>
      <c r="G703" s="22"/>
      <c r="P703" s="18"/>
      <c r="T703" s="22"/>
      <c r="U703" s="22"/>
      <c r="V703" s="22"/>
    </row>
    <row r="704" spans="1:22" ht="15.75" customHeight="1">
      <c r="A704" s="24"/>
      <c r="E704" s="22"/>
      <c r="F704" s="22"/>
      <c r="G704" s="22"/>
      <c r="P704" s="18"/>
      <c r="T704" s="22"/>
      <c r="U704" s="22"/>
      <c r="V704" s="22"/>
    </row>
    <row r="705" spans="1:22" ht="15.75" customHeight="1">
      <c r="A705" s="24"/>
      <c r="E705" s="22"/>
      <c r="F705" s="22"/>
      <c r="G705" s="22"/>
      <c r="P705" s="18"/>
      <c r="T705" s="22"/>
      <c r="U705" s="22"/>
      <c r="V705" s="22"/>
    </row>
    <row r="706" spans="1:22" ht="15.75" customHeight="1">
      <c r="A706" s="24"/>
      <c r="E706" s="22"/>
      <c r="F706" s="22"/>
      <c r="G706" s="22"/>
      <c r="P706" s="18"/>
      <c r="T706" s="22"/>
      <c r="U706" s="22"/>
      <c r="V706" s="22"/>
    </row>
    <row r="707" spans="1:22" ht="15.75" customHeight="1">
      <c r="A707" s="24"/>
      <c r="E707" s="22"/>
      <c r="F707" s="22"/>
      <c r="G707" s="22"/>
      <c r="P707" s="18"/>
      <c r="T707" s="22"/>
      <c r="U707" s="22"/>
      <c r="V707" s="22"/>
    </row>
    <row r="708" spans="1:22" ht="15.75" customHeight="1">
      <c r="A708" s="24"/>
      <c r="E708" s="22"/>
      <c r="F708" s="22"/>
      <c r="G708" s="22"/>
      <c r="P708" s="18"/>
      <c r="T708" s="22"/>
      <c r="U708" s="22"/>
      <c r="V708" s="22"/>
    </row>
    <row r="709" spans="1:22" ht="15.75" customHeight="1">
      <c r="A709" s="24"/>
      <c r="E709" s="22"/>
      <c r="F709" s="22"/>
      <c r="G709" s="22"/>
      <c r="P709" s="18"/>
      <c r="T709" s="22"/>
      <c r="U709" s="22"/>
      <c r="V709" s="22"/>
    </row>
    <row r="710" spans="1:22" ht="15.75" customHeight="1">
      <c r="A710" s="24"/>
      <c r="E710" s="22"/>
      <c r="F710" s="22"/>
      <c r="G710" s="22"/>
      <c r="P710" s="18"/>
      <c r="T710" s="22"/>
      <c r="U710" s="22"/>
      <c r="V710" s="22"/>
    </row>
    <row r="711" spans="1:22" ht="15.75" customHeight="1">
      <c r="A711" s="24"/>
      <c r="E711" s="22"/>
      <c r="F711" s="22"/>
      <c r="G711" s="22"/>
      <c r="P711" s="18"/>
      <c r="T711" s="22"/>
      <c r="U711" s="22"/>
      <c r="V711" s="22"/>
    </row>
    <row r="712" spans="1:22" ht="15.75" customHeight="1">
      <c r="A712" s="24"/>
      <c r="E712" s="22"/>
      <c r="F712" s="22"/>
      <c r="G712" s="22"/>
      <c r="P712" s="18"/>
      <c r="T712" s="22"/>
      <c r="U712" s="22"/>
      <c r="V712" s="22"/>
    </row>
    <row r="713" spans="1:22" ht="15.75" customHeight="1">
      <c r="A713" s="24"/>
      <c r="E713" s="22"/>
      <c r="F713" s="22"/>
      <c r="G713" s="22"/>
      <c r="P713" s="18"/>
      <c r="T713" s="22"/>
      <c r="U713" s="22"/>
      <c r="V713" s="22"/>
    </row>
    <row r="714" spans="1:22" ht="15.75" customHeight="1">
      <c r="A714" s="24"/>
      <c r="E714" s="22"/>
      <c r="F714" s="22"/>
      <c r="G714" s="22"/>
      <c r="P714" s="18"/>
      <c r="T714" s="22"/>
      <c r="U714" s="22"/>
      <c r="V714" s="22"/>
    </row>
    <row r="715" spans="1:22" ht="15.75" customHeight="1">
      <c r="A715" s="24"/>
      <c r="E715" s="22"/>
      <c r="F715" s="22"/>
      <c r="G715" s="22"/>
      <c r="P715" s="18"/>
      <c r="T715" s="22"/>
      <c r="U715" s="22"/>
      <c r="V715" s="22"/>
    </row>
    <row r="716" spans="1:22" ht="15.75" customHeight="1">
      <c r="A716" s="24"/>
      <c r="E716" s="22"/>
      <c r="F716" s="22"/>
      <c r="G716" s="22"/>
      <c r="P716" s="18"/>
      <c r="T716" s="22"/>
      <c r="U716" s="22"/>
      <c r="V716" s="22"/>
    </row>
    <row r="717" spans="1:22" ht="15.75" customHeight="1">
      <c r="A717" s="24"/>
      <c r="E717" s="22"/>
      <c r="F717" s="22"/>
      <c r="G717" s="22"/>
      <c r="P717" s="18"/>
      <c r="T717" s="22"/>
      <c r="U717" s="22"/>
      <c r="V717" s="22"/>
    </row>
    <row r="718" spans="1:22" ht="15.75" customHeight="1">
      <c r="A718" s="24"/>
      <c r="E718" s="22"/>
      <c r="F718" s="22"/>
      <c r="G718" s="22"/>
      <c r="P718" s="18"/>
      <c r="T718" s="22"/>
      <c r="U718" s="22"/>
      <c r="V718" s="22"/>
    </row>
    <row r="719" spans="1:22" ht="15.75" customHeight="1">
      <c r="A719" s="24"/>
      <c r="E719" s="22"/>
      <c r="F719" s="22"/>
      <c r="G719" s="22"/>
      <c r="P719" s="18"/>
      <c r="T719" s="22"/>
      <c r="U719" s="22"/>
      <c r="V719" s="22"/>
    </row>
    <row r="720" spans="1:22" ht="15.75" customHeight="1">
      <c r="A720" s="24"/>
      <c r="E720" s="22"/>
      <c r="F720" s="22"/>
      <c r="G720" s="22"/>
      <c r="P720" s="18"/>
      <c r="T720" s="22"/>
      <c r="U720" s="22"/>
      <c r="V720" s="22"/>
    </row>
    <row r="721" spans="1:22" ht="15.75" customHeight="1">
      <c r="A721" s="24"/>
      <c r="E721" s="22"/>
      <c r="F721" s="22"/>
      <c r="G721" s="22"/>
      <c r="P721" s="18"/>
      <c r="T721" s="22"/>
      <c r="U721" s="22"/>
      <c r="V721" s="22"/>
    </row>
    <row r="722" spans="1:22" ht="15.75" customHeight="1">
      <c r="A722" s="24"/>
      <c r="E722" s="22"/>
      <c r="F722" s="22"/>
      <c r="G722" s="22"/>
      <c r="P722" s="18"/>
      <c r="T722" s="22"/>
      <c r="U722" s="22"/>
      <c r="V722" s="22"/>
    </row>
    <row r="723" spans="1:22" ht="15.75" customHeight="1">
      <c r="A723" s="24"/>
      <c r="E723" s="22"/>
      <c r="F723" s="22"/>
      <c r="G723" s="22"/>
      <c r="P723" s="18"/>
      <c r="T723" s="22"/>
      <c r="U723" s="22"/>
      <c r="V723" s="22"/>
    </row>
    <row r="724" spans="1:22" ht="15.75" customHeight="1">
      <c r="A724" s="24"/>
      <c r="E724" s="22"/>
      <c r="F724" s="22"/>
      <c r="G724" s="22"/>
      <c r="P724" s="18"/>
      <c r="T724" s="22"/>
      <c r="U724" s="22"/>
      <c r="V724" s="22"/>
    </row>
    <row r="725" spans="1:22" ht="15.75" customHeight="1">
      <c r="A725" s="24"/>
      <c r="E725" s="22"/>
      <c r="F725" s="22"/>
      <c r="G725" s="22"/>
      <c r="P725" s="18"/>
      <c r="T725" s="22"/>
      <c r="U725" s="22"/>
      <c r="V725" s="22"/>
    </row>
    <row r="726" spans="1:22" ht="15.75" customHeight="1">
      <c r="A726" s="24"/>
      <c r="E726" s="22"/>
      <c r="F726" s="22"/>
      <c r="G726" s="22"/>
      <c r="P726" s="18"/>
      <c r="T726" s="22"/>
      <c r="U726" s="22"/>
      <c r="V726" s="22"/>
    </row>
    <row r="727" spans="1:22" ht="15.75" customHeight="1">
      <c r="A727" s="24"/>
      <c r="E727" s="22"/>
      <c r="F727" s="22"/>
      <c r="G727" s="22"/>
      <c r="P727" s="18"/>
      <c r="T727" s="22"/>
      <c r="U727" s="22"/>
      <c r="V727" s="22"/>
    </row>
    <row r="728" spans="1:22" ht="15.75" customHeight="1">
      <c r="A728" s="24"/>
      <c r="E728" s="22"/>
      <c r="F728" s="22"/>
      <c r="G728" s="22"/>
      <c r="P728" s="18"/>
      <c r="T728" s="22"/>
      <c r="U728" s="22"/>
      <c r="V728" s="22"/>
    </row>
    <row r="729" spans="1:22" ht="15.75" customHeight="1">
      <c r="A729" s="24"/>
      <c r="E729" s="22"/>
      <c r="F729" s="22"/>
      <c r="G729" s="22"/>
      <c r="P729" s="18"/>
      <c r="T729" s="22"/>
      <c r="U729" s="22"/>
      <c r="V729" s="22"/>
    </row>
    <row r="730" spans="1:22" ht="15.75" customHeight="1">
      <c r="A730" s="24"/>
      <c r="E730" s="22"/>
      <c r="F730" s="22"/>
      <c r="G730" s="22"/>
      <c r="P730" s="18"/>
      <c r="T730" s="22"/>
      <c r="U730" s="22"/>
      <c r="V730" s="22"/>
    </row>
    <row r="731" spans="1:22" ht="15.75" customHeight="1">
      <c r="A731" s="24"/>
      <c r="E731" s="22"/>
      <c r="F731" s="22"/>
      <c r="G731" s="22"/>
      <c r="P731" s="18"/>
      <c r="T731" s="22"/>
      <c r="U731" s="22"/>
      <c r="V731" s="22"/>
    </row>
    <row r="732" spans="1:22" ht="15.75" customHeight="1">
      <c r="A732" s="24"/>
      <c r="E732" s="22"/>
      <c r="F732" s="22"/>
      <c r="G732" s="22"/>
      <c r="P732" s="18"/>
      <c r="T732" s="22"/>
      <c r="U732" s="22"/>
      <c r="V732" s="22"/>
    </row>
    <row r="733" spans="1:22" ht="15.75" customHeight="1">
      <c r="A733" s="24"/>
      <c r="E733" s="22"/>
      <c r="F733" s="22"/>
      <c r="G733" s="22"/>
      <c r="P733" s="18"/>
      <c r="T733" s="22"/>
      <c r="U733" s="22"/>
      <c r="V733" s="22"/>
    </row>
    <row r="734" spans="1:22" ht="15.75" customHeight="1">
      <c r="A734" s="24"/>
      <c r="E734" s="22"/>
      <c r="F734" s="22"/>
      <c r="G734" s="22"/>
      <c r="P734" s="18"/>
      <c r="T734" s="22"/>
      <c r="U734" s="22"/>
      <c r="V734" s="22"/>
    </row>
    <row r="735" spans="1:22" ht="15.75" customHeight="1">
      <c r="A735" s="24"/>
      <c r="E735" s="22"/>
      <c r="F735" s="22"/>
      <c r="G735" s="22"/>
      <c r="P735" s="18"/>
      <c r="T735" s="22"/>
      <c r="U735" s="22"/>
      <c r="V735" s="22"/>
    </row>
    <row r="736" spans="1:22" ht="15.75" customHeight="1">
      <c r="A736" s="24"/>
      <c r="E736" s="22"/>
      <c r="F736" s="22"/>
      <c r="G736" s="22"/>
      <c r="P736" s="18"/>
      <c r="T736" s="22"/>
      <c r="U736" s="22"/>
      <c r="V736" s="22"/>
    </row>
    <row r="737" spans="1:22" ht="15.75" customHeight="1">
      <c r="A737" s="24"/>
      <c r="E737" s="22"/>
      <c r="F737" s="22"/>
      <c r="G737" s="22"/>
      <c r="P737" s="18"/>
      <c r="T737" s="22"/>
      <c r="U737" s="22"/>
      <c r="V737" s="22"/>
    </row>
    <row r="738" spans="1:22" ht="15.75" customHeight="1">
      <c r="A738" s="24"/>
      <c r="E738" s="22"/>
      <c r="F738" s="22"/>
      <c r="G738" s="22"/>
      <c r="P738" s="18"/>
      <c r="T738" s="22"/>
      <c r="U738" s="22"/>
      <c r="V738" s="22"/>
    </row>
    <row r="739" spans="1:22" ht="15.75" customHeight="1">
      <c r="A739" s="24"/>
      <c r="E739" s="22"/>
      <c r="F739" s="22"/>
      <c r="G739" s="22"/>
      <c r="P739" s="18"/>
      <c r="T739" s="22"/>
      <c r="U739" s="22"/>
      <c r="V739" s="22"/>
    </row>
    <row r="740" spans="1:22" ht="15.75" customHeight="1">
      <c r="A740" s="24"/>
      <c r="E740" s="22"/>
      <c r="F740" s="22"/>
      <c r="G740" s="22"/>
      <c r="P740" s="18"/>
      <c r="T740" s="22"/>
      <c r="U740" s="22"/>
      <c r="V740" s="22"/>
    </row>
    <row r="741" spans="1:22" ht="15.75" customHeight="1">
      <c r="A741" s="24"/>
      <c r="E741" s="22"/>
      <c r="F741" s="22"/>
      <c r="G741" s="22"/>
      <c r="P741" s="18"/>
      <c r="T741" s="22"/>
      <c r="U741" s="22"/>
      <c r="V741" s="22"/>
    </row>
    <row r="742" spans="1:22" ht="15.75" customHeight="1">
      <c r="A742" s="24"/>
      <c r="E742" s="22"/>
      <c r="F742" s="22"/>
      <c r="G742" s="22"/>
      <c r="P742" s="18"/>
      <c r="T742" s="22"/>
      <c r="U742" s="22"/>
      <c r="V742" s="22"/>
    </row>
    <row r="743" spans="1:22" ht="15.75" customHeight="1">
      <c r="A743" s="24"/>
      <c r="E743" s="22"/>
      <c r="F743" s="22"/>
      <c r="G743" s="22"/>
      <c r="P743" s="18"/>
      <c r="T743" s="22"/>
      <c r="U743" s="22"/>
      <c r="V743" s="22"/>
    </row>
    <row r="744" spans="1:22" ht="15.75" customHeight="1">
      <c r="A744" s="24"/>
      <c r="E744" s="22"/>
      <c r="F744" s="22"/>
      <c r="G744" s="22"/>
      <c r="P744" s="18"/>
      <c r="T744" s="22"/>
      <c r="U744" s="22"/>
      <c r="V744" s="22"/>
    </row>
    <row r="745" spans="1:22" ht="15.75" customHeight="1">
      <c r="A745" s="24"/>
      <c r="E745" s="22"/>
      <c r="F745" s="22"/>
      <c r="G745" s="22"/>
      <c r="P745" s="18"/>
      <c r="T745" s="22"/>
      <c r="U745" s="22"/>
      <c r="V745" s="22"/>
    </row>
    <row r="746" spans="1:22" ht="15.75" customHeight="1">
      <c r="A746" s="24"/>
      <c r="E746" s="22"/>
      <c r="F746" s="22"/>
      <c r="G746" s="22"/>
      <c r="P746" s="18"/>
      <c r="T746" s="22"/>
      <c r="U746" s="22"/>
      <c r="V746" s="22"/>
    </row>
    <row r="747" spans="1:22" ht="15.75" customHeight="1">
      <c r="A747" s="24"/>
      <c r="E747" s="22"/>
      <c r="F747" s="22"/>
      <c r="G747" s="22"/>
      <c r="P747" s="18"/>
      <c r="T747" s="22"/>
      <c r="U747" s="22"/>
      <c r="V747" s="22"/>
    </row>
    <row r="748" spans="1:22" ht="15.75" customHeight="1">
      <c r="A748" s="24"/>
      <c r="E748" s="22"/>
      <c r="F748" s="22"/>
      <c r="G748" s="22"/>
      <c r="P748" s="18"/>
      <c r="T748" s="22"/>
      <c r="U748" s="22"/>
      <c r="V748" s="22"/>
    </row>
    <row r="749" spans="1:22" ht="15.75" customHeight="1">
      <c r="A749" s="24"/>
      <c r="E749" s="22"/>
      <c r="F749" s="22"/>
      <c r="G749" s="22"/>
      <c r="P749" s="18"/>
      <c r="T749" s="22"/>
      <c r="U749" s="22"/>
      <c r="V749" s="22"/>
    </row>
    <row r="750" spans="1:22" ht="15.75" customHeight="1">
      <c r="A750" s="24"/>
      <c r="E750" s="22"/>
      <c r="F750" s="22"/>
      <c r="G750" s="22"/>
      <c r="P750" s="18"/>
      <c r="T750" s="22"/>
      <c r="U750" s="22"/>
      <c r="V750" s="22"/>
    </row>
    <row r="751" spans="1:22" ht="15.75" customHeight="1">
      <c r="A751" s="24"/>
      <c r="E751" s="22"/>
      <c r="F751" s="22"/>
      <c r="G751" s="22"/>
      <c r="P751" s="18"/>
      <c r="T751" s="22"/>
      <c r="U751" s="22"/>
      <c r="V751" s="22"/>
    </row>
    <row r="752" spans="1:22" ht="15.75" customHeight="1">
      <c r="A752" s="24"/>
      <c r="E752" s="22"/>
      <c r="F752" s="22"/>
      <c r="G752" s="22"/>
      <c r="P752" s="18"/>
      <c r="T752" s="22"/>
      <c r="U752" s="22"/>
      <c r="V752" s="22"/>
    </row>
    <row r="753" spans="1:22" ht="15.75" customHeight="1">
      <c r="A753" s="24"/>
      <c r="E753" s="22"/>
      <c r="F753" s="22"/>
      <c r="G753" s="22"/>
      <c r="P753" s="18"/>
      <c r="T753" s="22"/>
      <c r="U753" s="22"/>
      <c r="V753" s="22"/>
    </row>
    <row r="754" spans="1:22" ht="15.75" customHeight="1">
      <c r="A754" s="24"/>
      <c r="E754" s="22"/>
      <c r="F754" s="22"/>
      <c r="G754" s="22"/>
      <c r="P754" s="18"/>
      <c r="T754" s="22"/>
      <c r="U754" s="22"/>
      <c r="V754" s="22"/>
    </row>
    <row r="755" spans="1:22" ht="15.75" customHeight="1">
      <c r="A755" s="24"/>
      <c r="E755" s="22"/>
      <c r="F755" s="22"/>
      <c r="G755" s="22"/>
      <c r="P755" s="18"/>
      <c r="T755" s="22"/>
      <c r="U755" s="22"/>
      <c r="V755" s="22"/>
    </row>
    <row r="756" spans="1:22" ht="15.75" customHeight="1">
      <c r="A756" s="24"/>
      <c r="E756" s="22"/>
      <c r="F756" s="22"/>
      <c r="G756" s="22"/>
      <c r="P756" s="18"/>
      <c r="T756" s="22"/>
      <c r="U756" s="22"/>
      <c r="V756" s="22"/>
    </row>
    <row r="757" spans="1:22" ht="15.75" customHeight="1">
      <c r="A757" s="24"/>
      <c r="E757" s="22"/>
      <c r="F757" s="22"/>
      <c r="G757" s="22"/>
      <c r="P757" s="18"/>
      <c r="T757" s="22"/>
      <c r="U757" s="22"/>
      <c r="V757" s="22"/>
    </row>
    <row r="758" spans="1:22" ht="15.75" customHeight="1">
      <c r="A758" s="24"/>
      <c r="E758" s="22"/>
      <c r="F758" s="22"/>
      <c r="G758" s="22"/>
      <c r="P758" s="18"/>
      <c r="T758" s="22"/>
      <c r="U758" s="22"/>
      <c r="V758" s="22"/>
    </row>
    <row r="759" spans="1:22" ht="15.75" customHeight="1">
      <c r="A759" s="24"/>
      <c r="E759" s="22"/>
      <c r="F759" s="22"/>
      <c r="G759" s="22"/>
      <c r="P759" s="18"/>
      <c r="T759" s="22"/>
      <c r="U759" s="22"/>
      <c r="V759" s="22"/>
    </row>
    <row r="760" spans="1:22" ht="15.75" customHeight="1">
      <c r="A760" s="24"/>
      <c r="E760" s="22"/>
      <c r="F760" s="22"/>
      <c r="G760" s="22"/>
      <c r="P760" s="18"/>
      <c r="T760" s="22"/>
      <c r="U760" s="22"/>
      <c r="V760" s="22"/>
    </row>
    <row r="761" spans="1:22" ht="15.75" customHeight="1">
      <c r="A761" s="24"/>
      <c r="E761" s="22"/>
      <c r="F761" s="22"/>
      <c r="G761" s="22"/>
      <c r="P761" s="18"/>
      <c r="T761" s="22"/>
      <c r="U761" s="22"/>
      <c r="V761" s="22"/>
    </row>
    <row r="762" spans="1:22" ht="15.75" customHeight="1">
      <c r="A762" s="24"/>
      <c r="E762" s="22"/>
      <c r="F762" s="22"/>
      <c r="G762" s="22"/>
      <c r="P762" s="18"/>
      <c r="T762" s="22"/>
      <c r="U762" s="22"/>
      <c r="V762" s="22"/>
    </row>
    <row r="763" spans="1:22" ht="15.75" customHeight="1">
      <c r="A763" s="24"/>
      <c r="E763" s="22"/>
      <c r="F763" s="22"/>
      <c r="G763" s="22"/>
      <c r="P763" s="18"/>
      <c r="T763" s="22"/>
      <c r="U763" s="22"/>
      <c r="V763" s="22"/>
    </row>
    <row r="764" spans="1:22" ht="15.75" customHeight="1">
      <c r="A764" s="24"/>
      <c r="E764" s="22"/>
      <c r="F764" s="22"/>
      <c r="G764" s="22"/>
      <c r="P764" s="18"/>
      <c r="T764" s="22"/>
      <c r="U764" s="22"/>
      <c r="V764" s="22"/>
    </row>
    <row r="765" spans="1:22" ht="15.75" customHeight="1">
      <c r="A765" s="24"/>
      <c r="E765" s="22"/>
      <c r="F765" s="22"/>
      <c r="G765" s="22"/>
      <c r="P765" s="18"/>
      <c r="T765" s="22"/>
      <c r="U765" s="22"/>
      <c r="V765" s="22"/>
    </row>
    <row r="766" spans="1:22" ht="15.75" customHeight="1">
      <c r="A766" s="24"/>
      <c r="E766" s="22"/>
      <c r="F766" s="22"/>
      <c r="G766" s="22"/>
      <c r="P766" s="18"/>
      <c r="T766" s="22"/>
      <c r="U766" s="22"/>
      <c r="V766" s="22"/>
    </row>
    <row r="767" spans="1:22" ht="15.75" customHeight="1">
      <c r="A767" s="24"/>
      <c r="E767" s="22"/>
      <c r="F767" s="22"/>
      <c r="G767" s="22"/>
      <c r="P767" s="18"/>
      <c r="T767" s="22"/>
      <c r="U767" s="22"/>
      <c r="V767" s="22"/>
    </row>
    <row r="768" spans="1:22" ht="15.75" customHeight="1">
      <c r="A768" s="24"/>
      <c r="E768" s="22"/>
      <c r="F768" s="22"/>
      <c r="G768" s="22"/>
      <c r="P768" s="18"/>
      <c r="T768" s="22"/>
      <c r="U768" s="22"/>
      <c r="V768" s="22"/>
    </row>
    <row r="769" spans="1:22" ht="15.75" customHeight="1">
      <c r="A769" s="24"/>
      <c r="E769" s="22"/>
      <c r="F769" s="22"/>
      <c r="G769" s="22"/>
      <c r="P769" s="18"/>
      <c r="T769" s="22"/>
      <c r="U769" s="22"/>
      <c r="V769" s="22"/>
    </row>
    <row r="770" spans="1:22" ht="15.75" customHeight="1">
      <c r="A770" s="24"/>
      <c r="E770" s="22"/>
      <c r="F770" s="22"/>
      <c r="G770" s="22"/>
      <c r="P770" s="18"/>
      <c r="T770" s="22"/>
      <c r="U770" s="22"/>
      <c r="V770" s="22"/>
    </row>
    <row r="771" spans="1:22" ht="15.75" customHeight="1">
      <c r="A771" s="24"/>
      <c r="E771" s="22"/>
      <c r="F771" s="22"/>
      <c r="G771" s="22"/>
      <c r="P771" s="18"/>
      <c r="T771" s="22"/>
      <c r="U771" s="22"/>
      <c r="V771" s="22"/>
    </row>
    <row r="772" spans="1:22" ht="15.75" customHeight="1">
      <c r="A772" s="24"/>
      <c r="E772" s="22"/>
      <c r="F772" s="22"/>
      <c r="G772" s="22"/>
      <c r="P772" s="18"/>
      <c r="T772" s="22"/>
      <c r="U772" s="22"/>
      <c r="V772" s="22"/>
    </row>
    <row r="773" spans="1:22" ht="15.75" customHeight="1">
      <c r="A773" s="24"/>
      <c r="E773" s="22"/>
      <c r="F773" s="22"/>
      <c r="G773" s="22"/>
      <c r="P773" s="18"/>
      <c r="T773" s="22"/>
      <c r="U773" s="22"/>
      <c r="V773" s="22"/>
    </row>
    <row r="774" spans="1:22" ht="15.75" customHeight="1">
      <c r="A774" s="24"/>
      <c r="E774" s="22"/>
      <c r="F774" s="22"/>
      <c r="G774" s="22"/>
      <c r="P774" s="18"/>
      <c r="T774" s="22"/>
      <c r="U774" s="22"/>
      <c r="V774" s="22"/>
    </row>
    <row r="775" spans="1:22" ht="15.75" customHeight="1">
      <c r="A775" s="24"/>
      <c r="E775" s="22"/>
      <c r="F775" s="22"/>
      <c r="G775" s="22"/>
      <c r="P775" s="18"/>
      <c r="T775" s="22"/>
      <c r="U775" s="22"/>
      <c r="V775" s="22"/>
    </row>
    <row r="776" spans="1:22" ht="15.75" customHeight="1">
      <c r="A776" s="24"/>
      <c r="E776" s="22"/>
      <c r="F776" s="22"/>
      <c r="G776" s="22"/>
      <c r="P776" s="18"/>
      <c r="T776" s="22"/>
      <c r="U776" s="22"/>
      <c r="V776" s="22"/>
    </row>
    <row r="777" spans="1:22" ht="15.75" customHeight="1">
      <c r="A777" s="24"/>
      <c r="E777" s="22"/>
      <c r="F777" s="22"/>
      <c r="G777" s="22"/>
      <c r="P777" s="18"/>
      <c r="T777" s="22"/>
      <c r="U777" s="22"/>
      <c r="V777" s="22"/>
    </row>
    <row r="778" spans="1:22" ht="15.75" customHeight="1">
      <c r="A778" s="24"/>
      <c r="E778" s="22"/>
      <c r="F778" s="22"/>
      <c r="G778" s="22"/>
      <c r="P778" s="18"/>
      <c r="T778" s="22"/>
      <c r="U778" s="22"/>
      <c r="V778" s="22"/>
    </row>
    <row r="779" spans="1:22" ht="15.75" customHeight="1">
      <c r="A779" s="24"/>
      <c r="E779" s="22"/>
      <c r="F779" s="22"/>
      <c r="G779" s="22"/>
      <c r="P779" s="18"/>
      <c r="T779" s="22"/>
      <c r="U779" s="22"/>
      <c r="V779" s="22"/>
    </row>
    <row r="780" spans="1:22" ht="15.75" customHeight="1">
      <c r="A780" s="24"/>
      <c r="E780" s="22"/>
      <c r="F780" s="22"/>
      <c r="G780" s="22"/>
      <c r="P780" s="18"/>
      <c r="T780" s="22"/>
      <c r="U780" s="22"/>
      <c r="V780" s="22"/>
    </row>
    <row r="781" spans="1:22" ht="15.75" customHeight="1">
      <c r="A781" s="24"/>
      <c r="E781" s="22"/>
      <c r="F781" s="22"/>
      <c r="G781" s="22"/>
      <c r="P781" s="18"/>
      <c r="T781" s="22"/>
      <c r="U781" s="22"/>
      <c r="V781" s="22"/>
    </row>
    <row r="782" spans="1:22" ht="15.75" customHeight="1">
      <c r="A782" s="24"/>
      <c r="E782" s="22"/>
      <c r="F782" s="22"/>
      <c r="G782" s="22"/>
      <c r="P782" s="18"/>
      <c r="T782" s="22"/>
      <c r="U782" s="22"/>
      <c r="V782" s="22"/>
    </row>
    <row r="783" spans="1:22" ht="15.75" customHeight="1">
      <c r="A783" s="24"/>
      <c r="E783" s="22"/>
      <c r="F783" s="22"/>
      <c r="G783" s="22"/>
      <c r="P783" s="18"/>
      <c r="T783" s="22"/>
      <c r="U783" s="22"/>
      <c r="V783" s="22"/>
    </row>
    <row r="784" spans="1:22" ht="15.75" customHeight="1">
      <c r="A784" s="24"/>
      <c r="E784" s="22"/>
      <c r="F784" s="22"/>
      <c r="G784" s="22"/>
      <c r="P784" s="18"/>
      <c r="T784" s="22"/>
      <c r="U784" s="22"/>
      <c r="V784" s="22"/>
    </row>
    <row r="785" spans="1:22" ht="15.75" customHeight="1">
      <c r="A785" s="24"/>
      <c r="E785" s="22"/>
      <c r="F785" s="22"/>
      <c r="G785" s="22"/>
      <c r="P785" s="18"/>
      <c r="T785" s="22"/>
      <c r="U785" s="22"/>
      <c r="V785" s="22"/>
    </row>
    <row r="786" spans="1:22" ht="15.75" customHeight="1">
      <c r="A786" s="24"/>
      <c r="E786" s="22"/>
      <c r="F786" s="22"/>
      <c r="G786" s="22"/>
      <c r="P786" s="18"/>
      <c r="T786" s="22"/>
      <c r="U786" s="22"/>
      <c r="V786" s="22"/>
    </row>
    <row r="787" spans="1:22" ht="15.75" customHeight="1">
      <c r="A787" s="24"/>
      <c r="E787" s="22"/>
      <c r="F787" s="22"/>
      <c r="G787" s="22"/>
      <c r="P787" s="18"/>
      <c r="T787" s="22"/>
      <c r="U787" s="22"/>
      <c r="V787" s="22"/>
    </row>
    <row r="788" spans="1:22" ht="15.75" customHeight="1">
      <c r="A788" s="24"/>
      <c r="E788" s="22"/>
      <c r="F788" s="22"/>
      <c r="G788" s="22"/>
      <c r="P788" s="18"/>
      <c r="T788" s="22"/>
      <c r="U788" s="22"/>
      <c r="V788" s="22"/>
    </row>
    <row r="789" spans="1:22" ht="15.75" customHeight="1">
      <c r="A789" s="24"/>
      <c r="E789" s="22"/>
      <c r="F789" s="22"/>
      <c r="G789" s="22"/>
      <c r="P789" s="18"/>
      <c r="T789" s="22"/>
      <c r="U789" s="22"/>
      <c r="V789" s="22"/>
    </row>
    <row r="790" spans="1:22" ht="15.75" customHeight="1">
      <c r="A790" s="24"/>
      <c r="E790" s="22"/>
      <c r="F790" s="22"/>
      <c r="G790" s="22"/>
      <c r="P790" s="18"/>
      <c r="T790" s="22"/>
      <c r="U790" s="22"/>
      <c r="V790" s="22"/>
    </row>
    <row r="791" spans="1:22" ht="15.75" customHeight="1">
      <c r="A791" s="24"/>
      <c r="E791" s="22"/>
      <c r="F791" s="22"/>
      <c r="G791" s="22"/>
      <c r="P791" s="18"/>
      <c r="T791" s="22"/>
      <c r="U791" s="22"/>
      <c r="V791" s="22"/>
    </row>
    <row r="792" spans="1:22" ht="15.75" customHeight="1">
      <c r="A792" s="24"/>
      <c r="E792" s="22"/>
      <c r="F792" s="22"/>
      <c r="G792" s="22"/>
      <c r="P792" s="18"/>
      <c r="T792" s="22"/>
      <c r="U792" s="22"/>
      <c r="V792" s="22"/>
    </row>
    <row r="793" spans="1:22" ht="15.75" customHeight="1">
      <c r="A793" s="24"/>
      <c r="E793" s="22"/>
      <c r="F793" s="22"/>
      <c r="G793" s="22"/>
      <c r="P793" s="18"/>
      <c r="T793" s="22"/>
      <c r="U793" s="22"/>
      <c r="V793" s="22"/>
    </row>
    <row r="794" spans="1:22" ht="15.75" customHeight="1">
      <c r="A794" s="24"/>
      <c r="E794" s="22"/>
      <c r="F794" s="22"/>
      <c r="G794" s="22"/>
      <c r="P794" s="18"/>
      <c r="T794" s="22"/>
      <c r="U794" s="22"/>
      <c r="V794" s="22"/>
    </row>
    <row r="795" spans="1:22" ht="15.75" customHeight="1">
      <c r="A795" s="24"/>
      <c r="E795" s="22"/>
      <c r="F795" s="22"/>
      <c r="G795" s="22"/>
      <c r="P795" s="18"/>
      <c r="T795" s="22"/>
      <c r="U795" s="22"/>
      <c r="V795" s="22"/>
    </row>
    <row r="796" spans="1:22" ht="15.75" customHeight="1">
      <c r="A796" s="24"/>
      <c r="E796" s="22"/>
      <c r="F796" s="22"/>
      <c r="G796" s="22"/>
      <c r="P796" s="18"/>
      <c r="T796" s="22"/>
      <c r="U796" s="22"/>
      <c r="V796" s="22"/>
    </row>
    <row r="797" spans="1:22" ht="15.75" customHeight="1">
      <c r="A797" s="24"/>
      <c r="E797" s="22"/>
      <c r="F797" s="22"/>
      <c r="G797" s="22"/>
      <c r="P797" s="18"/>
      <c r="T797" s="22"/>
      <c r="U797" s="22"/>
      <c r="V797" s="22"/>
    </row>
    <row r="798" spans="1:22" ht="15.75" customHeight="1">
      <c r="A798" s="24"/>
      <c r="E798" s="22"/>
      <c r="F798" s="22"/>
      <c r="G798" s="22"/>
      <c r="P798" s="18"/>
      <c r="T798" s="22"/>
      <c r="U798" s="22"/>
      <c r="V798" s="22"/>
    </row>
    <row r="799" spans="1:22" ht="15.75" customHeight="1">
      <c r="A799" s="24"/>
      <c r="E799" s="22"/>
      <c r="F799" s="22"/>
      <c r="G799" s="22"/>
      <c r="P799" s="18"/>
      <c r="T799" s="22"/>
      <c r="U799" s="22"/>
      <c r="V799" s="22"/>
    </row>
    <row r="800" spans="1:22" ht="15.75" customHeight="1">
      <c r="A800" s="24"/>
      <c r="E800" s="22"/>
      <c r="F800" s="22"/>
      <c r="G800" s="22"/>
      <c r="P800" s="18"/>
      <c r="T800" s="22"/>
      <c r="U800" s="22"/>
      <c r="V800" s="22"/>
    </row>
    <row r="801" spans="1:22" ht="15.75" customHeight="1">
      <c r="A801" s="24"/>
      <c r="E801" s="22"/>
      <c r="F801" s="22"/>
      <c r="G801" s="22"/>
      <c r="P801" s="18"/>
      <c r="T801" s="22"/>
      <c r="U801" s="22"/>
      <c r="V801" s="22"/>
    </row>
    <row r="802" spans="1:22" ht="15.75" customHeight="1">
      <c r="A802" s="24"/>
      <c r="E802" s="22"/>
      <c r="F802" s="22"/>
      <c r="G802" s="22"/>
      <c r="P802" s="18"/>
      <c r="T802" s="22"/>
      <c r="U802" s="22"/>
      <c r="V802" s="22"/>
    </row>
    <row r="803" spans="1:22" ht="15.75" customHeight="1">
      <c r="A803" s="24"/>
      <c r="E803" s="22"/>
      <c r="F803" s="22"/>
      <c r="G803" s="22"/>
      <c r="P803" s="18"/>
      <c r="T803" s="22"/>
      <c r="U803" s="22"/>
      <c r="V803" s="22"/>
    </row>
    <row r="804" spans="1:22" ht="15.75" customHeight="1">
      <c r="A804" s="24"/>
      <c r="E804" s="22"/>
      <c r="F804" s="22"/>
      <c r="G804" s="22"/>
      <c r="P804" s="18"/>
      <c r="T804" s="22"/>
      <c r="U804" s="22"/>
      <c r="V804" s="22"/>
    </row>
    <row r="805" spans="1:22" ht="15.75" customHeight="1">
      <c r="A805" s="24"/>
      <c r="E805" s="22"/>
      <c r="F805" s="22"/>
      <c r="G805" s="22"/>
      <c r="P805" s="18"/>
      <c r="T805" s="22"/>
      <c r="U805" s="22"/>
      <c r="V805" s="22"/>
    </row>
    <row r="806" spans="1:22" ht="15.75" customHeight="1">
      <c r="A806" s="24"/>
      <c r="E806" s="22"/>
      <c r="F806" s="22"/>
      <c r="G806" s="22"/>
      <c r="P806" s="18"/>
      <c r="T806" s="22"/>
      <c r="U806" s="22"/>
      <c r="V806" s="22"/>
    </row>
    <row r="807" spans="1:22" ht="15.75" customHeight="1">
      <c r="A807" s="24"/>
      <c r="E807" s="22"/>
      <c r="F807" s="22"/>
      <c r="G807" s="22"/>
      <c r="P807" s="18"/>
      <c r="T807" s="22"/>
      <c r="U807" s="22"/>
      <c r="V807" s="22"/>
    </row>
    <row r="808" spans="1:22" ht="15.75" customHeight="1">
      <c r="A808" s="24"/>
      <c r="E808" s="22"/>
      <c r="F808" s="22"/>
      <c r="G808" s="22"/>
      <c r="P808" s="18"/>
      <c r="T808" s="22"/>
      <c r="U808" s="22"/>
      <c r="V808" s="22"/>
    </row>
    <row r="809" spans="1:22" ht="15.75" customHeight="1">
      <c r="A809" s="24"/>
      <c r="E809" s="22"/>
      <c r="F809" s="22"/>
      <c r="G809" s="22"/>
      <c r="P809" s="18"/>
      <c r="T809" s="22"/>
      <c r="U809" s="22"/>
      <c r="V809" s="22"/>
    </row>
    <row r="810" spans="1:22" ht="15.75" customHeight="1">
      <c r="A810" s="24"/>
      <c r="E810" s="22"/>
      <c r="F810" s="22"/>
      <c r="G810" s="22"/>
      <c r="P810" s="18"/>
      <c r="T810" s="22"/>
      <c r="U810" s="22"/>
      <c r="V810" s="22"/>
    </row>
    <row r="811" spans="1:22" ht="15.75" customHeight="1">
      <c r="A811" s="24"/>
      <c r="E811" s="22"/>
      <c r="F811" s="22"/>
      <c r="G811" s="22"/>
      <c r="P811" s="18"/>
      <c r="T811" s="22"/>
      <c r="U811" s="22"/>
      <c r="V811" s="22"/>
    </row>
    <row r="812" spans="1:22" ht="15.75" customHeight="1">
      <c r="A812" s="24"/>
      <c r="E812" s="22"/>
      <c r="F812" s="22"/>
      <c r="G812" s="22"/>
      <c r="P812" s="18"/>
      <c r="T812" s="22"/>
      <c r="U812" s="22"/>
      <c r="V812" s="22"/>
    </row>
    <row r="813" spans="1:22" ht="15.75" customHeight="1">
      <c r="A813" s="24"/>
      <c r="E813" s="22"/>
      <c r="F813" s="22"/>
      <c r="G813" s="22"/>
      <c r="P813" s="18"/>
      <c r="T813" s="22"/>
      <c r="U813" s="22"/>
      <c r="V813" s="22"/>
    </row>
    <row r="814" spans="1:22" ht="15.75" customHeight="1">
      <c r="A814" s="24"/>
      <c r="E814" s="22"/>
      <c r="F814" s="22"/>
      <c r="G814" s="22"/>
      <c r="P814" s="18"/>
      <c r="T814" s="22"/>
      <c r="U814" s="22"/>
      <c r="V814" s="22"/>
    </row>
    <row r="815" spans="1:22" ht="15.75" customHeight="1">
      <c r="A815" s="24"/>
      <c r="E815" s="22"/>
      <c r="F815" s="22"/>
      <c r="G815" s="22"/>
      <c r="P815" s="18"/>
      <c r="T815" s="22"/>
      <c r="U815" s="22"/>
      <c r="V815" s="22"/>
    </row>
    <row r="816" spans="1:22" ht="15.75" customHeight="1">
      <c r="A816" s="24"/>
      <c r="E816" s="22"/>
      <c r="F816" s="22"/>
      <c r="G816" s="22"/>
      <c r="P816" s="18"/>
      <c r="T816" s="22"/>
      <c r="U816" s="22"/>
      <c r="V816" s="22"/>
    </row>
    <row r="817" spans="1:22" ht="15.75" customHeight="1">
      <c r="A817" s="24"/>
      <c r="E817" s="22"/>
      <c r="F817" s="22"/>
      <c r="G817" s="22"/>
      <c r="P817" s="18"/>
      <c r="T817" s="22"/>
      <c r="U817" s="22"/>
      <c r="V817" s="22"/>
    </row>
    <row r="818" spans="1:22" ht="15.75" customHeight="1">
      <c r="A818" s="24"/>
      <c r="E818" s="22"/>
      <c r="F818" s="22"/>
      <c r="G818" s="22"/>
      <c r="P818" s="18"/>
      <c r="T818" s="22"/>
      <c r="U818" s="22"/>
      <c r="V818" s="22"/>
    </row>
    <row r="819" spans="1:22" ht="15.75" customHeight="1">
      <c r="A819" s="24"/>
      <c r="E819" s="22"/>
      <c r="F819" s="22"/>
      <c r="G819" s="22"/>
      <c r="P819" s="18"/>
      <c r="T819" s="22"/>
      <c r="U819" s="22"/>
      <c r="V819" s="22"/>
    </row>
    <row r="820" spans="1:22" ht="15.75" customHeight="1">
      <c r="A820" s="24"/>
      <c r="E820" s="22"/>
      <c r="F820" s="22"/>
      <c r="G820" s="22"/>
      <c r="P820" s="18"/>
      <c r="T820" s="22"/>
      <c r="U820" s="22"/>
      <c r="V820" s="22"/>
    </row>
    <row r="821" spans="1:22" ht="15.75" customHeight="1">
      <c r="A821" s="24"/>
      <c r="E821" s="22"/>
      <c r="F821" s="22"/>
      <c r="G821" s="22"/>
      <c r="P821" s="18"/>
      <c r="T821" s="22"/>
      <c r="U821" s="22"/>
      <c r="V821" s="22"/>
    </row>
    <row r="822" spans="1:22" ht="15.75" customHeight="1">
      <c r="A822" s="24"/>
      <c r="E822" s="22"/>
      <c r="F822" s="22"/>
      <c r="G822" s="22"/>
      <c r="P822" s="18"/>
      <c r="T822" s="22"/>
      <c r="U822" s="22"/>
      <c r="V822" s="22"/>
    </row>
    <row r="823" spans="1:22" ht="15.75" customHeight="1">
      <c r="A823" s="24"/>
      <c r="E823" s="22"/>
      <c r="F823" s="22"/>
      <c r="G823" s="22"/>
      <c r="P823" s="18"/>
      <c r="T823" s="22"/>
      <c r="U823" s="22"/>
      <c r="V823" s="22"/>
    </row>
    <row r="824" spans="1:22" ht="15.75" customHeight="1">
      <c r="A824" s="24"/>
      <c r="E824" s="22"/>
      <c r="F824" s="22"/>
      <c r="G824" s="22"/>
      <c r="P824" s="18"/>
      <c r="T824" s="22"/>
      <c r="U824" s="22"/>
      <c r="V824" s="22"/>
    </row>
    <row r="825" spans="1:22" ht="15.75" customHeight="1">
      <c r="A825" s="24"/>
      <c r="E825" s="22"/>
      <c r="F825" s="22"/>
      <c r="G825" s="22"/>
      <c r="P825" s="18"/>
      <c r="T825" s="22"/>
      <c r="U825" s="22"/>
      <c r="V825" s="22"/>
    </row>
    <row r="826" spans="1:22" ht="15.75" customHeight="1">
      <c r="A826" s="24"/>
      <c r="E826" s="22"/>
      <c r="F826" s="22"/>
      <c r="G826" s="22"/>
      <c r="P826" s="18"/>
      <c r="T826" s="22"/>
      <c r="U826" s="22"/>
      <c r="V826" s="22"/>
    </row>
    <row r="827" spans="1:22" ht="15.75" customHeight="1">
      <c r="A827" s="24"/>
      <c r="E827" s="22"/>
      <c r="F827" s="22"/>
      <c r="G827" s="22"/>
      <c r="P827" s="18"/>
      <c r="T827" s="22"/>
      <c r="U827" s="22"/>
      <c r="V827" s="22"/>
    </row>
    <row r="828" spans="1:22" ht="15.75" customHeight="1">
      <c r="A828" s="24"/>
      <c r="E828" s="22"/>
      <c r="F828" s="22"/>
      <c r="G828" s="22"/>
      <c r="P828" s="18"/>
      <c r="T828" s="22"/>
      <c r="U828" s="22"/>
      <c r="V828" s="22"/>
    </row>
    <row r="829" spans="1:22" ht="15.75" customHeight="1">
      <c r="A829" s="24"/>
      <c r="E829" s="22"/>
      <c r="F829" s="22"/>
      <c r="G829" s="22"/>
      <c r="P829" s="18"/>
      <c r="T829" s="22"/>
      <c r="U829" s="22"/>
      <c r="V829" s="22"/>
    </row>
    <row r="830" spans="1:22" ht="15.75" customHeight="1">
      <c r="A830" s="24"/>
      <c r="E830" s="22"/>
      <c r="F830" s="22"/>
      <c r="G830" s="22"/>
      <c r="P830" s="18"/>
      <c r="T830" s="22"/>
      <c r="U830" s="22"/>
      <c r="V830" s="22"/>
    </row>
    <row r="831" spans="1:22" ht="15.75" customHeight="1">
      <c r="A831" s="24"/>
      <c r="E831" s="22"/>
      <c r="F831" s="22"/>
      <c r="G831" s="22"/>
      <c r="P831" s="18"/>
      <c r="T831" s="22"/>
      <c r="U831" s="22"/>
      <c r="V831" s="22"/>
    </row>
    <row r="832" spans="1:22" ht="15.75" customHeight="1">
      <c r="A832" s="24"/>
      <c r="E832" s="22"/>
      <c r="F832" s="22"/>
      <c r="G832" s="22"/>
      <c r="P832" s="18"/>
      <c r="T832" s="22"/>
      <c r="U832" s="22"/>
      <c r="V832" s="22"/>
    </row>
    <row r="833" spans="1:22" ht="15.75" customHeight="1">
      <c r="A833" s="24"/>
      <c r="E833" s="22"/>
      <c r="F833" s="22"/>
      <c r="G833" s="22"/>
      <c r="P833" s="18"/>
      <c r="T833" s="22"/>
      <c r="U833" s="22"/>
      <c r="V833" s="22"/>
    </row>
    <row r="834" spans="1:22" ht="15.75" customHeight="1">
      <c r="A834" s="24"/>
      <c r="E834" s="22"/>
      <c r="F834" s="22"/>
      <c r="G834" s="22"/>
      <c r="P834" s="18"/>
      <c r="T834" s="22"/>
      <c r="U834" s="22"/>
      <c r="V834" s="22"/>
    </row>
    <row r="835" spans="1:22" ht="15.75" customHeight="1">
      <c r="A835" s="24"/>
      <c r="E835" s="22"/>
      <c r="F835" s="22"/>
      <c r="G835" s="22"/>
      <c r="P835" s="18"/>
      <c r="T835" s="22"/>
      <c r="U835" s="22"/>
      <c r="V835" s="22"/>
    </row>
    <row r="836" spans="1:22" ht="15.75" customHeight="1">
      <c r="A836" s="24"/>
      <c r="E836" s="22"/>
      <c r="F836" s="22"/>
      <c r="G836" s="22"/>
      <c r="P836" s="18"/>
      <c r="T836" s="22"/>
      <c r="U836" s="22"/>
      <c r="V836" s="22"/>
    </row>
    <row r="837" spans="1:22" ht="15.75" customHeight="1">
      <c r="A837" s="24"/>
      <c r="E837" s="22"/>
      <c r="F837" s="22"/>
      <c r="G837" s="22"/>
      <c r="P837" s="18"/>
      <c r="T837" s="22"/>
      <c r="U837" s="22"/>
      <c r="V837" s="22"/>
    </row>
    <row r="838" spans="1:22" ht="15.75" customHeight="1">
      <c r="A838" s="24"/>
      <c r="E838" s="22"/>
      <c r="F838" s="22"/>
      <c r="G838" s="22"/>
      <c r="P838" s="18"/>
      <c r="T838" s="22"/>
      <c r="U838" s="22"/>
      <c r="V838" s="22"/>
    </row>
    <row r="839" spans="1:22" ht="15.75" customHeight="1">
      <c r="A839" s="24"/>
      <c r="E839" s="22"/>
      <c r="F839" s="22"/>
      <c r="G839" s="22"/>
      <c r="P839" s="18"/>
      <c r="T839" s="22"/>
      <c r="U839" s="22"/>
      <c r="V839" s="22"/>
    </row>
    <row r="840" spans="1:22" ht="15.75" customHeight="1">
      <c r="A840" s="24"/>
      <c r="E840" s="22"/>
      <c r="F840" s="22"/>
      <c r="G840" s="22"/>
      <c r="P840" s="18"/>
      <c r="T840" s="22"/>
      <c r="U840" s="22"/>
      <c r="V840" s="22"/>
    </row>
    <row r="841" spans="1:22" ht="15.75" customHeight="1">
      <c r="A841" s="24"/>
      <c r="E841" s="22"/>
      <c r="F841" s="22"/>
      <c r="G841" s="22"/>
      <c r="P841" s="18"/>
      <c r="T841" s="22"/>
      <c r="U841" s="22"/>
      <c r="V841" s="22"/>
    </row>
    <row r="842" spans="1:22" ht="15.75" customHeight="1">
      <c r="A842" s="24"/>
      <c r="E842" s="22"/>
      <c r="F842" s="22"/>
      <c r="G842" s="22"/>
      <c r="P842" s="18"/>
      <c r="T842" s="22"/>
      <c r="U842" s="22"/>
      <c r="V842" s="22"/>
    </row>
    <row r="843" spans="1:22" ht="15.75" customHeight="1">
      <c r="A843" s="24"/>
      <c r="E843" s="22"/>
      <c r="F843" s="22"/>
      <c r="G843" s="22"/>
      <c r="P843" s="18"/>
      <c r="T843" s="22"/>
      <c r="U843" s="22"/>
      <c r="V843" s="22"/>
    </row>
    <row r="844" spans="1:22" ht="15.75" customHeight="1">
      <c r="A844" s="24"/>
      <c r="E844" s="22"/>
      <c r="F844" s="22"/>
      <c r="G844" s="22"/>
      <c r="P844" s="18"/>
      <c r="T844" s="22"/>
      <c r="U844" s="22"/>
      <c r="V844" s="22"/>
    </row>
    <row r="845" spans="1:22" ht="15.75" customHeight="1">
      <c r="A845" s="24"/>
      <c r="E845" s="22"/>
      <c r="F845" s="22"/>
      <c r="G845" s="22"/>
      <c r="P845" s="18"/>
      <c r="T845" s="22"/>
      <c r="U845" s="22"/>
      <c r="V845" s="22"/>
    </row>
    <row r="846" spans="1:22" ht="15.75" customHeight="1">
      <c r="A846" s="24"/>
      <c r="E846" s="22"/>
      <c r="F846" s="22"/>
      <c r="G846" s="22"/>
      <c r="P846" s="18"/>
      <c r="T846" s="22"/>
      <c r="U846" s="22"/>
      <c r="V846" s="22"/>
    </row>
    <row r="847" spans="1:22" ht="15.75" customHeight="1">
      <c r="A847" s="24"/>
      <c r="E847" s="22"/>
      <c r="F847" s="22"/>
      <c r="G847" s="22"/>
      <c r="P847" s="18"/>
      <c r="T847" s="22"/>
      <c r="U847" s="22"/>
      <c r="V847" s="22"/>
    </row>
    <row r="848" spans="1:22" ht="15.75" customHeight="1">
      <c r="A848" s="24"/>
      <c r="E848" s="22"/>
      <c r="F848" s="22"/>
      <c r="G848" s="22"/>
      <c r="P848" s="18"/>
      <c r="T848" s="22"/>
      <c r="U848" s="22"/>
      <c r="V848" s="22"/>
    </row>
    <row r="849" spans="1:22" ht="15.75" customHeight="1">
      <c r="A849" s="24"/>
      <c r="E849" s="22"/>
      <c r="F849" s="22"/>
      <c r="G849" s="22"/>
      <c r="P849" s="18"/>
      <c r="T849" s="22"/>
      <c r="U849" s="22"/>
      <c r="V849" s="22"/>
    </row>
    <row r="850" spans="1:22" ht="15.75" customHeight="1">
      <c r="A850" s="24"/>
      <c r="E850" s="22"/>
      <c r="F850" s="22"/>
      <c r="G850" s="22"/>
      <c r="P850" s="18"/>
      <c r="T850" s="22"/>
      <c r="U850" s="22"/>
      <c r="V850" s="22"/>
    </row>
    <row r="851" spans="1:22" ht="15.75" customHeight="1">
      <c r="A851" s="24"/>
      <c r="E851" s="22"/>
      <c r="F851" s="22"/>
      <c r="G851" s="22"/>
      <c r="P851" s="18"/>
      <c r="T851" s="22"/>
      <c r="U851" s="22"/>
      <c r="V851" s="22"/>
    </row>
    <row r="852" spans="1:22" ht="15.75" customHeight="1">
      <c r="A852" s="24"/>
      <c r="E852" s="22"/>
      <c r="F852" s="22"/>
      <c r="G852" s="22"/>
      <c r="P852" s="18"/>
      <c r="T852" s="22"/>
      <c r="U852" s="22"/>
      <c r="V852" s="22"/>
    </row>
    <row r="853" spans="1:22" ht="15.75" customHeight="1">
      <c r="A853" s="24"/>
      <c r="E853" s="22"/>
      <c r="F853" s="22"/>
      <c r="G853" s="22"/>
      <c r="P853" s="18"/>
      <c r="T853" s="22"/>
      <c r="U853" s="22"/>
      <c r="V853" s="22"/>
    </row>
    <row r="854" spans="1:22" ht="15.75" customHeight="1">
      <c r="A854" s="24"/>
      <c r="E854" s="22"/>
      <c r="F854" s="22"/>
      <c r="G854" s="22"/>
      <c r="P854" s="18"/>
      <c r="T854" s="22"/>
      <c r="U854" s="22"/>
      <c r="V854" s="22"/>
    </row>
    <row r="855" spans="1:22" ht="15.75" customHeight="1">
      <c r="A855" s="24"/>
      <c r="E855" s="22"/>
      <c r="F855" s="22"/>
      <c r="G855" s="22"/>
      <c r="P855" s="18"/>
      <c r="T855" s="22"/>
      <c r="U855" s="22"/>
      <c r="V855" s="22"/>
    </row>
    <row r="856" spans="1:22" ht="15.75" customHeight="1">
      <c r="A856" s="24"/>
      <c r="E856" s="22"/>
      <c r="F856" s="22"/>
      <c r="G856" s="22"/>
      <c r="P856" s="18"/>
      <c r="T856" s="22"/>
      <c r="U856" s="22"/>
      <c r="V856" s="22"/>
    </row>
    <row r="857" spans="1:22" ht="15.75" customHeight="1">
      <c r="A857" s="24"/>
      <c r="E857" s="22"/>
      <c r="F857" s="22"/>
      <c r="G857" s="22"/>
      <c r="P857" s="18"/>
      <c r="T857" s="22"/>
      <c r="U857" s="22"/>
      <c r="V857" s="22"/>
    </row>
    <row r="858" spans="1:22" ht="15.75" customHeight="1">
      <c r="A858" s="24"/>
      <c r="E858" s="22"/>
      <c r="F858" s="22"/>
      <c r="G858" s="22"/>
      <c r="P858" s="18"/>
      <c r="T858" s="22"/>
      <c r="U858" s="22"/>
      <c r="V858" s="22"/>
    </row>
    <row r="859" spans="1:22" ht="15.75" customHeight="1">
      <c r="A859" s="24"/>
      <c r="E859" s="22"/>
      <c r="F859" s="22"/>
      <c r="G859" s="22"/>
      <c r="P859" s="18"/>
      <c r="T859" s="22"/>
      <c r="U859" s="22"/>
      <c r="V859" s="22"/>
    </row>
    <row r="860" spans="1:22" ht="15.75" customHeight="1">
      <c r="A860" s="24"/>
      <c r="E860" s="22"/>
      <c r="F860" s="22"/>
      <c r="G860" s="22"/>
      <c r="P860" s="18"/>
      <c r="T860" s="22"/>
      <c r="U860" s="22"/>
      <c r="V860" s="22"/>
    </row>
    <row r="861" spans="1:22" ht="15.75" customHeight="1">
      <c r="A861" s="24"/>
      <c r="E861" s="22"/>
      <c r="F861" s="22"/>
      <c r="G861" s="22"/>
      <c r="P861" s="18"/>
      <c r="T861" s="22"/>
      <c r="U861" s="22"/>
      <c r="V861" s="22"/>
    </row>
    <row r="862" spans="1:22" ht="15.75" customHeight="1">
      <c r="A862" s="24"/>
      <c r="E862" s="22"/>
      <c r="F862" s="22"/>
      <c r="G862" s="22"/>
      <c r="P862" s="18"/>
      <c r="T862" s="22"/>
      <c r="U862" s="22"/>
      <c r="V862" s="22"/>
    </row>
    <row r="863" spans="1:22" ht="15.75" customHeight="1">
      <c r="A863" s="24"/>
      <c r="E863" s="22"/>
      <c r="F863" s="22"/>
      <c r="G863" s="22"/>
      <c r="P863" s="18"/>
      <c r="T863" s="22"/>
      <c r="U863" s="22"/>
      <c r="V863" s="22"/>
    </row>
    <row r="864" spans="1:22" ht="15.75" customHeight="1">
      <c r="A864" s="24"/>
      <c r="E864" s="22"/>
      <c r="F864" s="22"/>
      <c r="G864" s="22"/>
      <c r="P864" s="18"/>
      <c r="T864" s="22"/>
      <c r="U864" s="22"/>
      <c r="V864" s="22"/>
    </row>
    <row r="865" spans="1:22" ht="15.75" customHeight="1">
      <c r="A865" s="24"/>
      <c r="E865" s="22"/>
      <c r="F865" s="22"/>
      <c r="G865" s="22"/>
      <c r="P865" s="18"/>
      <c r="T865" s="22"/>
      <c r="U865" s="22"/>
      <c r="V865" s="22"/>
    </row>
    <row r="866" spans="1:22" ht="15.75" customHeight="1">
      <c r="A866" s="24"/>
      <c r="E866" s="22"/>
      <c r="F866" s="22"/>
      <c r="G866" s="22"/>
      <c r="P866" s="18"/>
      <c r="T866" s="22"/>
      <c r="U866" s="22"/>
      <c r="V866" s="22"/>
    </row>
    <row r="867" spans="1:22" ht="15.75" customHeight="1">
      <c r="A867" s="24"/>
      <c r="E867" s="22"/>
      <c r="F867" s="22"/>
      <c r="G867" s="22"/>
      <c r="P867" s="18"/>
      <c r="T867" s="22"/>
      <c r="U867" s="22"/>
      <c r="V867" s="22"/>
    </row>
    <row r="868" spans="1:22" ht="15.75" customHeight="1">
      <c r="A868" s="24"/>
      <c r="E868" s="22"/>
      <c r="F868" s="22"/>
      <c r="G868" s="22"/>
      <c r="P868" s="18"/>
      <c r="T868" s="22"/>
      <c r="U868" s="22"/>
      <c r="V868" s="22"/>
    </row>
    <row r="869" spans="1:22" ht="15.75" customHeight="1">
      <c r="A869" s="24"/>
      <c r="E869" s="22"/>
      <c r="F869" s="22"/>
      <c r="G869" s="22"/>
      <c r="P869" s="18"/>
      <c r="T869" s="22"/>
      <c r="U869" s="22"/>
      <c r="V869" s="22"/>
    </row>
    <row r="870" spans="1:22" ht="15.75" customHeight="1">
      <c r="A870" s="24"/>
      <c r="E870" s="22"/>
      <c r="F870" s="22"/>
      <c r="G870" s="22"/>
      <c r="P870" s="18"/>
      <c r="T870" s="22"/>
      <c r="U870" s="22"/>
      <c r="V870" s="22"/>
    </row>
    <row r="871" spans="1:22" ht="15.75" customHeight="1">
      <c r="A871" s="24"/>
      <c r="E871" s="22"/>
      <c r="F871" s="22"/>
      <c r="G871" s="22"/>
      <c r="P871" s="18"/>
      <c r="T871" s="22"/>
      <c r="U871" s="22"/>
      <c r="V871" s="22"/>
    </row>
    <row r="872" spans="1:22" ht="15.75" customHeight="1">
      <c r="A872" s="24"/>
      <c r="E872" s="22"/>
      <c r="F872" s="22"/>
      <c r="G872" s="22"/>
      <c r="P872" s="18"/>
      <c r="T872" s="22"/>
      <c r="U872" s="22"/>
      <c r="V872" s="22"/>
    </row>
    <row r="873" spans="1:22" ht="15.75" customHeight="1">
      <c r="A873" s="24"/>
      <c r="E873" s="22"/>
      <c r="F873" s="22"/>
      <c r="G873" s="22"/>
      <c r="P873" s="18"/>
      <c r="T873" s="22"/>
      <c r="U873" s="22"/>
      <c r="V873" s="22"/>
    </row>
    <row r="874" spans="1:22" ht="15.75" customHeight="1">
      <c r="A874" s="24"/>
      <c r="E874" s="22"/>
      <c r="F874" s="22"/>
      <c r="G874" s="22"/>
      <c r="P874" s="18"/>
      <c r="T874" s="22"/>
      <c r="U874" s="22"/>
      <c r="V874" s="22"/>
    </row>
    <row r="875" spans="1:22" ht="15.75" customHeight="1">
      <c r="A875" s="24"/>
      <c r="E875" s="22"/>
      <c r="F875" s="22"/>
      <c r="G875" s="22"/>
      <c r="P875" s="18"/>
      <c r="T875" s="22"/>
      <c r="U875" s="22"/>
      <c r="V875" s="22"/>
    </row>
    <row r="876" spans="1:22" ht="15.75" customHeight="1">
      <c r="A876" s="24"/>
      <c r="E876" s="22"/>
      <c r="F876" s="22"/>
      <c r="G876" s="22"/>
      <c r="P876" s="18"/>
      <c r="T876" s="22"/>
      <c r="U876" s="22"/>
      <c r="V876" s="22"/>
    </row>
    <row r="877" spans="1:22" ht="15.75" customHeight="1">
      <c r="A877" s="24"/>
      <c r="E877" s="22"/>
      <c r="F877" s="22"/>
      <c r="G877" s="22"/>
      <c r="P877" s="18"/>
      <c r="T877" s="22"/>
      <c r="U877" s="22"/>
      <c r="V877" s="22"/>
    </row>
    <row r="878" spans="1:22" ht="15.75" customHeight="1">
      <c r="A878" s="24"/>
      <c r="E878" s="22"/>
      <c r="F878" s="22"/>
      <c r="G878" s="22"/>
      <c r="P878" s="18"/>
      <c r="T878" s="22"/>
      <c r="U878" s="22"/>
      <c r="V878" s="22"/>
    </row>
    <row r="879" spans="1:22" ht="15.75" customHeight="1">
      <c r="A879" s="24"/>
      <c r="E879" s="22"/>
      <c r="F879" s="22"/>
      <c r="G879" s="22"/>
      <c r="P879" s="18"/>
      <c r="T879" s="22"/>
      <c r="U879" s="22"/>
      <c r="V879" s="22"/>
    </row>
    <row r="880" spans="1:22" ht="15.75" customHeight="1">
      <c r="A880" s="24"/>
      <c r="E880" s="22"/>
      <c r="F880" s="22"/>
      <c r="G880" s="22"/>
      <c r="P880" s="18"/>
      <c r="T880" s="22"/>
      <c r="U880" s="22"/>
      <c r="V880" s="22"/>
    </row>
    <row r="881" spans="1:22" ht="15.75" customHeight="1">
      <c r="A881" s="24"/>
      <c r="E881" s="22"/>
      <c r="F881" s="22"/>
      <c r="G881" s="22"/>
      <c r="P881" s="18"/>
      <c r="T881" s="22"/>
      <c r="U881" s="22"/>
      <c r="V881" s="22"/>
    </row>
    <row r="882" spans="1:22" ht="15.75" customHeight="1">
      <c r="A882" s="24"/>
      <c r="E882" s="22"/>
      <c r="F882" s="22"/>
      <c r="G882" s="22"/>
      <c r="P882" s="18"/>
      <c r="T882" s="22"/>
      <c r="U882" s="22"/>
      <c r="V882" s="22"/>
    </row>
    <row r="883" spans="1:22" ht="15.75" customHeight="1">
      <c r="A883" s="24"/>
      <c r="E883" s="22"/>
      <c r="F883" s="22"/>
      <c r="G883" s="22"/>
      <c r="P883" s="18"/>
      <c r="T883" s="22"/>
      <c r="U883" s="22"/>
      <c r="V883" s="22"/>
    </row>
    <row r="884" spans="1:22" ht="15.75" customHeight="1">
      <c r="A884" s="24"/>
      <c r="E884" s="22"/>
      <c r="F884" s="22"/>
      <c r="G884" s="22"/>
      <c r="P884" s="18"/>
      <c r="T884" s="22"/>
      <c r="U884" s="22"/>
      <c r="V884" s="22"/>
    </row>
    <row r="885" spans="1:22" ht="15.75" customHeight="1">
      <c r="A885" s="24"/>
      <c r="E885" s="22"/>
      <c r="F885" s="22"/>
      <c r="G885" s="22"/>
      <c r="P885" s="18"/>
      <c r="T885" s="22"/>
      <c r="U885" s="22"/>
      <c r="V885" s="22"/>
    </row>
    <row r="886" spans="1:22" ht="15.75" customHeight="1">
      <c r="A886" s="24"/>
      <c r="E886" s="22"/>
      <c r="F886" s="22"/>
      <c r="G886" s="22"/>
      <c r="P886" s="18"/>
      <c r="T886" s="22"/>
      <c r="U886" s="22"/>
      <c r="V886" s="22"/>
    </row>
    <row r="887" spans="1:22" ht="15.75" customHeight="1">
      <c r="A887" s="24"/>
      <c r="E887" s="22"/>
      <c r="F887" s="22"/>
      <c r="G887" s="22"/>
      <c r="P887" s="18"/>
      <c r="T887" s="22"/>
      <c r="U887" s="22"/>
      <c r="V887" s="22"/>
    </row>
    <row r="888" spans="1:22" ht="15.75" customHeight="1">
      <c r="A888" s="24"/>
      <c r="E888" s="22"/>
      <c r="F888" s="22"/>
      <c r="G888" s="22"/>
      <c r="P888" s="18"/>
      <c r="T888" s="22"/>
      <c r="U888" s="22"/>
      <c r="V888" s="22"/>
    </row>
    <row r="889" spans="1:22" ht="15.75" customHeight="1">
      <c r="A889" s="24"/>
      <c r="E889" s="22"/>
      <c r="F889" s="22"/>
      <c r="G889" s="22"/>
      <c r="P889" s="18"/>
      <c r="T889" s="22"/>
      <c r="U889" s="22"/>
      <c r="V889" s="22"/>
    </row>
    <row r="890" spans="1:22" ht="15.75" customHeight="1">
      <c r="A890" s="24"/>
      <c r="E890" s="22"/>
      <c r="F890" s="22"/>
      <c r="G890" s="22"/>
      <c r="P890" s="18"/>
      <c r="T890" s="22"/>
      <c r="U890" s="22"/>
      <c r="V890" s="22"/>
    </row>
    <row r="891" spans="1:22" ht="15.75" customHeight="1">
      <c r="A891" s="24"/>
      <c r="E891" s="22"/>
      <c r="F891" s="22"/>
      <c r="G891" s="22"/>
      <c r="P891" s="18"/>
      <c r="T891" s="22"/>
      <c r="U891" s="22"/>
      <c r="V891" s="22"/>
    </row>
    <row r="892" spans="1:22" ht="15.75" customHeight="1">
      <c r="A892" s="24"/>
      <c r="E892" s="22"/>
      <c r="F892" s="22"/>
      <c r="G892" s="22"/>
      <c r="P892" s="18"/>
      <c r="T892" s="22"/>
      <c r="U892" s="22"/>
      <c r="V892" s="22"/>
    </row>
    <row r="893" spans="1:22" ht="15.75" customHeight="1">
      <c r="A893" s="24"/>
      <c r="E893" s="22"/>
      <c r="F893" s="22"/>
      <c r="G893" s="22"/>
      <c r="P893" s="18"/>
      <c r="T893" s="22"/>
      <c r="U893" s="22"/>
      <c r="V893" s="22"/>
    </row>
    <row r="894" spans="1:22" ht="15.75" customHeight="1">
      <c r="A894" s="24"/>
      <c r="E894" s="22"/>
      <c r="F894" s="22"/>
      <c r="G894" s="22"/>
      <c r="P894" s="18"/>
      <c r="T894" s="22"/>
      <c r="U894" s="22"/>
      <c r="V894" s="22"/>
    </row>
    <row r="895" spans="1:22" ht="15.75" customHeight="1">
      <c r="A895" s="24"/>
      <c r="E895" s="22"/>
      <c r="F895" s="22"/>
      <c r="G895" s="22"/>
      <c r="P895" s="18"/>
      <c r="T895" s="22"/>
      <c r="U895" s="22"/>
      <c r="V895" s="22"/>
    </row>
    <row r="896" spans="1:22" ht="15.75" customHeight="1">
      <c r="A896" s="24"/>
      <c r="E896" s="22"/>
      <c r="F896" s="22"/>
      <c r="G896" s="22"/>
      <c r="P896" s="18"/>
      <c r="T896" s="22"/>
      <c r="U896" s="22"/>
      <c r="V896" s="22"/>
    </row>
    <row r="897" spans="1:22" ht="15.75" customHeight="1">
      <c r="A897" s="24"/>
      <c r="E897" s="22"/>
      <c r="F897" s="22"/>
      <c r="G897" s="22"/>
      <c r="P897" s="18"/>
      <c r="T897" s="22"/>
      <c r="U897" s="22"/>
      <c r="V897" s="22"/>
    </row>
    <row r="898" spans="1:22" ht="15.75" customHeight="1">
      <c r="A898" s="24"/>
      <c r="E898" s="22"/>
      <c r="F898" s="22"/>
      <c r="G898" s="22"/>
      <c r="P898" s="18"/>
      <c r="T898" s="22"/>
      <c r="U898" s="22"/>
      <c r="V898" s="22"/>
    </row>
    <row r="899" spans="1:22" ht="15.75" customHeight="1">
      <c r="A899" s="24"/>
      <c r="E899" s="22"/>
      <c r="F899" s="22"/>
      <c r="G899" s="22"/>
      <c r="P899" s="18"/>
      <c r="T899" s="22"/>
      <c r="U899" s="22"/>
      <c r="V899" s="22"/>
    </row>
    <row r="900" spans="1:22" ht="15.75" customHeight="1">
      <c r="A900" s="24"/>
      <c r="E900" s="22"/>
      <c r="F900" s="22"/>
      <c r="G900" s="22"/>
      <c r="P900" s="18"/>
      <c r="T900" s="22"/>
      <c r="U900" s="22"/>
      <c r="V900" s="22"/>
    </row>
    <row r="901" spans="1:22" ht="15.75" customHeight="1">
      <c r="A901" s="24"/>
      <c r="E901" s="22"/>
      <c r="F901" s="22"/>
      <c r="G901" s="22"/>
      <c r="P901" s="18"/>
      <c r="T901" s="22"/>
      <c r="U901" s="22"/>
      <c r="V901" s="22"/>
    </row>
    <row r="902" spans="1:22" ht="15.75" customHeight="1">
      <c r="A902" s="24"/>
      <c r="E902" s="22"/>
      <c r="F902" s="22"/>
      <c r="G902" s="22"/>
      <c r="P902" s="18"/>
      <c r="T902" s="22"/>
      <c r="U902" s="22"/>
      <c r="V902" s="22"/>
    </row>
    <row r="903" spans="1:22" ht="15.75" customHeight="1">
      <c r="A903" s="24"/>
      <c r="E903" s="22"/>
      <c r="F903" s="22"/>
      <c r="G903" s="22"/>
      <c r="P903" s="18"/>
      <c r="T903" s="22"/>
      <c r="U903" s="22"/>
      <c r="V903" s="22"/>
    </row>
    <row r="904" spans="1:22" ht="15.75" customHeight="1">
      <c r="A904" s="24"/>
      <c r="E904" s="22"/>
      <c r="F904" s="22"/>
      <c r="G904" s="22"/>
      <c r="P904" s="18"/>
      <c r="T904" s="22"/>
      <c r="U904" s="22"/>
      <c r="V904" s="22"/>
    </row>
    <row r="905" spans="1:22" ht="15.75" customHeight="1">
      <c r="A905" s="24"/>
      <c r="E905" s="22"/>
      <c r="F905" s="22"/>
      <c r="G905" s="22"/>
      <c r="P905" s="18"/>
      <c r="T905" s="22"/>
      <c r="U905" s="22"/>
      <c r="V905" s="22"/>
    </row>
    <row r="906" spans="1:22" ht="15.75" customHeight="1">
      <c r="A906" s="24"/>
      <c r="E906" s="22"/>
      <c r="F906" s="22"/>
      <c r="G906" s="22"/>
      <c r="P906" s="18"/>
      <c r="T906" s="22"/>
      <c r="U906" s="22"/>
      <c r="V906" s="22"/>
    </row>
    <row r="907" spans="1:22" ht="15.75" customHeight="1">
      <c r="A907" s="24"/>
      <c r="E907" s="22"/>
      <c r="F907" s="22"/>
      <c r="G907" s="22"/>
      <c r="P907" s="18"/>
      <c r="T907" s="22"/>
      <c r="U907" s="22"/>
      <c r="V907" s="22"/>
    </row>
    <row r="908" spans="1:22" ht="15.75" customHeight="1">
      <c r="A908" s="24"/>
      <c r="E908" s="22"/>
      <c r="F908" s="22"/>
      <c r="G908" s="22"/>
      <c r="P908" s="18"/>
      <c r="T908" s="22"/>
      <c r="U908" s="22"/>
      <c r="V908" s="22"/>
    </row>
    <row r="909" spans="1:22" ht="15.75" customHeight="1">
      <c r="A909" s="24"/>
      <c r="E909" s="22"/>
      <c r="F909" s="22"/>
      <c r="G909" s="22"/>
      <c r="P909" s="18"/>
      <c r="T909" s="22"/>
      <c r="U909" s="22"/>
      <c r="V909" s="22"/>
    </row>
    <row r="910" spans="1:22" ht="15.75" customHeight="1">
      <c r="A910" s="24"/>
      <c r="E910" s="22"/>
      <c r="F910" s="22"/>
      <c r="G910" s="22"/>
      <c r="P910" s="18"/>
      <c r="T910" s="22"/>
      <c r="U910" s="22"/>
      <c r="V910" s="22"/>
    </row>
    <row r="911" spans="1:22" ht="15.75" customHeight="1">
      <c r="A911" s="24"/>
      <c r="E911" s="22"/>
      <c r="F911" s="22"/>
      <c r="G911" s="22"/>
      <c r="P911" s="18"/>
      <c r="T911" s="22"/>
      <c r="U911" s="22"/>
      <c r="V911" s="22"/>
    </row>
    <row r="912" spans="1:22" ht="15.75" customHeight="1">
      <c r="A912" s="24"/>
      <c r="E912" s="22"/>
      <c r="F912" s="22"/>
      <c r="G912" s="22"/>
      <c r="P912" s="18"/>
      <c r="T912" s="22"/>
      <c r="U912" s="22"/>
      <c r="V912" s="22"/>
    </row>
    <row r="913" spans="1:22" ht="15.75" customHeight="1">
      <c r="A913" s="24"/>
      <c r="E913" s="22"/>
      <c r="F913" s="22"/>
      <c r="G913" s="22"/>
      <c r="P913" s="18"/>
      <c r="T913" s="22"/>
      <c r="U913" s="22"/>
      <c r="V913" s="22"/>
    </row>
    <row r="914" spans="1:22" ht="15.75" customHeight="1">
      <c r="A914" s="24"/>
      <c r="E914" s="22"/>
      <c r="F914" s="22"/>
      <c r="G914" s="22"/>
      <c r="P914" s="18"/>
      <c r="T914" s="22"/>
      <c r="U914" s="22"/>
      <c r="V914" s="22"/>
    </row>
    <row r="915" spans="1:22" ht="15.75" customHeight="1">
      <c r="A915" s="24"/>
      <c r="E915" s="22"/>
      <c r="F915" s="22"/>
      <c r="G915" s="22"/>
      <c r="P915" s="18"/>
      <c r="T915" s="22"/>
      <c r="U915" s="22"/>
      <c r="V915" s="22"/>
    </row>
    <row r="916" spans="1:22" ht="15.75" customHeight="1">
      <c r="A916" s="24"/>
      <c r="E916" s="22"/>
      <c r="F916" s="22"/>
      <c r="G916" s="22"/>
      <c r="P916" s="18"/>
      <c r="T916" s="22"/>
      <c r="U916" s="22"/>
      <c r="V916" s="22"/>
    </row>
    <row r="917" spans="1:22" ht="15.75" customHeight="1">
      <c r="A917" s="24"/>
      <c r="E917" s="22"/>
      <c r="F917" s="22"/>
      <c r="G917" s="22"/>
      <c r="P917" s="18"/>
      <c r="T917" s="22"/>
      <c r="U917" s="22"/>
      <c r="V917" s="22"/>
    </row>
    <row r="918" spans="1:22" ht="15.75" customHeight="1">
      <c r="A918" s="24"/>
      <c r="E918" s="22"/>
      <c r="F918" s="22"/>
      <c r="G918" s="22"/>
      <c r="P918" s="18"/>
      <c r="T918" s="22"/>
      <c r="U918" s="22"/>
      <c r="V918" s="22"/>
    </row>
    <row r="919" spans="1:22" ht="15.75" customHeight="1">
      <c r="A919" s="24"/>
      <c r="E919" s="22"/>
      <c r="F919" s="22"/>
      <c r="G919" s="22"/>
      <c r="P919" s="18"/>
      <c r="T919" s="22"/>
      <c r="U919" s="22"/>
      <c r="V919" s="22"/>
    </row>
    <row r="920" spans="1:22" ht="15.75" customHeight="1">
      <c r="A920" s="24"/>
      <c r="E920" s="22"/>
      <c r="F920" s="22"/>
      <c r="G920" s="22"/>
      <c r="P920" s="18"/>
      <c r="T920" s="22"/>
      <c r="U920" s="22"/>
      <c r="V920" s="22"/>
    </row>
    <row r="921" spans="1:22" ht="15.75" customHeight="1">
      <c r="A921" s="24"/>
      <c r="E921" s="22"/>
      <c r="F921" s="22"/>
      <c r="G921" s="22"/>
      <c r="P921" s="18"/>
      <c r="T921" s="22"/>
      <c r="U921" s="22"/>
      <c r="V921" s="22"/>
    </row>
    <row r="922" spans="1:22" ht="15.75" customHeight="1">
      <c r="A922" s="24"/>
      <c r="E922" s="22"/>
      <c r="F922" s="22"/>
      <c r="G922" s="22"/>
      <c r="P922" s="18"/>
      <c r="T922" s="22"/>
      <c r="U922" s="22"/>
      <c r="V922" s="22"/>
    </row>
    <row r="923" spans="1:22" ht="15.75" customHeight="1">
      <c r="A923" s="24"/>
      <c r="E923" s="22"/>
      <c r="F923" s="22"/>
      <c r="G923" s="22"/>
      <c r="P923" s="18"/>
      <c r="T923" s="22"/>
      <c r="U923" s="22"/>
      <c r="V923" s="22"/>
    </row>
    <row r="924" spans="1:22" ht="15.75" customHeight="1">
      <c r="A924" s="24"/>
      <c r="E924" s="22"/>
      <c r="F924" s="22"/>
      <c r="G924" s="22"/>
      <c r="P924" s="18"/>
      <c r="T924" s="22"/>
      <c r="U924" s="22"/>
      <c r="V924" s="22"/>
    </row>
    <row r="925" spans="1:22" ht="15.75" customHeight="1">
      <c r="A925" s="24"/>
      <c r="E925" s="22"/>
      <c r="F925" s="22"/>
      <c r="G925" s="22"/>
      <c r="P925" s="18"/>
      <c r="T925" s="22"/>
      <c r="U925" s="22"/>
      <c r="V925" s="22"/>
    </row>
    <row r="926" spans="1:22" ht="15.75" customHeight="1">
      <c r="A926" s="24"/>
      <c r="E926" s="22"/>
      <c r="F926" s="22"/>
      <c r="G926" s="22"/>
      <c r="P926" s="18"/>
      <c r="T926" s="22"/>
      <c r="U926" s="22"/>
      <c r="V926" s="22"/>
    </row>
    <row r="927" spans="1:22" ht="15.75" customHeight="1">
      <c r="A927" s="24"/>
      <c r="E927" s="22"/>
      <c r="F927" s="22"/>
      <c r="G927" s="22"/>
      <c r="P927" s="18"/>
      <c r="T927" s="22"/>
      <c r="U927" s="22"/>
      <c r="V927" s="22"/>
    </row>
    <row r="928" spans="1:22" ht="15.75" customHeight="1">
      <c r="A928" s="24"/>
      <c r="E928" s="22"/>
      <c r="F928" s="22"/>
      <c r="G928" s="22"/>
      <c r="P928" s="18"/>
      <c r="T928" s="22"/>
      <c r="U928" s="22"/>
      <c r="V928" s="22"/>
    </row>
    <row r="929" spans="1:22" ht="15.75" customHeight="1">
      <c r="A929" s="24"/>
      <c r="E929" s="22"/>
      <c r="F929" s="22"/>
      <c r="G929" s="22"/>
      <c r="P929" s="18"/>
      <c r="T929" s="22"/>
      <c r="U929" s="22"/>
      <c r="V929" s="22"/>
    </row>
    <row r="930" spans="1:22" ht="15.75" customHeight="1">
      <c r="A930" s="24"/>
      <c r="E930" s="22"/>
      <c r="F930" s="22"/>
      <c r="G930" s="22"/>
      <c r="P930" s="18"/>
      <c r="T930" s="22"/>
      <c r="U930" s="22"/>
      <c r="V930" s="22"/>
    </row>
    <row r="931" spans="1:22" ht="15.75" customHeight="1">
      <c r="A931" s="24"/>
      <c r="E931" s="22"/>
      <c r="F931" s="22"/>
      <c r="G931" s="22"/>
      <c r="P931" s="18"/>
      <c r="T931" s="22"/>
      <c r="U931" s="22"/>
      <c r="V931" s="22"/>
    </row>
    <row r="932" spans="1:22" ht="15.75" customHeight="1">
      <c r="A932" s="24"/>
      <c r="E932" s="22"/>
      <c r="F932" s="22"/>
      <c r="G932" s="22"/>
      <c r="P932" s="18"/>
      <c r="T932" s="22"/>
      <c r="U932" s="22"/>
      <c r="V932" s="22"/>
    </row>
    <row r="933" spans="1:22" ht="15.75" customHeight="1">
      <c r="A933" s="24"/>
      <c r="E933" s="22"/>
      <c r="F933" s="22"/>
      <c r="G933" s="22"/>
      <c r="P933" s="18"/>
      <c r="T933" s="22"/>
      <c r="U933" s="22"/>
      <c r="V933" s="22"/>
    </row>
    <row r="934" spans="1:22" ht="15.75" customHeight="1">
      <c r="A934" s="24"/>
      <c r="E934" s="22"/>
      <c r="F934" s="22"/>
      <c r="G934" s="22"/>
      <c r="P934" s="18"/>
      <c r="T934" s="22"/>
      <c r="U934" s="22"/>
      <c r="V934" s="22"/>
    </row>
    <row r="935" spans="1:22" ht="15.75" customHeight="1">
      <c r="A935" s="24"/>
      <c r="E935" s="22"/>
      <c r="F935" s="22"/>
      <c r="G935" s="22"/>
      <c r="P935" s="18"/>
      <c r="T935" s="22"/>
      <c r="U935" s="22"/>
      <c r="V935" s="22"/>
    </row>
    <row r="936" spans="1:22" ht="15.75" customHeight="1">
      <c r="A936" s="24"/>
      <c r="E936" s="22"/>
      <c r="F936" s="22"/>
      <c r="G936" s="22"/>
      <c r="P936" s="18"/>
      <c r="T936" s="22"/>
      <c r="U936" s="22"/>
      <c r="V936" s="22"/>
    </row>
    <row r="937" spans="1:22" ht="15.75" customHeight="1">
      <c r="A937" s="24"/>
      <c r="E937" s="22"/>
      <c r="F937" s="22"/>
      <c r="G937" s="22"/>
      <c r="P937" s="18"/>
      <c r="T937" s="22"/>
      <c r="U937" s="22"/>
      <c r="V937" s="22"/>
    </row>
    <row r="938" spans="1:22" ht="15.75" customHeight="1">
      <c r="A938" s="24"/>
      <c r="E938" s="22"/>
      <c r="F938" s="22"/>
      <c r="G938" s="22"/>
      <c r="P938" s="18"/>
      <c r="T938" s="22"/>
      <c r="U938" s="22"/>
      <c r="V938" s="22"/>
    </row>
    <row r="939" spans="1:22" ht="15.75" customHeight="1">
      <c r="A939" s="24"/>
      <c r="E939" s="22"/>
      <c r="F939" s="22"/>
      <c r="G939" s="22"/>
      <c r="P939" s="18"/>
      <c r="T939" s="22"/>
      <c r="U939" s="22"/>
      <c r="V939" s="22"/>
    </row>
    <row r="940" spans="1:22" ht="15.75" customHeight="1">
      <c r="A940" s="24"/>
      <c r="E940" s="22"/>
      <c r="F940" s="22"/>
      <c r="G940" s="22"/>
      <c r="P940" s="18"/>
      <c r="T940" s="22"/>
      <c r="U940" s="22"/>
      <c r="V940" s="22"/>
    </row>
    <row r="941" spans="1:22" ht="15.75" customHeight="1">
      <c r="A941" s="24"/>
      <c r="E941" s="22"/>
      <c r="F941" s="22"/>
      <c r="G941" s="22"/>
      <c r="P941" s="18"/>
      <c r="T941" s="22"/>
      <c r="U941" s="22"/>
      <c r="V941" s="22"/>
    </row>
    <row r="942" spans="1:22" ht="15.75" customHeight="1">
      <c r="A942" s="24"/>
      <c r="E942" s="22"/>
      <c r="F942" s="22"/>
      <c r="G942" s="22"/>
      <c r="P942" s="18"/>
      <c r="T942" s="22"/>
      <c r="U942" s="22"/>
      <c r="V942" s="22"/>
    </row>
    <row r="943" spans="1:22" ht="15.75" customHeight="1">
      <c r="A943" s="24"/>
      <c r="E943" s="22"/>
      <c r="F943" s="22"/>
      <c r="G943" s="22"/>
      <c r="P943" s="18"/>
      <c r="T943" s="22"/>
      <c r="U943" s="22"/>
      <c r="V943" s="22"/>
    </row>
    <row r="944" spans="1:22" ht="15.75" customHeight="1">
      <c r="A944" s="24"/>
      <c r="E944" s="22"/>
      <c r="F944" s="22"/>
      <c r="G944" s="22"/>
      <c r="P944" s="18"/>
      <c r="T944" s="22"/>
      <c r="U944" s="22"/>
      <c r="V944" s="22"/>
    </row>
    <row r="945" spans="1:22" ht="15.75" customHeight="1">
      <c r="A945" s="24"/>
      <c r="E945" s="22"/>
      <c r="F945" s="22"/>
      <c r="G945" s="22"/>
      <c r="P945" s="18"/>
      <c r="T945" s="22"/>
      <c r="U945" s="22"/>
      <c r="V945" s="22"/>
    </row>
    <row r="946" spans="1:22" ht="15.75" customHeight="1">
      <c r="A946" s="24"/>
      <c r="E946" s="22"/>
      <c r="F946" s="22"/>
      <c r="G946" s="22"/>
      <c r="P946" s="18"/>
      <c r="T946" s="22"/>
      <c r="U946" s="22"/>
      <c r="V946" s="22"/>
    </row>
    <row r="947" spans="1:22" ht="15.75" customHeight="1">
      <c r="A947" s="24"/>
      <c r="E947" s="22"/>
      <c r="F947" s="22"/>
      <c r="G947" s="22"/>
      <c r="P947" s="18"/>
      <c r="T947" s="22"/>
      <c r="U947" s="22"/>
      <c r="V947" s="22"/>
    </row>
    <row r="948" spans="1:22" ht="15.75" customHeight="1">
      <c r="A948" s="24"/>
      <c r="E948" s="22"/>
      <c r="F948" s="22"/>
      <c r="G948" s="22"/>
      <c r="P948" s="18"/>
      <c r="T948" s="22"/>
      <c r="U948" s="22"/>
      <c r="V948" s="22"/>
    </row>
    <row r="949" spans="1:22" ht="15.75" customHeight="1">
      <c r="A949" s="24"/>
      <c r="E949" s="22"/>
      <c r="F949" s="22"/>
      <c r="G949" s="22"/>
      <c r="P949" s="18"/>
      <c r="T949" s="22"/>
      <c r="U949" s="22"/>
      <c r="V949" s="22"/>
    </row>
    <row r="950" spans="1:22" ht="15.75" customHeight="1">
      <c r="A950" s="24"/>
      <c r="E950" s="22"/>
      <c r="F950" s="22"/>
      <c r="G950" s="22"/>
      <c r="P950" s="18"/>
      <c r="T950" s="22"/>
      <c r="U950" s="22"/>
      <c r="V950" s="22"/>
    </row>
    <row r="951" spans="1:22" ht="15.75" customHeight="1">
      <c r="A951" s="24"/>
      <c r="E951" s="22"/>
      <c r="F951" s="22"/>
      <c r="G951" s="22"/>
      <c r="P951" s="18"/>
      <c r="T951" s="22"/>
      <c r="U951" s="22"/>
      <c r="V951" s="22"/>
    </row>
    <row r="952" spans="1:22" ht="15.75" customHeight="1">
      <c r="A952" s="24"/>
      <c r="E952" s="22"/>
      <c r="F952" s="22"/>
      <c r="G952" s="22"/>
      <c r="P952" s="18"/>
      <c r="T952" s="22"/>
      <c r="U952" s="22"/>
      <c r="V952" s="22"/>
    </row>
    <row r="953" spans="1:22" ht="15.75" customHeight="1">
      <c r="A953" s="24"/>
      <c r="E953" s="22"/>
      <c r="F953" s="22"/>
      <c r="G953" s="22"/>
      <c r="P953" s="18"/>
      <c r="T953" s="22"/>
      <c r="U953" s="22"/>
      <c r="V953" s="22"/>
    </row>
    <row r="954" spans="1:22" ht="15.75" customHeight="1">
      <c r="A954" s="24"/>
      <c r="E954" s="22"/>
      <c r="F954" s="22"/>
      <c r="G954" s="22"/>
      <c r="P954" s="18"/>
      <c r="T954" s="22"/>
      <c r="U954" s="22"/>
      <c r="V954" s="22"/>
    </row>
    <row r="955" spans="1:22" ht="15.75" customHeight="1">
      <c r="A955" s="24"/>
      <c r="E955" s="22"/>
      <c r="F955" s="22"/>
      <c r="G955" s="22"/>
      <c r="P955" s="18"/>
      <c r="T955" s="22"/>
      <c r="U955" s="22"/>
      <c r="V955" s="22"/>
    </row>
    <row r="956" spans="1:22" ht="15.75" customHeight="1">
      <c r="A956" s="24"/>
      <c r="E956" s="22"/>
      <c r="F956" s="22"/>
      <c r="G956" s="22"/>
      <c r="P956" s="18"/>
      <c r="T956" s="22"/>
      <c r="U956" s="22"/>
      <c r="V956" s="22"/>
    </row>
    <row r="957" spans="1:22" ht="15.75" customHeight="1">
      <c r="A957" s="24"/>
      <c r="E957" s="22"/>
      <c r="F957" s="22"/>
      <c r="G957" s="22"/>
      <c r="P957" s="18"/>
      <c r="T957" s="22"/>
      <c r="U957" s="22"/>
      <c r="V957" s="22"/>
    </row>
    <row r="958" spans="1:22" ht="15.75" customHeight="1">
      <c r="A958" s="24"/>
      <c r="E958" s="22"/>
      <c r="F958" s="22"/>
      <c r="G958" s="22"/>
      <c r="P958" s="18"/>
      <c r="T958" s="22"/>
      <c r="U958" s="22"/>
      <c r="V958" s="22"/>
    </row>
    <row r="959" spans="1:22" ht="15.75" customHeight="1">
      <c r="A959" s="24"/>
      <c r="E959" s="22"/>
      <c r="F959" s="22"/>
      <c r="G959" s="22"/>
      <c r="P959" s="18"/>
      <c r="T959" s="22"/>
      <c r="U959" s="22"/>
      <c r="V959" s="22"/>
    </row>
    <row r="960" spans="1:22" ht="15.75" customHeight="1">
      <c r="A960" s="24"/>
      <c r="E960" s="22"/>
      <c r="F960" s="22"/>
      <c r="G960" s="22"/>
      <c r="P960" s="18"/>
      <c r="T960" s="22"/>
      <c r="U960" s="22"/>
      <c r="V960" s="22"/>
    </row>
    <row r="961" spans="1:22" ht="15.75" customHeight="1">
      <c r="A961" s="24"/>
      <c r="E961" s="22"/>
      <c r="F961" s="22"/>
      <c r="G961" s="22"/>
      <c r="P961" s="18"/>
      <c r="T961" s="22"/>
      <c r="U961" s="22"/>
      <c r="V961" s="22"/>
    </row>
    <row r="962" spans="1:22" ht="15.75" customHeight="1">
      <c r="A962" s="24"/>
      <c r="E962" s="22"/>
      <c r="F962" s="22"/>
      <c r="G962" s="22"/>
      <c r="P962" s="18"/>
      <c r="T962" s="22"/>
      <c r="U962" s="22"/>
      <c r="V962" s="22"/>
    </row>
    <row r="963" spans="1:22" ht="15.75" customHeight="1">
      <c r="A963" s="24"/>
      <c r="E963" s="22"/>
      <c r="F963" s="22"/>
      <c r="G963" s="22"/>
      <c r="P963" s="18"/>
      <c r="T963" s="22"/>
      <c r="U963" s="22"/>
      <c r="V963" s="22"/>
    </row>
    <row r="964" spans="1:22" ht="15.75" customHeight="1">
      <c r="A964" s="24"/>
      <c r="E964" s="22"/>
      <c r="F964" s="22"/>
      <c r="G964" s="22"/>
      <c r="P964" s="18"/>
      <c r="T964" s="22"/>
      <c r="U964" s="22"/>
      <c r="V964" s="22"/>
    </row>
    <row r="965" spans="1:22" ht="15.75" customHeight="1">
      <c r="A965" s="24"/>
      <c r="E965" s="22"/>
      <c r="F965" s="22"/>
      <c r="G965" s="22"/>
      <c r="P965" s="18"/>
      <c r="T965" s="22"/>
      <c r="U965" s="22"/>
      <c r="V965" s="22"/>
    </row>
    <row r="966" spans="1:22" ht="15.75" customHeight="1">
      <c r="A966" s="24"/>
      <c r="E966" s="22"/>
      <c r="F966" s="22"/>
      <c r="G966" s="22"/>
      <c r="P966" s="18"/>
      <c r="T966" s="22"/>
      <c r="U966" s="22"/>
      <c r="V966" s="22"/>
    </row>
    <row r="967" spans="1:22" ht="15.75" customHeight="1">
      <c r="A967" s="24"/>
      <c r="E967" s="22"/>
      <c r="F967" s="22"/>
      <c r="G967" s="22"/>
      <c r="P967" s="18"/>
      <c r="T967" s="22"/>
      <c r="U967" s="22"/>
      <c r="V967" s="22"/>
    </row>
    <row r="968" spans="1:22" ht="15.75" customHeight="1">
      <c r="A968" s="24"/>
      <c r="E968" s="22"/>
      <c r="F968" s="22"/>
      <c r="G968" s="22"/>
      <c r="P968" s="18"/>
      <c r="T968" s="22"/>
      <c r="U968" s="22"/>
      <c r="V968" s="22"/>
    </row>
    <row r="969" spans="1:22" ht="15.75" customHeight="1">
      <c r="A969" s="24"/>
      <c r="E969" s="22"/>
      <c r="F969" s="22"/>
      <c r="G969" s="22"/>
      <c r="P969" s="18"/>
      <c r="T969" s="22"/>
      <c r="U969" s="22"/>
      <c r="V969" s="22"/>
    </row>
    <row r="970" spans="1:22" ht="15.75" customHeight="1">
      <c r="A970" s="24"/>
      <c r="E970" s="22"/>
      <c r="F970" s="22"/>
      <c r="G970" s="22"/>
      <c r="P970" s="18"/>
      <c r="T970" s="22"/>
      <c r="U970" s="22"/>
      <c r="V970" s="22"/>
    </row>
    <row r="971" spans="1:22" ht="15.75" customHeight="1">
      <c r="A971" s="24"/>
      <c r="E971" s="22"/>
      <c r="F971" s="22"/>
      <c r="G971" s="22"/>
      <c r="P971" s="18"/>
      <c r="T971" s="22"/>
      <c r="U971" s="22"/>
      <c r="V971" s="22"/>
    </row>
    <row r="972" spans="1:22" ht="15.75" customHeight="1">
      <c r="A972" s="24"/>
      <c r="E972" s="22"/>
      <c r="F972" s="22"/>
      <c r="G972" s="22"/>
      <c r="P972" s="18"/>
      <c r="T972" s="22"/>
      <c r="U972" s="22"/>
      <c r="V972" s="22"/>
    </row>
    <row r="973" spans="1:22" ht="15.75" customHeight="1">
      <c r="A973" s="24"/>
      <c r="E973" s="22"/>
      <c r="F973" s="22"/>
      <c r="G973" s="22"/>
      <c r="P973" s="18"/>
      <c r="T973" s="22"/>
      <c r="U973" s="22"/>
      <c r="V973" s="22"/>
    </row>
    <row r="974" spans="1:22" ht="15.75" customHeight="1">
      <c r="A974" s="24"/>
      <c r="E974" s="22"/>
      <c r="F974" s="22"/>
      <c r="G974" s="22"/>
      <c r="P974" s="18"/>
      <c r="T974" s="22"/>
      <c r="U974" s="22"/>
      <c r="V974" s="22"/>
    </row>
    <row r="975" spans="1:22" ht="15.75" customHeight="1">
      <c r="A975" s="24"/>
      <c r="E975" s="22"/>
      <c r="F975" s="22"/>
      <c r="G975" s="22"/>
      <c r="P975" s="18"/>
      <c r="T975" s="22"/>
      <c r="U975" s="22"/>
      <c r="V975" s="22"/>
    </row>
    <row r="976" spans="1:22" ht="15.75" customHeight="1">
      <c r="A976" s="24"/>
      <c r="E976" s="22"/>
      <c r="F976" s="22"/>
      <c r="G976" s="22"/>
      <c r="P976" s="18"/>
      <c r="T976" s="22"/>
      <c r="U976" s="22"/>
      <c r="V976" s="22"/>
    </row>
    <row r="977" spans="1:22" ht="15.75" customHeight="1">
      <c r="A977" s="24"/>
      <c r="E977" s="22"/>
      <c r="F977" s="22"/>
      <c r="G977" s="22"/>
      <c r="P977" s="18"/>
      <c r="T977" s="22"/>
      <c r="U977" s="22"/>
      <c r="V977" s="22"/>
    </row>
    <row r="978" spans="1:22" ht="15.75" customHeight="1">
      <c r="A978" s="24"/>
      <c r="E978" s="22"/>
      <c r="F978" s="22"/>
      <c r="G978" s="22"/>
      <c r="P978" s="18"/>
      <c r="T978" s="22"/>
      <c r="U978" s="22"/>
      <c r="V978" s="22"/>
    </row>
    <row r="979" spans="1:22" ht="15.75" customHeight="1">
      <c r="A979" s="24"/>
      <c r="E979" s="22"/>
      <c r="F979" s="22"/>
      <c r="G979" s="22"/>
      <c r="P979" s="18"/>
      <c r="T979" s="22"/>
      <c r="U979" s="22"/>
      <c r="V979" s="22"/>
    </row>
    <row r="980" spans="1:22" ht="15.75" customHeight="1">
      <c r="A980" s="24"/>
      <c r="E980" s="22"/>
      <c r="F980" s="22"/>
      <c r="G980" s="22"/>
      <c r="P980" s="18"/>
      <c r="T980" s="22"/>
      <c r="U980" s="22"/>
      <c r="V980" s="22"/>
    </row>
    <row r="981" spans="1:22" ht="15.75" customHeight="1">
      <c r="A981" s="24"/>
      <c r="E981" s="22"/>
      <c r="F981" s="22"/>
      <c r="G981" s="22"/>
      <c r="P981" s="18"/>
      <c r="T981" s="22"/>
      <c r="U981" s="22"/>
      <c r="V981" s="22"/>
    </row>
    <row r="982" spans="1:22" ht="15.75" customHeight="1">
      <c r="A982" s="24"/>
      <c r="E982" s="22"/>
      <c r="F982" s="22"/>
      <c r="G982" s="22"/>
      <c r="P982" s="18"/>
      <c r="T982" s="22"/>
      <c r="U982" s="22"/>
      <c r="V982" s="22"/>
    </row>
    <row r="983" spans="1:22" ht="15.75" customHeight="1">
      <c r="A983" s="24"/>
      <c r="E983" s="22"/>
      <c r="F983" s="22"/>
      <c r="G983" s="22"/>
      <c r="P983" s="18"/>
      <c r="T983" s="22"/>
      <c r="U983" s="22"/>
      <c r="V983" s="22"/>
    </row>
    <row r="984" spans="1:22" ht="15.75" customHeight="1">
      <c r="A984" s="24"/>
      <c r="E984" s="22"/>
      <c r="F984" s="22"/>
      <c r="G984" s="22"/>
      <c r="P984" s="18"/>
      <c r="T984" s="22"/>
      <c r="U984" s="22"/>
      <c r="V984" s="22"/>
    </row>
    <row r="985" spans="1:22" ht="15.75" customHeight="1">
      <c r="A985" s="24"/>
      <c r="E985" s="22"/>
      <c r="F985" s="22"/>
      <c r="G985" s="22"/>
      <c r="P985" s="18"/>
      <c r="T985" s="22"/>
      <c r="U985" s="22"/>
      <c r="V985" s="22"/>
    </row>
    <row r="986" spans="1:22" ht="15.75" customHeight="1">
      <c r="A986" s="24"/>
      <c r="E986" s="22"/>
      <c r="F986" s="22"/>
      <c r="G986" s="22"/>
      <c r="P986" s="18"/>
      <c r="T986" s="22"/>
      <c r="U986" s="22"/>
      <c r="V986" s="22"/>
    </row>
    <row r="987" spans="1:22" ht="15.75" customHeight="1">
      <c r="A987" s="24"/>
      <c r="E987" s="22"/>
      <c r="F987" s="22"/>
      <c r="G987" s="22"/>
      <c r="P987" s="18"/>
      <c r="T987" s="22"/>
      <c r="U987" s="22"/>
      <c r="V987" s="22"/>
    </row>
    <row r="988" spans="1:22" ht="15.75" customHeight="1">
      <c r="A988" s="24"/>
      <c r="E988" s="22"/>
      <c r="F988" s="22"/>
      <c r="G988" s="22"/>
      <c r="P988" s="18"/>
      <c r="T988" s="22"/>
      <c r="U988" s="22"/>
      <c r="V988" s="22"/>
    </row>
    <row r="989" spans="1:22" ht="15.75" customHeight="1">
      <c r="A989" s="24"/>
      <c r="E989" s="22"/>
      <c r="F989" s="22"/>
      <c r="G989" s="22"/>
      <c r="P989" s="18"/>
      <c r="T989" s="22"/>
      <c r="U989" s="22"/>
      <c r="V989" s="22"/>
    </row>
    <row r="990" spans="1:22" ht="15.75" customHeight="1">
      <c r="A990" s="24"/>
      <c r="E990" s="22"/>
      <c r="F990" s="22"/>
      <c r="G990" s="22"/>
      <c r="P990" s="18"/>
      <c r="T990" s="22"/>
      <c r="U990" s="22"/>
      <c r="V990" s="22"/>
    </row>
    <row r="991" spans="1:22" ht="15.75" customHeight="1">
      <c r="A991" s="24"/>
      <c r="E991" s="22"/>
      <c r="F991" s="22"/>
      <c r="G991" s="22"/>
      <c r="P991" s="18"/>
      <c r="T991" s="22"/>
      <c r="U991" s="22"/>
      <c r="V991" s="22"/>
    </row>
    <row r="992" spans="1:22" ht="15.75" customHeight="1">
      <c r="A992" s="24"/>
      <c r="E992" s="22"/>
      <c r="F992" s="22"/>
      <c r="G992" s="22"/>
      <c r="P992" s="18"/>
      <c r="T992" s="22"/>
      <c r="U992" s="22"/>
      <c r="V992" s="22"/>
    </row>
    <row r="993" spans="1:22" ht="15.75" customHeight="1">
      <c r="A993" s="24"/>
      <c r="E993" s="22"/>
      <c r="F993" s="22"/>
      <c r="G993" s="22"/>
      <c r="P993" s="18"/>
      <c r="T993" s="22"/>
      <c r="U993" s="22"/>
      <c r="V993" s="22"/>
    </row>
    <row r="994" spans="1:22" ht="15.75" customHeight="1">
      <c r="A994" s="24"/>
      <c r="E994" s="22"/>
      <c r="F994" s="22"/>
      <c r="G994" s="22"/>
      <c r="P994" s="18"/>
      <c r="T994" s="22"/>
      <c r="U994" s="22"/>
      <c r="V994" s="22"/>
    </row>
    <row r="995" spans="1:22" ht="15.75" customHeight="1">
      <c r="A995" s="24"/>
      <c r="E995" s="22"/>
      <c r="F995" s="22"/>
      <c r="G995" s="22"/>
      <c r="P995" s="18"/>
      <c r="T995" s="22"/>
      <c r="U995" s="22"/>
      <c r="V995" s="22"/>
    </row>
    <row r="996" spans="1:22" ht="15.75" customHeight="1">
      <c r="A996" s="24"/>
      <c r="E996" s="22"/>
      <c r="F996" s="22"/>
      <c r="G996" s="22"/>
      <c r="P996" s="18"/>
      <c r="T996" s="22"/>
      <c r="U996" s="22"/>
      <c r="V996" s="22"/>
    </row>
    <row r="997" spans="1:22" ht="15.75" customHeight="1">
      <c r="A997" s="24"/>
      <c r="E997" s="22"/>
      <c r="F997" s="22"/>
      <c r="G997" s="22"/>
      <c r="P997" s="18"/>
      <c r="T997" s="22"/>
      <c r="U997" s="22"/>
      <c r="V997" s="22"/>
    </row>
    <row r="998" spans="1:22" ht="15.75" customHeight="1">
      <c r="A998" s="24"/>
      <c r="E998" s="22"/>
      <c r="F998" s="22"/>
      <c r="G998" s="22"/>
      <c r="P998" s="18"/>
      <c r="T998" s="22"/>
      <c r="U998" s="22"/>
      <c r="V998" s="22"/>
    </row>
    <row r="999" spans="1:22" ht="15.75" customHeight="1">
      <c r="A999" s="24"/>
      <c r="E999" s="22"/>
      <c r="F999" s="22"/>
      <c r="G999" s="22"/>
      <c r="P999" s="18"/>
      <c r="T999" s="22"/>
      <c r="U999" s="22"/>
      <c r="V999" s="22"/>
    </row>
    <row r="1000" spans="1:22" ht="15.75" customHeight="1">
      <c r="A1000" s="24"/>
      <c r="E1000" s="22"/>
      <c r="F1000" s="22"/>
      <c r="G1000" s="22"/>
      <c r="P1000" s="18"/>
      <c r="T1000" s="22"/>
      <c r="U1000" s="22"/>
      <c r="V1000" s="22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" customHeight="1"/>
  <cols>
    <col min="1" max="6" width="12.6640625" customWidth="1"/>
    <col min="9" max="9" width="15.77734375" customWidth="1"/>
  </cols>
  <sheetData>
    <row r="1" spans="1:25" ht="56.25" customHeight="1">
      <c r="A1" s="2" t="s">
        <v>15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16</v>
      </c>
      <c r="H1" s="2" t="s">
        <v>7</v>
      </c>
      <c r="I1" s="2" t="s">
        <v>8</v>
      </c>
      <c r="J1" s="2" t="s">
        <v>9</v>
      </c>
      <c r="K1" s="3" t="s">
        <v>10</v>
      </c>
      <c r="L1" s="20" t="s">
        <v>11</v>
      </c>
      <c r="M1" s="3" t="s">
        <v>17</v>
      </c>
      <c r="N1" s="20" t="s">
        <v>18</v>
      </c>
      <c r="O1" s="25"/>
      <c r="P1" s="2" t="s">
        <v>19</v>
      </c>
      <c r="Q1" s="2" t="s">
        <v>1</v>
      </c>
      <c r="R1" s="2" t="s">
        <v>2</v>
      </c>
      <c r="S1" s="2" t="s">
        <v>3</v>
      </c>
      <c r="T1" s="3" t="s">
        <v>4</v>
      </c>
      <c r="U1" s="3" t="s">
        <v>5</v>
      </c>
      <c r="V1" s="3" t="s">
        <v>16</v>
      </c>
      <c r="W1" s="20" t="s">
        <v>18</v>
      </c>
      <c r="X1" s="25"/>
      <c r="Y1" s="25"/>
    </row>
    <row r="2" spans="1:25" ht="15.75" customHeight="1">
      <c r="A2" s="8">
        <v>10101</v>
      </c>
      <c r="B2" s="8">
        <v>709</v>
      </c>
      <c r="C2" s="8">
        <v>261.55556270480156</v>
      </c>
      <c r="D2" s="8">
        <v>21365</v>
      </c>
      <c r="E2" s="19">
        <f t="shared" ref="E2:E256" si="0">B2/D2</f>
        <v>3.3185115843669552E-2</v>
      </c>
      <c r="F2" s="19">
        <f t="shared" ref="F2:F188" si="1">C2/B2</f>
        <v>0.36890770480225887</v>
      </c>
      <c r="G2" s="19">
        <f t="shared" ref="G2:G256" si="2">E2*F2</f>
        <v>1.2242244919485211E-2</v>
      </c>
      <c r="H2" s="8">
        <v>9569</v>
      </c>
      <c r="I2" s="8">
        <v>3562.1112012267113</v>
      </c>
      <c r="J2" s="8">
        <v>263883</v>
      </c>
      <c r="K2" s="19">
        <f t="shared" ref="K2:K256" si="3">H2/J2</f>
        <v>3.6262282905681682E-2</v>
      </c>
      <c r="L2" s="19">
        <f t="shared" ref="L2:L256" si="4">I2/H2</f>
        <v>0.37225532461351357</v>
      </c>
      <c r="M2" s="19">
        <f t="shared" ref="M2:M256" si="5">K2*L2</f>
        <v>1.3498827894281598E-2</v>
      </c>
      <c r="N2" s="19">
        <f t="shared" ref="N2:N188" si="6">M2/G2</f>
        <v>1.1026431821173879</v>
      </c>
      <c r="P2" s="8">
        <v>1</v>
      </c>
      <c r="Q2" s="8">
        <v>2974</v>
      </c>
      <c r="R2" s="8">
        <v>1135.6666966974735</v>
      </c>
      <c r="S2" s="8">
        <v>38343</v>
      </c>
      <c r="T2" s="19">
        <f t="shared" ref="T2:T10" si="7">Q2/S2</f>
        <v>7.7563049317998067E-2</v>
      </c>
      <c r="U2" s="19">
        <f t="shared" ref="U2:U10" si="8">R2/Q2</f>
        <v>0.38186506277655463</v>
      </c>
      <c r="V2" s="19">
        <f t="shared" ref="V2:V10" si="9">T2*U2</f>
        <v>2.9618618696958334E-2</v>
      </c>
      <c r="W2" s="19">
        <f t="shared" ref="W2:W10" si="10">V14/V2</f>
        <v>2.0382446931979055</v>
      </c>
    </row>
    <row r="3" spans="1:25" ht="15.75" customHeight="1">
      <c r="A3" s="8">
        <v>10102</v>
      </c>
      <c r="B3" s="8">
        <v>98</v>
      </c>
      <c r="C3" s="8">
        <v>36.44444540143013</v>
      </c>
      <c r="D3" s="8">
        <v>874</v>
      </c>
      <c r="E3" s="19">
        <f t="shared" si="0"/>
        <v>0.11212814645308924</v>
      </c>
      <c r="F3" s="19">
        <f t="shared" si="1"/>
        <v>0.37188209593296051</v>
      </c>
      <c r="G3" s="19">
        <f t="shared" si="2"/>
        <v>4.1698450116052783E-2</v>
      </c>
      <c r="H3" s="8">
        <v>586</v>
      </c>
      <c r="I3" s="8">
        <v>214.88889449834824</v>
      </c>
      <c r="J3" s="8">
        <v>7944</v>
      </c>
      <c r="K3" s="19">
        <f t="shared" si="3"/>
        <v>7.3766364551863042E-2</v>
      </c>
      <c r="L3" s="19">
        <f t="shared" si="4"/>
        <v>0.36670459812004819</v>
      </c>
      <c r="M3" s="19">
        <f t="shared" si="5"/>
        <v>2.7050465067767905E-2</v>
      </c>
      <c r="N3" s="19">
        <f t="shared" si="6"/>
        <v>0.64871631901143978</v>
      </c>
      <c r="P3" s="8">
        <v>2</v>
      </c>
      <c r="Q3" s="8">
        <v>22561</v>
      </c>
      <c r="R3" s="8">
        <v>8296.2224318087101</v>
      </c>
      <c r="S3" s="8">
        <v>244081</v>
      </c>
      <c r="T3" s="19">
        <f t="shared" si="7"/>
        <v>9.2432430217837522E-2</v>
      </c>
      <c r="U3" s="19">
        <f t="shared" si="8"/>
        <v>0.36772405619470372</v>
      </c>
      <c r="V3" s="19">
        <f t="shared" si="9"/>
        <v>3.3989628163637112E-2</v>
      </c>
      <c r="W3" s="19">
        <f t="shared" si="10"/>
        <v>0.78425349150629386</v>
      </c>
    </row>
    <row r="4" spans="1:25" ht="15.75" customHeight="1">
      <c r="A4" s="8">
        <v>10103</v>
      </c>
      <c r="B4" s="8">
        <v>230</v>
      </c>
      <c r="C4" s="8">
        <v>91.222224742174149</v>
      </c>
      <c r="D4" s="8">
        <v>644</v>
      </c>
      <c r="E4" s="19">
        <f t="shared" si="0"/>
        <v>0.35714285714285715</v>
      </c>
      <c r="F4" s="19">
        <f t="shared" si="1"/>
        <v>0.39661836844423543</v>
      </c>
      <c r="G4" s="19">
        <f t="shared" si="2"/>
        <v>0.14164941730151265</v>
      </c>
      <c r="H4" s="8">
        <v>6997</v>
      </c>
      <c r="I4" s="8">
        <v>2909.7778504490852</v>
      </c>
      <c r="J4" s="8">
        <v>12823</v>
      </c>
      <c r="K4" s="19">
        <f t="shared" si="3"/>
        <v>0.54566014193246515</v>
      </c>
      <c r="L4" s="19">
        <f t="shared" si="4"/>
        <v>0.41586077611105976</v>
      </c>
      <c r="M4" s="19">
        <f t="shared" si="5"/>
        <v>0.22691865011690598</v>
      </c>
      <c r="N4" s="19">
        <f t="shared" si="6"/>
        <v>1.6019737633928324</v>
      </c>
      <c r="P4" s="8">
        <v>3</v>
      </c>
      <c r="Q4" s="8">
        <v>24305</v>
      </c>
      <c r="R4" s="8">
        <v>8946.2224487066269</v>
      </c>
      <c r="S4" s="8">
        <v>201638</v>
      </c>
      <c r="T4" s="19">
        <f t="shared" si="7"/>
        <v>0.12053779545522174</v>
      </c>
      <c r="U4" s="19">
        <f t="shared" si="8"/>
        <v>0.36808156546828336</v>
      </c>
      <c r="V4" s="19">
        <f t="shared" si="9"/>
        <v>4.4367740449253748E-2</v>
      </c>
      <c r="W4" s="19">
        <f t="shared" si="10"/>
        <v>0.84799527500643734</v>
      </c>
    </row>
    <row r="5" spans="1:25" ht="15.75" customHeight="1">
      <c r="A5" s="8">
        <v>10201</v>
      </c>
      <c r="B5" s="8">
        <v>151</v>
      </c>
      <c r="C5" s="8">
        <v>58.444445818662643</v>
      </c>
      <c r="D5" s="8">
        <v>453</v>
      </c>
      <c r="E5" s="19">
        <f t="shared" si="0"/>
        <v>0.33333333333333331</v>
      </c>
      <c r="F5" s="19">
        <f t="shared" si="1"/>
        <v>0.38704931005736848</v>
      </c>
      <c r="G5" s="19">
        <f t="shared" si="2"/>
        <v>0.12901643668578949</v>
      </c>
      <c r="H5" s="8">
        <v>3267</v>
      </c>
      <c r="I5" s="8">
        <v>1379.1111439168453</v>
      </c>
      <c r="J5" s="8">
        <v>7260</v>
      </c>
      <c r="K5" s="19">
        <f t="shared" si="3"/>
        <v>0.45</v>
      </c>
      <c r="L5" s="19">
        <f t="shared" si="4"/>
        <v>0.42213380591271665</v>
      </c>
      <c r="M5" s="19">
        <f t="shared" si="5"/>
        <v>0.18996021266072249</v>
      </c>
      <c r="N5" s="19">
        <f t="shared" si="6"/>
        <v>1.4723721840447144</v>
      </c>
      <c r="P5" s="8">
        <v>4</v>
      </c>
      <c r="Q5" s="8">
        <v>5179</v>
      </c>
      <c r="R5" s="8">
        <v>1905.6667131781578</v>
      </c>
      <c r="S5" s="8">
        <v>45473</v>
      </c>
      <c r="T5" s="19">
        <f t="shared" si="7"/>
        <v>0.11389175994546215</v>
      </c>
      <c r="U5" s="19">
        <f t="shared" si="8"/>
        <v>0.36796036168722879</v>
      </c>
      <c r="V5" s="19">
        <f t="shared" si="9"/>
        <v>4.1907653182727288E-2</v>
      </c>
      <c r="W5" s="19">
        <f t="shared" si="10"/>
        <v>0.87802650973101215</v>
      </c>
    </row>
    <row r="6" spans="1:25" ht="15.75" customHeight="1">
      <c r="A6" s="8">
        <v>10202</v>
      </c>
      <c r="B6" s="8">
        <v>100</v>
      </c>
      <c r="C6" s="8">
        <v>38.444445490837097</v>
      </c>
      <c r="D6" s="8">
        <v>705</v>
      </c>
      <c r="E6" s="19">
        <f t="shared" si="0"/>
        <v>0.14184397163120568</v>
      </c>
      <c r="F6" s="19">
        <f t="shared" si="1"/>
        <v>0.38444445490837098</v>
      </c>
      <c r="G6" s="19">
        <f t="shared" si="2"/>
        <v>5.4531128355797306E-2</v>
      </c>
      <c r="H6" s="8">
        <v>5306</v>
      </c>
      <c r="I6" s="8">
        <v>2151.8889441490173</v>
      </c>
      <c r="J6" s="8">
        <v>15836</v>
      </c>
      <c r="K6" s="19">
        <f t="shared" si="3"/>
        <v>0.33505935842384438</v>
      </c>
      <c r="L6" s="19">
        <f t="shared" si="4"/>
        <v>0.40555766003562332</v>
      </c>
      <c r="M6" s="19">
        <f t="shared" si="5"/>
        <v>0.13588588937541154</v>
      </c>
      <c r="N6" s="19">
        <f t="shared" si="6"/>
        <v>2.4918957936978994</v>
      </c>
      <c r="P6" s="8">
        <v>5</v>
      </c>
      <c r="Q6" s="8">
        <v>9949</v>
      </c>
      <c r="R6" s="8">
        <v>3699.7778685986996</v>
      </c>
      <c r="S6" s="8">
        <v>70621</v>
      </c>
      <c r="T6" s="19">
        <f t="shared" si="7"/>
        <v>0.14087877543506888</v>
      </c>
      <c r="U6" s="19">
        <f t="shared" si="8"/>
        <v>0.3718743460245954</v>
      </c>
      <c r="V6" s="19">
        <f t="shared" si="9"/>
        <v>5.2389202483662078E-2</v>
      </c>
      <c r="W6" s="19">
        <f t="shared" si="10"/>
        <v>1.2286716124379236</v>
      </c>
    </row>
    <row r="7" spans="1:25" ht="15.75" customHeight="1">
      <c r="A7" s="8">
        <v>10301</v>
      </c>
      <c r="B7" s="8">
        <v>72</v>
      </c>
      <c r="C7" s="8">
        <v>26.888889521360397</v>
      </c>
      <c r="D7" s="8">
        <v>829</v>
      </c>
      <c r="E7" s="19">
        <f t="shared" si="0"/>
        <v>8.6851628468033779E-2</v>
      </c>
      <c r="F7" s="19">
        <f t="shared" si="1"/>
        <v>0.37345679890778327</v>
      </c>
      <c r="G7" s="19">
        <f t="shared" si="2"/>
        <v>3.2435331147599993E-2</v>
      </c>
      <c r="H7" s="8">
        <v>2781</v>
      </c>
      <c r="I7" s="8">
        <v>1067.777804851532</v>
      </c>
      <c r="J7" s="8">
        <v>12508</v>
      </c>
      <c r="K7" s="19">
        <f t="shared" si="3"/>
        <v>0.22233770386952351</v>
      </c>
      <c r="L7" s="19">
        <f t="shared" si="4"/>
        <v>0.38395462238458539</v>
      </c>
      <c r="M7" s="19">
        <f t="shared" si="5"/>
        <v>8.5367589131078669E-2</v>
      </c>
      <c r="N7" s="19">
        <f t="shared" si="6"/>
        <v>2.6319320972123119</v>
      </c>
      <c r="P7" s="8">
        <v>6</v>
      </c>
      <c r="Q7" s="8">
        <v>1568</v>
      </c>
      <c r="R7" s="8">
        <v>567.11112615466118</v>
      </c>
      <c r="S7" s="8">
        <v>31385</v>
      </c>
      <c r="T7" s="19">
        <f t="shared" si="7"/>
        <v>4.9960172056714991E-2</v>
      </c>
      <c r="U7" s="19">
        <f t="shared" si="8"/>
        <v>0.36167801412924822</v>
      </c>
      <c r="V7" s="19">
        <f t="shared" si="9"/>
        <v>1.8069495815028237E-2</v>
      </c>
      <c r="W7" s="19">
        <f t="shared" si="10"/>
        <v>0.97102671110953542</v>
      </c>
    </row>
    <row r="8" spans="1:25" ht="15.75" customHeight="1">
      <c r="A8" s="8">
        <v>10302</v>
      </c>
      <c r="B8" s="8">
        <v>66</v>
      </c>
      <c r="C8" s="8">
        <v>26.666667550802231</v>
      </c>
      <c r="D8" s="8">
        <v>594</v>
      </c>
      <c r="E8" s="19">
        <f t="shared" si="0"/>
        <v>0.1111111111111111</v>
      </c>
      <c r="F8" s="19">
        <f t="shared" si="1"/>
        <v>0.40404041743639746</v>
      </c>
      <c r="G8" s="19">
        <f t="shared" si="2"/>
        <v>4.4893379715155272E-2</v>
      </c>
      <c r="H8" s="8">
        <v>3859</v>
      </c>
      <c r="I8" s="8">
        <v>1571.4444845020771</v>
      </c>
      <c r="J8" s="8">
        <v>11618</v>
      </c>
      <c r="K8" s="19">
        <f t="shared" si="3"/>
        <v>0.33215699776209329</v>
      </c>
      <c r="L8" s="19">
        <f t="shared" si="4"/>
        <v>0.40721546631305444</v>
      </c>
      <c r="M8" s="19">
        <f t="shared" si="5"/>
        <v>0.13525946673283501</v>
      </c>
      <c r="N8" s="19">
        <f t="shared" si="6"/>
        <v>3.0129045215807984</v>
      </c>
      <c r="P8" s="8">
        <v>7</v>
      </c>
      <c r="Q8" s="8">
        <v>17902</v>
      </c>
      <c r="R8" s="8">
        <v>6568.222388625145</v>
      </c>
      <c r="S8" s="8">
        <v>278691</v>
      </c>
      <c r="T8" s="19">
        <f t="shared" si="7"/>
        <v>6.4236017668313647E-2</v>
      </c>
      <c r="U8" s="19">
        <f t="shared" si="8"/>
        <v>0.3668988039674419</v>
      </c>
      <c r="V8" s="19">
        <f t="shared" si="9"/>
        <v>2.3568118054135744E-2</v>
      </c>
      <c r="W8" s="19">
        <f t="shared" si="10"/>
        <v>0.69743393237652707</v>
      </c>
    </row>
    <row r="9" spans="1:25" ht="15.75" customHeight="1">
      <c r="A9" s="8">
        <v>10303</v>
      </c>
      <c r="B9" s="8">
        <v>7</v>
      </c>
      <c r="C9" s="8">
        <v>3.0000000298023224</v>
      </c>
      <c r="D9" s="8">
        <v>344</v>
      </c>
      <c r="E9" s="19">
        <f t="shared" si="0"/>
        <v>2.0348837209302327E-2</v>
      </c>
      <c r="F9" s="19">
        <f t="shared" si="1"/>
        <v>0.4285714328289032</v>
      </c>
      <c r="G9" s="19">
        <f t="shared" si="2"/>
        <v>8.7209303191927989E-3</v>
      </c>
      <c r="H9" s="8">
        <v>1726</v>
      </c>
      <c r="I9" s="8">
        <v>659.33334976434708</v>
      </c>
      <c r="J9" s="8">
        <v>8606</v>
      </c>
      <c r="K9" s="19">
        <f t="shared" si="3"/>
        <v>0.20055775040669299</v>
      </c>
      <c r="L9" s="19">
        <f t="shared" si="4"/>
        <v>0.38200078201874105</v>
      </c>
      <c r="M9" s="19">
        <f t="shared" si="5"/>
        <v>7.6613217495276206E-2</v>
      </c>
      <c r="N9" s="19">
        <f t="shared" si="6"/>
        <v>8.7849821855207129</v>
      </c>
      <c r="P9" s="8">
        <v>8</v>
      </c>
      <c r="Q9" s="8">
        <v>7773</v>
      </c>
      <c r="R9" s="8">
        <v>2953.4445178806782</v>
      </c>
      <c r="S9" s="8">
        <v>45009</v>
      </c>
      <c r="T9" s="19">
        <f t="shared" si="7"/>
        <v>0.1726987935746184</v>
      </c>
      <c r="U9" s="19">
        <f t="shared" si="8"/>
        <v>0.37996198609039988</v>
      </c>
      <c r="V9" s="19">
        <f t="shared" si="9"/>
        <v>6.5618976602027992E-2</v>
      </c>
      <c r="W9" s="19">
        <f t="shared" si="10"/>
        <v>1.1145081297530024</v>
      </c>
    </row>
    <row r="10" spans="1:25" ht="15.75" customHeight="1">
      <c r="A10" s="8">
        <v>10304</v>
      </c>
      <c r="B10" s="8">
        <v>41</v>
      </c>
      <c r="C10" s="8">
        <v>15.777778267860413</v>
      </c>
      <c r="D10" s="8">
        <v>329</v>
      </c>
      <c r="E10" s="19">
        <f t="shared" si="0"/>
        <v>0.12462006079027356</v>
      </c>
      <c r="F10" s="19">
        <f t="shared" si="1"/>
        <v>0.38482386019171738</v>
      </c>
      <c r="G10" s="19">
        <f t="shared" si="2"/>
        <v>4.7956772850639554E-2</v>
      </c>
      <c r="H10" s="8">
        <v>2439</v>
      </c>
      <c r="I10" s="8">
        <v>962.77780202031136</v>
      </c>
      <c r="J10" s="8">
        <v>8666</v>
      </c>
      <c r="K10" s="19">
        <f t="shared" si="3"/>
        <v>0.28144472651742442</v>
      </c>
      <c r="L10" s="19">
        <f t="shared" si="4"/>
        <v>0.39474284625679024</v>
      </c>
      <c r="M10" s="19">
        <f t="shared" si="5"/>
        <v>0.11109829240945204</v>
      </c>
      <c r="N10" s="19">
        <f t="shared" si="6"/>
        <v>2.3166340394810456</v>
      </c>
      <c r="P10" s="8">
        <v>9</v>
      </c>
      <c r="Q10" s="8">
        <v>2852</v>
      </c>
      <c r="R10" s="8">
        <v>1068.4444712102413</v>
      </c>
      <c r="S10" s="8">
        <v>17164</v>
      </c>
      <c r="T10" s="19">
        <f t="shared" si="7"/>
        <v>0.16616173386157074</v>
      </c>
      <c r="U10" s="19">
        <f t="shared" si="8"/>
        <v>0.37462989874131886</v>
      </c>
      <c r="V10" s="19">
        <f t="shared" si="9"/>
        <v>6.2249153531242218E-2</v>
      </c>
      <c r="W10" s="19">
        <f t="shared" si="10"/>
        <v>0.75335386649493075</v>
      </c>
    </row>
    <row r="11" spans="1:25" ht="15.75" customHeight="1">
      <c r="A11" s="8">
        <v>10401</v>
      </c>
      <c r="B11" s="8">
        <v>58</v>
      </c>
      <c r="C11" s="8">
        <v>21.444444954395294</v>
      </c>
      <c r="D11" s="8">
        <v>734</v>
      </c>
      <c r="E11" s="19">
        <f t="shared" si="0"/>
        <v>7.901907356948229E-2</v>
      </c>
      <c r="F11" s="19">
        <f t="shared" si="1"/>
        <v>0.36973180955853957</v>
      </c>
      <c r="G11" s="19">
        <f t="shared" si="2"/>
        <v>2.9215865060484052E-2</v>
      </c>
      <c r="H11" s="8">
        <v>1489</v>
      </c>
      <c r="I11" s="8">
        <v>567.44445779919624</v>
      </c>
      <c r="J11" s="8">
        <v>8206</v>
      </c>
      <c r="K11" s="19">
        <f t="shared" si="3"/>
        <v>0.18145259566171093</v>
      </c>
      <c r="L11" s="19">
        <f t="shared" si="4"/>
        <v>0.38109097232988332</v>
      </c>
      <c r="M11" s="19">
        <f t="shared" si="5"/>
        <v>6.914994611250258E-2</v>
      </c>
      <c r="N11" s="19">
        <f t="shared" si="6"/>
        <v>2.3668628660950182</v>
      </c>
      <c r="T11" s="19"/>
      <c r="U11" s="19"/>
      <c r="V11" s="19"/>
      <c r="W11" s="19"/>
    </row>
    <row r="12" spans="1:25" ht="15.75" customHeight="1">
      <c r="A12" s="8">
        <v>10402</v>
      </c>
      <c r="B12" s="8">
        <v>25</v>
      </c>
      <c r="C12" s="8">
        <v>9.8888891935348511</v>
      </c>
      <c r="D12" s="8">
        <v>476</v>
      </c>
      <c r="E12" s="19">
        <f t="shared" si="0"/>
        <v>5.2521008403361345E-2</v>
      </c>
      <c r="F12" s="19">
        <f t="shared" si="1"/>
        <v>0.39555556774139405</v>
      </c>
      <c r="G12" s="19">
        <f t="shared" si="2"/>
        <v>2.0774977297342127E-2</v>
      </c>
      <c r="H12" s="8">
        <v>1384</v>
      </c>
      <c r="I12" s="8">
        <v>530.44445738196373</v>
      </c>
      <c r="J12" s="8">
        <v>7883</v>
      </c>
      <c r="K12" s="19">
        <f t="shared" si="3"/>
        <v>0.17556767728022327</v>
      </c>
      <c r="L12" s="19">
        <f t="shared" si="4"/>
        <v>0.38326911660546514</v>
      </c>
      <c r="M12" s="19">
        <f t="shared" si="5"/>
        <v>6.7289668575664568E-2</v>
      </c>
      <c r="N12" s="19">
        <f t="shared" si="6"/>
        <v>3.2389767561514189</v>
      </c>
      <c r="T12" s="19"/>
      <c r="U12" s="19"/>
      <c r="V12" s="19"/>
      <c r="W12" s="19"/>
    </row>
    <row r="13" spans="1:25" ht="15.75" customHeight="1">
      <c r="A13" s="8">
        <v>10403</v>
      </c>
      <c r="B13" s="8">
        <v>57</v>
      </c>
      <c r="C13" s="8">
        <v>22.555556178092957</v>
      </c>
      <c r="D13" s="8">
        <v>460</v>
      </c>
      <c r="E13" s="19">
        <f t="shared" si="0"/>
        <v>0.12391304347826088</v>
      </c>
      <c r="F13" s="19">
        <f t="shared" si="1"/>
        <v>0.39571151189636766</v>
      </c>
      <c r="G13" s="19">
        <f t="shared" si="2"/>
        <v>4.9033817778462954E-2</v>
      </c>
      <c r="H13" s="8">
        <v>2445</v>
      </c>
      <c r="I13" s="8">
        <v>991.44446891546249</v>
      </c>
      <c r="J13" s="8">
        <v>6398</v>
      </c>
      <c r="K13" s="19">
        <f t="shared" si="3"/>
        <v>0.38215067208502657</v>
      </c>
      <c r="L13" s="19">
        <f t="shared" si="4"/>
        <v>0.40549876029262272</v>
      </c>
      <c r="M13" s="19">
        <f t="shared" si="5"/>
        <v>0.15496162377547085</v>
      </c>
      <c r="N13" s="19">
        <f t="shared" si="6"/>
        <v>3.1603010084916208</v>
      </c>
      <c r="P13" s="13" t="s">
        <v>19</v>
      </c>
      <c r="Q13" s="2" t="s">
        <v>7</v>
      </c>
      <c r="R13" s="2" t="s">
        <v>8</v>
      </c>
      <c r="S13" s="2" t="s">
        <v>9</v>
      </c>
      <c r="T13" s="3" t="s">
        <v>10</v>
      </c>
      <c r="U13" s="20" t="s">
        <v>11</v>
      </c>
      <c r="V13" s="3" t="s">
        <v>17</v>
      </c>
      <c r="W13" s="19"/>
    </row>
    <row r="14" spans="1:25" ht="15.75" customHeight="1">
      <c r="A14" s="8">
        <v>10404</v>
      </c>
      <c r="B14" s="8">
        <v>14</v>
      </c>
      <c r="C14" s="8">
        <v>6.2222224771976471</v>
      </c>
      <c r="D14" s="8">
        <v>356</v>
      </c>
      <c r="E14" s="19">
        <f t="shared" si="0"/>
        <v>3.9325842696629212E-2</v>
      </c>
      <c r="F14" s="19">
        <f t="shared" si="1"/>
        <v>0.44444446265697479</v>
      </c>
      <c r="G14" s="19">
        <f t="shared" si="2"/>
        <v>1.7478153025836086E-2</v>
      </c>
      <c r="H14" s="8">
        <v>332</v>
      </c>
      <c r="I14" s="8">
        <v>122.44444766640663</v>
      </c>
      <c r="J14" s="8">
        <v>3364</v>
      </c>
      <c r="K14" s="19">
        <f t="shared" si="3"/>
        <v>9.8692033293697981E-2</v>
      </c>
      <c r="L14" s="19">
        <f t="shared" si="4"/>
        <v>0.36880857730845373</v>
      </c>
      <c r="M14" s="19">
        <f t="shared" si="5"/>
        <v>3.6398468390727301E-2</v>
      </c>
      <c r="N14" s="19">
        <f t="shared" si="6"/>
        <v>2.0825122847318784</v>
      </c>
      <c r="P14" s="8">
        <v>1</v>
      </c>
      <c r="Q14" s="8">
        <v>81964</v>
      </c>
      <c r="R14" s="8">
        <v>32875.445269823074</v>
      </c>
      <c r="S14" s="8">
        <v>544566</v>
      </c>
      <c r="T14" s="19">
        <f t="shared" ref="T14:T22" si="11">Q14/S14</f>
        <v>0.15051251822552272</v>
      </c>
      <c r="U14" s="19">
        <f t="shared" ref="U14:U22" si="12">R14/Q14</f>
        <v>0.40109615526112774</v>
      </c>
      <c r="V14" s="19">
        <f t="shared" ref="V14:V22" si="13">T14*U14</f>
        <v>6.0369992378927581E-2</v>
      </c>
      <c r="W14" s="19"/>
    </row>
    <row r="15" spans="1:25" ht="15.75" customHeight="1">
      <c r="A15" s="8">
        <v>10405</v>
      </c>
      <c r="B15" s="8">
        <v>16</v>
      </c>
      <c r="C15" s="8">
        <v>5.5555557012557983</v>
      </c>
      <c r="D15" s="8">
        <v>232</v>
      </c>
      <c r="E15" s="19">
        <f t="shared" si="0"/>
        <v>6.8965517241379309E-2</v>
      </c>
      <c r="F15" s="19">
        <f t="shared" si="1"/>
        <v>0.3472222313284874</v>
      </c>
      <c r="G15" s="19">
        <f t="shared" si="2"/>
        <v>2.3946360781274992E-2</v>
      </c>
      <c r="H15" s="8">
        <v>1265</v>
      </c>
      <c r="I15" s="8">
        <v>497.55556744337082</v>
      </c>
      <c r="J15" s="8">
        <v>5360</v>
      </c>
      <c r="K15" s="19">
        <f t="shared" si="3"/>
        <v>0.23600746268656717</v>
      </c>
      <c r="L15" s="19">
        <f t="shared" si="4"/>
        <v>0.39332455924377141</v>
      </c>
      <c r="M15" s="19">
        <f t="shared" si="5"/>
        <v>9.2827531239434852E-2</v>
      </c>
      <c r="N15" s="19">
        <f t="shared" si="6"/>
        <v>3.8764776028941283</v>
      </c>
      <c r="P15" s="8">
        <v>2</v>
      </c>
      <c r="Q15" s="8">
        <v>192012</v>
      </c>
      <c r="R15" s="8">
        <v>71460.223997980356</v>
      </c>
      <c r="S15" s="8">
        <v>2680782</v>
      </c>
      <c r="T15" s="19">
        <f t="shared" si="11"/>
        <v>7.162536901545892E-2</v>
      </c>
      <c r="U15" s="19">
        <f t="shared" si="12"/>
        <v>0.37216540631825279</v>
      </c>
      <c r="V15" s="19">
        <f t="shared" si="13"/>
        <v>2.6656484562333063E-2</v>
      </c>
      <c r="W15" s="19"/>
    </row>
    <row r="16" spans="1:25" ht="15.75" customHeight="1">
      <c r="A16" s="8">
        <v>10501</v>
      </c>
      <c r="B16" s="8">
        <v>100</v>
      </c>
      <c r="C16" s="8">
        <v>39.44444552063942</v>
      </c>
      <c r="D16" s="8">
        <v>1638</v>
      </c>
      <c r="E16" s="19">
        <f t="shared" si="0"/>
        <v>6.1050061050061048E-2</v>
      </c>
      <c r="F16" s="19">
        <f t="shared" si="1"/>
        <v>0.39444445520639421</v>
      </c>
      <c r="G16" s="19">
        <f t="shared" si="2"/>
        <v>2.4080858071208435E-2</v>
      </c>
      <c r="H16" s="8">
        <v>2553</v>
      </c>
      <c r="I16" s="8">
        <v>984.55558031797409</v>
      </c>
      <c r="J16" s="8">
        <v>22186</v>
      </c>
      <c r="K16" s="19">
        <f t="shared" si="3"/>
        <v>0.11507256828630669</v>
      </c>
      <c r="L16" s="19">
        <f t="shared" si="4"/>
        <v>0.38564652578064007</v>
      </c>
      <c r="M16" s="19">
        <f t="shared" si="5"/>
        <v>4.4377336172269639E-2</v>
      </c>
      <c r="N16" s="19">
        <f t="shared" si="6"/>
        <v>1.8428469633865783</v>
      </c>
      <c r="P16" s="8">
        <v>3</v>
      </c>
      <c r="Q16" s="8">
        <v>175875</v>
      </c>
      <c r="R16" s="8">
        <v>65678.223883271217</v>
      </c>
      <c r="S16" s="8">
        <v>1745664</v>
      </c>
      <c r="T16" s="19">
        <f t="shared" si="11"/>
        <v>0.10074962879454466</v>
      </c>
      <c r="U16" s="19">
        <f t="shared" si="12"/>
        <v>0.37343695171724928</v>
      </c>
      <c r="V16" s="19">
        <f t="shared" si="13"/>
        <v>3.7623634263679165E-2</v>
      </c>
      <c r="W16" s="19"/>
    </row>
    <row r="17" spans="1:23" ht="15.75" customHeight="1">
      <c r="A17" s="8">
        <v>10502</v>
      </c>
      <c r="B17" s="8">
        <v>33</v>
      </c>
      <c r="C17" s="8">
        <v>11.444444745779037</v>
      </c>
      <c r="D17" s="8">
        <v>433</v>
      </c>
      <c r="E17" s="19">
        <f t="shared" si="0"/>
        <v>7.6212471131639717E-2</v>
      </c>
      <c r="F17" s="19">
        <f t="shared" si="1"/>
        <v>0.34680135593269812</v>
      </c>
      <c r="G17" s="19">
        <f t="shared" si="2"/>
        <v>2.6430588327434265E-2</v>
      </c>
      <c r="H17" s="8">
        <v>1180</v>
      </c>
      <c r="I17" s="8">
        <v>440.88889938592911</v>
      </c>
      <c r="J17" s="8">
        <v>6375</v>
      </c>
      <c r="K17" s="19">
        <f t="shared" si="3"/>
        <v>0.18509803921568627</v>
      </c>
      <c r="L17" s="19">
        <f t="shared" si="4"/>
        <v>0.37363466049655009</v>
      </c>
      <c r="M17" s="19">
        <f t="shared" si="5"/>
        <v>6.9159043040930054E-2</v>
      </c>
      <c r="N17" s="19">
        <f t="shared" si="6"/>
        <v>2.6166289673221068</v>
      </c>
      <c r="P17" s="8">
        <v>4</v>
      </c>
      <c r="Q17" s="8">
        <v>50608</v>
      </c>
      <c r="R17" s="8">
        <v>18632.111573278904</v>
      </c>
      <c r="S17" s="8">
        <v>506362</v>
      </c>
      <c r="T17" s="19">
        <f t="shared" si="11"/>
        <v>9.9944308617155322E-2</v>
      </c>
      <c r="U17" s="19">
        <f t="shared" si="12"/>
        <v>0.36816534091999098</v>
      </c>
      <c r="V17" s="19">
        <f t="shared" si="13"/>
        <v>3.6796030455047785E-2</v>
      </c>
      <c r="W17" s="19"/>
    </row>
    <row r="18" spans="1:23" ht="15.75" customHeight="1">
      <c r="A18" s="8">
        <v>10601</v>
      </c>
      <c r="B18" s="8">
        <v>148</v>
      </c>
      <c r="C18" s="8">
        <v>55.777779281139374</v>
      </c>
      <c r="D18" s="8">
        <v>774</v>
      </c>
      <c r="E18" s="19">
        <f t="shared" si="0"/>
        <v>0.19121447028423771</v>
      </c>
      <c r="F18" s="19">
        <f t="shared" si="1"/>
        <v>0.37687688703472549</v>
      </c>
      <c r="G18" s="19">
        <f t="shared" si="2"/>
        <v>7.2064314316717532E-2</v>
      </c>
      <c r="H18" s="8">
        <v>2898</v>
      </c>
      <c r="I18" s="8">
        <v>1116.5555837750435</v>
      </c>
      <c r="J18" s="8">
        <v>12158</v>
      </c>
      <c r="K18" s="19">
        <f t="shared" si="3"/>
        <v>0.23836157262707683</v>
      </c>
      <c r="L18" s="19">
        <f t="shared" si="4"/>
        <v>0.38528488052969062</v>
      </c>
      <c r="M18" s="19">
        <f t="shared" si="5"/>
        <v>9.1837110032492467E-2</v>
      </c>
      <c r="N18" s="19">
        <f t="shared" si="6"/>
        <v>1.2743770741906306</v>
      </c>
      <c r="P18" s="8">
        <v>5</v>
      </c>
      <c r="Q18" s="8">
        <v>125979</v>
      </c>
      <c r="R18" s="8">
        <v>48790.445672929287</v>
      </c>
      <c r="S18" s="8">
        <v>757979</v>
      </c>
      <c r="T18" s="19">
        <f t="shared" si="11"/>
        <v>0.16620381303439805</v>
      </c>
      <c r="U18" s="19">
        <f t="shared" si="12"/>
        <v>0.3872903076935782</v>
      </c>
      <c r="V18" s="19">
        <f t="shared" si="13"/>
        <v>6.4369125889937956E-2</v>
      </c>
      <c r="W18" s="19"/>
    </row>
    <row r="19" spans="1:23" ht="15.75" customHeight="1">
      <c r="A19" s="8">
        <v>10602</v>
      </c>
      <c r="B19" s="8">
        <v>83</v>
      </c>
      <c r="C19" s="8">
        <v>31.222222834825516</v>
      </c>
      <c r="D19" s="8">
        <v>647</v>
      </c>
      <c r="E19" s="19">
        <f t="shared" si="0"/>
        <v>0.12828438948995363</v>
      </c>
      <c r="F19" s="19">
        <f t="shared" si="1"/>
        <v>0.3761713594557291</v>
      </c>
      <c r="G19" s="19">
        <f t="shared" si="2"/>
        <v>4.8256913191384102E-2</v>
      </c>
      <c r="H19" s="8">
        <v>1454</v>
      </c>
      <c r="I19" s="8">
        <v>549.55556911230087</v>
      </c>
      <c r="J19" s="8">
        <v>7551</v>
      </c>
      <c r="K19" s="19">
        <f t="shared" si="3"/>
        <v>0.19255727718183022</v>
      </c>
      <c r="L19" s="19">
        <f t="shared" si="4"/>
        <v>0.37796118921066085</v>
      </c>
      <c r="M19" s="19">
        <f t="shared" si="5"/>
        <v>7.2779177474811399E-2</v>
      </c>
      <c r="N19" s="19">
        <f t="shared" si="6"/>
        <v>1.5081606481163317</v>
      </c>
      <c r="P19" s="8">
        <v>6</v>
      </c>
      <c r="Q19" s="8">
        <v>22699</v>
      </c>
      <c r="R19" s="8">
        <v>8489.6668802797794</v>
      </c>
      <c r="S19" s="8">
        <v>483853</v>
      </c>
      <c r="T19" s="19">
        <f t="shared" si="11"/>
        <v>4.6913008703056508E-2</v>
      </c>
      <c r="U19" s="19">
        <f t="shared" si="12"/>
        <v>0.37401061193355561</v>
      </c>
      <c r="V19" s="19">
        <f t="shared" si="13"/>
        <v>1.7545963092674383E-2</v>
      </c>
      <c r="W19" s="19"/>
    </row>
    <row r="20" spans="1:23" ht="15.75" customHeight="1">
      <c r="A20" s="8">
        <v>10701</v>
      </c>
      <c r="B20" s="8">
        <v>69</v>
      </c>
      <c r="C20" s="8">
        <v>24.666667252779007</v>
      </c>
      <c r="D20" s="8">
        <v>805</v>
      </c>
      <c r="E20" s="19">
        <f t="shared" si="0"/>
        <v>8.5714285714285715E-2</v>
      </c>
      <c r="F20" s="19">
        <f t="shared" si="1"/>
        <v>0.35748793119969574</v>
      </c>
      <c r="G20" s="19">
        <f t="shared" si="2"/>
        <v>3.0641822674259637E-2</v>
      </c>
      <c r="H20" s="8">
        <v>1611</v>
      </c>
      <c r="I20" s="8">
        <v>606.44445866346359</v>
      </c>
      <c r="J20" s="8">
        <v>13233</v>
      </c>
      <c r="K20" s="19">
        <f t="shared" si="3"/>
        <v>0.12174110179097711</v>
      </c>
      <c r="L20" s="19">
        <f t="shared" si="4"/>
        <v>0.37643976329203205</v>
      </c>
      <c r="M20" s="19">
        <f t="shared" si="5"/>
        <v>4.5828191541106601E-2</v>
      </c>
      <c r="N20" s="19">
        <f t="shared" si="6"/>
        <v>1.4956091884052356</v>
      </c>
      <c r="P20" s="8">
        <v>7</v>
      </c>
      <c r="Q20" s="8">
        <v>122883</v>
      </c>
      <c r="R20" s="8">
        <v>44611.890033632517</v>
      </c>
      <c r="S20" s="8">
        <v>2714080</v>
      </c>
      <c r="T20" s="19">
        <f t="shared" si="11"/>
        <v>4.5276115663502918E-2</v>
      </c>
      <c r="U20" s="19">
        <f t="shared" si="12"/>
        <v>0.36304362713827393</v>
      </c>
      <c r="V20" s="19">
        <f t="shared" si="13"/>
        <v>1.6437205253210116E-2</v>
      </c>
      <c r="W20" s="19"/>
    </row>
    <row r="21" spans="1:23" ht="15.75" customHeight="1">
      <c r="A21" s="8">
        <v>10702</v>
      </c>
      <c r="B21" s="8">
        <v>240</v>
      </c>
      <c r="C21" s="8">
        <v>94.333335787057877</v>
      </c>
      <c r="D21" s="8">
        <v>1352</v>
      </c>
      <c r="E21" s="19">
        <f t="shared" si="0"/>
        <v>0.17751479289940827</v>
      </c>
      <c r="F21" s="19">
        <f t="shared" si="1"/>
        <v>0.39305556577940781</v>
      </c>
      <c r="G21" s="19">
        <f t="shared" si="2"/>
        <v>6.9773177357291327E-2</v>
      </c>
      <c r="H21" s="8">
        <v>7843</v>
      </c>
      <c r="I21" s="8">
        <v>3182.8889697194099</v>
      </c>
      <c r="J21" s="8">
        <v>24450</v>
      </c>
      <c r="K21" s="19">
        <f t="shared" si="3"/>
        <v>0.32077709611451943</v>
      </c>
      <c r="L21" s="19">
        <f t="shared" si="4"/>
        <v>0.40582544558452249</v>
      </c>
      <c r="M21" s="19">
        <f t="shared" si="5"/>
        <v>0.13017950796398406</v>
      </c>
      <c r="N21" s="19">
        <f t="shared" si="6"/>
        <v>1.865752899532821</v>
      </c>
      <c r="P21" s="8">
        <v>8</v>
      </c>
      <c r="Q21" s="8">
        <v>76848</v>
      </c>
      <c r="R21" s="8">
        <v>30568.667453020811</v>
      </c>
      <c r="S21" s="8">
        <v>417988</v>
      </c>
      <c r="T21" s="19">
        <f t="shared" si="11"/>
        <v>0.1838521680048231</v>
      </c>
      <c r="U21" s="19">
        <f t="shared" si="12"/>
        <v>0.39778091105846358</v>
      </c>
      <c r="V21" s="19">
        <f t="shared" si="13"/>
        <v>7.3132882889032247E-2</v>
      </c>
      <c r="W21" s="19"/>
    </row>
    <row r="22" spans="1:23" ht="15.75" customHeight="1">
      <c r="A22" s="8">
        <v>10703</v>
      </c>
      <c r="B22" s="8">
        <v>88</v>
      </c>
      <c r="C22" s="8">
        <v>37.888889908790588</v>
      </c>
      <c r="D22" s="8">
        <v>539</v>
      </c>
      <c r="E22" s="19">
        <f t="shared" si="0"/>
        <v>0.16326530612244897</v>
      </c>
      <c r="F22" s="19">
        <f t="shared" si="1"/>
        <v>0.4305555671453476</v>
      </c>
      <c r="G22" s="19">
        <f t="shared" si="2"/>
        <v>7.02947864727098E-2</v>
      </c>
      <c r="H22" s="8">
        <v>6915</v>
      </c>
      <c r="I22" s="8">
        <v>2994.3334094285965</v>
      </c>
      <c r="J22" s="8">
        <v>15255</v>
      </c>
      <c r="K22" s="19">
        <f t="shared" si="3"/>
        <v>0.45329400196656833</v>
      </c>
      <c r="L22" s="19">
        <f t="shared" si="4"/>
        <v>0.43302001582481509</v>
      </c>
      <c r="M22" s="19">
        <f t="shared" si="5"/>
        <v>0.19628537590485717</v>
      </c>
      <c r="N22" s="19">
        <f t="shared" si="6"/>
        <v>2.7923176917403412</v>
      </c>
      <c r="P22" s="8">
        <v>9</v>
      </c>
      <c r="Q22" s="8">
        <v>13500</v>
      </c>
      <c r="R22" s="8">
        <v>5072.8890153169632</v>
      </c>
      <c r="S22" s="8">
        <v>108174</v>
      </c>
      <c r="T22" s="19">
        <f t="shared" si="11"/>
        <v>0.12479893504908758</v>
      </c>
      <c r="U22" s="19">
        <f t="shared" si="12"/>
        <v>0.37576955669014545</v>
      </c>
      <c r="V22" s="19">
        <f t="shared" si="13"/>
        <v>4.6895640498797894E-2</v>
      </c>
      <c r="W22" s="19"/>
    </row>
    <row r="23" spans="1:23" ht="15.75" customHeight="1">
      <c r="A23" s="8">
        <v>10704</v>
      </c>
      <c r="B23" s="8">
        <v>192</v>
      </c>
      <c r="C23" s="8">
        <v>76.222223967313766</v>
      </c>
      <c r="D23" s="8">
        <v>721</v>
      </c>
      <c r="E23" s="19">
        <f t="shared" si="0"/>
        <v>0.26629680998613037</v>
      </c>
      <c r="F23" s="19">
        <f t="shared" si="1"/>
        <v>0.39699074982975918</v>
      </c>
      <c r="G23" s="19">
        <f t="shared" si="2"/>
        <v>0.1057173702736668</v>
      </c>
      <c r="H23" s="8">
        <v>4631</v>
      </c>
      <c r="I23" s="8">
        <v>2034.6667196452618</v>
      </c>
      <c r="J23" s="8">
        <v>13127</v>
      </c>
      <c r="K23" s="19">
        <f t="shared" si="3"/>
        <v>0.35278433762474287</v>
      </c>
      <c r="L23" s="19">
        <f t="shared" si="4"/>
        <v>0.43935796148677647</v>
      </c>
      <c r="M23" s="19">
        <f t="shared" si="5"/>
        <v>0.15499860742326974</v>
      </c>
      <c r="N23" s="19">
        <f t="shared" si="6"/>
        <v>1.4661602631812571</v>
      </c>
      <c r="T23" s="19"/>
      <c r="U23" s="19"/>
      <c r="V23" s="19"/>
      <c r="W23" s="19"/>
    </row>
    <row r="24" spans="1:23" ht="15.75" customHeight="1">
      <c r="A24" s="8">
        <v>10801</v>
      </c>
      <c r="B24" s="8">
        <v>48</v>
      </c>
      <c r="C24" s="8">
        <v>18.444444954395294</v>
      </c>
      <c r="D24" s="8">
        <v>665</v>
      </c>
      <c r="E24" s="19">
        <f t="shared" si="0"/>
        <v>7.2180451127819553E-2</v>
      </c>
      <c r="F24" s="19">
        <f t="shared" si="1"/>
        <v>0.38425926988323528</v>
      </c>
      <c r="G24" s="19">
        <f t="shared" si="2"/>
        <v>2.7736007450218488E-2</v>
      </c>
      <c r="H24" s="8">
        <v>1229</v>
      </c>
      <c r="I24" s="8">
        <v>477.6666778922081</v>
      </c>
      <c r="J24" s="8">
        <v>8269</v>
      </c>
      <c r="K24" s="19">
        <f t="shared" si="3"/>
        <v>0.14862740355544807</v>
      </c>
      <c r="L24" s="19">
        <f t="shared" si="4"/>
        <v>0.38866287867551513</v>
      </c>
      <c r="M24" s="19">
        <f t="shared" si="5"/>
        <v>5.7765954515927941E-2</v>
      </c>
      <c r="N24" s="19">
        <f t="shared" si="6"/>
        <v>2.082706194091136</v>
      </c>
      <c r="T24" s="19"/>
      <c r="U24" s="19"/>
      <c r="V24" s="19"/>
      <c r="W24" s="19"/>
    </row>
    <row r="25" spans="1:23" ht="15.75" customHeight="1">
      <c r="A25" s="8">
        <v>10901</v>
      </c>
      <c r="B25" s="8">
        <v>52</v>
      </c>
      <c r="C25" s="8">
        <v>21.333334147930145</v>
      </c>
      <c r="D25" s="8">
        <v>353</v>
      </c>
      <c r="E25" s="19">
        <f t="shared" si="0"/>
        <v>0.14730878186968838</v>
      </c>
      <c r="F25" s="19">
        <f t="shared" si="1"/>
        <v>0.41025642592173356</v>
      </c>
      <c r="G25" s="19">
        <f t="shared" si="2"/>
        <v>6.0434374356742614E-2</v>
      </c>
      <c r="H25" s="8">
        <v>637</v>
      </c>
      <c r="I25" s="8">
        <v>242.55556127429008</v>
      </c>
      <c r="J25" s="8">
        <v>4807</v>
      </c>
      <c r="K25" s="19">
        <f t="shared" si="3"/>
        <v>0.13251508217183275</v>
      </c>
      <c r="L25" s="19">
        <f t="shared" si="4"/>
        <v>0.38077796118412888</v>
      </c>
      <c r="M25" s="19">
        <f t="shared" si="5"/>
        <v>5.0458822815537777E-2</v>
      </c>
      <c r="N25" s="19">
        <f t="shared" si="6"/>
        <v>0.8349358018944748</v>
      </c>
      <c r="T25" s="19"/>
      <c r="U25" s="19"/>
      <c r="V25" s="19"/>
      <c r="W25" s="19"/>
    </row>
    <row r="26" spans="1:23" ht="15.75" customHeight="1">
      <c r="A26" s="8">
        <v>10902</v>
      </c>
      <c r="B26" s="8">
        <v>116</v>
      </c>
      <c r="C26" s="8">
        <v>43.444445550441742</v>
      </c>
      <c r="D26" s="8">
        <v>652</v>
      </c>
      <c r="E26" s="19">
        <f t="shared" si="0"/>
        <v>0.17791411042944785</v>
      </c>
      <c r="F26" s="19">
        <f t="shared" si="1"/>
        <v>0.37452108233139431</v>
      </c>
      <c r="G26" s="19">
        <f t="shared" si="2"/>
        <v>6.6632585200064015E-2</v>
      </c>
      <c r="H26" s="8">
        <v>4215</v>
      </c>
      <c r="I26" s="8">
        <v>1717.0000428259373</v>
      </c>
      <c r="J26" s="8">
        <v>13807</v>
      </c>
      <c r="K26" s="19">
        <f t="shared" si="3"/>
        <v>0.30527993047005142</v>
      </c>
      <c r="L26" s="19">
        <f t="shared" si="4"/>
        <v>0.40735469580686529</v>
      </c>
      <c r="M26" s="19">
        <f t="shared" si="5"/>
        <v>0.12435721321256878</v>
      </c>
      <c r="N26" s="19">
        <f t="shared" si="6"/>
        <v>1.866312298092395</v>
      </c>
      <c r="T26" s="19"/>
      <c r="U26" s="19"/>
      <c r="V26" s="19"/>
      <c r="W26" s="19"/>
    </row>
    <row r="27" spans="1:23" ht="15.75" customHeight="1">
      <c r="A27" s="8">
        <v>10903</v>
      </c>
      <c r="B27" s="8">
        <v>34</v>
      </c>
      <c r="C27" s="8">
        <v>12.444444715976715</v>
      </c>
      <c r="D27" s="8">
        <v>371</v>
      </c>
      <c r="E27" s="19">
        <f t="shared" si="0"/>
        <v>9.1644204851752023E-2</v>
      </c>
      <c r="F27" s="19">
        <f t="shared" si="1"/>
        <v>0.36601307988166809</v>
      </c>
      <c r="G27" s="19">
        <f t="shared" si="2"/>
        <v>3.354297767109627E-2</v>
      </c>
      <c r="H27" s="8">
        <v>693</v>
      </c>
      <c r="I27" s="8">
        <v>272.66667398810387</v>
      </c>
      <c r="J27" s="8">
        <v>4556</v>
      </c>
      <c r="K27" s="19">
        <f t="shared" si="3"/>
        <v>0.15210711150131695</v>
      </c>
      <c r="L27" s="19">
        <f t="shared" si="4"/>
        <v>0.3934584040232379</v>
      </c>
      <c r="M27" s="19">
        <f t="shared" si="5"/>
        <v>5.9847821331892863E-2</v>
      </c>
      <c r="N27" s="19">
        <f t="shared" si="6"/>
        <v>1.7842131345263148</v>
      </c>
      <c r="T27" s="19"/>
      <c r="U27" s="19"/>
      <c r="V27" s="19"/>
      <c r="W27" s="19"/>
    </row>
    <row r="28" spans="1:23" ht="15.75" customHeight="1">
      <c r="A28" s="8">
        <v>11001</v>
      </c>
      <c r="B28" s="8">
        <v>17</v>
      </c>
      <c r="C28" s="8">
        <v>5.8888890445232391</v>
      </c>
      <c r="D28" s="8">
        <v>162</v>
      </c>
      <c r="E28" s="19">
        <f t="shared" si="0"/>
        <v>0.10493827160493827</v>
      </c>
      <c r="F28" s="19">
        <f t="shared" si="1"/>
        <v>0.34640523791313171</v>
      </c>
      <c r="G28" s="19">
        <f t="shared" si="2"/>
        <v>3.6351166941501471E-2</v>
      </c>
      <c r="H28" s="8">
        <v>2030</v>
      </c>
      <c r="I28" s="8">
        <v>831.00002065300941</v>
      </c>
      <c r="J28" s="8">
        <v>10378</v>
      </c>
      <c r="K28" s="19">
        <f t="shared" si="3"/>
        <v>0.19560608980535749</v>
      </c>
      <c r="L28" s="19">
        <f t="shared" si="4"/>
        <v>0.40935961608522631</v>
      </c>
      <c r="M28" s="19">
        <f t="shared" si="5"/>
        <v>8.0073233826653434E-2</v>
      </c>
      <c r="N28" s="19">
        <f t="shared" si="6"/>
        <v>2.2027692798834271</v>
      </c>
      <c r="T28" s="19"/>
      <c r="U28" s="19"/>
      <c r="V28" s="19"/>
      <c r="W28" s="19"/>
    </row>
    <row r="29" spans="1:23" ht="15.75" customHeight="1">
      <c r="A29" s="8">
        <v>11002</v>
      </c>
      <c r="B29" s="8">
        <v>5</v>
      </c>
      <c r="C29" s="8">
        <v>1.666666716337204</v>
      </c>
      <c r="D29" s="8">
        <v>180</v>
      </c>
      <c r="E29" s="19">
        <f t="shared" si="0"/>
        <v>2.7777777777777776E-2</v>
      </c>
      <c r="F29" s="19">
        <f t="shared" si="1"/>
        <v>0.3333333432674408</v>
      </c>
      <c r="G29" s="19">
        <f t="shared" si="2"/>
        <v>9.2592595352066886E-3</v>
      </c>
      <c r="H29" s="8">
        <v>192</v>
      </c>
      <c r="I29" s="8">
        <v>71.666668683290482</v>
      </c>
      <c r="J29" s="8">
        <v>2338</v>
      </c>
      <c r="K29" s="19">
        <f t="shared" si="3"/>
        <v>8.2121471343028232E-2</v>
      </c>
      <c r="L29" s="19">
        <f t="shared" si="4"/>
        <v>0.37326389939213794</v>
      </c>
      <c r="M29" s="19">
        <f t="shared" si="5"/>
        <v>3.0652980617318429E-2</v>
      </c>
      <c r="N29" s="19">
        <f t="shared" si="6"/>
        <v>3.3105218080091521</v>
      </c>
      <c r="T29" s="19"/>
      <c r="U29" s="19"/>
      <c r="V29" s="19"/>
      <c r="W29" s="19"/>
    </row>
    <row r="30" spans="1:23" ht="15.75" customHeight="1">
      <c r="A30" s="8">
        <v>11003</v>
      </c>
      <c r="B30" s="8">
        <v>105</v>
      </c>
      <c r="C30" s="8">
        <v>37.333334237337112</v>
      </c>
      <c r="D30" s="8">
        <v>656</v>
      </c>
      <c r="E30" s="19">
        <f t="shared" si="0"/>
        <v>0.1600609756097561</v>
      </c>
      <c r="F30" s="19">
        <f t="shared" si="1"/>
        <v>0.35555556416511536</v>
      </c>
      <c r="G30" s="19">
        <f t="shared" si="2"/>
        <v>5.69105704837456E-2</v>
      </c>
      <c r="H30" s="8">
        <v>438</v>
      </c>
      <c r="I30" s="8">
        <v>164.55555987358093</v>
      </c>
      <c r="J30" s="8">
        <v>5721</v>
      </c>
      <c r="K30" s="19">
        <f t="shared" si="3"/>
        <v>7.6560041950707924E-2</v>
      </c>
      <c r="L30" s="19">
        <f t="shared" si="4"/>
        <v>0.37569762528214823</v>
      </c>
      <c r="M30" s="19">
        <f t="shared" si="5"/>
        <v>2.8763425952382616E-2</v>
      </c>
      <c r="N30" s="19">
        <f t="shared" si="6"/>
        <v>0.5054144723535644</v>
      </c>
      <c r="T30" s="19"/>
      <c r="U30" s="19"/>
      <c r="V30" s="19"/>
      <c r="W30" s="19"/>
    </row>
    <row r="31" spans="1:23" ht="15.75" customHeight="1">
      <c r="A31" s="8">
        <v>20101</v>
      </c>
      <c r="B31" s="8">
        <v>532</v>
      </c>
      <c r="C31" s="8">
        <v>193.44444936513901</v>
      </c>
      <c r="D31" s="8">
        <v>30285</v>
      </c>
      <c r="E31" s="19">
        <f t="shared" si="0"/>
        <v>1.7566452038963183E-2</v>
      </c>
      <c r="F31" s="19">
        <f t="shared" si="1"/>
        <v>0.3636173860246974</v>
      </c>
      <c r="G31" s="19">
        <f t="shared" si="2"/>
        <v>6.3874673721360086E-3</v>
      </c>
      <c r="H31" s="8">
        <v>4706</v>
      </c>
      <c r="I31" s="8">
        <v>1696.0000439584255</v>
      </c>
      <c r="J31" s="8">
        <v>688513</v>
      </c>
      <c r="K31" s="19">
        <f t="shared" si="3"/>
        <v>6.8350198180716993E-3</v>
      </c>
      <c r="L31" s="19">
        <f t="shared" si="4"/>
        <v>0.36039099956617626</v>
      </c>
      <c r="M31" s="19">
        <f t="shared" si="5"/>
        <v>2.4632796242894839E-3</v>
      </c>
      <c r="N31" s="19">
        <f t="shared" si="6"/>
        <v>0.38564261557484059</v>
      </c>
      <c r="T31" s="19"/>
      <c r="U31" s="19"/>
      <c r="V31" s="19"/>
      <c r="W31" s="19"/>
    </row>
    <row r="32" spans="1:23" ht="15.75" customHeight="1">
      <c r="A32" s="8">
        <v>20102</v>
      </c>
      <c r="B32" s="8">
        <v>158</v>
      </c>
      <c r="C32" s="8">
        <v>55.333334773778915</v>
      </c>
      <c r="D32" s="8">
        <v>1245</v>
      </c>
      <c r="E32" s="19">
        <f t="shared" si="0"/>
        <v>0.12690763052208837</v>
      </c>
      <c r="F32" s="19">
        <f t="shared" si="1"/>
        <v>0.35021097958087921</v>
      </c>
      <c r="G32" s="19">
        <f t="shared" si="2"/>
        <v>4.444444560142885E-2</v>
      </c>
      <c r="H32" s="8">
        <v>3032</v>
      </c>
      <c r="I32" s="8">
        <v>1130.33336186409</v>
      </c>
      <c r="J32" s="8">
        <v>20102</v>
      </c>
      <c r="K32" s="19">
        <f t="shared" si="3"/>
        <v>0.15083076310814844</v>
      </c>
      <c r="L32" s="19">
        <f t="shared" si="4"/>
        <v>0.37280124072034632</v>
      </c>
      <c r="M32" s="19">
        <f t="shared" si="5"/>
        <v>5.6229895625514378E-2</v>
      </c>
      <c r="N32" s="19">
        <f t="shared" si="6"/>
        <v>1.2651726186389112</v>
      </c>
      <c r="T32" s="19"/>
      <c r="U32" s="19"/>
      <c r="V32" s="19"/>
      <c r="W32" s="19"/>
    </row>
    <row r="33" spans="1:23" ht="15.75" customHeight="1">
      <c r="A33" s="8">
        <v>20103</v>
      </c>
      <c r="B33" s="8">
        <v>112</v>
      </c>
      <c r="C33" s="8">
        <v>38.666667699813843</v>
      </c>
      <c r="D33" s="8">
        <v>2920</v>
      </c>
      <c r="E33" s="19">
        <f t="shared" si="0"/>
        <v>3.8356164383561646E-2</v>
      </c>
      <c r="F33" s="19">
        <f t="shared" si="1"/>
        <v>0.3452381044626236</v>
      </c>
      <c r="G33" s="19">
        <f t="shared" si="2"/>
        <v>1.3242009486237619E-2</v>
      </c>
      <c r="H33" s="8">
        <v>1546</v>
      </c>
      <c r="I33" s="8">
        <v>568.22223645448685</v>
      </c>
      <c r="J33" s="8">
        <v>17202</v>
      </c>
      <c r="K33" s="19">
        <f t="shared" si="3"/>
        <v>8.987327054993606E-2</v>
      </c>
      <c r="L33" s="19">
        <f t="shared" si="4"/>
        <v>0.36754349059151803</v>
      </c>
      <c r="M33" s="19">
        <f t="shared" si="5"/>
        <v>3.3032335568799379E-2</v>
      </c>
      <c r="N33" s="19">
        <f t="shared" si="6"/>
        <v>2.4945107918197604</v>
      </c>
      <c r="T33" s="19"/>
      <c r="U33" s="19"/>
      <c r="V33" s="19"/>
      <c r="W33" s="19"/>
    </row>
    <row r="34" spans="1:23" ht="15.75" customHeight="1">
      <c r="A34" s="8">
        <v>20104</v>
      </c>
      <c r="B34" s="8">
        <v>1408</v>
      </c>
      <c r="C34" s="8">
        <v>505.33334678411484</v>
      </c>
      <c r="D34" s="8">
        <v>9855</v>
      </c>
      <c r="E34" s="19">
        <f t="shared" si="0"/>
        <v>0.14287163876204972</v>
      </c>
      <c r="F34" s="19">
        <f t="shared" si="1"/>
        <v>0.358901524704627</v>
      </c>
      <c r="G34" s="19">
        <f t="shared" si="2"/>
        <v>5.1276848988748333E-2</v>
      </c>
      <c r="H34" s="8">
        <v>3867</v>
      </c>
      <c r="I34" s="8">
        <v>1390.4444798529148</v>
      </c>
      <c r="J34" s="8">
        <v>34138</v>
      </c>
      <c r="K34" s="19">
        <f t="shared" si="3"/>
        <v>0.11327552873630559</v>
      </c>
      <c r="L34" s="19">
        <f t="shared" si="4"/>
        <v>0.35956671317634209</v>
      </c>
      <c r="M34" s="19">
        <f t="shared" si="5"/>
        <v>4.0730109551025684E-2</v>
      </c>
      <c r="N34" s="19">
        <f t="shared" si="6"/>
        <v>0.79431771558277853</v>
      </c>
      <c r="T34" s="19"/>
      <c r="U34" s="19"/>
      <c r="V34" s="19"/>
      <c r="W34" s="19"/>
    </row>
    <row r="35" spans="1:23" ht="15.75" customHeight="1">
      <c r="A35" s="8">
        <v>20105</v>
      </c>
      <c r="B35" s="8">
        <v>2151</v>
      </c>
      <c r="C35" s="8">
        <v>770.11113068461418</v>
      </c>
      <c r="D35" s="8">
        <v>69042</v>
      </c>
      <c r="E35" s="19">
        <f t="shared" si="0"/>
        <v>3.1154949161380029E-2</v>
      </c>
      <c r="F35" s="19">
        <f t="shared" si="1"/>
        <v>0.3580247004577472</v>
      </c>
      <c r="G35" s="19">
        <f t="shared" si="2"/>
        <v>1.1154241341279427E-2</v>
      </c>
      <c r="H35" s="8">
        <v>11272</v>
      </c>
      <c r="I35" s="8">
        <v>4019.2223264276981</v>
      </c>
      <c r="J35" s="8">
        <v>796417</v>
      </c>
      <c r="K35" s="19">
        <f t="shared" si="3"/>
        <v>1.4153389493192637E-2</v>
      </c>
      <c r="L35" s="19">
        <f t="shared" si="4"/>
        <v>0.35656692037151333</v>
      </c>
      <c r="M35" s="19">
        <f t="shared" si="5"/>
        <v>5.0466305044062319E-3</v>
      </c>
      <c r="N35" s="19">
        <f t="shared" si="6"/>
        <v>0.45244049774409556</v>
      </c>
      <c r="T35" s="19"/>
      <c r="U35" s="19"/>
      <c r="V35" s="19"/>
      <c r="W35" s="19"/>
    </row>
    <row r="36" spans="1:23" ht="15.75" customHeight="1">
      <c r="A36" s="8">
        <v>20201</v>
      </c>
      <c r="B36" s="8">
        <v>291</v>
      </c>
      <c r="C36" s="8">
        <v>106.66666954755783</v>
      </c>
      <c r="D36" s="8">
        <v>2795</v>
      </c>
      <c r="E36" s="19">
        <f t="shared" si="0"/>
        <v>0.10411449016100179</v>
      </c>
      <c r="F36" s="19">
        <f t="shared" si="1"/>
        <v>0.36655212902940837</v>
      </c>
      <c r="G36" s="19">
        <f t="shared" si="2"/>
        <v>3.8163388031326594E-2</v>
      </c>
      <c r="H36" s="8">
        <v>4056</v>
      </c>
      <c r="I36" s="8">
        <v>1493.2222599387169</v>
      </c>
      <c r="J36" s="8">
        <v>43122</v>
      </c>
      <c r="K36" s="19">
        <f t="shared" si="3"/>
        <v>9.4058717128148048E-2</v>
      </c>
      <c r="L36" s="19">
        <f t="shared" si="4"/>
        <v>0.36815144475806627</v>
      </c>
      <c r="M36" s="19">
        <f t="shared" si="5"/>
        <v>3.4627852602817977E-2</v>
      </c>
      <c r="N36" s="19">
        <f t="shared" si="6"/>
        <v>0.90735792572697016</v>
      </c>
      <c r="T36" s="19"/>
      <c r="U36" s="19"/>
      <c r="V36" s="19"/>
      <c r="W36" s="19"/>
    </row>
    <row r="37" spans="1:23" ht="15.75" customHeight="1">
      <c r="A37" s="8">
        <v>20202</v>
      </c>
      <c r="B37" s="8">
        <v>225</v>
      </c>
      <c r="C37" s="8">
        <v>82.111113220453262</v>
      </c>
      <c r="D37" s="8">
        <v>1147</v>
      </c>
      <c r="E37" s="19">
        <f t="shared" si="0"/>
        <v>0.1961639058413252</v>
      </c>
      <c r="F37" s="19">
        <f t="shared" si="1"/>
        <v>0.36493828097979225</v>
      </c>
      <c r="G37" s="19">
        <f t="shared" si="2"/>
        <v>7.1587718588015048E-2</v>
      </c>
      <c r="H37" s="8">
        <v>2672</v>
      </c>
      <c r="I37" s="8">
        <v>985.55558043718338</v>
      </c>
      <c r="J37" s="8">
        <v>15480</v>
      </c>
      <c r="K37" s="19">
        <f t="shared" si="3"/>
        <v>0.17260981912144702</v>
      </c>
      <c r="L37" s="19">
        <f t="shared" si="4"/>
        <v>0.36884565136122133</v>
      </c>
      <c r="M37" s="19">
        <f t="shared" si="5"/>
        <v>6.3666381165192715E-2</v>
      </c>
      <c r="N37" s="19">
        <f t="shared" si="6"/>
        <v>0.88934781581168454</v>
      </c>
      <c r="T37" s="19"/>
      <c r="U37" s="19"/>
      <c r="V37" s="19"/>
      <c r="W37" s="19"/>
    </row>
    <row r="38" spans="1:23" ht="15.75" customHeight="1">
      <c r="A38" s="8">
        <v>20203</v>
      </c>
      <c r="B38" s="8">
        <v>132</v>
      </c>
      <c r="C38" s="8">
        <v>47.55555671453476</v>
      </c>
      <c r="D38" s="8">
        <v>1025</v>
      </c>
      <c r="E38" s="19">
        <f t="shared" si="0"/>
        <v>0.12878048780487805</v>
      </c>
      <c r="F38" s="19">
        <f t="shared" si="1"/>
        <v>0.36026936904950574</v>
      </c>
      <c r="G38" s="19">
        <f t="shared" si="2"/>
        <v>4.6395665087350983E-2</v>
      </c>
      <c r="H38" s="8">
        <v>514</v>
      </c>
      <c r="I38" s="8">
        <v>188.22222703695297</v>
      </c>
      <c r="J38" s="8">
        <v>5757</v>
      </c>
      <c r="K38" s="19">
        <f t="shared" si="3"/>
        <v>8.9282612471773493E-2</v>
      </c>
      <c r="L38" s="19">
        <f t="shared" si="4"/>
        <v>0.36619110318473341</v>
      </c>
      <c r="M38" s="19">
        <f t="shared" si="5"/>
        <v>3.2694498356253772E-2</v>
      </c>
      <c r="N38" s="19">
        <f t="shared" si="6"/>
        <v>0.70468864482702265</v>
      </c>
      <c r="T38" s="19"/>
      <c r="U38" s="19"/>
      <c r="V38" s="19"/>
      <c r="W38" s="19"/>
    </row>
    <row r="39" spans="1:23" ht="15.75" customHeight="1">
      <c r="A39" s="8">
        <v>20204</v>
      </c>
      <c r="B39" s="8">
        <v>89</v>
      </c>
      <c r="C39" s="8">
        <v>30.777778625488281</v>
      </c>
      <c r="D39" s="8">
        <v>839</v>
      </c>
      <c r="E39" s="19">
        <f t="shared" si="0"/>
        <v>0.10607866507747318</v>
      </c>
      <c r="F39" s="19">
        <f t="shared" si="1"/>
        <v>0.34581773736503685</v>
      </c>
      <c r="G39" s="19">
        <f t="shared" si="2"/>
        <v>3.6683883939795325E-2</v>
      </c>
      <c r="H39" s="8">
        <v>751</v>
      </c>
      <c r="I39" s="8">
        <v>272.88889569044113</v>
      </c>
      <c r="J39" s="8">
        <v>7581</v>
      </c>
      <c r="K39" s="19">
        <f t="shared" si="3"/>
        <v>9.906344809391901E-2</v>
      </c>
      <c r="L39" s="19">
        <f t="shared" si="4"/>
        <v>0.36336737109246486</v>
      </c>
      <c r="M39" s="19">
        <f t="shared" si="5"/>
        <v>3.5996424705242197E-2</v>
      </c>
      <c r="N39" s="19">
        <f t="shared" si="6"/>
        <v>0.98125991141828472</v>
      </c>
      <c r="T39" s="19"/>
      <c r="U39" s="19"/>
      <c r="V39" s="19"/>
      <c r="W39" s="19"/>
    </row>
    <row r="40" spans="1:23" ht="15.75" customHeight="1">
      <c r="A40" s="8">
        <v>20205</v>
      </c>
      <c r="B40" s="8">
        <v>106</v>
      </c>
      <c r="C40" s="8">
        <v>39.33333432674408</v>
      </c>
      <c r="D40" s="8">
        <v>1026</v>
      </c>
      <c r="E40" s="19">
        <f t="shared" si="0"/>
        <v>0.10331384015594541</v>
      </c>
      <c r="F40" s="19">
        <f t="shared" si="1"/>
        <v>0.37106919176173658</v>
      </c>
      <c r="G40" s="19">
        <f t="shared" si="2"/>
        <v>3.8336583164467912E-2</v>
      </c>
      <c r="H40" s="8">
        <v>653</v>
      </c>
      <c r="I40" s="8">
        <v>241.11111721396446</v>
      </c>
      <c r="J40" s="8">
        <v>8052</v>
      </c>
      <c r="K40" s="19">
        <f t="shared" si="3"/>
        <v>8.1097863884749127E-2</v>
      </c>
      <c r="L40" s="19">
        <f t="shared" si="4"/>
        <v>0.3692360141102059</v>
      </c>
      <c r="M40" s="19">
        <f t="shared" si="5"/>
        <v>2.9944252013656785E-2</v>
      </c>
      <c r="N40" s="19">
        <f t="shared" si="6"/>
        <v>0.78108818110348655</v>
      </c>
      <c r="T40" s="19"/>
      <c r="U40" s="19"/>
      <c r="V40" s="19"/>
      <c r="W40" s="19"/>
    </row>
    <row r="41" spans="1:23" ht="15.75" customHeight="1">
      <c r="A41" s="8">
        <v>20206</v>
      </c>
      <c r="B41" s="8">
        <v>50</v>
      </c>
      <c r="C41" s="8">
        <v>17.888889312744141</v>
      </c>
      <c r="D41" s="8">
        <v>792</v>
      </c>
      <c r="E41" s="19">
        <f t="shared" si="0"/>
        <v>6.3131313131313135E-2</v>
      </c>
      <c r="F41" s="19">
        <f t="shared" si="1"/>
        <v>0.35777778625488282</v>
      </c>
      <c r="G41" s="19">
        <f t="shared" si="2"/>
        <v>2.2586981455485027E-2</v>
      </c>
      <c r="H41" s="8">
        <v>236</v>
      </c>
      <c r="I41" s="8">
        <v>86.000002205371857</v>
      </c>
      <c r="J41" s="8">
        <v>4159</v>
      </c>
      <c r="K41" s="19">
        <f t="shared" si="3"/>
        <v>5.6744409713873525E-2</v>
      </c>
      <c r="L41" s="19">
        <f t="shared" si="4"/>
        <v>0.36440678900581297</v>
      </c>
      <c r="M41" s="19">
        <f t="shared" si="5"/>
        <v>2.0678048137862913E-2</v>
      </c>
      <c r="N41" s="19">
        <f t="shared" si="6"/>
        <v>0.91548523996514153</v>
      </c>
      <c r="T41" s="19"/>
      <c r="U41" s="19"/>
      <c r="V41" s="19"/>
      <c r="W41" s="19"/>
    </row>
    <row r="42" spans="1:23" ht="15.75" customHeight="1">
      <c r="A42" s="8">
        <v>20301</v>
      </c>
      <c r="B42" s="8">
        <v>167</v>
      </c>
      <c r="C42" s="8">
        <v>63.888890206813812</v>
      </c>
      <c r="D42" s="8">
        <v>1090</v>
      </c>
      <c r="E42" s="19">
        <f t="shared" si="0"/>
        <v>0.15321100917431194</v>
      </c>
      <c r="F42" s="19">
        <f t="shared" si="1"/>
        <v>0.38256820483122045</v>
      </c>
      <c r="G42" s="19">
        <f t="shared" si="2"/>
        <v>5.8613660740196166E-2</v>
      </c>
      <c r="H42" s="8">
        <v>2913</v>
      </c>
      <c r="I42" s="8">
        <v>1092.111138343811</v>
      </c>
      <c r="J42" s="8">
        <v>11947</v>
      </c>
      <c r="K42" s="19">
        <f t="shared" si="3"/>
        <v>0.24382690215116765</v>
      </c>
      <c r="L42" s="19">
        <f t="shared" si="4"/>
        <v>0.37490941927353622</v>
      </c>
      <c r="M42" s="19">
        <f t="shared" si="5"/>
        <v>9.1413002288759607E-2</v>
      </c>
      <c r="N42" s="19">
        <f t="shared" si="6"/>
        <v>1.5595852764417129</v>
      </c>
      <c r="T42" s="19"/>
      <c r="U42" s="19"/>
      <c r="V42" s="19"/>
      <c r="W42" s="19"/>
    </row>
    <row r="43" spans="1:23" ht="15.75" customHeight="1">
      <c r="A43" s="8">
        <v>20302</v>
      </c>
      <c r="B43" s="8">
        <v>192</v>
      </c>
      <c r="C43" s="8">
        <v>69.555557250976563</v>
      </c>
      <c r="D43" s="8">
        <v>1273</v>
      </c>
      <c r="E43" s="19">
        <f t="shared" si="0"/>
        <v>0.15082482325216026</v>
      </c>
      <c r="F43" s="19">
        <f t="shared" si="1"/>
        <v>0.36226852734883624</v>
      </c>
      <c r="G43" s="19">
        <f t="shared" si="2"/>
        <v>5.4639086607208613E-2</v>
      </c>
      <c r="H43" s="8">
        <v>2056</v>
      </c>
      <c r="I43" s="8">
        <v>755.00001826882362</v>
      </c>
      <c r="J43" s="8">
        <v>13964</v>
      </c>
      <c r="K43" s="19">
        <f t="shared" si="3"/>
        <v>0.14723574906903467</v>
      </c>
      <c r="L43" s="19">
        <f t="shared" si="4"/>
        <v>0.36721790771829943</v>
      </c>
      <c r="M43" s="19">
        <f t="shared" si="5"/>
        <v>5.4067603714467463E-2</v>
      </c>
      <c r="N43" s="19">
        <f t="shared" si="6"/>
        <v>0.98954076782341827</v>
      </c>
      <c r="T43" s="19"/>
      <c r="U43" s="19"/>
      <c r="V43" s="19"/>
      <c r="W43" s="19"/>
    </row>
    <row r="44" spans="1:23" ht="15.75" customHeight="1">
      <c r="A44" s="8">
        <v>20303</v>
      </c>
      <c r="B44" s="8">
        <v>250</v>
      </c>
      <c r="C44" s="8">
        <v>91.777779906988144</v>
      </c>
      <c r="D44" s="8">
        <v>1174</v>
      </c>
      <c r="E44" s="19">
        <f t="shared" si="0"/>
        <v>0.21294718909710392</v>
      </c>
      <c r="F44" s="19">
        <f t="shared" si="1"/>
        <v>0.36711111962795256</v>
      </c>
      <c r="G44" s="19">
        <f t="shared" si="2"/>
        <v>7.817528101106315E-2</v>
      </c>
      <c r="H44" s="8">
        <v>2894</v>
      </c>
      <c r="I44" s="8">
        <v>1080.1111368238926</v>
      </c>
      <c r="J44" s="8">
        <v>10836</v>
      </c>
      <c r="K44" s="19">
        <f t="shared" si="3"/>
        <v>0.26707272056109266</v>
      </c>
      <c r="L44" s="19">
        <f t="shared" si="4"/>
        <v>0.37322430436209142</v>
      </c>
      <c r="M44" s="19">
        <f t="shared" si="5"/>
        <v>9.9678030345505042E-2</v>
      </c>
      <c r="N44" s="19">
        <f t="shared" si="6"/>
        <v>1.2750581648871704</v>
      </c>
      <c r="T44" s="19"/>
      <c r="U44" s="19"/>
      <c r="V44" s="19"/>
      <c r="W44" s="19"/>
    </row>
    <row r="45" spans="1:23" ht="15.75" customHeight="1">
      <c r="A45" s="8">
        <v>20304</v>
      </c>
      <c r="B45" s="8">
        <v>39</v>
      </c>
      <c r="C45" s="8">
        <v>13.333333700895309</v>
      </c>
      <c r="D45" s="8">
        <v>306</v>
      </c>
      <c r="E45" s="19">
        <f t="shared" si="0"/>
        <v>0.12745098039215685</v>
      </c>
      <c r="F45" s="19">
        <f t="shared" si="1"/>
        <v>0.34188035130500793</v>
      </c>
      <c r="G45" s="19">
        <f t="shared" si="2"/>
        <v>4.3572985950638264E-2</v>
      </c>
      <c r="H45" s="8">
        <v>503</v>
      </c>
      <c r="I45" s="8">
        <v>180.33333793282509</v>
      </c>
      <c r="J45" s="8">
        <v>4853</v>
      </c>
      <c r="K45" s="19">
        <f t="shared" si="3"/>
        <v>0.1036472285184422</v>
      </c>
      <c r="L45" s="19">
        <f t="shared" si="4"/>
        <v>0.35851558237142167</v>
      </c>
      <c r="M45" s="19">
        <f t="shared" si="5"/>
        <v>3.7159146493473127E-2</v>
      </c>
      <c r="N45" s="19">
        <f t="shared" si="6"/>
        <v>0.85280238851587853</v>
      </c>
      <c r="T45" s="19"/>
      <c r="U45" s="19"/>
      <c r="V45" s="19"/>
      <c r="W45" s="19"/>
    </row>
    <row r="46" spans="1:23" ht="15.75" customHeight="1">
      <c r="A46" s="8">
        <v>20305</v>
      </c>
      <c r="B46" s="8">
        <v>49</v>
      </c>
      <c r="C46" s="8">
        <v>17.777778178453445</v>
      </c>
      <c r="D46" s="8">
        <v>234</v>
      </c>
      <c r="E46" s="19">
        <f t="shared" si="0"/>
        <v>0.20940170940170941</v>
      </c>
      <c r="F46" s="19">
        <f t="shared" si="1"/>
        <v>0.36281179956027437</v>
      </c>
      <c r="G46" s="19">
        <f t="shared" si="2"/>
        <v>7.5973411019031808E-2</v>
      </c>
      <c r="H46" s="8">
        <v>1296</v>
      </c>
      <c r="I46" s="8">
        <v>488.44445633888245</v>
      </c>
      <c r="J46" s="8">
        <v>3776</v>
      </c>
      <c r="K46" s="19">
        <f t="shared" si="3"/>
        <v>0.34322033898305082</v>
      </c>
      <c r="L46" s="19">
        <f t="shared" si="4"/>
        <v>0.37688615458247104</v>
      </c>
      <c r="M46" s="19">
        <f t="shared" si="5"/>
        <v>0.12935499373381421</v>
      </c>
      <c r="N46" s="19">
        <f t="shared" si="6"/>
        <v>1.7026350666473298</v>
      </c>
      <c r="T46" s="19"/>
      <c r="U46" s="19"/>
      <c r="V46" s="19"/>
      <c r="W46" s="19"/>
    </row>
    <row r="47" spans="1:23" ht="15.75" customHeight="1">
      <c r="A47" s="8">
        <v>20306</v>
      </c>
      <c r="B47" s="8">
        <v>61</v>
      </c>
      <c r="C47" s="8">
        <v>21.888889461755753</v>
      </c>
      <c r="D47" s="8">
        <v>399</v>
      </c>
      <c r="E47" s="19">
        <f t="shared" si="0"/>
        <v>0.15288220551378445</v>
      </c>
      <c r="F47" s="19">
        <f t="shared" si="1"/>
        <v>0.3588342534714058</v>
      </c>
      <c r="G47" s="19">
        <f t="shared" si="2"/>
        <v>5.4859372084600885E-2</v>
      </c>
      <c r="H47" s="8">
        <v>1060</v>
      </c>
      <c r="I47" s="8">
        <v>394.66667681932449</v>
      </c>
      <c r="J47" s="8">
        <v>5464</v>
      </c>
      <c r="K47" s="19">
        <f t="shared" si="3"/>
        <v>0.19399707174231332</v>
      </c>
      <c r="L47" s="19">
        <f t="shared" si="4"/>
        <v>0.37232705360313634</v>
      </c>
      <c r="M47" s="19">
        <f t="shared" si="5"/>
        <v>7.2230358129451777E-2</v>
      </c>
      <c r="N47" s="19">
        <f t="shared" si="6"/>
        <v>1.3166457322563296</v>
      </c>
      <c r="T47" s="19"/>
      <c r="U47" s="19"/>
      <c r="V47" s="19"/>
      <c r="W47" s="19"/>
    </row>
    <row r="48" spans="1:23" ht="15.75" customHeight="1">
      <c r="A48" s="8">
        <v>20307</v>
      </c>
      <c r="B48" s="8">
        <v>72</v>
      </c>
      <c r="C48" s="8">
        <v>25.888889491558075</v>
      </c>
      <c r="D48" s="8">
        <v>376</v>
      </c>
      <c r="E48" s="19">
        <f t="shared" si="0"/>
        <v>0.19148936170212766</v>
      </c>
      <c r="F48" s="19">
        <f t="shared" si="1"/>
        <v>0.35956790960497326</v>
      </c>
      <c r="G48" s="19">
        <f t="shared" si="2"/>
        <v>6.885342949882467E-2</v>
      </c>
      <c r="H48" s="8">
        <v>688</v>
      </c>
      <c r="I48" s="8">
        <v>251.44445043802261</v>
      </c>
      <c r="J48" s="8">
        <v>3550</v>
      </c>
      <c r="K48" s="19">
        <f t="shared" si="3"/>
        <v>0.19380281690140846</v>
      </c>
      <c r="L48" s="19">
        <f t="shared" si="4"/>
        <v>0.36547158493898635</v>
      </c>
      <c r="M48" s="19">
        <f t="shared" si="5"/>
        <v>7.0829422658597929E-2</v>
      </c>
      <c r="N48" s="19">
        <f t="shared" si="6"/>
        <v>1.0286985437639964</v>
      </c>
      <c r="T48" s="19"/>
      <c r="U48" s="19"/>
      <c r="V48" s="19"/>
      <c r="W48" s="19"/>
    </row>
    <row r="49" spans="1:23" ht="15.75" customHeight="1">
      <c r="A49" s="8">
        <v>20308</v>
      </c>
      <c r="B49" s="8">
        <v>277</v>
      </c>
      <c r="C49" s="8">
        <v>104.44444698095322</v>
      </c>
      <c r="D49" s="8">
        <v>721</v>
      </c>
      <c r="E49" s="19">
        <f t="shared" si="0"/>
        <v>0.3841886269070735</v>
      </c>
      <c r="F49" s="19">
        <f t="shared" si="1"/>
        <v>0.37705576527419932</v>
      </c>
      <c r="G49" s="19">
        <f t="shared" si="2"/>
        <v>0.14486053672809043</v>
      </c>
      <c r="H49" s="8">
        <v>2547</v>
      </c>
      <c r="I49" s="8">
        <v>943.00002264976501</v>
      </c>
      <c r="J49" s="8">
        <v>7128</v>
      </c>
      <c r="K49" s="19">
        <f t="shared" si="3"/>
        <v>0.35732323232323232</v>
      </c>
      <c r="L49" s="19">
        <f t="shared" si="4"/>
        <v>0.37023950634070085</v>
      </c>
      <c r="M49" s="19">
        <f t="shared" si="5"/>
        <v>0.1322951771394171</v>
      </c>
      <c r="N49" s="19">
        <f t="shared" si="6"/>
        <v>0.91325891873327059</v>
      </c>
      <c r="T49" s="19"/>
      <c r="U49" s="19"/>
      <c r="V49" s="19"/>
      <c r="W49" s="19"/>
    </row>
    <row r="50" spans="1:23" ht="15.75" customHeight="1">
      <c r="A50" s="8">
        <v>20401</v>
      </c>
      <c r="B50" s="8">
        <v>341</v>
      </c>
      <c r="C50" s="8">
        <v>125.11111423373222</v>
      </c>
      <c r="D50" s="8">
        <v>1247</v>
      </c>
      <c r="E50" s="19">
        <f t="shared" si="0"/>
        <v>0.27345629510825981</v>
      </c>
      <c r="F50" s="19">
        <f t="shared" si="1"/>
        <v>0.36689476314877484</v>
      </c>
      <c r="G50" s="19">
        <f t="shared" si="2"/>
        <v>0.10032968262528645</v>
      </c>
      <c r="H50" s="8">
        <v>3096</v>
      </c>
      <c r="I50" s="8">
        <v>1149.8889167010784</v>
      </c>
      <c r="J50" s="8">
        <v>12535</v>
      </c>
      <c r="K50" s="19">
        <f t="shared" si="3"/>
        <v>0.24698843238930993</v>
      </c>
      <c r="L50" s="19">
        <f t="shared" si="4"/>
        <v>0.37141114880525788</v>
      </c>
      <c r="M50" s="19">
        <f t="shared" si="5"/>
        <v>9.1734257415323359E-2</v>
      </c>
      <c r="N50" s="19">
        <f t="shared" si="6"/>
        <v>0.91432819296293921</v>
      </c>
      <c r="T50" s="19"/>
      <c r="U50" s="19"/>
      <c r="V50" s="19"/>
      <c r="W50" s="19"/>
    </row>
    <row r="51" spans="1:23" ht="15.75" customHeight="1">
      <c r="A51" s="8">
        <v>20402</v>
      </c>
      <c r="B51" s="8">
        <v>159</v>
      </c>
      <c r="C51" s="8">
        <v>57.333334773778915</v>
      </c>
      <c r="D51" s="8">
        <v>1071</v>
      </c>
      <c r="E51" s="19">
        <f t="shared" si="0"/>
        <v>0.1484593837535014</v>
      </c>
      <c r="F51" s="19">
        <f t="shared" si="1"/>
        <v>0.36058701115584224</v>
      </c>
      <c r="G51" s="19">
        <f t="shared" si="2"/>
        <v>5.3532525465713271E-2</v>
      </c>
      <c r="H51" s="8">
        <v>2969</v>
      </c>
      <c r="I51" s="8">
        <v>1106.3333612680435</v>
      </c>
      <c r="J51" s="8">
        <v>16271</v>
      </c>
      <c r="K51" s="19">
        <f t="shared" si="3"/>
        <v>0.1824718824903202</v>
      </c>
      <c r="L51" s="19">
        <f t="shared" si="4"/>
        <v>0.37262827930887288</v>
      </c>
      <c r="M51" s="19">
        <f t="shared" si="5"/>
        <v>6.7994183594618868E-2</v>
      </c>
      <c r="N51" s="19">
        <f t="shared" si="6"/>
        <v>1.2701471302370753</v>
      </c>
      <c r="T51" s="19"/>
      <c r="U51" s="19"/>
      <c r="V51" s="19"/>
      <c r="W51" s="19"/>
    </row>
    <row r="52" spans="1:23" ht="15.75" customHeight="1">
      <c r="A52" s="8">
        <v>20403</v>
      </c>
      <c r="B52" s="8">
        <v>204</v>
      </c>
      <c r="C52" s="8">
        <v>74.111113011837006</v>
      </c>
      <c r="D52" s="8">
        <v>1255</v>
      </c>
      <c r="E52" s="19">
        <f t="shared" si="0"/>
        <v>0.16254980079681275</v>
      </c>
      <c r="F52" s="19">
        <f t="shared" si="1"/>
        <v>0.36328976966586768</v>
      </c>
      <c r="G52" s="19">
        <f t="shared" si="2"/>
        <v>5.905267969070678E-2</v>
      </c>
      <c r="H52" s="8">
        <v>2817</v>
      </c>
      <c r="I52" s="8">
        <v>1028.6666927337646</v>
      </c>
      <c r="J52" s="8">
        <v>15526</v>
      </c>
      <c r="K52" s="19">
        <f t="shared" si="3"/>
        <v>0.18143758856112327</v>
      </c>
      <c r="L52" s="19">
        <f t="shared" si="4"/>
        <v>0.36516389518415499</v>
      </c>
      <c r="M52" s="19">
        <f t="shared" si="5"/>
        <v>6.6254456571799861E-2</v>
      </c>
      <c r="N52" s="19">
        <f t="shared" si="6"/>
        <v>1.1219551241165171</v>
      </c>
      <c r="T52" s="19"/>
      <c r="U52" s="19"/>
      <c r="V52" s="19"/>
      <c r="W52" s="19"/>
    </row>
    <row r="53" spans="1:23" ht="15.75" customHeight="1">
      <c r="A53" s="8">
        <v>20404</v>
      </c>
      <c r="B53" s="8">
        <v>84</v>
      </c>
      <c r="C53" s="8">
        <v>31.777778416872025</v>
      </c>
      <c r="D53" s="8">
        <v>255</v>
      </c>
      <c r="E53" s="19">
        <f t="shared" si="0"/>
        <v>0.32941176470588235</v>
      </c>
      <c r="F53" s="19">
        <f t="shared" si="1"/>
        <v>0.37830688591514317</v>
      </c>
      <c r="G53" s="19">
        <f t="shared" si="2"/>
        <v>0.12461873888969421</v>
      </c>
      <c r="H53" s="8">
        <v>1432</v>
      </c>
      <c r="I53" s="8">
        <v>550.88890290260315</v>
      </c>
      <c r="J53" s="8">
        <v>5353</v>
      </c>
      <c r="K53" s="19">
        <f t="shared" si="3"/>
        <v>0.26751354380721093</v>
      </c>
      <c r="L53" s="19">
        <f t="shared" si="4"/>
        <v>0.38469895454092401</v>
      </c>
      <c r="M53" s="19">
        <f t="shared" si="5"/>
        <v>0.10291218062817171</v>
      </c>
      <c r="N53" s="19">
        <f t="shared" si="6"/>
        <v>0.82581625801288217</v>
      </c>
      <c r="T53" s="19"/>
      <c r="U53" s="19"/>
      <c r="V53" s="19"/>
      <c r="W53" s="19"/>
    </row>
    <row r="54" spans="1:23" ht="15.75" customHeight="1">
      <c r="A54" s="8">
        <v>20405</v>
      </c>
      <c r="B54" s="8">
        <v>171</v>
      </c>
      <c r="C54" s="8">
        <v>64.111112624406815</v>
      </c>
      <c r="D54" s="8">
        <v>821</v>
      </c>
      <c r="E54" s="19">
        <f t="shared" si="0"/>
        <v>0.20828258221680876</v>
      </c>
      <c r="F54" s="19">
        <f t="shared" si="1"/>
        <v>0.37491878727723282</v>
      </c>
      <c r="G54" s="19">
        <f t="shared" si="2"/>
        <v>7.8089053135696473E-2</v>
      </c>
      <c r="H54" s="8">
        <v>1778</v>
      </c>
      <c r="I54" s="8">
        <v>668.7777940928936</v>
      </c>
      <c r="J54" s="8">
        <v>7893</v>
      </c>
      <c r="K54" s="19">
        <f t="shared" si="3"/>
        <v>0.22526289116939061</v>
      </c>
      <c r="L54" s="19">
        <f t="shared" si="4"/>
        <v>0.37614049161580065</v>
      </c>
      <c r="M54" s="19">
        <f t="shared" si="5"/>
        <v>8.4730494627251185E-2</v>
      </c>
      <c r="N54" s="19">
        <f t="shared" si="6"/>
        <v>1.0850495840948895</v>
      </c>
      <c r="T54" s="19"/>
      <c r="U54" s="19"/>
      <c r="V54" s="19"/>
      <c r="W54" s="19"/>
    </row>
    <row r="55" spans="1:23" ht="15.75" customHeight="1">
      <c r="A55" s="8">
        <v>20501</v>
      </c>
      <c r="B55" s="8">
        <v>116</v>
      </c>
      <c r="C55" s="8">
        <v>43.888889819383621</v>
      </c>
      <c r="D55" s="8">
        <v>801</v>
      </c>
      <c r="E55" s="19">
        <f t="shared" si="0"/>
        <v>0.14481897627965043</v>
      </c>
      <c r="F55" s="19">
        <f t="shared" si="1"/>
        <v>0.37835249844296226</v>
      </c>
      <c r="G55" s="19">
        <f t="shared" si="2"/>
        <v>5.4792621497357828E-2</v>
      </c>
      <c r="H55" s="8">
        <v>2431</v>
      </c>
      <c r="I55" s="8">
        <v>912.00002303719521</v>
      </c>
      <c r="J55" s="8">
        <v>16656</v>
      </c>
      <c r="K55" s="19">
        <f t="shared" si="3"/>
        <v>0.14595341018251681</v>
      </c>
      <c r="L55" s="19">
        <f t="shared" si="4"/>
        <v>0.37515426698362614</v>
      </c>
      <c r="M55" s="19">
        <f t="shared" si="5"/>
        <v>5.4755044610782608E-2</v>
      </c>
      <c r="N55" s="19">
        <f t="shared" si="6"/>
        <v>0.99931419805170241</v>
      </c>
      <c r="T55" s="19"/>
      <c r="U55" s="19"/>
      <c r="V55" s="19"/>
      <c r="W55" s="19"/>
    </row>
    <row r="56" spans="1:23" ht="15.75" customHeight="1">
      <c r="A56" s="8">
        <v>20502</v>
      </c>
      <c r="B56" s="8">
        <v>104</v>
      </c>
      <c r="C56" s="8">
        <v>39.000000774860382</v>
      </c>
      <c r="D56" s="8">
        <v>675</v>
      </c>
      <c r="E56" s="19">
        <f t="shared" si="0"/>
        <v>0.15407407407407409</v>
      </c>
      <c r="F56" s="19">
        <f t="shared" si="1"/>
        <v>0.3750000074505806</v>
      </c>
      <c r="G56" s="19">
        <f t="shared" si="2"/>
        <v>5.7777778925719087E-2</v>
      </c>
      <c r="H56" s="8">
        <v>1792</v>
      </c>
      <c r="I56" s="8">
        <v>684.22223982214928</v>
      </c>
      <c r="J56" s="8">
        <v>8114</v>
      </c>
      <c r="K56" s="19">
        <f t="shared" si="3"/>
        <v>0.22085284693122997</v>
      </c>
      <c r="L56" s="19">
        <f t="shared" si="4"/>
        <v>0.38182044632932438</v>
      </c>
      <c r="M56" s="19">
        <f t="shared" si="5"/>
        <v>8.4326132588384187E-2</v>
      </c>
      <c r="N56" s="19">
        <f t="shared" si="6"/>
        <v>1.4594907273399431</v>
      </c>
      <c r="T56" s="19"/>
      <c r="U56" s="19"/>
      <c r="V56" s="19"/>
      <c r="W56" s="19"/>
    </row>
    <row r="57" spans="1:23" ht="15.75" customHeight="1">
      <c r="A57" s="8">
        <v>20503</v>
      </c>
      <c r="B57" s="8">
        <v>102</v>
      </c>
      <c r="C57" s="8">
        <v>37.111112058162689</v>
      </c>
      <c r="D57" s="8">
        <v>692</v>
      </c>
      <c r="E57" s="19">
        <f t="shared" si="0"/>
        <v>0.14739884393063585</v>
      </c>
      <c r="F57" s="19">
        <f t="shared" si="1"/>
        <v>0.36383443194277149</v>
      </c>
      <c r="G57" s="19">
        <f t="shared" si="2"/>
        <v>5.3628774650524125E-2</v>
      </c>
      <c r="H57" s="8">
        <v>1160</v>
      </c>
      <c r="I57" s="8">
        <v>442.00001141428947</v>
      </c>
      <c r="J57" s="8">
        <v>5640</v>
      </c>
      <c r="K57" s="19">
        <f t="shared" si="3"/>
        <v>0.20567375886524822</v>
      </c>
      <c r="L57" s="19">
        <f t="shared" si="4"/>
        <v>0.3810344925985254</v>
      </c>
      <c r="M57" s="19">
        <f t="shared" si="5"/>
        <v>7.8368796350051326E-2</v>
      </c>
      <c r="N57" s="19">
        <f t="shared" si="6"/>
        <v>1.4613199138102144</v>
      </c>
      <c r="T57" s="19"/>
      <c r="U57" s="19"/>
      <c r="V57" s="19"/>
      <c r="W57" s="19"/>
    </row>
    <row r="58" spans="1:23" ht="15.75" customHeight="1">
      <c r="A58" s="8">
        <v>20601</v>
      </c>
      <c r="B58" s="8">
        <v>358</v>
      </c>
      <c r="C58" s="8">
        <v>126.77778121829033</v>
      </c>
      <c r="D58" s="8">
        <v>2482</v>
      </c>
      <c r="E58" s="19">
        <f t="shared" si="0"/>
        <v>0.14423851732473811</v>
      </c>
      <c r="F58" s="19">
        <f t="shared" si="1"/>
        <v>0.35412788049801769</v>
      </c>
      <c r="G58" s="19">
        <f t="shared" si="2"/>
        <v>5.1078880426386114E-2</v>
      </c>
      <c r="H58" s="8">
        <v>3942</v>
      </c>
      <c r="I58" s="8">
        <v>1452.3333700299263</v>
      </c>
      <c r="J58" s="8">
        <v>26780</v>
      </c>
      <c r="K58" s="19">
        <f t="shared" si="3"/>
        <v>0.14719940253920835</v>
      </c>
      <c r="L58" s="19">
        <f t="shared" si="4"/>
        <v>0.36842551243783012</v>
      </c>
      <c r="M58" s="19">
        <f t="shared" si="5"/>
        <v>5.423201531105027E-2</v>
      </c>
      <c r="N58" s="19">
        <f t="shared" si="6"/>
        <v>1.0617306968818236</v>
      </c>
      <c r="T58" s="19"/>
      <c r="U58" s="19"/>
      <c r="V58" s="19"/>
      <c r="W58" s="19"/>
    </row>
    <row r="59" spans="1:23" ht="15.75" customHeight="1">
      <c r="A59" s="8">
        <v>20602</v>
      </c>
      <c r="B59" s="8">
        <v>204</v>
      </c>
      <c r="C59" s="8">
        <v>76.222223997116089</v>
      </c>
      <c r="D59" s="8">
        <v>1901</v>
      </c>
      <c r="E59" s="19">
        <f t="shared" si="0"/>
        <v>0.10731194108364019</v>
      </c>
      <c r="F59" s="19">
        <f t="shared" si="1"/>
        <v>0.37363835292703967</v>
      </c>
      <c r="G59" s="19">
        <f t="shared" si="2"/>
        <v>4.0095856915894838E-2</v>
      </c>
      <c r="H59" s="8">
        <v>1731</v>
      </c>
      <c r="I59" s="8">
        <v>650.66668239235878</v>
      </c>
      <c r="J59" s="8">
        <v>13838</v>
      </c>
      <c r="K59" s="19">
        <f t="shared" si="3"/>
        <v>0.12509033097268391</v>
      </c>
      <c r="L59" s="19">
        <f t="shared" si="4"/>
        <v>0.37589063107588605</v>
      </c>
      <c r="M59" s="19">
        <f t="shared" si="5"/>
        <v>4.7020283450813605E-2</v>
      </c>
      <c r="N59" s="19">
        <f t="shared" si="6"/>
        <v>1.1726968087860912</v>
      </c>
      <c r="T59" s="19"/>
      <c r="U59" s="19"/>
      <c r="V59" s="19"/>
      <c r="W59" s="19"/>
    </row>
    <row r="60" spans="1:23" ht="15.75" customHeight="1">
      <c r="A60" s="8">
        <v>20603</v>
      </c>
      <c r="B60" s="8">
        <v>253</v>
      </c>
      <c r="C60" s="8">
        <v>92.44444677233696</v>
      </c>
      <c r="D60" s="8">
        <v>1110</v>
      </c>
      <c r="E60" s="19">
        <f t="shared" si="0"/>
        <v>0.22792792792792793</v>
      </c>
      <c r="F60" s="19">
        <f t="shared" si="1"/>
        <v>0.36539307024639117</v>
      </c>
      <c r="G60" s="19">
        <f t="shared" si="2"/>
        <v>8.3283285380483754E-2</v>
      </c>
      <c r="H60" s="8">
        <v>1528</v>
      </c>
      <c r="I60" s="8">
        <v>576.22223699092865</v>
      </c>
      <c r="J60" s="8">
        <v>8237</v>
      </c>
      <c r="K60" s="19">
        <f t="shared" si="3"/>
        <v>0.18550443122496055</v>
      </c>
      <c r="L60" s="19">
        <f t="shared" si="4"/>
        <v>0.37710879384223078</v>
      </c>
      <c r="M60" s="19">
        <f t="shared" si="5"/>
        <v>6.9955352311633925E-2</v>
      </c>
      <c r="N60" s="19">
        <f t="shared" si="6"/>
        <v>0.83996869230169635</v>
      </c>
      <c r="T60" s="19"/>
      <c r="U60" s="19"/>
      <c r="V60" s="19"/>
      <c r="W60" s="19"/>
    </row>
    <row r="61" spans="1:23" ht="15.75" customHeight="1">
      <c r="A61" s="8">
        <v>20604</v>
      </c>
      <c r="B61" s="8">
        <v>44</v>
      </c>
      <c r="C61" s="8">
        <v>16.444444805383682</v>
      </c>
      <c r="D61" s="8">
        <v>225</v>
      </c>
      <c r="E61" s="19">
        <f t="shared" si="0"/>
        <v>0.19555555555555557</v>
      </c>
      <c r="F61" s="19">
        <f t="shared" si="1"/>
        <v>0.37373738194053824</v>
      </c>
      <c r="G61" s="19">
        <f t="shared" si="2"/>
        <v>7.3086421357260817E-2</v>
      </c>
      <c r="H61" s="8">
        <v>915</v>
      </c>
      <c r="I61" s="8">
        <v>347.11111974716187</v>
      </c>
      <c r="J61" s="8">
        <v>3859</v>
      </c>
      <c r="K61" s="19">
        <f t="shared" si="3"/>
        <v>0.23710805908266391</v>
      </c>
      <c r="L61" s="19">
        <f t="shared" si="4"/>
        <v>0.37935641502422063</v>
      </c>
      <c r="M61" s="19">
        <f t="shared" si="5"/>
        <v>8.9948463266950482E-2</v>
      </c>
      <c r="N61" s="19">
        <f t="shared" si="6"/>
        <v>1.230713744038235</v>
      </c>
      <c r="T61" s="19"/>
      <c r="U61" s="19"/>
      <c r="V61" s="19"/>
      <c r="W61" s="19"/>
    </row>
    <row r="62" spans="1:23" ht="15.75" customHeight="1">
      <c r="A62" s="8">
        <v>20605</v>
      </c>
      <c r="B62" s="8">
        <v>25</v>
      </c>
      <c r="C62" s="8">
        <v>8.4444446861743927</v>
      </c>
      <c r="D62" s="8">
        <v>262</v>
      </c>
      <c r="E62" s="19">
        <f t="shared" si="0"/>
        <v>9.5419847328244281E-2</v>
      </c>
      <c r="F62" s="19">
        <f t="shared" si="1"/>
        <v>0.33777778744697573</v>
      </c>
      <c r="G62" s="19">
        <f t="shared" si="2"/>
        <v>3.2230704909062574E-2</v>
      </c>
      <c r="H62" s="8">
        <v>574</v>
      </c>
      <c r="I62" s="8">
        <v>217.00000470876694</v>
      </c>
      <c r="J62" s="8">
        <v>3196</v>
      </c>
      <c r="K62" s="19">
        <f t="shared" si="3"/>
        <v>0.17959949937421776</v>
      </c>
      <c r="L62" s="19">
        <f t="shared" si="4"/>
        <v>0.3780487886912316</v>
      </c>
      <c r="M62" s="19">
        <f t="shared" si="5"/>
        <v>6.7897373187974633E-2</v>
      </c>
      <c r="N62" s="19">
        <f t="shared" si="6"/>
        <v>2.1066052815023406</v>
      </c>
      <c r="T62" s="19"/>
      <c r="U62" s="19"/>
      <c r="V62" s="19"/>
      <c r="W62" s="19"/>
    </row>
    <row r="63" spans="1:23" ht="15.75" customHeight="1">
      <c r="A63" s="8">
        <v>20606</v>
      </c>
      <c r="B63" s="8">
        <v>102</v>
      </c>
      <c r="C63" s="8">
        <v>35.888889789581299</v>
      </c>
      <c r="D63" s="8">
        <v>1305</v>
      </c>
      <c r="E63" s="19">
        <f t="shared" si="0"/>
        <v>7.8160919540229884E-2</v>
      </c>
      <c r="F63" s="19">
        <f t="shared" si="1"/>
        <v>0.35185186068216961</v>
      </c>
      <c r="G63" s="19">
        <f t="shared" si="2"/>
        <v>2.7501064972859233E-2</v>
      </c>
      <c r="H63" s="8">
        <v>491</v>
      </c>
      <c r="I63" s="8">
        <v>175.33333766460419</v>
      </c>
      <c r="J63" s="8">
        <v>6159</v>
      </c>
      <c r="K63" s="19">
        <f t="shared" si="3"/>
        <v>7.9720733885371001E-2</v>
      </c>
      <c r="L63" s="19">
        <f t="shared" si="4"/>
        <v>0.3570943740623303</v>
      </c>
      <c r="M63" s="19">
        <f t="shared" si="5"/>
        <v>2.8467825566586162E-2</v>
      </c>
      <c r="N63" s="19">
        <f t="shared" si="6"/>
        <v>1.0351535693138074</v>
      </c>
      <c r="T63" s="19"/>
      <c r="U63" s="19"/>
      <c r="V63" s="19"/>
      <c r="W63" s="19"/>
    </row>
    <row r="64" spans="1:23" ht="15.75" customHeight="1">
      <c r="A64" s="8">
        <v>20607</v>
      </c>
      <c r="B64" s="8">
        <v>242</v>
      </c>
      <c r="C64" s="8">
        <v>89.888891130685806</v>
      </c>
      <c r="D64" s="8">
        <v>3586</v>
      </c>
      <c r="E64" s="19">
        <f t="shared" si="0"/>
        <v>6.7484662576687116E-2</v>
      </c>
      <c r="F64" s="19">
        <f t="shared" si="1"/>
        <v>0.37144169888713141</v>
      </c>
      <c r="G64" s="19">
        <f t="shared" si="2"/>
        <v>2.506661771630948E-2</v>
      </c>
      <c r="H64" s="8">
        <v>919</v>
      </c>
      <c r="I64" s="8">
        <v>342.66667515039444</v>
      </c>
      <c r="J64" s="8">
        <v>16073</v>
      </c>
      <c r="K64" s="19">
        <f t="shared" si="3"/>
        <v>5.7176631618241769E-2</v>
      </c>
      <c r="L64" s="19">
        <f t="shared" si="4"/>
        <v>0.37286906980456413</v>
      </c>
      <c r="M64" s="19">
        <f t="shared" si="5"/>
        <v>2.1319397446052039E-2</v>
      </c>
      <c r="N64" s="19">
        <f t="shared" si="6"/>
        <v>0.85050953771799342</v>
      </c>
      <c r="T64" s="19"/>
      <c r="U64" s="19"/>
      <c r="V64" s="19"/>
      <c r="W64" s="19"/>
    </row>
    <row r="65" spans="1:23" ht="15.75" customHeight="1">
      <c r="A65" s="8">
        <v>20608</v>
      </c>
      <c r="B65" s="8">
        <v>468</v>
      </c>
      <c r="C65" s="8">
        <v>185.00000488758087</v>
      </c>
      <c r="D65" s="8">
        <v>1913</v>
      </c>
      <c r="E65" s="19">
        <f t="shared" si="0"/>
        <v>0.24464192368008364</v>
      </c>
      <c r="F65" s="19">
        <f t="shared" si="1"/>
        <v>0.3952991557426942</v>
      </c>
      <c r="G65" s="19">
        <f t="shared" si="2"/>
        <v>9.6706745890005691E-2</v>
      </c>
      <c r="H65" s="8">
        <v>2311</v>
      </c>
      <c r="I65" s="8">
        <v>859.66668757796288</v>
      </c>
      <c r="J65" s="8">
        <v>10720</v>
      </c>
      <c r="K65" s="19">
        <f t="shared" si="3"/>
        <v>0.21557835820895521</v>
      </c>
      <c r="L65" s="19">
        <f t="shared" si="4"/>
        <v>0.37198904698310814</v>
      </c>
      <c r="M65" s="19">
        <f t="shared" si="5"/>
        <v>8.0192788020332362E-2</v>
      </c>
      <c r="N65" s="19">
        <f t="shared" si="6"/>
        <v>0.82923675367531946</v>
      </c>
      <c r="T65" s="19"/>
      <c r="U65" s="19"/>
      <c r="V65" s="19"/>
      <c r="W65" s="19"/>
    </row>
    <row r="66" spans="1:23" ht="15.75" customHeight="1">
      <c r="A66" s="8">
        <v>20701</v>
      </c>
      <c r="B66" s="8">
        <v>399</v>
      </c>
      <c r="C66" s="8">
        <v>168.66667112708092</v>
      </c>
      <c r="D66" s="8">
        <v>2228</v>
      </c>
      <c r="E66" s="19">
        <f t="shared" si="0"/>
        <v>0.17908438061041293</v>
      </c>
      <c r="F66" s="19">
        <f t="shared" si="1"/>
        <v>0.42272348653403741</v>
      </c>
      <c r="G66" s="19">
        <f t="shared" si="2"/>
        <v>7.5703173755422321E-2</v>
      </c>
      <c r="H66" s="8">
        <v>3463</v>
      </c>
      <c r="I66" s="8">
        <v>1387.3333689570427</v>
      </c>
      <c r="J66" s="8">
        <v>15851</v>
      </c>
      <c r="K66" s="19">
        <f t="shared" si="3"/>
        <v>0.21847202069270077</v>
      </c>
      <c r="L66" s="19">
        <f t="shared" si="4"/>
        <v>0.40061604647907673</v>
      </c>
      <c r="M66" s="19">
        <f t="shared" si="5"/>
        <v>8.7523397196204819E-2</v>
      </c>
      <c r="N66" s="19">
        <f t="shared" si="6"/>
        <v>1.1561390738910184</v>
      </c>
      <c r="T66" s="19"/>
      <c r="U66" s="19"/>
      <c r="V66" s="19"/>
      <c r="W66" s="19"/>
    </row>
    <row r="67" spans="1:23" ht="15.75" customHeight="1">
      <c r="A67" s="8">
        <v>20702</v>
      </c>
      <c r="B67" s="8">
        <v>102</v>
      </c>
      <c r="C67" s="8">
        <v>36.666667699813843</v>
      </c>
      <c r="D67" s="8">
        <v>651</v>
      </c>
      <c r="E67" s="19">
        <f t="shared" si="0"/>
        <v>0.15668202764976957</v>
      </c>
      <c r="F67" s="19">
        <f t="shared" si="1"/>
        <v>0.35947713431190043</v>
      </c>
      <c r="G67" s="19">
        <f t="shared" si="2"/>
        <v>5.6323606297717113E-2</v>
      </c>
      <c r="H67" s="8">
        <v>1094</v>
      </c>
      <c r="I67" s="8">
        <v>401.44445431232452</v>
      </c>
      <c r="J67" s="8">
        <v>7656</v>
      </c>
      <c r="K67" s="19">
        <f t="shared" si="3"/>
        <v>0.14289446185997909</v>
      </c>
      <c r="L67" s="19">
        <f t="shared" si="4"/>
        <v>0.36695105513009552</v>
      </c>
      <c r="M67" s="19">
        <f t="shared" si="5"/>
        <v>5.2435273551766519E-2</v>
      </c>
      <c r="N67" s="19">
        <f t="shared" si="6"/>
        <v>0.93096442146482028</v>
      </c>
      <c r="T67" s="19"/>
      <c r="U67" s="19"/>
      <c r="V67" s="19"/>
      <c r="W67" s="19"/>
    </row>
    <row r="68" spans="1:23" ht="15.75" customHeight="1">
      <c r="A68" s="8">
        <v>20801</v>
      </c>
      <c r="B68" s="8">
        <v>1909</v>
      </c>
      <c r="C68" s="8">
        <v>685.11112853884697</v>
      </c>
      <c r="D68" s="8">
        <v>21924</v>
      </c>
      <c r="E68" s="19">
        <f t="shared" si="0"/>
        <v>8.7073526728699141E-2</v>
      </c>
      <c r="F68" s="19">
        <f t="shared" si="1"/>
        <v>0.35888482375005082</v>
      </c>
      <c r="G68" s="19">
        <f t="shared" si="2"/>
        <v>3.1249367293324531E-2</v>
      </c>
      <c r="H68" s="8">
        <v>4634</v>
      </c>
      <c r="I68" s="8">
        <v>1682.6667091548443</v>
      </c>
      <c r="J68" s="8">
        <v>87490</v>
      </c>
      <c r="K68" s="19">
        <f t="shared" si="3"/>
        <v>5.2966053263230083E-2</v>
      </c>
      <c r="L68" s="19">
        <f t="shared" si="4"/>
        <v>0.36311323028805442</v>
      </c>
      <c r="M68" s="19">
        <f t="shared" si="5"/>
        <v>1.9232674696020621E-2</v>
      </c>
      <c r="N68" s="19">
        <f t="shared" si="6"/>
        <v>0.61545805121401909</v>
      </c>
      <c r="T68" s="19"/>
      <c r="U68" s="19"/>
      <c r="V68" s="19"/>
      <c r="W68" s="19"/>
    </row>
    <row r="69" spans="1:23" ht="15.75" customHeight="1">
      <c r="A69" s="8">
        <v>20802</v>
      </c>
      <c r="B69" s="8">
        <v>55</v>
      </c>
      <c r="C69" s="8">
        <v>19.444444954395294</v>
      </c>
      <c r="D69" s="8">
        <v>990</v>
      </c>
      <c r="E69" s="19">
        <f t="shared" si="0"/>
        <v>5.5555555555555552E-2</v>
      </c>
      <c r="F69" s="19">
        <f t="shared" si="1"/>
        <v>0.35353536280718717</v>
      </c>
      <c r="G69" s="19">
        <f t="shared" si="2"/>
        <v>1.9640853489288176E-2</v>
      </c>
      <c r="H69" s="8">
        <v>573</v>
      </c>
      <c r="I69" s="8">
        <v>208.88889420032501</v>
      </c>
      <c r="J69" s="8">
        <v>7068</v>
      </c>
      <c r="K69" s="19">
        <f t="shared" si="3"/>
        <v>8.106960950764007E-2</v>
      </c>
      <c r="L69" s="19">
        <f t="shared" si="4"/>
        <v>0.36455304397962479</v>
      </c>
      <c r="M69" s="19">
        <f t="shared" si="5"/>
        <v>2.9554172920249717E-2</v>
      </c>
      <c r="N69" s="19">
        <f t="shared" si="6"/>
        <v>1.5047295646478966</v>
      </c>
      <c r="T69" s="19"/>
      <c r="U69" s="19"/>
      <c r="V69" s="19"/>
      <c r="W69" s="19"/>
    </row>
    <row r="70" spans="1:23" ht="15.75" customHeight="1">
      <c r="A70" s="8">
        <v>20803</v>
      </c>
      <c r="B70" s="8">
        <v>92</v>
      </c>
      <c r="C70" s="8">
        <v>33.888889759778976</v>
      </c>
      <c r="D70" s="8">
        <v>772</v>
      </c>
      <c r="E70" s="19">
        <f t="shared" si="0"/>
        <v>0.11917098445595854</v>
      </c>
      <c r="F70" s="19">
        <f t="shared" si="1"/>
        <v>0.36835749738890194</v>
      </c>
      <c r="G70" s="19">
        <f t="shared" si="2"/>
        <v>4.3897525595568622E-2</v>
      </c>
      <c r="H70" s="8">
        <v>2519</v>
      </c>
      <c r="I70" s="8">
        <v>978.6666904091835</v>
      </c>
      <c r="J70" s="8">
        <v>12631</v>
      </c>
      <c r="K70" s="19">
        <f t="shared" si="3"/>
        <v>0.19942997387380254</v>
      </c>
      <c r="L70" s="19">
        <f t="shared" si="4"/>
        <v>0.38851396999173621</v>
      </c>
      <c r="M70" s="19">
        <f t="shared" si="5"/>
        <v>7.7481330885059263E-2</v>
      </c>
      <c r="N70" s="19">
        <f t="shared" si="6"/>
        <v>1.7650500759177385</v>
      </c>
      <c r="T70" s="19"/>
      <c r="U70" s="19"/>
      <c r="V70" s="19"/>
      <c r="W70" s="19"/>
    </row>
    <row r="71" spans="1:23" ht="15.75" customHeight="1">
      <c r="A71" s="8">
        <v>20804</v>
      </c>
      <c r="B71" s="8">
        <v>26</v>
      </c>
      <c r="C71" s="8">
        <v>9.5555557608604431</v>
      </c>
      <c r="D71" s="8">
        <v>562</v>
      </c>
      <c r="E71" s="19">
        <f t="shared" si="0"/>
        <v>4.6263345195729534E-2</v>
      </c>
      <c r="F71" s="19">
        <f t="shared" si="1"/>
        <v>0.36752137541770935</v>
      </c>
      <c r="G71" s="19">
        <f t="shared" si="2"/>
        <v>1.7002768257758795E-2</v>
      </c>
      <c r="H71" s="8">
        <v>267</v>
      </c>
      <c r="I71" s="8">
        <v>96.000002473592758</v>
      </c>
      <c r="J71" s="8">
        <v>7099</v>
      </c>
      <c r="K71" s="19">
        <f t="shared" si="3"/>
        <v>3.7610931117058738E-2</v>
      </c>
      <c r="L71" s="19">
        <f t="shared" si="4"/>
        <v>0.35955057106214516</v>
      </c>
      <c r="M71" s="19">
        <f t="shared" si="5"/>
        <v>1.3523031761317474E-2</v>
      </c>
      <c r="N71" s="19">
        <f t="shared" si="6"/>
        <v>0.79534294394364702</v>
      </c>
      <c r="T71" s="19"/>
      <c r="U71" s="19"/>
      <c r="V71" s="19"/>
      <c r="W71" s="19"/>
    </row>
    <row r="72" spans="1:23" ht="15.75" customHeight="1">
      <c r="A72" s="8">
        <v>20805</v>
      </c>
      <c r="B72" s="8">
        <v>68</v>
      </c>
      <c r="C72" s="8">
        <v>24.000000596046448</v>
      </c>
      <c r="D72" s="8">
        <v>568</v>
      </c>
      <c r="E72" s="19">
        <f t="shared" si="0"/>
        <v>0.11971830985915492</v>
      </c>
      <c r="F72" s="19">
        <f t="shared" si="1"/>
        <v>0.35294118523597717</v>
      </c>
      <c r="G72" s="19">
        <f t="shared" si="2"/>
        <v>4.2253522176138113E-2</v>
      </c>
      <c r="H72" s="8">
        <v>1129</v>
      </c>
      <c r="I72" s="8">
        <v>417.00001022219658</v>
      </c>
      <c r="J72" s="8">
        <v>7171</v>
      </c>
      <c r="K72" s="19">
        <f t="shared" si="3"/>
        <v>0.1574396876307349</v>
      </c>
      <c r="L72" s="19">
        <f t="shared" si="4"/>
        <v>0.36935341915163561</v>
      </c>
      <c r="M72" s="19">
        <f t="shared" si="5"/>
        <v>5.8150886936577412E-2</v>
      </c>
      <c r="N72" s="19">
        <f t="shared" si="6"/>
        <v>1.3762376233197675</v>
      </c>
      <c r="T72" s="19"/>
      <c r="U72" s="19"/>
      <c r="V72" s="19"/>
      <c r="W72" s="19"/>
    </row>
    <row r="73" spans="1:23" ht="15.75" customHeight="1">
      <c r="A73" s="8">
        <v>20806</v>
      </c>
      <c r="B73" s="8">
        <v>138</v>
      </c>
      <c r="C73" s="8">
        <v>48.444445669651031</v>
      </c>
      <c r="D73" s="8">
        <v>1023</v>
      </c>
      <c r="E73" s="19">
        <f t="shared" si="0"/>
        <v>0.13489736070381231</v>
      </c>
      <c r="F73" s="19">
        <f t="shared" si="1"/>
        <v>0.35104670775109442</v>
      </c>
      <c r="G73" s="19">
        <f t="shared" si="2"/>
        <v>4.735527435938517E-2</v>
      </c>
      <c r="H73" s="8">
        <v>1929</v>
      </c>
      <c r="I73" s="8">
        <v>710.33335134387016</v>
      </c>
      <c r="J73" s="8">
        <v>15706</v>
      </c>
      <c r="K73" s="19">
        <f t="shared" si="3"/>
        <v>0.12281930472430919</v>
      </c>
      <c r="L73" s="19">
        <f t="shared" si="4"/>
        <v>0.3682391660673251</v>
      </c>
      <c r="M73" s="19">
        <f t="shared" si="5"/>
        <v>4.5226878348648296E-2</v>
      </c>
      <c r="N73" s="19">
        <f t="shared" si="6"/>
        <v>0.95505472115768542</v>
      </c>
      <c r="T73" s="19"/>
      <c r="U73" s="19"/>
      <c r="V73" s="19"/>
      <c r="W73" s="19"/>
    </row>
    <row r="74" spans="1:23" ht="15.75" customHeight="1">
      <c r="A74" s="8">
        <v>20807</v>
      </c>
      <c r="B74" s="8">
        <v>106</v>
      </c>
      <c r="C74" s="8">
        <v>36.888889849185944</v>
      </c>
      <c r="D74" s="8">
        <v>799</v>
      </c>
      <c r="E74" s="19">
        <f t="shared" si="0"/>
        <v>0.13266583229036297</v>
      </c>
      <c r="F74" s="19">
        <f t="shared" si="1"/>
        <v>0.34800839480364099</v>
      </c>
      <c r="G74" s="19">
        <f t="shared" si="2"/>
        <v>4.6168823340658256E-2</v>
      </c>
      <c r="H74" s="8">
        <v>730</v>
      </c>
      <c r="I74" s="8">
        <v>267.44445091485977</v>
      </c>
      <c r="J74" s="8">
        <v>6568</v>
      </c>
      <c r="K74" s="19">
        <f t="shared" si="3"/>
        <v>0.11114494518879416</v>
      </c>
      <c r="L74" s="19">
        <f t="shared" si="4"/>
        <v>0.36636226152720519</v>
      </c>
      <c r="M74" s="19">
        <f t="shared" si="5"/>
        <v>4.0719313476683894E-2</v>
      </c>
      <c r="N74" s="19">
        <f t="shared" si="6"/>
        <v>0.88196558912136513</v>
      </c>
      <c r="T74" s="19"/>
      <c r="U74" s="19"/>
      <c r="V74" s="19"/>
      <c r="W74" s="19"/>
    </row>
    <row r="75" spans="1:23" ht="15.75" customHeight="1">
      <c r="A75" s="8">
        <v>20901</v>
      </c>
      <c r="B75" s="8">
        <v>55</v>
      </c>
      <c r="C75" s="8">
        <v>18.888889402151108</v>
      </c>
      <c r="D75" s="8">
        <v>612</v>
      </c>
      <c r="E75" s="19">
        <f t="shared" si="0"/>
        <v>8.9869281045751634E-2</v>
      </c>
      <c r="F75" s="19">
        <f t="shared" si="1"/>
        <v>0.34343435276638379</v>
      </c>
      <c r="G75" s="19">
        <f t="shared" si="2"/>
        <v>3.0864198369527956E-2</v>
      </c>
      <c r="H75" s="8">
        <v>1120</v>
      </c>
      <c r="I75" s="8">
        <v>409.44445466995239</v>
      </c>
      <c r="J75" s="8">
        <v>9799</v>
      </c>
      <c r="K75" s="19">
        <f t="shared" si="3"/>
        <v>0.11429737728339627</v>
      </c>
      <c r="L75" s="19">
        <f t="shared" si="4"/>
        <v>0.36557540595531463</v>
      </c>
      <c r="M75" s="19">
        <f t="shared" si="5"/>
        <v>4.1784310100005349E-2</v>
      </c>
      <c r="N75" s="19">
        <f t="shared" si="6"/>
        <v>1.3538116104534488</v>
      </c>
      <c r="T75" s="19"/>
      <c r="U75" s="19"/>
      <c r="V75" s="19"/>
      <c r="W75" s="19"/>
    </row>
    <row r="76" spans="1:23" ht="15.75" customHeight="1">
      <c r="A76" s="8">
        <v>20902</v>
      </c>
      <c r="B76" s="8">
        <v>124</v>
      </c>
      <c r="C76" s="8">
        <v>44.555556654930115</v>
      </c>
      <c r="D76" s="8">
        <v>983</v>
      </c>
      <c r="E76" s="19">
        <f t="shared" si="0"/>
        <v>0.12614445574771108</v>
      </c>
      <c r="F76" s="19">
        <f t="shared" si="1"/>
        <v>0.35931900528169447</v>
      </c>
      <c r="G76" s="19">
        <f t="shared" si="2"/>
        <v>4.5326100361068274E-2</v>
      </c>
      <c r="H76" s="8">
        <v>2166</v>
      </c>
      <c r="I76" s="8">
        <v>801.00002029538155</v>
      </c>
      <c r="J76" s="8">
        <v>15218</v>
      </c>
      <c r="K76" s="19">
        <f t="shared" si="3"/>
        <v>0.14233144959915889</v>
      </c>
      <c r="L76" s="19">
        <f t="shared" si="4"/>
        <v>0.36980610355280774</v>
      </c>
      <c r="M76" s="19">
        <f t="shared" si="5"/>
        <v>5.263503878928779E-2</v>
      </c>
      <c r="N76" s="19">
        <f t="shared" si="6"/>
        <v>1.1612523109201194</v>
      </c>
      <c r="T76" s="19"/>
      <c r="U76" s="19"/>
      <c r="V76" s="19"/>
      <c r="W76" s="19"/>
    </row>
    <row r="77" spans="1:23" ht="15.75" customHeight="1">
      <c r="A77" s="8">
        <v>20903</v>
      </c>
      <c r="B77" s="8">
        <v>176</v>
      </c>
      <c r="C77" s="8">
        <v>61.666668236255646</v>
      </c>
      <c r="D77" s="8">
        <v>1089</v>
      </c>
      <c r="E77" s="19">
        <f t="shared" si="0"/>
        <v>0.16161616161616163</v>
      </c>
      <c r="F77" s="19">
        <f t="shared" si="1"/>
        <v>0.35037879679690709</v>
      </c>
      <c r="G77" s="19">
        <f t="shared" si="2"/>
        <v>5.662687625000519E-2</v>
      </c>
      <c r="H77" s="8">
        <v>2760</v>
      </c>
      <c r="I77" s="8">
        <v>1056.3333593308926</v>
      </c>
      <c r="J77" s="8">
        <v>10980</v>
      </c>
      <c r="K77" s="19">
        <f t="shared" si="3"/>
        <v>0.25136612021857924</v>
      </c>
      <c r="L77" s="19">
        <f t="shared" si="4"/>
        <v>0.38272947801843932</v>
      </c>
      <c r="M77" s="19">
        <f t="shared" si="5"/>
        <v>9.6205223982777102E-2</v>
      </c>
      <c r="N77" s="19">
        <f t="shared" si="6"/>
        <v>1.698932209469497</v>
      </c>
      <c r="T77" s="19"/>
      <c r="U77" s="19"/>
      <c r="V77" s="19"/>
      <c r="W77" s="19"/>
    </row>
    <row r="78" spans="1:23" ht="15.75" customHeight="1">
      <c r="A78" s="8">
        <v>20904</v>
      </c>
      <c r="B78" s="8">
        <v>196</v>
      </c>
      <c r="C78" s="8">
        <v>71.88889068365097</v>
      </c>
      <c r="D78" s="8">
        <v>637</v>
      </c>
      <c r="E78" s="19">
        <f t="shared" si="0"/>
        <v>0.30769230769230771</v>
      </c>
      <c r="F78" s="19">
        <f t="shared" si="1"/>
        <v>0.36678005450842333</v>
      </c>
      <c r="G78" s="19">
        <f t="shared" si="2"/>
        <v>0.11285540138720718</v>
      </c>
      <c r="H78" s="8">
        <v>944</v>
      </c>
      <c r="I78" s="8">
        <v>359.77778708934784</v>
      </c>
      <c r="J78" s="8">
        <v>4515</v>
      </c>
      <c r="K78" s="19">
        <f t="shared" si="3"/>
        <v>0.20908084163898116</v>
      </c>
      <c r="L78" s="19">
        <f t="shared" si="4"/>
        <v>0.38112053717091932</v>
      </c>
      <c r="M78" s="19">
        <f t="shared" si="5"/>
        <v>7.9685002677596414E-2</v>
      </c>
      <c r="N78" s="19">
        <f t="shared" si="6"/>
        <v>0.7060805393283478</v>
      </c>
      <c r="T78" s="19"/>
      <c r="U78" s="19"/>
      <c r="V78" s="19"/>
      <c r="W78" s="19"/>
    </row>
    <row r="79" spans="1:23" ht="15.75" customHeight="1">
      <c r="A79" s="8">
        <v>20905</v>
      </c>
      <c r="B79" s="8">
        <v>87</v>
      </c>
      <c r="C79" s="8">
        <v>30.666667580604553</v>
      </c>
      <c r="D79" s="8">
        <v>855</v>
      </c>
      <c r="E79" s="19">
        <f t="shared" si="0"/>
        <v>0.10175438596491228</v>
      </c>
      <c r="F79" s="19">
        <f t="shared" si="1"/>
        <v>0.35249043196097185</v>
      </c>
      <c r="G79" s="19">
        <f t="shared" si="2"/>
        <v>3.5867447462695379E-2</v>
      </c>
      <c r="H79" s="8">
        <v>2119</v>
      </c>
      <c r="I79" s="8">
        <v>789.88890796899796</v>
      </c>
      <c r="J79" s="8">
        <v>12478</v>
      </c>
      <c r="K79" s="19">
        <f t="shared" si="3"/>
        <v>0.1698188812309665</v>
      </c>
      <c r="L79" s="19">
        <f t="shared" si="4"/>
        <v>0.3727649400514384</v>
      </c>
      <c r="M79" s="19">
        <f t="shared" si="5"/>
        <v>6.3302525081663563E-2</v>
      </c>
      <c r="N79" s="19">
        <f t="shared" si="6"/>
        <v>1.764901869515598</v>
      </c>
      <c r="T79" s="19"/>
      <c r="U79" s="19"/>
      <c r="V79" s="19"/>
      <c r="W79" s="19"/>
    </row>
    <row r="80" spans="1:23" ht="15.75" customHeight="1">
      <c r="A80" s="8">
        <v>21001</v>
      </c>
      <c r="B80" s="8">
        <v>333</v>
      </c>
      <c r="C80" s="8">
        <v>122.66666954755783</v>
      </c>
      <c r="D80" s="8">
        <v>1253</v>
      </c>
      <c r="E80" s="19">
        <f t="shared" si="0"/>
        <v>0.26576217079010372</v>
      </c>
      <c r="F80" s="19">
        <f t="shared" si="1"/>
        <v>0.36836837701969316</v>
      </c>
      <c r="G80" s="19">
        <f t="shared" si="2"/>
        <v>9.7898379527181015E-2</v>
      </c>
      <c r="H80" s="8">
        <v>4645</v>
      </c>
      <c r="I80" s="8">
        <v>1753.5555979311466</v>
      </c>
      <c r="J80" s="8">
        <v>17180</v>
      </c>
      <c r="K80" s="19">
        <f t="shared" si="3"/>
        <v>0.27037252619324798</v>
      </c>
      <c r="L80" s="19">
        <f t="shared" si="4"/>
        <v>0.37751466048033294</v>
      </c>
      <c r="M80" s="19">
        <f t="shared" si="5"/>
        <v>0.10206959242905393</v>
      </c>
      <c r="N80" s="19">
        <f t="shared" si="6"/>
        <v>1.0426075786138502</v>
      </c>
      <c r="T80" s="19"/>
      <c r="U80" s="19"/>
      <c r="V80" s="19"/>
      <c r="W80" s="19"/>
    </row>
    <row r="81" spans="1:23" ht="15.75" customHeight="1">
      <c r="A81" s="8">
        <v>21002</v>
      </c>
      <c r="B81" s="8">
        <v>103</v>
      </c>
      <c r="C81" s="8">
        <v>37.444445371627808</v>
      </c>
      <c r="D81" s="8">
        <v>1222</v>
      </c>
      <c r="E81" s="19">
        <f t="shared" si="0"/>
        <v>8.4288052373158756E-2</v>
      </c>
      <c r="F81" s="19">
        <f t="shared" si="1"/>
        <v>0.36353830457891073</v>
      </c>
      <c r="G81" s="19">
        <f t="shared" si="2"/>
        <v>3.0641935655996568E-2</v>
      </c>
      <c r="H81" s="8">
        <v>1321</v>
      </c>
      <c r="I81" s="8">
        <v>499.00001180171967</v>
      </c>
      <c r="J81" s="8">
        <v>8709</v>
      </c>
      <c r="K81" s="19">
        <f t="shared" si="3"/>
        <v>0.151682167872316</v>
      </c>
      <c r="L81" s="19">
        <f t="shared" si="4"/>
        <v>0.37774414216632829</v>
      </c>
      <c r="M81" s="19">
        <f t="shared" si="5"/>
        <v>5.729705038485701E-2</v>
      </c>
      <c r="N81" s="19">
        <f t="shared" si="6"/>
        <v>1.8698900431129939</v>
      </c>
      <c r="T81" s="19"/>
      <c r="U81" s="19"/>
      <c r="V81" s="19"/>
      <c r="W81" s="19"/>
    </row>
    <row r="82" spans="1:23" ht="15.75" customHeight="1">
      <c r="A82" s="8">
        <v>21003</v>
      </c>
      <c r="B82" s="8">
        <v>193</v>
      </c>
      <c r="C82" s="8">
        <v>73.88889068365097</v>
      </c>
      <c r="D82" s="8">
        <v>1382</v>
      </c>
      <c r="E82" s="19">
        <f t="shared" si="0"/>
        <v>0.13965267727930536</v>
      </c>
      <c r="F82" s="19">
        <f t="shared" si="1"/>
        <v>0.38284399317953871</v>
      </c>
      <c r="G82" s="19">
        <f t="shared" si="2"/>
        <v>5.34651886278227E-2</v>
      </c>
      <c r="H82" s="8">
        <v>1288</v>
      </c>
      <c r="I82" s="8">
        <v>475.88890042901039</v>
      </c>
      <c r="J82" s="8">
        <v>13838</v>
      </c>
      <c r="K82" s="19">
        <f t="shared" si="3"/>
        <v>9.3077034253504845E-2</v>
      </c>
      <c r="L82" s="19">
        <f t="shared" si="4"/>
        <v>0.3694789599604118</v>
      </c>
      <c r="M82" s="19">
        <f t="shared" si="5"/>
        <v>3.4390005812184592E-2</v>
      </c>
      <c r="N82" s="19">
        <f t="shared" si="6"/>
        <v>0.64322237880010791</v>
      </c>
      <c r="T82" s="19"/>
      <c r="U82" s="19"/>
      <c r="V82" s="19"/>
      <c r="W82" s="19"/>
    </row>
    <row r="83" spans="1:23" ht="15.75" customHeight="1">
      <c r="A83" s="8">
        <v>21004</v>
      </c>
      <c r="B83" s="8">
        <v>239</v>
      </c>
      <c r="C83" s="8">
        <v>84.111113250255585</v>
      </c>
      <c r="D83" s="8">
        <v>1545</v>
      </c>
      <c r="E83" s="19">
        <f t="shared" si="0"/>
        <v>0.1546925566343042</v>
      </c>
      <c r="F83" s="19">
        <f t="shared" si="1"/>
        <v>0.35192934414332883</v>
      </c>
      <c r="G83" s="19">
        <f t="shared" si="2"/>
        <v>5.4440850000165429E-2</v>
      </c>
      <c r="H83" s="8">
        <v>3519</v>
      </c>
      <c r="I83" s="8">
        <v>1301.4444772601128</v>
      </c>
      <c r="J83" s="8">
        <v>21178</v>
      </c>
      <c r="K83" s="19">
        <f t="shared" si="3"/>
        <v>0.16616299933893663</v>
      </c>
      <c r="L83" s="19">
        <f t="shared" si="4"/>
        <v>0.36983361104294193</v>
      </c>
      <c r="M83" s="19">
        <f t="shared" si="5"/>
        <v>6.1452662067244909E-2</v>
      </c>
      <c r="N83" s="19">
        <f t="shared" si="6"/>
        <v>1.1287968881282746</v>
      </c>
      <c r="T83" s="19"/>
      <c r="U83" s="19"/>
      <c r="V83" s="19"/>
      <c r="W83" s="19"/>
    </row>
    <row r="84" spans="1:23" ht="15.75" customHeight="1">
      <c r="A84" s="8">
        <v>21005</v>
      </c>
      <c r="B84" s="8">
        <v>61</v>
      </c>
      <c r="C84" s="8">
        <v>21.000000566244125</v>
      </c>
      <c r="D84" s="8">
        <v>266</v>
      </c>
      <c r="E84" s="19">
        <f t="shared" si="0"/>
        <v>0.22932330827067668</v>
      </c>
      <c r="F84" s="19">
        <f t="shared" si="1"/>
        <v>0.34426230436465777</v>
      </c>
      <c r="G84" s="19">
        <f t="shared" si="2"/>
        <v>7.8947370549789939E-2</v>
      </c>
      <c r="H84" s="8">
        <v>3517</v>
      </c>
      <c r="I84" s="8">
        <v>1332.2222542762756</v>
      </c>
      <c r="J84" s="8">
        <v>9154</v>
      </c>
      <c r="K84" s="19">
        <f t="shared" si="3"/>
        <v>0.38420362682980119</v>
      </c>
      <c r="L84" s="19">
        <f t="shared" si="4"/>
        <v>0.37879506803419838</v>
      </c>
      <c r="M84" s="19">
        <f t="shared" si="5"/>
        <v>0.1455344389639803</v>
      </c>
      <c r="N84" s="19">
        <f t="shared" si="6"/>
        <v>1.8434361771706598</v>
      </c>
      <c r="T84" s="19"/>
      <c r="U84" s="19"/>
      <c r="V84" s="19"/>
      <c r="W84" s="19"/>
    </row>
    <row r="85" spans="1:23" ht="15.75" customHeight="1">
      <c r="A85" s="8">
        <v>21006</v>
      </c>
      <c r="B85" s="8">
        <v>25</v>
      </c>
      <c r="C85" s="8">
        <v>8.4444446861743927</v>
      </c>
      <c r="D85" s="8">
        <v>492</v>
      </c>
      <c r="E85" s="19">
        <f t="shared" si="0"/>
        <v>5.08130081300813E-2</v>
      </c>
      <c r="F85" s="19">
        <f t="shared" si="1"/>
        <v>0.33777778744697573</v>
      </c>
      <c r="G85" s="19">
        <f t="shared" si="2"/>
        <v>1.7163505459704052E-2</v>
      </c>
      <c r="H85" s="8">
        <v>1126</v>
      </c>
      <c r="I85" s="8">
        <v>429.77778694033623</v>
      </c>
      <c r="J85" s="8">
        <v>7241</v>
      </c>
      <c r="K85" s="19">
        <f t="shared" si="3"/>
        <v>0.15550338351056484</v>
      </c>
      <c r="L85" s="19">
        <f t="shared" si="4"/>
        <v>0.38168542357045848</v>
      </c>
      <c r="M85" s="19">
        <f t="shared" si="5"/>
        <v>5.9353374801869391E-2</v>
      </c>
      <c r="N85" s="19">
        <f t="shared" si="6"/>
        <v>3.4581149486751066</v>
      </c>
      <c r="T85" s="19"/>
      <c r="U85" s="19"/>
      <c r="V85" s="19"/>
      <c r="W85" s="19"/>
    </row>
    <row r="86" spans="1:23" ht="15.75" customHeight="1">
      <c r="A86" s="8">
        <v>21101</v>
      </c>
      <c r="B86" s="8">
        <v>54</v>
      </c>
      <c r="C86" s="8">
        <v>19.222222685813904</v>
      </c>
      <c r="D86" s="8">
        <v>1346</v>
      </c>
      <c r="E86" s="19">
        <f t="shared" si="0"/>
        <v>4.0118870728083213E-2</v>
      </c>
      <c r="F86" s="19">
        <f t="shared" si="1"/>
        <v>0.35596708677433153</v>
      </c>
      <c r="G86" s="19">
        <f t="shared" si="2"/>
        <v>1.4280997537751786E-2</v>
      </c>
      <c r="H86" s="8">
        <v>901</v>
      </c>
      <c r="I86" s="8">
        <v>328.00000894069672</v>
      </c>
      <c r="J86" s="8">
        <v>16542</v>
      </c>
      <c r="K86" s="19">
        <f t="shared" si="3"/>
        <v>5.4467416273727483E-2</v>
      </c>
      <c r="L86" s="19">
        <f t="shared" si="4"/>
        <v>0.3640399655279653</v>
      </c>
      <c r="M86" s="19">
        <f t="shared" si="5"/>
        <v>1.9828316342685091E-2</v>
      </c>
      <c r="N86" s="19">
        <f t="shared" si="6"/>
        <v>1.3884405686835937</v>
      </c>
      <c r="T86" s="19"/>
      <c r="U86" s="19"/>
      <c r="V86" s="19"/>
      <c r="W86" s="19"/>
    </row>
    <row r="87" spans="1:23" ht="15.75" customHeight="1">
      <c r="A87" s="8">
        <v>21102</v>
      </c>
      <c r="B87" s="8">
        <v>169</v>
      </c>
      <c r="C87" s="8">
        <v>60.000001519918442</v>
      </c>
      <c r="D87" s="8">
        <v>2296</v>
      </c>
      <c r="E87" s="19">
        <f t="shared" si="0"/>
        <v>7.360627177700349E-2</v>
      </c>
      <c r="F87" s="19">
        <f t="shared" si="1"/>
        <v>0.3550295947924168</v>
      </c>
      <c r="G87" s="19">
        <f t="shared" si="2"/>
        <v>2.6132404843170053E-2</v>
      </c>
      <c r="H87" s="8">
        <v>2479</v>
      </c>
      <c r="I87" s="8">
        <v>907.55557763576508</v>
      </c>
      <c r="J87" s="8">
        <v>19306</v>
      </c>
      <c r="K87" s="19">
        <f t="shared" si="3"/>
        <v>0.12840567699160882</v>
      </c>
      <c r="L87" s="19">
        <f t="shared" si="4"/>
        <v>0.36609744963120816</v>
      </c>
      <c r="M87" s="19">
        <f t="shared" si="5"/>
        <v>4.7008990864796693E-2</v>
      </c>
      <c r="N87" s="19">
        <f t="shared" si="6"/>
        <v>1.7988773381904395</v>
      </c>
      <c r="T87" s="19"/>
      <c r="U87" s="19"/>
      <c r="V87" s="19"/>
      <c r="W87" s="19"/>
    </row>
    <row r="88" spans="1:23" ht="15.75" customHeight="1">
      <c r="A88" s="8">
        <v>21103</v>
      </c>
      <c r="B88" s="8">
        <v>58</v>
      </c>
      <c r="C88" s="8">
        <v>22.111111849546432</v>
      </c>
      <c r="D88" s="8">
        <v>1003</v>
      </c>
      <c r="E88" s="19">
        <f t="shared" si="0"/>
        <v>5.782652043868395E-2</v>
      </c>
      <c r="F88" s="19">
        <f t="shared" si="1"/>
        <v>0.3812260663714902</v>
      </c>
      <c r="G88" s="19">
        <f t="shared" si="2"/>
        <v>2.2044976918790062E-2</v>
      </c>
      <c r="H88" s="8">
        <v>361</v>
      </c>
      <c r="I88" s="8">
        <v>127.00000327825546</v>
      </c>
      <c r="J88" s="8">
        <v>6332</v>
      </c>
      <c r="K88" s="19">
        <f t="shared" si="3"/>
        <v>5.7012002526847759E-2</v>
      </c>
      <c r="L88" s="19">
        <f t="shared" si="4"/>
        <v>0.35180056309766056</v>
      </c>
      <c r="M88" s="19">
        <f t="shared" si="5"/>
        <v>2.0056854592270287E-2</v>
      </c>
      <c r="N88" s="19">
        <f t="shared" si="6"/>
        <v>0.90981517767772324</v>
      </c>
      <c r="T88" s="19"/>
      <c r="U88" s="19"/>
      <c r="V88" s="19"/>
      <c r="W88" s="19"/>
    </row>
    <row r="89" spans="1:23" ht="15.75" customHeight="1">
      <c r="A89" s="8">
        <v>21104</v>
      </c>
      <c r="B89" s="8">
        <v>752</v>
      </c>
      <c r="C89" s="8">
        <v>294.88889622688293</v>
      </c>
      <c r="D89" s="8">
        <v>3176</v>
      </c>
      <c r="E89" s="19">
        <f t="shared" si="0"/>
        <v>0.23677581863979849</v>
      </c>
      <c r="F89" s="19">
        <f t="shared" si="1"/>
        <v>0.39213948966340817</v>
      </c>
      <c r="G89" s="19">
        <f t="shared" si="2"/>
        <v>9.2849148686046268E-2</v>
      </c>
      <c r="H89" s="8">
        <v>4934</v>
      </c>
      <c r="I89" s="8">
        <v>1850.6667127609253</v>
      </c>
      <c r="J89" s="8">
        <v>23373</v>
      </c>
      <c r="K89" s="19">
        <f t="shared" si="3"/>
        <v>0.21109827578830273</v>
      </c>
      <c r="L89" s="19">
        <f t="shared" si="4"/>
        <v>0.37508445738972951</v>
      </c>
      <c r="M89" s="19">
        <f t="shared" si="5"/>
        <v>7.9179682229963008E-2</v>
      </c>
      <c r="N89" s="19">
        <f t="shared" si="6"/>
        <v>0.85277768671520882</v>
      </c>
      <c r="T89" s="19"/>
      <c r="U89" s="19"/>
      <c r="V89" s="19"/>
      <c r="W89" s="19"/>
    </row>
    <row r="90" spans="1:23" ht="15.75" customHeight="1">
      <c r="A90" s="8">
        <v>21105</v>
      </c>
      <c r="B90" s="8">
        <v>1000</v>
      </c>
      <c r="C90" s="8">
        <v>383.00000977516174</v>
      </c>
      <c r="D90" s="8">
        <v>4411</v>
      </c>
      <c r="E90" s="19">
        <f t="shared" si="0"/>
        <v>0.22670596236681026</v>
      </c>
      <c r="F90" s="19">
        <f t="shared" si="1"/>
        <v>0.38300000977516174</v>
      </c>
      <c r="G90" s="19">
        <f t="shared" si="2"/>
        <v>8.6828385802575778E-2</v>
      </c>
      <c r="H90" s="8">
        <v>7827</v>
      </c>
      <c r="I90" s="8">
        <v>2949.8889586925507</v>
      </c>
      <c r="J90" s="8">
        <v>40021</v>
      </c>
      <c r="K90" s="19">
        <f t="shared" si="3"/>
        <v>0.19557232452962195</v>
      </c>
      <c r="L90" s="19">
        <f t="shared" si="4"/>
        <v>0.37688628576626432</v>
      </c>
      <c r="M90" s="19">
        <f t="shared" si="5"/>
        <v>7.3708526990643689E-2</v>
      </c>
      <c r="N90" s="19">
        <f t="shared" si="6"/>
        <v>0.84889896673003806</v>
      </c>
      <c r="T90" s="19"/>
      <c r="U90" s="19"/>
      <c r="V90" s="19"/>
      <c r="W90" s="19"/>
    </row>
    <row r="91" spans="1:23" ht="15.75" customHeight="1">
      <c r="A91" s="8">
        <v>21201</v>
      </c>
      <c r="B91" s="8">
        <v>1081</v>
      </c>
      <c r="C91" s="8">
        <v>390.55556526780128</v>
      </c>
      <c r="D91" s="8">
        <v>5985</v>
      </c>
      <c r="E91" s="19">
        <f t="shared" si="0"/>
        <v>0.18061821219715957</v>
      </c>
      <c r="F91" s="19">
        <f t="shared" si="1"/>
        <v>0.36129099469731851</v>
      </c>
      <c r="G91" s="19">
        <f t="shared" si="2"/>
        <v>6.5255733545163133E-2</v>
      </c>
      <c r="H91" s="8">
        <v>6323</v>
      </c>
      <c r="I91" s="8">
        <v>2343.5556130409241</v>
      </c>
      <c r="J91" s="8">
        <v>42613</v>
      </c>
      <c r="K91" s="19">
        <f t="shared" si="3"/>
        <v>0.14838194917044095</v>
      </c>
      <c r="L91" s="19">
        <f t="shared" si="4"/>
        <v>0.37063982493134967</v>
      </c>
      <c r="M91" s="19">
        <f t="shared" si="5"/>
        <v>5.499625966350466E-2</v>
      </c>
      <c r="N91" s="19">
        <f t="shared" si="6"/>
        <v>0.84278049875022942</v>
      </c>
      <c r="T91" s="19"/>
      <c r="U91" s="19"/>
      <c r="V91" s="19"/>
      <c r="W91" s="19"/>
    </row>
    <row r="92" spans="1:23" ht="15.75" customHeight="1">
      <c r="A92" s="8">
        <v>21202</v>
      </c>
      <c r="B92" s="8">
        <v>769</v>
      </c>
      <c r="C92" s="8">
        <v>275.44445142149925</v>
      </c>
      <c r="D92" s="8">
        <v>6938</v>
      </c>
      <c r="E92" s="19">
        <f t="shared" si="0"/>
        <v>0.11083885846065149</v>
      </c>
      <c r="F92" s="19">
        <f t="shared" si="1"/>
        <v>0.35818524242067523</v>
      </c>
      <c r="G92" s="19">
        <f t="shared" si="2"/>
        <v>3.9700843387359366E-2</v>
      </c>
      <c r="H92" s="8">
        <v>4138</v>
      </c>
      <c r="I92" s="8">
        <v>1523.5555942058563</v>
      </c>
      <c r="J92" s="8">
        <v>31064</v>
      </c>
      <c r="K92" s="19">
        <f t="shared" si="3"/>
        <v>0.133208859129539</v>
      </c>
      <c r="L92" s="19">
        <f t="shared" si="4"/>
        <v>0.36818646549199041</v>
      </c>
      <c r="M92" s="19">
        <f t="shared" si="5"/>
        <v>4.9045699015125427E-2</v>
      </c>
      <c r="N92" s="19">
        <f t="shared" si="6"/>
        <v>1.2353817911772986</v>
      </c>
      <c r="T92" s="19"/>
      <c r="U92" s="19"/>
      <c r="V92" s="19"/>
      <c r="W92" s="19"/>
    </row>
    <row r="93" spans="1:23" ht="15.75" customHeight="1">
      <c r="A93" s="8">
        <v>21203</v>
      </c>
      <c r="B93" s="8">
        <v>137</v>
      </c>
      <c r="C93" s="8">
        <v>49.555556863546371</v>
      </c>
      <c r="D93" s="8">
        <v>1514</v>
      </c>
      <c r="E93" s="19">
        <f t="shared" si="0"/>
        <v>9.0488771466314399E-2</v>
      </c>
      <c r="F93" s="19">
        <f t="shared" si="1"/>
        <v>0.36171939316457208</v>
      </c>
      <c r="G93" s="19">
        <f t="shared" si="2"/>
        <v>3.2731543503002891E-2</v>
      </c>
      <c r="H93" s="8">
        <v>2439</v>
      </c>
      <c r="I93" s="8">
        <v>894.77779930830002</v>
      </c>
      <c r="J93" s="8">
        <v>18607</v>
      </c>
      <c r="K93" s="19">
        <f t="shared" si="3"/>
        <v>0.13107970118772505</v>
      </c>
      <c r="L93" s="19">
        <f t="shared" si="4"/>
        <v>0.36686256634206643</v>
      </c>
      <c r="M93" s="19">
        <f t="shared" si="5"/>
        <v>4.8088235573080028E-2</v>
      </c>
      <c r="N93" s="19">
        <f t="shared" si="6"/>
        <v>1.469171032788853</v>
      </c>
      <c r="T93" s="19"/>
      <c r="U93" s="19"/>
      <c r="V93" s="19"/>
      <c r="W93" s="19"/>
    </row>
    <row r="94" spans="1:23" ht="15.75" customHeight="1">
      <c r="A94" s="8">
        <v>21204</v>
      </c>
      <c r="B94" s="8">
        <v>114</v>
      </c>
      <c r="C94" s="8">
        <v>42.444445550441742</v>
      </c>
      <c r="D94" s="8">
        <v>704</v>
      </c>
      <c r="E94" s="19">
        <f t="shared" si="0"/>
        <v>0.16193181818181818</v>
      </c>
      <c r="F94" s="19">
        <f t="shared" si="1"/>
        <v>0.37231969781089247</v>
      </c>
      <c r="G94" s="19">
        <f t="shared" si="2"/>
        <v>6.0290405611422924E-2</v>
      </c>
      <c r="H94" s="8">
        <v>1023</v>
      </c>
      <c r="I94" s="8">
        <v>372.66667580604553</v>
      </c>
      <c r="J94" s="8">
        <v>6997</v>
      </c>
      <c r="K94" s="19">
        <f t="shared" si="3"/>
        <v>0.14620551664999284</v>
      </c>
      <c r="L94" s="19">
        <f t="shared" si="4"/>
        <v>0.36428805064129571</v>
      </c>
      <c r="M94" s="19">
        <f t="shared" si="5"/>
        <v>5.3260922653429396E-2</v>
      </c>
      <c r="N94" s="19">
        <f t="shared" si="6"/>
        <v>0.88340627523226201</v>
      </c>
      <c r="T94" s="19"/>
      <c r="U94" s="19"/>
      <c r="V94" s="19"/>
      <c r="W94" s="19"/>
    </row>
    <row r="95" spans="1:23" ht="15.75" customHeight="1">
      <c r="A95" s="8">
        <v>21301</v>
      </c>
      <c r="B95" s="8">
        <v>334</v>
      </c>
      <c r="C95" s="8">
        <v>119.33333647251129</v>
      </c>
      <c r="D95" s="8">
        <v>2384</v>
      </c>
      <c r="E95" s="19">
        <f t="shared" si="0"/>
        <v>0.1401006711409396</v>
      </c>
      <c r="F95" s="19">
        <f t="shared" si="1"/>
        <v>0.35728543854045297</v>
      </c>
      <c r="G95" s="19">
        <f t="shared" si="2"/>
        <v>5.0055929728402393E-2</v>
      </c>
      <c r="H95" s="8">
        <v>5529</v>
      </c>
      <c r="I95" s="8">
        <v>2104.2222732305527</v>
      </c>
      <c r="J95" s="8">
        <v>30717</v>
      </c>
      <c r="K95" s="19">
        <f t="shared" si="3"/>
        <v>0.17999804668424652</v>
      </c>
      <c r="L95" s="19">
        <f t="shared" si="4"/>
        <v>0.38057917765066968</v>
      </c>
      <c r="M95" s="19">
        <f t="shared" si="5"/>
        <v>6.8503508585817385E-2</v>
      </c>
      <c r="N95" s="19">
        <f t="shared" si="6"/>
        <v>1.3685393310544702</v>
      </c>
      <c r="T95" s="19"/>
      <c r="U95" s="19"/>
      <c r="V95" s="19"/>
      <c r="W95" s="19"/>
    </row>
    <row r="96" spans="1:23" ht="15.75" customHeight="1">
      <c r="A96" s="8">
        <v>21302</v>
      </c>
      <c r="B96" s="8">
        <v>127</v>
      </c>
      <c r="C96" s="8">
        <v>45.777778923511505</v>
      </c>
      <c r="D96" s="8">
        <v>916</v>
      </c>
      <c r="E96" s="19">
        <f t="shared" si="0"/>
        <v>0.13864628820960698</v>
      </c>
      <c r="F96" s="19">
        <f t="shared" si="1"/>
        <v>0.36045495215363388</v>
      </c>
      <c r="G96" s="19">
        <f t="shared" si="2"/>
        <v>4.9975741182872818E-2</v>
      </c>
      <c r="H96" s="8">
        <v>1247</v>
      </c>
      <c r="I96" s="8">
        <v>457.66667720675468</v>
      </c>
      <c r="J96" s="8">
        <v>7896</v>
      </c>
      <c r="K96" s="19">
        <f t="shared" si="3"/>
        <v>0.15792806484295846</v>
      </c>
      <c r="L96" s="19">
        <f t="shared" si="4"/>
        <v>0.36701417578729323</v>
      </c>
      <c r="M96" s="19">
        <f t="shared" si="5"/>
        <v>5.7961838552020598E-2</v>
      </c>
      <c r="N96" s="19">
        <f t="shared" si="6"/>
        <v>1.1597994783093821</v>
      </c>
      <c r="T96" s="19"/>
      <c r="U96" s="19"/>
      <c r="V96" s="19"/>
      <c r="W96" s="19"/>
    </row>
    <row r="97" spans="1:23" ht="15.75" customHeight="1">
      <c r="A97" s="8">
        <v>21303</v>
      </c>
      <c r="B97" s="8">
        <v>177</v>
      </c>
      <c r="C97" s="8">
        <v>63.777779340744019</v>
      </c>
      <c r="D97" s="8">
        <v>750</v>
      </c>
      <c r="E97" s="19">
        <f t="shared" si="0"/>
        <v>0.23599999999999999</v>
      </c>
      <c r="F97" s="19">
        <f t="shared" si="1"/>
        <v>0.36032643695335603</v>
      </c>
      <c r="G97" s="19">
        <f t="shared" si="2"/>
        <v>8.5037039120992017E-2</v>
      </c>
      <c r="H97" s="8">
        <v>2573</v>
      </c>
      <c r="I97" s="8">
        <v>948.55557921528816</v>
      </c>
      <c r="J97" s="8">
        <v>10321</v>
      </c>
      <c r="K97" s="19">
        <f t="shared" si="3"/>
        <v>0.24929754868714271</v>
      </c>
      <c r="L97" s="19">
        <f t="shared" si="4"/>
        <v>0.36865743459591455</v>
      </c>
      <c r="M97" s="19">
        <f t="shared" si="5"/>
        <v>9.1905394750052133E-2</v>
      </c>
      <c r="N97" s="19">
        <f t="shared" si="6"/>
        <v>1.0807689884320608</v>
      </c>
      <c r="T97" s="19"/>
      <c r="U97" s="19"/>
      <c r="V97" s="19"/>
      <c r="W97" s="19"/>
    </row>
    <row r="98" spans="1:23" ht="15.75" customHeight="1">
      <c r="A98" s="8">
        <v>21304</v>
      </c>
      <c r="B98" s="8">
        <v>149</v>
      </c>
      <c r="C98" s="8">
        <v>54.666667997837067</v>
      </c>
      <c r="D98" s="8">
        <v>1155</v>
      </c>
      <c r="E98" s="19">
        <f t="shared" si="0"/>
        <v>0.12900432900432901</v>
      </c>
      <c r="F98" s="19">
        <f t="shared" si="1"/>
        <v>0.36689038924722861</v>
      </c>
      <c r="G98" s="19">
        <f t="shared" si="2"/>
        <v>4.7330448482975816E-2</v>
      </c>
      <c r="H98" s="8">
        <v>1638</v>
      </c>
      <c r="I98" s="8">
        <v>599.11112689971924</v>
      </c>
      <c r="J98" s="8">
        <v>13812</v>
      </c>
      <c r="K98" s="19">
        <f t="shared" si="3"/>
        <v>0.11859252823631625</v>
      </c>
      <c r="L98" s="19">
        <f t="shared" si="4"/>
        <v>0.36575770872998731</v>
      </c>
      <c r="M98" s="19">
        <f t="shared" si="5"/>
        <v>4.3376131400211355E-2</v>
      </c>
      <c r="N98" s="19">
        <f t="shared" si="6"/>
        <v>0.91645299781626244</v>
      </c>
      <c r="T98" s="19"/>
      <c r="U98" s="19"/>
      <c r="V98" s="19"/>
      <c r="W98" s="19"/>
    </row>
    <row r="99" spans="1:23" ht="15.75" customHeight="1">
      <c r="A99" s="8">
        <v>21305</v>
      </c>
      <c r="B99" s="8">
        <v>250</v>
      </c>
      <c r="C99" s="8">
        <v>92.222224533557892</v>
      </c>
      <c r="D99" s="8">
        <v>2428</v>
      </c>
      <c r="E99" s="19">
        <f t="shared" si="0"/>
        <v>0.10296540362438221</v>
      </c>
      <c r="F99" s="19">
        <f t="shared" si="1"/>
        <v>0.36888889813423159</v>
      </c>
      <c r="G99" s="19">
        <f t="shared" si="2"/>
        <v>3.7982794288944771E-2</v>
      </c>
      <c r="H99" s="8">
        <v>2294</v>
      </c>
      <c r="I99" s="8">
        <v>832.66668766736984</v>
      </c>
      <c r="J99" s="8">
        <v>21657</v>
      </c>
      <c r="K99" s="19">
        <f t="shared" si="3"/>
        <v>0.10592418155792585</v>
      </c>
      <c r="L99" s="19">
        <f t="shared" si="4"/>
        <v>0.36297588825953347</v>
      </c>
      <c r="M99" s="19">
        <f t="shared" si="5"/>
        <v>3.8447923889152233E-2</v>
      </c>
      <c r="N99" s="19">
        <f t="shared" si="6"/>
        <v>1.0122457973120436</v>
      </c>
      <c r="T99" s="19"/>
      <c r="U99" s="19"/>
      <c r="V99" s="19"/>
      <c r="W99" s="19"/>
    </row>
    <row r="100" spans="1:23" ht="15.75" customHeight="1">
      <c r="A100" s="8">
        <v>21306</v>
      </c>
      <c r="B100" s="8">
        <v>50</v>
      </c>
      <c r="C100" s="8">
        <v>17.666667103767395</v>
      </c>
      <c r="D100" s="8">
        <v>460</v>
      </c>
      <c r="E100" s="19">
        <f t="shared" si="0"/>
        <v>0.10869565217391304</v>
      </c>
      <c r="F100" s="19">
        <f t="shared" si="1"/>
        <v>0.35333334207534789</v>
      </c>
      <c r="G100" s="19">
        <f t="shared" si="2"/>
        <v>3.8405798051668251E-2</v>
      </c>
      <c r="H100" s="8">
        <v>1448</v>
      </c>
      <c r="I100" s="8">
        <v>533.111123919487</v>
      </c>
      <c r="J100" s="8">
        <v>11581</v>
      </c>
      <c r="K100" s="19">
        <f t="shared" si="3"/>
        <v>0.12503238062343494</v>
      </c>
      <c r="L100" s="19">
        <f t="shared" si="4"/>
        <v>0.36817066569025347</v>
      </c>
      <c r="M100" s="19">
        <f t="shared" si="5"/>
        <v>4.603325480696719E-2</v>
      </c>
      <c r="N100" s="19">
        <f t="shared" si="6"/>
        <v>1.1986016992808621</v>
      </c>
      <c r="T100" s="19"/>
      <c r="U100" s="19"/>
      <c r="V100" s="19"/>
      <c r="W100" s="19"/>
    </row>
    <row r="101" spans="1:23" ht="15.75" customHeight="1">
      <c r="A101" s="8">
        <v>21307</v>
      </c>
      <c r="B101" s="8">
        <v>38</v>
      </c>
      <c r="C101" s="8">
        <v>13.888889312744141</v>
      </c>
      <c r="D101" s="8">
        <v>421</v>
      </c>
      <c r="E101" s="19">
        <f t="shared" si="0"/>
        <v>9.0261282660332537E-2</v>
      </c>
      <c r="F101" s="19">
        <f t="shared" si="1"/>
        <v>0.36549708717747736</v>
      </c>
      <c r="G101" s="19">
        <f t="shared" si="2"/>
        <v>3.2990235897254486E-2</v>
      </c>
      <c r="H101" s="8">
        <v>523</v>
      </c>
      <c r="I101" s="8">
        <v>198.77778273820877</v>
      </c>
      <c r="J101" s="8">
        <v>4992</v>
      </c>
      <c r="K101" s="19">
        <f t="shared" si="3"/>
        <v>0.10476762820512821</v>
      </c>
      <c r="L101" s="19">
        <f t="shared" si="4"/>
        <v>0.38007224232927106</v>
      </c>
      <c r="M101" s="19">
        <f t="shared" si="5"/>
        <v>3.981926737544246E-2</v>
      </c>
      <c r="N101" s="19">
        <f t="shared" si="6"/>
        <v>1.2070015958496465</v>
      </c>
      <c r="T101" s="19"/>
      <c r="U101" s="19"/>
      <c r="V101" s="19"/>
      <c r="W101" s="19"/>
    </row>
    <row r="102" spans="1:23" ht="15.75" customHeight="1">
      <c r="A102" s="8">
        <v>21401</v>
      </c>
      <c r="B102" s="8">
        <v>432</v>
      </c>
      <c r="C102" s="8">
        <v>154.88889268040657</v>
      </c>
      <c r="D102" s="8">
        <v>3920</v>
      </c>
      <c r="E102" s="19">
        <f t="shared" si="0"/>
        <v>0.11020408163265306</v>
      </c>
      <c r="F102" s="19">
        <f t="shared" si="1"/>
        <v>0.35853910342686707</v>
      </c>
      <c r="G102" s="19">
        <f t="shared" si="2"/>
        <v>3.9512472622552697E-2</v>
      </c>
      <c r="H102" s="8">
        <v>2494</v>
      </c>
      <c r="I102" s="8">
        <v>903.4444667994976</v>
      </c>
      <c r="J102" s="8">
        <v>22262</v>
      </c>
      <c r="K102" s="19">
        <f t="shared" si="3"/>
        <v>0.11202946725361602</v>
      </c>
      <c r="L102" s="19">
        <f t="shared" si="4"/>
        <v>0.3622471799516831</v>
      </c>
      <c r="M102" s="19">
        <f t="shared" si="5"/>
        <v>4.0582358584111834E-2</v>
      </c>
      <c r="N102" s="19">
        <f t="shared" si="6"/>
        <v>1.0270771705881163</v>
      </c>
      <c r="T102" s="19"/>
      <c r="U102" s="19"/>
      <c r="V102" s="19"/>
      <c r="W102" s="19"/>
    </row>
    <row r="103" spans="1:23" ht="15.75" customHeight="1">
      <c r="A103" s="8">
        <v>21402</v>
      </c>
      <c r="B103" s="8">
        <v>94</v>
      </c>
      <c r="C103" s="8">
        <v>39.333334237337112</v>
      </c>
      <c r="D103" s="8">
        <v>1432</v>
      </c>
      <c r="E103" s="19">
        <f t="shared" si="0"/>
        <v>6.5642458100558659E-2</v>
      </c>
      <c r="F103" s="19">
        <f t="shared" si="1"/>
        <v>0.41843972592911821</v>
      </c>
      <c r="G103" s="19">
        <f t="shared" si="2"/>
        <v>2.7467412176911392E-2</v>
      </c>
      <c r="H103" s="8">
        <v>1168</v>
      </c>
      <c r="I103" s="8">
        <v>419.77778890728951</v>
      </c>
      <c r="J103" s="8">
        <v>21137</v>
      </c>
      <c r="K103" s="19">
        <f t="shared" si="3"/>
        <v>5.525855135544306E-2</v>
      </c>
      <c r="L103" s="19">
        <f t="shared" si="4"/>
        <v>0.35939879187267937</v>
      </c>
      <c r="M103" s="19">
        <f t="shared" si="5"/>
        <v>1.9859856597780643E-2</v>
      </c>
      <c r="N103" s="19">
        <f t="shared" si="6"/>
        <v>0.7230334066372105</v>
      </c>
      <c r="T103" s="19"/>
      <c r="U103" s="19"/>
      <c r="V103" s="19"/>
      <c r="W103" s="19"/>
    </row>
    <row r="104" spans="1:23" ht="15.75" customHeight="1">
      <c r="A104" s="8">
        <v>21501</v>
      </c>
      <c r="B104" s="8">
        <v>431</v>
      </c>
      <c r="C104" s="8">
        <v>170.77778169512749</v>
      </c>
      <c r="D104" s="8">
        <v>1595</v>
      </c>
      <c r="E104" s="19">
        <f t="shared" si="0"/>
        <v>0.27021943573667712</v>
      </c>
      <c r="F104" s="19">
        <f t="shared" si="1"/>
        <v>0.39623615242488974</v>
      </c>
      <c r="G104" s="19">
        <f t="shared" si="2"/>
        <v>0.10707070952672569</v>
      </c>
      <c r="H104" s="8">
        <v>2157</v>
      </c>
      <c r="I104" s="8">
        <v>864.44446521997452</v>
      </c>
      <c r="J104" s="8">
        <v>9406</v>
      </c>
      <c r="K104" s="19">
        <f t="shared" si="3"/>
        <v>0.2293217095470976</v>
      </c>
      <c r="L104" s="19">
        <f t="shared" si="4"/>
        <v>0.40076238535928349</v>
      </c>
      <c r="M104" s="19">
        <f t="shared" si="5"/>
        <v>9.1903515332763613E-2</v>
      </c>
      <c r="N104" s="19">
        <f t="shared" si="6"/>
        <v>0.85834413294724432</v>
      </c>
      <c r="T104" s="19"/>
      <c r="U104" s="19"/>
      <c r="V104" s="19"/>
      <c r="W104" s="19"/>
    </row>
    <row r="105" spans="1:23" ht="15.75" customHeight="1">
      <c r="A105" s="8">
        <v>21502</v>
      </c>
      <c r="B105" s="8">
        <v>110</v>
      </c>
      <c r="C105" s="8">
        <v>62.333334296941757</v>
      </c>
      <c r="D105" s="8">
        <v>1202</v>
      </c>
      <c r="E105" s="19">
        <f t="shared" si="0"/>
        <v>9.1514143094841932E-2</v>
      </c>
      <c r="F105" s="19">
        <f t="shared" si="1"/>
        <v>0.5666666754267432</v>
      </c>
      <c r="G105" s="19">
        <f t="shared" si="2"/>
        <v>5.1858015222081326E-2</v>
      </c>
      <c r="H105" s="8">
        <v>820</v>
      </c>
      <c r="I105" s="8">
        <v>312.11111852526665</v>
      </c>
      <c r="J105" s="8">
        <v>8269</v>
      </c>
      <c r="K105" s="19">
        <f t="shared" si="3"/>
        <v>9.9165558108598381E-2</v>
      </c>
      <c r="L105" s="19">
        <f t="shared" si="4"/>
        <v>0.38062331527471543</v>
      </c>
      <c r="M105" s="19">
        <f t="shared" si="5"/>
        <v>3.7744723488362157E-2</v>
      </c>
      <c r="N105" s="19">
        <f t="shared" si="6"/>
        <v>0.72784743740617208</v>
      </c>
      <c r="T105" s="19"/>
      <c r="U105" s="19"/>
      <c r="V105" s="19"/>
      <c r="W105" s="19"/>
    </row>
    <row r="106" spans="1:23" ht="15.75" customHeight="1">
      <c r="A106" s="8">
        <v>21601</v>
      </c>
      <c r="B106" s="8">
        <v>303</v>
      </c>
      <c r="C106" s="8">
        <v>116.22222545742989</v>
      </c>
      <c r="D106" s="8">
        <v>1292</v>
      </c>
      <c r="E106" s="19">
        <f t="shared" si="0"/>
        <v>0.23452012383900928</v>
      </c>
      <c r="F106" s="19">
        <f t="shared" si="1"/>
        <v>0.38357170117963657</v>
      </c>
      <c r="G106" s="19">
        <f t="shared" si="2"/>
        <v>8.9955282861787833E-2</v>
      </c>
      <c r="H106" s="8">
        <v>2966</v>
      </c>
      <c r="I106" s="8">
        <v>1164.1111404895782</v>
      </c>
      <c r="J106" s="8">
        <v>14164</v>
      </c>
      <c r="K106" s="19">
        <f t="shared" si="3"/>
        <v>0.20940412312905959</v>
      </c>
      <c r="L106" s="19">
        <f t="shared" si="4"/>
        <v>0.39248521257234598</v>
      </c>
      <c r="M106" s="19">
        <f t="shared" si="5"/>
        <v>8.2188021779834669E-2</v>
      </c>
      <c r="N106" s="19">
        <f t="shared" si="6"/>
        <v>0.91365419756517019</v>
      </c>
      <c r="T106" s="19"/>
      <c r="U106" s="19"/>
      <c r="V106" s="19"/>
      <c r="W106" s="19"/>
    </row>
    <row r="107" spans="1:23" ht="15.75" customHeight="1">
      <c r="A107" s="8">
        <v>21602</v>
      </c>
      <c r="B107" s="8">
        <v>117</v>
      </c>
      <c r="C107" s="8">
        <v>47.666667729616165</v>
      </c>
      <c r="D107" s="8">
        <v>435</v>
      </c>
      <c r="E107" s="19">
        <f t="shared" si="0"/>
        <v>0.26896551724137929</v>
      </c>
      <c r="F107" s="19">
        <f t="shared" si="1"/>
        <v>0.40740741649244583</v>
      </c>
      <c r="G107" s="19">
        <f t="shared" si="2"/>
        <v>0.10957854650486473</v>
      </c>
      <c r="H107" s="8">
        <v>1713</v>
      </c>
      <c r="I107" s="8">
        <v>719.44446203112602</v>
      </c>
      <c r="J107" s="8">
        <v>5965</v>
      </c>
      <c r="K107" s="19">
        <f t="shared" si="3"/>
        <v>0.28717518860016766</v>
      </c>
      <c r="L107" s="19">
        <f t="shared" si="4"/>
        <v>0.41999092938185989</v>
      </c>
      <c r="M107" s="19">
        <f t="shared" si="5"/>
        <v>0.12061097435559531</v>
      </c>
      <c r="N107" s="19">
        <f t="shared" si="6"/>
        <v>1.1006805456234154</v>
      </c>
      <c r="T107" s="19"/>
      <c r="U107" s="19"/>
      <c r="V107" s="19"/>
      <c r="W107" s="19"/>
    </row>
    <row r="108" spans="1:23" ht="15.75" customHeight="1">
      <c r="A108" s="8">
        <v>21701</v>
      </c>
      <c r="B108" s="8">
        <v>228</v>
      </c>
      <c r="C108" s="8">
        <v>83.222224563360214</v>
      </c>
      <c r="D108" s="8">
        <v>1572</v>
      </c>
      <c r="E108" s="19">
        <f t="shared" si="0"/>
        <v>0.14503816793893129</v>
      </c>
      <c r="F108" s="19">
        <f t="shared" si="1"/>
        <v>0.36500975685684306</v>
      </c>
      <c r="G108" s="19">
        <f t="shared" si="2"/>
        <v>5.2940346414351282E-2</v>
      </c>
      <c r="H108" s="8">
        <v>1781</v>
      </c>
      <c r="I108" s="8">
        <v>654.55557203292847</v>
      </c>
      <c r="J108" s="8">
        <v>15396</v>
      </c>
      <c r="K108" s="19">
        <f t="shared" si="3"/>
        <v>0.11567939724603793</v>
      </c>
      <c r="L108" s="19">
        <f t="shared" si="4"/>
        <v>0.36752137677312097</v>
      </c>
      <c r="M108" s="19">
        <f t="shared" si="5"/>
        <v>4.2514651340148639E-2</v>
      </c>
      <c r="N108" s="19">
        <f t="shared" si="6"/>
        <v>0.80306711647477236</v>
      </c>
      <c r="T108" s="19"/>
      <c r="U108" s="19"/>
      <c r="V108" s="19"/>
      <c r="W108" s="19"/>
    </row>
    <row r="109" spans="1:23" ht="15.75" customHeight="1">
      <c r="A109" s="8">
        <v>21702</v>
      </c>
      <c r="B109" s="8">
        <v>154</v>
      </c>
      <c r="C109" s="8">
        <v>54.333334743976593</v>
      </c>
      <c r="D109" s="8">
        <v>1252</v>
      </c>
      <c r="E109" s="19">
        <f t="shared" si="0"/>
        <v>0.12300319488817892</v>
      </c>
      <c r="F109" s="19">
        <f t="shared" si="1"/>
        <v>0.35281386197387399</v>
      </c>
      <c r="G109" s="19">
        <f t="shared" si="2"/>
        <v>4.3397232223623482E-2</v>
      </c>
      <c r="H109" s="8">
        <v>759</v>
      </c>
      <c r="I109" s="8">
        <v>273.88889586925507</v>
      </c>
      <c r="J109" s="8">
        <v>7419</v>
      </c>
      <c r="K109" s="19">
        <f t="shared" si="3"/>
        <v>0.10230489284270117</v>
      </c>
      <c r="L109" s="19">
        <f t="shared" si="4"/>
        <v>0.36085493526911078</v>
      </c>
      <c r="M109" s="19">
        <f t="shared" si="5"/>
        <v>3.6917225484466243E-2</v>
      </c>
      <c r="N109" s="19">
        <f t="shared" si="6"/>
        <v>0.85068156637810144</v>
      </c>
      <c r="T109" s="19"/>
      <c r="U109" s="19"/>
      <c r="V109" s="19"/>
      <c r="W109" s="19"/>
    </row>
    <row r="110" spans="1:23" ht="15.75" customHeight="1">
      <c r="A110" s="8">
        <v>21703</v>
      </c>
      <c r="B110" s="8">
        <v>109</v>
      </c>
      <c r="C110" s="8">
        <v>37.111112147569656</v>
      </c>
      <c r="D110" s="8">
        <v>335</v>
      </c>
      <c r="E110" s="19">
        <f t="shared" si="0"/>
        <v>0.32537313432835818</v>
      </c>
      <c r="F110" s="19">
        <f t="shared" si="1"/>
        <v>0.34046891878504271</v>
      </c>
      <c r="G110" s="19">
        <f t="shared" si="2"/>
        <v>0.11077943924647657</v>
      </c>
      <c r="H110" s="8">
        <v>1632</v>
      </c>
      <c r="I110" s="8">
        <v>620.77779343724251</v>
      </c>
      <c r="J110" s="8">
        <v>6943</v>
      </c>
      <c r="K110" s="19">
        <f t="shared" si="3"/>
        <v>0.23505689183350137</v>
      </c>
      <c r="L110" s="19">
        <f t="shared" si="4"/>
        <v>0.38037854990027115</v>
      </c>
      <c r="M110" s="19">
        <f t="shared" si="5"/>
        <v>8.9410599659692142E-2</v>
      </c>
      <c r="N110" s="19">
        <f t="shared" si="6"/>
        <v>0.80710464205148902</v>
      </c>
      <c r="T110" s="19"/>
      <c r="U110" s="19"/>
      <c r="V110" s="19"/>
      <c r="W110" s="19"/>
    </row>
    <row r="111" spans="1:23" ht="15.75" customHeight="1">
      <c r="A111" s="8">
        <v>21801</v>
      </c>
      <c r="B111" s="8">
        <v>198</v>
      </c>
      <c r="C111" s="8">
        <v>73.222223907709122</v>
      </c>
      <c r="D111" s="8">
        <v>910</v>
      </c>
      <c r="E111" s="19">
        <f t="shared" si="0"/>
        <v>0.21758241758241759</v>
      </c>
      <c r="F111" s="19">
        <f t="shared" si="1"/>
        <v>0.36980921165509656</v>
      </c>
      <c r="G111" s="19">
        <f t="shared" si="2"/>
        <v>8.0463982316163862E-2</v>
      </c>
      <c r="H111" s="8">
        <v>1630</v>
      </c>
      <c r="I111" s="8">
        <v>600.33334794640541</v>
      </c>
      <c r="J111" s="8">
        <v>8032</v>
      </c>
      <c r="K111" s="19">
        <f t="shared" si="3"/>
        <v>0.20293824701195218</v>
      </c>
      <c r="L111" s="19">
        <f t="shared" si="4"/>
        <v>0.36830266745178247</v>
      </c>
      <c r="M111" s="19">
        <f t="shared" si="5"/>
        <v>7.4742697702490715E-2</v>
      </c>
      <c r="N111" s="19">
        <f t="shared" si="6"/>
        <v>0.92889632790988719</v>
      </c>
      <c r="T111" s="19"/>
      <c r="U111" s="19"/>
      <c r="V111" s="19"/>
      <c r="W111" s="19"/>
    </row>
    <row r="112" spans="1:23" ht="15.75" customHeight="1">
      <c r="A112" s="8">
        <v>21802</v>
      </c>
      <c r="B112" s="8">
        <v>79</v>
      </c>
      <c r="C112" s="8">
        <v>27.222222954034805</v>
      </c>
      <c r="D112" s="8">
        <v>373</v>
      </c>
      <c r="E112" s="19">
        <f t="shared" si="0"/>
        <v>0.21179624664879357</v>
      </c>
      <c r="F112" s="19">
        <f t="shared" si="1"/>
        <v>0.3445851006839849</v>
      </c>
      <c r="G112" s="19">
        <f t="shared" si="2"/>
        <v>7.2981830975964626E-2</v>
      </c>
      <c r="H112" s="8">
        <v>773</v>
      </c>
      <c r="I112" s="8">
        <v>277.22222909331322</v>
      </c>
      <c r="J112" s="8">
        <v>6166</v>
      </c>
      <c r="K112" s="19">
        <f t="shared" si="3"/>
        <v>0.1253649043139799</v>
      </c>
      <c r="L112" s="19">
        <f t="shared" si="4"/>
        <v>0.35863160296676999</v>
      </c>
      <c r="M112" s="19">
        <f t="shared" si="5"/>
        <v>4.4959816589898352E-2</v>
      </c>
      <c r="N112" s="19">
        <f t="shared" si="6"/>
        <v>0.61604122544836037</v>
      </c>
      <c r="T112" s="19"/>
      <c r="U112" s="19"/>
      <c r="V112" s="19"/>
      <c r="W112" s="19"/>
    </row>
    <row r="113" spans="1:23" ht="15.75" customHeight="1">
      <c r="A113" s="8">
        <v>21803</v>
      </c>
      <c r="B113" s="8">
        <v>42</v>
      </c>
      <c r="C113" s="8">
        <v>14.444444835186005</v>
      </c>
      <c r="D113" s="8">
        <v>193</v>
      </c>
      <c r="E113" s="19">
        <f t="shared" si="0"/>
        <v>0.21761658031088082</v>
      </c>
      <c r="F113" s="19">
        <f t="shared" si="1"/>
        <v>0.34391535321871441</v>
      </c>
      <c r="G113" s="19">
        <f t="shared" si="2"/>
        <v>7.484168308386531E-2</v>
      </c>
      <c r="H113" s="8">
        <v>467</v>
      </c>
      <c r="I113" s="8">
        <v>168.11111563444138</v>
      </c>
      <c r="J113" s="8">
        <v>1844</v>
      </c>
      <c r="K113" s="19">
        <f t="shared" si="3"/>
        <v>0.25325379609544468</v>
      </c>
      <c r="L113" s="19">
        <f t="shared" si="4"/>
        <v>0.35998097566261539</v>
      </c>
      <c r="M113" s="19">
        <f t="shared" si="5"/>
        <v>9.116654860869923E-2</v>
      </c>
      <c r="N113" s="19">
        <f t="shared" si="6"/>
        <v>1.21812531268893</v>
      </c>
      <c r="T113" s="19"/>
      <c r="U113" s="19"/>
      <c r="V113" s="19"/>
      <c r="W113" s="19"/>
    </row>
    <row r="114" spans="1:23" ht="15.75" customHeight="1">
      <c r="A114" s="8">
        <v>21901</v>
      </c>
      <c r="B114" s="8">
        <v>26</v>
      </c>
      <c r="C114" s="8">
        <v>9.0000002384185791</v>
      </c>
      <c r="D114" s="8">
        <v>441</v>
      </c>
      <c r="E114" s="19">
        <f t="shared" si="0"/>
        <v>5.8956916099773243E-2</v>
      </c>
      <c r="F114" s="19">
        <f t="shared" si="1"/>
        <v>0.3461538553237915</v>
      </c>
      <c r="G114" s="19">
        <f t="shared" si="2"/>
        <v>2.040816380593782E-2</v>
      </c>
      <c r="H114" s="8">
        <v>1024</v>
      </c>
      <c r="I114" s="8">
        <v>376.77778711915016</v>
      </c>
      <c r="J114" s="8">
        <v>6203</v>
      </c>
      <c r="K114" s="19">
        <f t="shared" si="3"/>
        <v>0.16508141221989359</v>
      </c>
      <c r="L114" s="19">
        <f t="shared" si="4"/>
        <v>0.36794705773354508</v>
      </c>
      <c r="M114" s="19">
        <f t="shared" si="5"/>
        <v>6.0741219912808342E-2</v>
      </c>
      <c r="N114" s="19">
        <f t="shared" si="6"/>
        <v>2.9763196968820629</v>
      </c>
      <c r="T114" s="19"/>
      <c r="U114" s="19"/>
      <c r="V114" s="19"/>
      <c r="W114" s="19"/>
    </row>
    <row r="115" spans="1:23" ht="15.75" customHeight="1">
      <c r="A115" s="8">
        <v>21902</v>
      </c>
      <c r="B115" s="8">
        <v>67</v>
      </c>
      <c r="C115" s="8">
        <v>23.00000062584877</v>
      </c>
      <c r="D115" s="8">
        <v>377</v>
      </c>
      <c r="E115" s="19">
        <f t="shared" si="0"/>
        <v>0.17771883289124668</v>
      </c>
      <c r="F115" s="19">
        <f t="shared" si="1"/>
        <v>0.34328359143057868</v>
      </c>
      <c r="G115" s="19">
        <f t="shared" si="2"/>
        <v>6.1007959219758011E-2</v>
      </c>
      <c r="H115" s="8">
        <v>756</v>
      </c>
      <c r="I115" s="8">
        <v>281.44445094466209</v>
      </c>
      <c r="J115" s="8">
        <v>4758</v>
      </c>
      <c r="K115" s="19">
        <f t="shared" si="3"/>
        <v>0.15889029003783103</v>
      </c>
      <c r="L115" s="19">
        <f t="shared" si="4"/>
        <v>0.37228101976807154</v>
      </c>
      <c r="M115" s="19">
        <f t="shared" si="5"/>
        <v>5.9151839206528396E-2</v>
      </c>
      <c r="N115" s="19">
        <f t="shared" si="6"/>
        <v>0.96957577278493046</v>
      </c>
      <c r="T115" s="19"/>
      <c r="U115" s="19"/>
      <c r="V115" s="19"/>
      <c r="W115" s="19"/>
    </row>
    <row r="116" spans="1:23" ht="15.75" customHeight="1">
      <c r="A116" s="8">
        <v>22001</v>
      </c>
      <c r="B116" s="8">
        <v>838</v>
      </c>
      <c r="C116" s="8">
        <v>306.33334082365036</v>
      </c>
      <c r="D116" s="8">
        <v>5989</v>
      </c>
      <c r="E116" s="19">
        <f t="shared" si="0"/>
        <v>0.13992319251961929</v>
      </c>
      <c r="F116" s="19">
        <f t="shared" si="1"/>
        <v>0.36555291267738704</v>
      </c>
      <c r="G116" s="19">
        <f t="shared" si="2"/>
        <v>5.1149330576665611E-2</v>
      </c>
      <c r="H116" s="8">
        <v>5968</v>
      </c>
      <c r="I116" s="8">
        <v>2242.5556116700172</v>
      </c>
      <c r="J116" s="8">
        <v>51133</v>
      </c>
      <c r="K116" s="19">
        <f t="shared" si="3"/>
        <v>0.11671523282420354</v>
      </c>
      <c r="L116" s="19">
        <f t="shared" si="4"/>
        <v>0.3757633397570404</v>
      </c>
      <c r="M116" s="19">
        <f t="shared" si="5"/>
        <v>4.3857305686543273E-2</v>
      </c>
      <c r="N116" s="19">
        <f t="shared" si="6"/>
        <v>0.85743655277770203</v>
      </c>
      <c r="T116" s="19"/>
      <c r="U116" s="19"/>
      <c r="V116" s="19"/>
      <c r="W116" s="19"/>
    </row>
    <row r="117" spans="1:23" ht="15.75" customHeight="1">
      <c r="A117" s="8">
        <v>22002</v>
      </c>
      <c r="B117" s="8">
        <v>249</v>
      </c>
      <c r="C117" s="8">
        <v>95.333336174488068</v>
      </c>
      <c r="D117" s="8">
        <v>878</v>
      </c>
      <c r="E117" s="19">
        <f t="shared" si="0"/>
        <v>0.28359908883826879</v>
      </c>
      <c r="F117" s="19">
        <f t="shared" si="1"/>
        <v>0.38286480391360672</v>
      </c>
      <c r="G117" s="19">
        <f t="shared" si="2"/>
        <v>0.10858010953814132</v>
      </c>
      <c r="H117" s="8">
        <v>2216</v>
      </c>
      <c r="I117" s="8">
        <v>831.22224280238152</v>
      </c>
      <c r="J117" s="8">
        <v>9433</v>
      </c>
      <c r="K117" s="19">
        <f t="shared" si="3"/>
        <v>0.23491996183610728</v>
      </c>
      <c r="L117" s="19">
        <f t="shared" si="4"/>
        <v>0.37510029007327683</v>
      </c>
      <c r="M117" s="19">
        <f t="shared" si="5"/>
        <v>8.8118545828726969E-2</v>
      </c>
      <c r="N117" s="19">
        <f t="shared" si="6"/>
        <v>0.81155329648818653</v>
      </c>
      <c r="T117" s="19"/>
      <c r="U117" s="19"/>
      <c r="V117" s="19"/>
      <c r="W117" s="19"/>
    </row>
    <row r="118" spans="1:23" ht="15.75" customHeight="1">
      <c r="A118" s="8">
        <v>30101</v>
      </c>
      <c r="B118" s="8">
        <v>4653</v>
      </c>
      <c r="C118" s="8">
        <v>1692.6667100787163</v>
      </c>
      <c r="D118" s="8">
        <v>51551</v>
      </c>
      <c r="E118" s="19">
        <f t="shared" si="0"/>
        <v>9.0260130744311454E-2</v>
      </c>
      <c r="F118" s="19">
        <f t="shared" si="1"/>
        <v>0.36377964970529042</v>
      </c>
      <c r="G118" s="19">
        <f t="shared" si="2"/>
        <v>3.2834798744519333E-2</v>
      </c>
      <c r="H118" s="8">
        <v>33923</v>
      </c>
      <c r="I118" s="8">
        <v>12044.111425459385</v>
      </c>
      <c r="J118" s="8">
        <v>589367</v>
      </c>
      <c r="K118" s="19">
        <f t="shared" si="3"/>
        <v>5.7558363464530589E-2</v>
      </c>
      <c r="L118" s="19">
        <f t="shared" si="4"/>
        <v>0.35504263848891271</v>
      </c>
      <c r="M118" s="19">
        <f t="shared" si="5"/>
        <v>2.0435673231550777E-2</v>
      </c>
      <c r="N118" s="19">
        <f t="shared" si="6"/>
        <v>0.62237851343498263</v>
      </c>
      <c r="T118" s="19"/>
      <c r="U118" s="19"/>
      <c r="V118" s="19"/>
      <c r="W118" s="19"/>
    </row>
    <row r="119" spans="1:23" ht="15.75" customHeight="1">
      <c r="A119" s="8">
        <v>30201</v>
      </c>
      <c r="B119" s="8">
        <v>176</v>
      </c>
      <c r="C119" s="8">
        <v>69.222224056720734</v>
      </c>
      <c r="D119" s="8">
        <v>1387</v>
      </c>
      <c r="E119" s="19">
        <f t="shared" si="0"/>
        <v>0.12689257390050468</v>
      </c>
      <c r="F119" s="19">
        <f t="shared" si="1"/>
        <v>0.39330809123136778</v>
      </c>
      <c r="G119" s="19">
        <f t="shared" si="2"/>
        <v>4.9907876032242775E-2</v>
      </c>
      <c r="H119" s="8">
        <v>4228</v>
      </c>
      <c r="I119" s="8">
        <v>1654.5555971562862</v>
      </c>
      <c r="J119" s="8">
        <v>21086</v>
      </c>
      <c r="K119" s="19">
        <f t="shared" si="3"/>
        <v>0.20051218818173194</v>
      </c>
      <c r="L119" s="19">
        <f t="shared" si="4"/>
        <v>0.39133292269543196</v>
      </c>
      <c r="M119" s="19">
        <f t="shared" si="5"/>
        <v>7.8467020637213614E-2</v>
      </c>
      <c r="N119" s="19">
        <f t="shared" si="6"/>
        <v>1.5722372273771041</v>
      </c>
      <c r="T119" s="19"/>
      <c r="U119" s="19"/>
      <c r="V119" s="19"/>
      <c r="W119" s="19"/>
    </row>
    <row r="120" spans="1:23" ht="15.75" customHeight="1">
      <c r="A120" s="8">
        <v>30202</v>
      </c>
      <c r="B120" s="8">
        <v>44</v>
      </c>
      <c r="C120" s="8">
        <v>16.66666716337204</v>
      </c>
      <c r="D120" s="8">
        <v>332</v>
      </c>
      <c r="E120" s="19">
        <f t="shared" si="0"/>
        <v>0.13253012048192772</v>
      </c>
      <c r="F120" s="19">
        <f t="shared" si="1"/>
        <v>0.37878789007663727</v>
      </c>
      <c r="G120" s="19">
        <f t="shared" si="2"/>
        <v>5.0200804708951934E-2</v>
      </c>
      <c r="H120" s="8">
        <v>925</v>
      </c>
      <c r="I120" s="8">
        <v>347.11111950874329</v>
      </c>
      <c r="J120" s="8">
        <v>6039</v>
      </c>
      <c r="K120" s="19">
        <f t="shared" si="3"/>
        <v>0.15317105481039908</v>
      </c>
      <c r="L120" s="19">
        <f t="shared" si="4"/>
        <v>0.37525526433377654</v>
      </c>
      <c r="M120" s="19">
        <f t="shared" si="5"/>
        <v>5.747824466115968E-2</v>
      </c>
      <c r="N120" s="19">
        <f t="shared" si="6"/>
        <v>1.144966599527637</v>
      </c>
      <c r="T120" s="19"/>
      <c r="U120" s="19"/>
      <c r="V120" s="19"/>
      <c r="W120" s="19"/>
    </row>
    <row r="121" spans="1:23" ht="15.75" customHeight="1">
      <c r="A121" s="8">
        <v>30203</v>
      </c>
      <c r="B121" s="8">
        <v>25</v>
      </c>
      <c r="C121" s="8">
        <v>9.0000002086162567</v>
      </c>
      <c r="D121" s="8">
        <v>446</v>
      </c>
      <c r="E121" s="19">
        <f t="shared" si="0"/>
        <v>5.6053811659192827E-2</v>
      </c>
      <c r="F121" s="19">
        <f t="shared" si="1"/>
        <v>0.36000000834465029</v>
      </c>
      <c r="G121" s="19">
        <f t="shared" si="2"/>
        <v>2.0179372665058874E-2</v>
      </c>
      <c r="H121" s="8">
        <v>611</v>
      </c>
      <c r="I121" s="8">
        <v>231.66667219996452</v>
      </c>
      <c r="J121" s="8">
        <v>6166</v>
      </c>
      <c r="K121" s="19">
        <f t="shared" si="3"/>
        <v>9.9091793707427836E-2</v>
      </c>
      <c r="L121" s="19">
        <f t="shared" si="4"/>
        <v>0.37915985630108762</v>
      </c>
      <c r="M121" s="19">
        <f t="shared" si="5"/>
        <v>3.7571630262725357E-2</v>
      </c>
      <c r="N121" s="19">
        <f t="shared" si="6"/>
        <v>1.8618829676396058</v>
      </c>
      <c r="T121" s="19"/>
      <c r="U121" s="19"/>
      <c r="V121" s="19"/>
      <c r="W121" s="19"/>
    </row>
    <row r="122" spans="1:23" ht="15.75" customHeight="1">
      <c r="A122" s="8">
        <v>30301</v>
      </c>
      <c r="B122" s="8">
        <v>259</v>
      </c>
      <c r="C122" s="8">
        <v>92.444446831941605</v>
      </c>
      <c r="D122" s="8">
        <v>1553</v>
      </c>
      <c r="E122" s="19">
        <f t="shared" si="0"/>
        <v>0.16677398583386993</v>
      </c>
      <c r="F122" s="19">
        <f t="shared" si="1"/>
        <v>0.3569283661464927</v>
      </c>
      <c r="G122" s="19">
        <f t="shared" si="2"/>
        <v>5.9526366279421511E-2</v>
      </c>
      <c r="H122" s="8">
        <v>5443</v>
      </c>
      <c r="I122" s="8">
        <v>2137.6667224466801</v>
      </c>
      <c r="J122" s="8">
        <v>19891</v>
      </c>
      <c r="K122" s="19">
        <f t="shared" si="3"/>
        <v>0.27364134533205975</v>
      </c>
      <c r="L122" s="19">
        <f t="shared" si="4"/>
        <v>0.39273685879968401</v>
      </c>
      <c r="M122" s="19">
        <f t="shared" si="5"/>
        <v>0.10746904240343272</v>
      </c>
      <c r="N122" s="19">
        <f t="shared" si="6"/>
        <v>1.8054023640375503</v>
      </c>
      <c r="T122" s="19"/>
      <c r="U122" s="19"/>
      <c r="V122" s="19"/>
      <c r="W122" s="19"/>
    </row>
    <row r="123" spans="1:23" ht="15.75" customHeight="1">
      <c r="A123" s="8">
        <v>30302</v>
      </c>
      <c r="B123" s="8">
        <v>114</v>
      </c>
      <c r="C123" s="8">
        <v>44.222223192453384</v>
      </c>
      <c r="D123" s="8">
        <v>473</v>
      </c>
      <c r="E123" s="19">
        <f t="shared" si="0"/>
        <v>0.24101479915433405</v>
      </c>
      <c r="F123" s="19">
        <f t="shared" si="1"/>
        <v>0.38791423853029283</v>
      </c>
      <c r="G123" s="19">
        <f t="shared" si="2"/>
        <v>9.3493072288484955E-2</v>
      </c>
      <c r="H123" s="8">
        <v>3814</v>
      </c>
      <c r="I123" s="8">
        <v>1452.0000365972519</v>
      </c>
      <c r="J123" s="8">
        <v>14023</v>
      </c>
      <c r="K123" s="19">
        <f t="shared" si="3"/>
        <v>0.2719817442772588</v>
      </c>
      <c r="L123" s="19">
        <f t="shared" si="4"/>
        <v>0.38070268395313367</v>
      </c>
      <c r="M123" s="19">
        <f t="shared" si="5"/>
        <v>0.10354418003260728</v>
      </c>
      <c r="N123" s="19">
        <f t="shared" si="6"/>
        <v>1.1075064440401352</v>
      </c>
      <c r="T123" s="19"/>
      <c r="U123" s="19"/>
      <c r="V123" s="19"/>
      <c r="W123" s="19"/>
    </row>
    <row r="124" spans="1:23" ht="15.75" customHeight="1">
      <c r="A124" s="8">
        <v>30303</v>
      </c>
      <c r="B124" s="8">
        <v>602</v>
      </c>
      <c r="C124" s="8">
        <v>235.3333386182785</v>
      </c>
      <c r="D124" s="8">
        <v>1588</v>
      </c>
      <c r="E124" s="19">
        <f t="shared" si="0"/>
        <v>0.37909319899244331</v>
      </c>
      <c r="F124" s="19">
        <f t="shared" si="1"/>
        <v>0.39091916713999753</v>
      </c>
      <c r="G124" s="19">
        <f t="shared" si="2"/>
        <v>0.1481947976185633</v>
      </c>
      <c r="H124" s="8">
        <v>6346</v>
      </c>
      <c r="I124" s="8">
        <v>2474.3333902955055</v>
      </c>
      <c r="J124" s="8">
        <v>17576</v>
      </c>
      <c r="K124" s="19">
        <f t="shared" si="3"/>
        <v>0.36106053709604008</v>
      </c>
      <c r="L124" s="19">
        <f t="shared" si="4"/>
        <v>0.3899044106989451</v>
      </c>
      <c r="M124" s="19">
        <f t="shared" si="5"/>
        <v>0.14077909594307611</v>
      </c>
      <c r="N124" s="19">
        <f t="shared" si="6"/>
        <v>0.94995977055433234</v>
      </c>
      <c r="T124" s="19"/>
      <c r="U124" s="19"/>
      <c r="V124" s="19"/>
      <c r="W124" s="19"/>
    </row>
    <row r="125" spans="1:23" ht="15.75" customHeight="1">
      <c r="A125" s="8">
        <v>30401</v>
      </c>
      <c r="B125" s="8">
        <v>523</v>
      </c>
      <c r="C125" s="8">
        <v>207.6666716337204</v>
      </c>
      <c r="D125" s="8">
        <v>1407</v>
      </c>
      <c r="E125" s="19">
        <f t="shared" si="0"/>
        <v>0.37171286425017769</v>
      </c>
      <c r="F125" s="19">
        <f t="shared" si="1"/>
        <v>0.39706820580061264</v>
      </c>
      <c r="G125" s="19">
        <f t="shared" si="2"/>
        <v>0.14759536008082474</v>
      </c>
      <c r="H125" s="8">
        <v>1239</v>
      </c>
      <c r="I125" s="8">
        <v>472.22223445773125</v>
      </c>
      <c r="J125" s="8">
        <v>9139</v>
      </c>
      <c r="K125" s="19">
        <f t="shared" si="3"/>
        <v>0.13557281978334609</v>
      </c>
      <c r="L125" s="19">
        <f t="shared" si="4"/>
        <v>0.38113174693925039</v>
      </c>
      <c r="M125" s="19">
        <f t="shared" si="5"/>
        <v>5.1671105641506863E-2</v>
      </c>
      <c r="N125" s="19">
        <f t="shared" si="6"/>
        <v>0.35008624670322447</v>
      </c>
      <c r="T125" s="19"/>
      <c r="U125" s="19"/>
      <c r="V125" s="19"/>
      <c r="W125" s="19"/>
    </row>
    <row r="126" spans="1:23" ht="15.75" customHeight="1">
      <c r="A126" s="8">
        <v>30402</v>
      </c>
      <c r="B126" s="8">
        <v>121</v>
      </c>
      <c r="C126" s="8">
        <v>44.555556625127792</v>
      </c>
      <c r="D126" s="8">
        <v>551</v>
      </c>
      <c r="E126" s="19">
        <f t="shared" si="0"/>
        <v>0.21960072595281308</v>
      </c>
      <c r="F126" s="19">
        <f t="shared" si="1"/>
        <v>0.36822774070353548</v>
      </c>
      <c r="G126" s="19">
        <f t="shared" si="2"/>
        <v>8.0863079174460603E-2</v>
      </c>
      <c r="H126" s="8">
        <v>1826</v>
      </c>
      <c r="I126" s="8">
        <v>687.33335050940514</v>
      </c>
      <c r="J126" s="8">
        <v>6647</v>
      </c>
      <c r="K126" s="19">
        <f t="shared" si="3"/>
        <v>0.27471039566721828</v>
      </c>
      <c r="L126" s="19">
        <f t="shared" si="4"/>
        <v>0.37641475931511781</v>
      </c>
      <c r="M126" s="19">
        <f t="shared" si="5"/>
        <v>0.10340504746643675</v>
      </c>
      <c r="N126" s="19">
        <f t="shared" si="6"/>
        <v>1.278767127372707</v>
      </c>
      <c r="T126" s="19"/>
      <c r="U126" s="19"/>
      <c r="V126" s="19"/>
      <c r="W126" s="19"/>
    </row>
    <row r="127" spans="1:23" ht="15.75" customHeight="1">
      <c r="A127" s="8">
        <v>30403</v>
      </c>
      <c r="B127" s="8">
        <v>4355</v>
      </c>
      <c r="C127" s="8">
        <v>1611.1111522912979</v>
      </c>
      <c r="D127" s="8">
        <v>8278</v>
      </c>
      <c r="E127" s="19">
        <f t="shared" si="0"/>
        <v>0.52609325924136263</v>
      </c>
      <c r="F127" s="19">
        <f t="shared" si="1"/>
        <v>0.36994515552038987</v>
      </c>
      <c r="G127" s="19">
        <f t="shared" si="2"/>
        <v>0.19462565260827469</v>
      </c>
      <c r="H127" s="8">
        <v>4872</v>
      </c>
      <c r="I127" s="8">
        <v>1763.1111564934254</v>
      </c>
      <c r="J127" s="8">
        <v>20293</v>
      </c>
      <c r="K127" s="19">
        <f t="shared" si="3"/>
        <v>0.24008278716798895</v>
      </c>
      <c r="L127" s="19">
        <f t="shared" si="4"/>
        <v>0.36188652637385577</v>
      </c>
      <c r="M127" s="19">
        <f t="shared" si="5"/>
        <v>8.6882725890377238E-2</v>
      </c>
      <c r="N127" s="19">
        <f t="shared" si="6"/>
        <v>0.44640942612661194</v>
      </c>
      <c r="T127" s="19"/>
      <c r="U127" s="19"/>
      <c r="V127" s="19"/>
      <c r="W127" s="19"/>
    </row>
    <row r="128" spans="1:23" ht="15.75" customHeight="1">
      <c r="A128" s="8">
        <v>30404</v>
      </c>
      <c r="B128" s="8">
        <v>38</v>
      </c>
      <c r="C128" s="8">
        <v>14.555556029081345</v>
      </c>
      <c r="D128" s="8">
        <v>122</v>
      </c>
      <c r="E128" s="19">
        <f t="shared" si="0"/>
        <v>0.31147540983606559</v>
      </c>
      <c r="F128" s="19">
        <f t="shared" si="1"/>
        <v>0.38304094813371958</v>
      </c>
      <c r="G128" s="19">
        <f t="shared" si="2"/>
        <v>0.11930783630394545</v>
      </c>
      <c r="H128" s="8">
        <v>1590</v>
      </c>
      <c r="I128" s="8">
        <v>610.44445949792862</v>
      </c>
      <c r="J128" s="8">
        <v>4807</v>
      </c>
      <c r="K128" s="19">
        <f t="shared" si="3"/>
        <v>0.3307676305387976</v>
      </c>
      <c r="L128" s="19">
        <f t="shared" si="4"/>
        <v>0.38392733301756515</v>
      </c>
      <c r="M128" s="19">
        <f t="shared" si="5"/>
        <v>0.12699073424129989</v>
      </c>
      <c r="N128" s="19">
        <f t="shared" si="6"/>
        <v>1.0643955851967819</v>
      </c>
      <c r="T128" s="19"/>
      <c r="U128" s="19"/>
      <c r="V128" s="19"/>
      <c r="W128" s="19"/>
    </row>
    <row r="129" spans="1:23" ht="15.75" customHeight="1">
      <c r="A129" s="8">
        <v>30501</v>
      </c>
      <c r="B129" s="8">
        <v>59</v>
      </c>
      <c r="C129" s="8">
        <v>21.444444924592972</v>
      </c>
      <c r="D129" s="8">
        <v>632</v>
      </c>
      <c r="E129" s="19">
        <f t="shared" si="0"/>
        <v>9.3354430379746833E-2</v>
      </c>
      <c r="F129" s="19">
        <f t="shared" si="1"/>
        <v>0.36346516821344022</v>
      </c>
      <c r="G129" s="19">
        <f t="shared" si="2"/>
        <v>3.3931083741444573E-2</v>
      </c>
      <c r="H129" s="8">
        <v>686</v>
      </c>
      <c r="I129" s="8">
        <v>260.55556234717369</v>
      </c>
      <c r="J129" s="8">
        <v>10214</v>
      </c>
      <c r="K129" s="19">
        <f t="shared" si="3"/>
        <v>6.7162717838261207E-2</v>
      </c>
      <c r="L129" s="19">
        <f t="shared" si="4"/>
        <v>0.37981860400462636</v>
      </c>
      <c r="M129" s="19">
        <f t="shared" si="5"/>
        <v>2.5509649730484987E-2</v>
      </c>
      <c r="N129" s="19">
        <f t="shared" si="6"/>
        <v>0.75180769128592961</v>
      </c>
      <c r="T129" s="19"/>
      <c r="U129" s="19"/>
      <c r="V129" s="19"/>
      <c r="W129" s="19"/>
    </row>
    <row r="130" spans="1:23" ht="15.75" customHeight="1">
      <c r="A130" s="8">
        <v>30502</v>
      </c>
      <c r="B130" s="8">
        <v>59</v>
      </c>
      <c r="C130" s="8">
        <v>23.888889461755753</v>
      </c>
      <c r="D130" s="8">
        <v>409</v>
      </c>
      <c r="E130" s="19">
        <f t="shared" si="0"/>
        <v>0.14425427872860636</v>
      </c>
      <c r="F130" s="19">
        <f t="shared" si="1"/>
        <v>0.40489643155518223</v>
      </c>
      <c r="G130" s="19">
        <f t="shared" si="2"/>
        <v>5.8408042693779347E-2</v>
      </c>
      <c r="H130" s="8">
        <v>1380</v>
      </c>
      <c r="I130" s="8">
        <v>515.88890081644058</v>
      </c>
      <c r="J130" s="8">
        <v>7740</v>
      </c>
      <c r="K130" s="19">
        <f t="shared" si="3"/>
        <v>0.17829457364341086</v>
      </c>
      <c r="L130" s="19">
        <f t="shared" si="4"/>
        <v>0.37383253682350764</v>
      </c>
      <c r="M130" s="19">
        <f t="shared" si="5"/>
        <v>6.6652312766981983E-2</v>
      </c>
      <c r="N130" s="19">
        <f t="shared" si="6"/>
        <v>1.1411495693568359</v>
      </c>
      <c r="T130" s="19"/>
      <c r="U130" s="19"/>
      <c r="V130" s="19"/>
      <c r="W130" s="19"/>
    </row>
    <row r="131" spans="1:23" ht="15.75" customHeight="1">
      <c r="A131" s="8">
        <v>30601</v>
      </c>
      <c r="B131" s="8">
        <v>131</v>
      </c>
      <c r="C131" s="8">
        <v>47.333334684371948</v>
      </c>
      <c r="D131" s="8">
        <v>455</v>
      </c>
      <c r="E131" s="19">
        <f t="shared" si="0"/>
        <v>0.28791208791208789</v>
      </c>
      <c r="F131" s="19">
        <f t="shared" si="1"/>
        <v>0.36132316552955684</v>
      </c>
      <c r="G131" s="19">
        <f t="shared" si="2"/>
        <v>0.10402930699861966</v>
      </c>
      <c r="H131" s="8">
        <v>3983</v>
      </c>
      <c r="I131" s="8">
        <v>1579.6667066216469</v>
      </c>
      <c r="J131" s="8">
        <v>9961</v>
      </c>
      <c r="K131" s="19">
        <f t="shared" si="3"/>
        <v>0.39985945186226285</v>
      </c>
      <c r="L131" s="19">
        <f t="shared" si="4"/>
        <v>0.39660223615908785</v>
      </c>
      <c r="M131" s="19">
        <f t="shared" si="5"/>
        <v>0.15858515275792059</v>
      </c>
      <c r="N131" s="19">
        <f t="shared" si="6"/>
        <v>1.5244276572949276</v>
      </c>
      <c r="T131" s="19"/>
      <c r="U131" s="19"/>
      <c r="V131" s="19"/>
      <c r="W131" s="19"/>
    </row>
    <row r="132" spans="1:23" ht="15.75" customHeight="1">
      <c r="A132" s="8">
        <v>30602</v>
      </c>
      <c r="B132" s="8">
        <v>122</v>
      </c>
      <c r="C132" s="8">
        <v>46.666667759418488</v>
      </c>
      <c r="D132" s="8">
        <v>706</v>
      </c>
      <c r="E132" s="19">
        <f t="shared" si="0"/>
        <v>0.17280453257790368</v>
      </c>
      <c r="F132" s="19">
        <f t="shared" si="1"/>
        <v>0.38251367015916793</v>
      </c>
      <c r="G132" s="19">
        <f t="shared" si="2"/>
        <v>6.6100095976513437E-2</v>
      </c>
      <c r="H132" s="8">
        <v>2237</v>
      </c>
      <c r="I132" s="8">
        <v>832.77779898047447</v>
      </c>
      <c r="J132" s="8">
        <v>9835</v>
      </c>
      <c r="K132" s="19">
        <f t="shared" si="3"/>
        <v>0.22745297407219114</v>
      </c>
      <c r="L132" s="19">
        <f t="shared" si="4"/>
        <v>0.37227438488174985</v>
      </c>
      <c r="M132" s="19">
        <f t="shared" si="5"/>
        <v>8.4674916012249551E-2</v>
      </c>
      <c r="N132" s="19">
        <f t="shared" si="6"/>
        <v>1.2810104851033211</v>
      </c>
      <c r="T132" s="19"/>
      <c r="U132" s="19"/>
      <c r="V132" s="19"/>
      <c r="W132" s="19"/>
    </row>
    <row r="133" spans="1:23" ht="15.75" customHeight="1">
      <c r="A133" s="8">
        <v>30701</v>
      </c>
      <c r="B133" s="8">
        <v>181</v>
      </c>
      <c r="C133" s="8">
        <v>71.000001966953278</v>
      </c>
      <c r="D133" s="8">
        <v>1310</v>
      </c>
      <c r="E133" s="19">
        <f t="shared" si="0"/>
        <v>0.13816793893129772</v>
      </c>
      <c r="F133" s="19">
        <f t="shared" si="1"/>
        <v>0.39226520423731093</v>
      </c>
      <c r="G133" s="19">
        <f t="shared" si="2"/>
        <v>5.4198474783933803E-2</v>
      </c>
      <c r="H133" s="8">
        <v>2190</v>
      </c>
      <c r="I133" s="8">
        <v>824.55557605624199</v>
      </c>
      <c r="J133" s="8">
        <v>17706</v>
      </c>
      <c r="K133" s="19">
        <f t="shared" si="3"/>
        <v>0.12368688580142324</v>
      </c>
      <c r="L133" s="19">
        <f t="shared" si="4"/>
        <v>0.37650939545947121</v>
      </c>
      <c r="M133" s="19">
        <f t="shared" si="5"/>
        <v>4.6569274599358515E-2</v>
      </c>
      <c r="N133" s="19">
        <f t="shared" si="6"/>
        <v>0.8592358878180677</v>
      </c>
      <c r="T133" s="19"/>
      <c r="U133" s="19"/>
      <c r="V133" s="19"/>
      <c r="W133" s="19"/>
    </row>
    <row r="134" spans="1:23" ht="15.75" customHeight="1">
      <c r="A134" s="8">
        <v>30702</v>
      </c>
      <c r="B134" s="8">
        <v>137</v>
      </c>
      <c r="C134" s="8">
        <v>49.333334475755692</v>
      </c>
      <c r="D134" s="8">
        <v>965</v>
      </c>
      <c r="E134" s="19">
        <f t="shared" si="0"/>
        <v>0.14196891191709846</v>
      </c>
      <c r="F134" s="19">
        <f t="shared" si="1"/>
        <v>0.36009733193982257</v>
      </c>
      <c r="G134" s="19">
        <f t="shared" si="2"/>
        <v>5.1122626399746837E-2</v>
      </c>
      <c r="H134" s="8">
        <v>415</v>
      </c>
      <c r="I134" s="8">
        <v>152.33333697915077</v>
      </c>
      <c r="J134" s="8">
        <v>6628</v>
      </c>
      <c r="K134" s="19">
        <f t="shared" si="3"/>
        <v>6.2613156306578155E-2</v>
      </c>
      <c r="L134" s="19">
        <f t="shared" si="4"/>
        <v>0.36706828187747176</v>
      </c>
      <c r="M134" s="19">
        <f t="shared" si="5"/>
        <v>2.2983303708381229E-2</v>
      </c>
      <c r="N134" s="19">
        <f t="shared" si="6"/>
        <v>0.44957204523621741</v>
      </c>
      <c r="T134" s="19"/>
      <c r="U134" s="19"/>
      <c r="V134" s="19"/>
      <c r="W134" s="19"/>
    </row>
    <row r="135" spans="1:23" ht="15.75" customHeight="1">
      <c r="A135" s="8">
        <v>30703</v>
      </c>
      <c r="B135" s="8">
        <v>33</v>
      </c>
      <c r="C135" s="8">
        <v>12.444444686174393</v>
      </c>
      <c r="D135" s="8">
        <v>235</v>
      </c>
      <c r="E135" s="19">
        <f t="shared" si="0"/>
        <v>0.14042553191489363</v>
      </c>
      <c r="F135" s="19">
        <f t="shared" si="1"/>
        <v>0.37710438442952704</v>
      </c>
      <c r="G135" s="19">
        <f t="shared" si="2"/>
        <v>5.2955083770954862E-2</v>
      </c>
      <c r="H135" s="8">
        <v>521</v>
      </c>
      <c r="I135" s="8">
        <v>194.8888935148716</v>
      </c>
      <c r="J135" s="8">
        <v>3652</v>
      </c>
      <c r="K135" s="19">
        <f t="shared" si="3"/>
        <v>0.14266155531215771</v>
      </c>
      <c r="L135" s="19">
        <f t="shared" si="4"/>
        <v>0.37406697411683609</v>
      </c>
      <c r="M135" s="19">
        <f t="shared" si="5"/>
        <v>5.3364976318420479E-2</v>
      </c>
      <c r="N135" s="19">
        <f t="shared" si="6"/>
        <v>1.0077403814379469</v>
      </c>
      <c r="T135" s="19"/>
      <c r="U135" s="19"/>
      <c r="V135" s="19"/>
      <c r="W135" s="19"/>
    </row>
    <row r="136" spans="1:23" ht="15.75" customHeight="1">
      <c r="A136" s="8">
        <v>30801</v>
      </c>
      <c r="B136" s="8">
        <v>104</v>
      </c>
      <c r="C136" s="8">
        <v>35.777778744697571</v>
      </c>
      <c r="D136" s="8">
        <v>1248</v>
      </c>
      <c r="E136" s="19">
        <f t="shared" si="0"/>
        <v>8.3333333333333329E-2</v>
      </c>
      <c r="F136" s="19">
        <f t="shared" si="1"/>
        <v>0.34401710331439972</v>
      </c>
      <c r="G136" s="19">
        <f t="shared" si="2"/>
        <v>2.8668091942866642E-2</v>
      </c>
      <c r="H136" s="8">
        <v>320</v>
      </c>
      <c r="I136" s="8">
        <v>114.00000283122063</v>
      </c>
      <c r="J136" s="8">
        <v>19263</v>
      </c>
      <c r="K136" s="19">
        <f t="shared" si="3"/>
        <v>1.6612158023153197E-2</v>
      </c>
      <c r="L136" s="19">
        <f t="shared" si="4"/>
        <v>0.35625000884756447</v>
      </c>
      <c r="M136" s="19">
        <f t="shared" si="5"/>
        <v>5.9180814427254652E-3</v>
      </c>
      <c r="N136" s="19">
        <f t="shared" si="6"/>
        <v>0.20643443778957307</v>
      </c>
      <c r="T136" s="19"/>
      <c r="U136" s="19"/>
      <c r="V136" s="19"/>
      <c r="W136" s="19"/>
    </row>
    <row r="137" spans="1:23" ht="15.75" customHeight="1">
      <c r="A137" s="8">
        <v>30802</v>
      </c>
      <c r="B137" s="8">
        <v>50</v>
      </c>
      <c r="C137" s="8">
        <v>19.666667133569717</v>
      </c>
      <c r="D137" s="8">
        <v>563</v>
      </c>
      <c r="E137" s="19">
        <f t="shared" si="0"/>
        <v>8.8809946714031973E-2</v>
      </c>
      <c r="F137" s="19">
        <f t="shared" si="1"/>
        <v>0.39333334267139436</v>
      </c>
      <c r="G137" s="19">
        <f t="shared" si="2"/>
        <v>3.4931913203498609E-2</v>
      </c>
      <c r="H137" s="8">
        <v>568</v>
      </c>
      <c r="I137" s="8">
        <v>208.7777833044529</v>
      </c>
      <c r="J137" s="8">
        <v>6701</v>
      </c>
      <c r="K137" s="19">
        <f t="shared" si="3"/>
        <v>8.4763468139083725E-2</v>
      </c>
      <c r="L137" s="19">
        <f t="shared" si="4"/>
        <v>0.36756651990220579</v>
      </c>
      <c r="M137" s="19">
        <f t="shared" si="5"/>
        <v>3.1156212998724505E-2</v>
      </c>
      <c r="N137" s="19">
        <f t="shared" si="6"/>
        <v>0.89191258483958591</v>
      </c>
      <c r="T137" s="19"/>
      <c r="U137" s="19"/>
      <c r="V137" s="19"/>
      <c r="W137" s="19"/>
    </row>
    <row r="138" spans="1:23" ht="15.75" customHeight="1">
      <c r="A138" s="8">
        <v>30803</v>
      </c>
      <c r="B138" s="8">
        <v>932</v>
      </c>
      <c r="C138" s="8">
        <v>336.66667512059212</v>
      </c>
      <c r="D138" s="8">
        <v>1926</v>
      </c>
      <c r="E138" s="19">
        <f t="shared" si="0"/>
        <v>0.48390446521287644</v>
      </c>
      <c r="F138" s="19">
        <f t="shared" si="1"/>
        <v>0.36123033811222333</v>
      </c>
      <c r="G138" s="19">
        <f t="shared" si="2"/>
        <v>0.17480097358286198</v>
      </c>
      <c r="H138" s="8">
        <v>374</v>
      </c>
      <c r="I138" s="8">
        <v>131.77778136730194</v>
      </c>
      <c r="J138" s="8">
        <v>5502</v>
      </c>
      <c r="K138" s="19">
        <f t="shared" si="3"/>
        <v>6.797528171573973E-2</v>
      </c>
      <c r="L138" s="19">
        <f t="shared" si="4"/>
        <v>0.35234700900348115</v>
      </c>
      <c r="M138" s="19">
        <f t="shared" si="5"/>
        <v>2.3950887198709914E-2</v>
      </c>
      <c r="N138" s="19">
        <f t="shared" si="6"/>
        <v>0.13701804233576725</v>
      </c>
      <c r="T138" s="19"/>
      <c r="U138" s="19"/>
      <c r="V138" s="19"/>
      <c r="W138" s="19"/>
    </row>
    <row r="139" spans="1:23" ht="15.75" customHeight="1">
      <c r="A139" s="8">
        <v>30901</v>
      </c>
      <c r="B139" s="8">
        <v>952</v>
      </c>
      <c r="C139" s="8">
        <v>338.22223103046417</v>
      </c>
      <c r="D139" s="8">
        <v>17538</v>
      </c>
      <c r="E139" s="19">
        <f t="shared" si="0"/>
        <v>5.4282130231497319E-2</v>
      </c>
      <c r="F139" s="19">
        <f t="shared" si="1"/>
        <v>0.35527545276309264</v>
      </c>
      <c r="G139" s="19">
        <f t="shared" si="2"/>
        <v>1.9285108394940367E-2</v>
      </c>
      <c r="H139" s="8">
        <v>5522</v>
      </c>
      <c r="I139" s="8">
        <v>1968.6667188704014</v>
      </c>
      <c r="J139" s="8">
        <v>144459</v>
      </c>
      <c r="K139" s="19">
        <f t="shared" si="3"/>
        <v>3.8225378827210492E-2</v>
      </c>
      <c r="L139" s="19">
        <f t="shared" si="4"/>
        <v>0.35651335003085866</v>
      </c>
      <c r="M139" s="19">
        <f t="shared" si="5"/>
        <v>1.3627857861887468E-2</v>
      </c>
      <c r="N139" s="19">
        <f t="shared" si="6"/>
        <v>0.70665186748252173</v>
      </c>
      <c r="T139" s="19"/>
      <c r="U139" s="19"/>
      <c r="V139" s="19"/>
      <c r="W139" s="19"/>
    </row>
    <row r="140" spans="1:23" ht="15.75" customHeight="1">
      <c r="A140" s="8">
        <v>30902</v>
      </c>
      <c r="B140" s="8">
        <v>658</v>
      </c>
      <c r="C140" s="8">
        <v>239.5555622279644</v>
      </c>
      <c r="D140" s="8">
        <v>6805</v>
      </c>
      <c r="E140" s="19">
        <f t="shared" si="0"/>
        <v>9.6693607641440124E-2</v>
      </c>
      <c r="F140" s="19">
        <f t="shared" si="1"/>
        <v>0.36406620399386685</v>
      </c>
      <c r="G140" s="19">
        <f t="shared" si="2"/>
        <v>3.5202874684491466E-2</v>
      </c>
      <c r="H140" s="8">
        <v>3847</v>
      </c>
      <c r="I140" s="8">
        <v>1409.5555911660194</v>
      </c>
      <c r="J140" s="8">
        <v>48065</v>
      </c>
      <c r="K140" s="19">
        <f t="shared" si="3"/>
        <v>8.0037449287423276E-2</v>
      </c>
      <c r="L140" s="19">
        <f t="shared" si="4"/>
        <v>0.36640384485729643</v>
      </c>
      <c r="M140" s="19">
        <f t="shared" si="5"/>
        <v>2.9326029151482771E-2</v>
      </c>
      <c r="N140" s="19">
        <f t="shared" si="6"/>
        <v>0.83305779469204189</v>
      </c>
      <c r="T140" s="19"/>
      <c r="U140" s="19"/>
      <c r="V140" s="19"/>
      <c r="W140" s="19"/>
    </row>
    <row r="141" spans="1:23" ht="15.75" customHeight="1">
      <c r="A141" s="8">
        <v>30903</v>
      </c>
      <c r="B141" s="8">
        <v>226</v>
      </c>
      <c r="C141" s="8">
        <v>79.777779757976532</v>
      </c>
      <c r="D141" s="8">
        <v>9878</v>
      </c>
      <c r="E141" s="19">
        <f t="shared" si="0"/>
        <v>2.2879125329013969E-2</v>
      </c>
      <c r="F141" s="19">
        <f t="shared" si="1"/>
        <v>0.35299902547777229</v>
      </c>
      <c r="G141" s="19">
        <f t="shared" si="2"/>
        <v>8.0763089449257478E-3</v>
      </c>
      <c r="H141" s="8">
        <v>2255</v>
      </c>
      <c r="I141" s="8">
        <v>812.33335384726524</v>
      </c>
      <c r="J141" s="8">
        <v>49634</v>
      </c>
      <c r="K141" s="19">
        <f t="shared" si="3"/>
        <v>4.5432566385945117E-2</v>
      </c>
      <c r="L141" s="19">
        <f t="shared" si="4"/>
        <v>0.36023652055311095</v>
      </c>
      <c r="M141" s="19">
        <f t="shared" si="5"/>
        <v>1.6366469634671095E-2</v>
      </c>
      <c r="N141" s="19">
        <f t="shared" si="6"/>
        <v>2.0264788960251403</v>
      </c>
      <c r="T141" s="19"/>
      <c r="U141" s="19"/>
      <c r="V141" s="19"/>
      <c r="W141" s="19"/>
    </row>
    <row r="142" spans="1:23" ht="15.75" customHeight="1">
      <c r="A142" s="8">
        <v>30904</v>
      </c>
      <c r="B142" s="8">
        <v>464</v>
      </c>
      <c r="C142" s="8">
        <v>165.55555987358093</v>
      </c>
      <c r="D142" s="8">
        <v>7724</v>
      </c>
      <c r="E142" s="19">
        <f t="shared" si="0"/>
        <v>6.0072501294665979E-2</v>
      </c>
      <c r="F142" s="19">
        <f t="shared" si="1"/>
        <v>0.35680077558961409</v>
      </c>
      <c r="G142" s="19">
        <f t="shared" si="2"/>
        <v>2.143391505354492E-2</v>
      </c>
      <c r="H142" s="8">
        <v>2754</v>
      </c>
      <c r="I142" s="8">
        <v>987.11113700270653</v>
      </c>
      <c r="J142" s="8">
        <v>46718</v>
      </c>
      <c r="K142" s="19">
        <f t="shared" si="3"/>
        <v>5.8949441328824008E-2</v>
      </c>
      <c r="L142" s="19">
        <f t="shared" si="4"/>
        <v>0.35842815432197039</v>
      </c>
      <c r="M142" s="19">
        <f t="shared" si="5"/>
        <v>2.1129139453801671E-2</v>
      </c>
      <c r="N142" s="19">
        <f t="shared" si="6"/>
        <v>0.98578068453747825</v>
      </c>
      <c r="T142" s="19"/>
      <c r="U142" s="19"/>
      <c r="V142" s="19"/>
      <c r="W142" s="19"/>
    </row>
    <row r="143" spans="1:23" ht="15.75" customHeight="1">
      <c r="A143" s="8">
        <v>30905</v>
      </c>
      <c r="B143" s="8">
        <v>159</v>
      </c>
      <c r="C143" s="8">
        <v>55.777779191732407</v>
      </c>
      <c r="D143" s="8">
        <v>11028</v>
      </c>
      <c r="E143" s="19">
        <f t="shared" si="0"/>
        <v>1.4417845484221981E-2</v>
      </c>
      <c r="F143" s="19">
        <f t="shared" si="1"/>
        <v>0.35080364271529818</v>
      </c>
      <c r="G143" s="19">
        <f t="shared" si="2"/>
        <v>5.0578327159713828E-3</v>
      </c>
      <c r="H143" s="8">
        <v>846</v>
      </c>
      <c r="I143" s="8">
        <v>297.55556318163872</v>
      </c>
      <c r="J143" s="8">
        <v>53863</v>
      </c>
      <c r="K143" s="19">
        <f t="shared" si="3"/>
        <v>1.5706514676122756E-2</v>
      </c>
      <c r="L143" s="19">
        <f t="shared" si="4"/>
        <v>0.3517205238553649</v>
      </c>
      <c r="M143" s="19">
        <f t="shared" si="5"/>
        <v>5.5243035698278728E-3</v>
      </c>
      <c r="N143" s="19">
        <f t="shared" si="6"/>
        <v>1.0922274183532188</v>
      </c>
      <c r="T143" s="19"/>
      <c r="U143" s="19"/>
      <c r="V143" s="19"/>
      <c r="W143" s="19"/>
    </row>
    <row r="144" spans="1:23" ht="15.75" customHeight="1">
      <c r="A144" s="8">
        <v>31001</v>
      </c>
      <c r="B144" s="8">
        <v>2273</v>
      </c>
      <c r="C144" s="8">
        <v>818.66668811440468</v>
      </c>
      <c r="D144" s="8">
        <v>29314</v>
      </c>
      <c r="E144" s="19">
        <f t="shared" si="0"/>
        <v>7.753974210274954E-2</v>
      </c>
      <c r="F144" s="19">
        <f t="shared" si="1"/>
        <v>0.36017012235565538</v>
      </c>
      <c r="G144" s="19">
        <f t="shared" si="2"/>
        <v>2.7927498400573264E-2</v>
      </c>
      <c r="H144" s="8">
        <v>9328</v>
      </c>
      <c r="I144" s="8">
        <v>3354.3334191739559</v>
      </c>
      <c r="J144" s="8">
        <v>181459</v>
      </c>
      <c r="K144" s="19">
        <f t="shared" si="3"/>
        <v>5.1405551667318791E-2</v>
      </c>
      <c r="L144" s="19">
        <f t="shared" si="4"/>
        <v>0.35959835111213079</v>
      </c>
      <c r="M144" s="19">
        <f t="shared" si="5"/>
        <v>1.8485351617577282E-2</v>
      </c>
      <c r="N144" s="19">
        <f t="shared" si="6"/>
        <v>0.66190502824262398</v>
      </c>
      <c r="T144" s="19"/>
      <c r="U144" s="19"/>
      <c r="V144" s="19"/>
      <c r="W144" s="19"/>
    </row>
    <row r="145" spans="1:23" ht="15.75" customHeight="1">
      <c r="A145" s="8">
        <v>31002</v>
      </c>
      <c r="B145" s="8">
        <v>252</v>
      </c>
      <c r="C145" s="8">
        <v>90.666668951511383</v>
      </c>
      <c r="D145" s="8">
        <v>1652</v>
      </c>
      <c r="E145" s="19">
        <f t="shared" si="0"/>
        <v>0.15254237288135594</v>
      </c>
      <c r="F145" s="19">
        <f t="shared" si="1"/>
        <v>0.35978836885520388</v>
      </c>
      <c r="G145" s="19">
        <f t="shared" si="2"/>
        <v>5.4882971520285338E-2</v>
      </c>
      <c r="H145" s="8">
        <v>2553</v>
      </c>
      <c r="I145" s="8">
        <v>941.88891205191612</v>
      </c>
      <c r="J145" s="8">
        <v>19464</v>
      </c>
      <c r="K145" s="19">
        <f t="shared" si="3"/>
        <v>0.1311652281134402</v>
      </c>
      <c r="L145" s="19">
        <f t="shared" si="4"/>
        <v>0.36893416061571332</v>
      </c>
      <c r="M145" s="19">
        <f t="shared" si="5"/>
        <v>4.8391333336000625E-2</v>
      </c>
      <c r="N145" s="19">
        <f t="shared" si="6"/>
        <v>0.88171853665238709</v>
      </c>
      <c r="T145" s="19"/>
      <c r="U145" s="19"/>
      <c r="V145" s="19"/>
      <c r="W145" s="19"/>
    </row>
    <row r="146" spans="1:23" ht="15.75" customHeight="1">
      <c r="A146" s="8">
        <v>31003</v>
      </c>
      <c r="B146" s="8">
        <v>2068</v>
      </c>
      <c r="C146" s="8">
        <v>761.77779692411423</v>
      </c>
      <c r="D146" s="8">
        <v>11779</v>
      </c>
      <c r="E146" s="19">
        <f t="shared" si="0"/>
        <v>0.17556668647593174</v>
      </c>
      <c r="F146" s="19">
        <f t="shared" si="1"/>
        <v>0.36836450528245368</v>
      </c>
      <c r="G146" s="19">
        <f t="shared" si="2"/>
        <v>6.4672535607786241E-2</v>
      </c>
      <c r="H146" s="8">
        <v>14604</v>
      </c>
      <c r="I146" s="8">
        <v>5425.0001328885555</v>
      </c>
      <c r="J146" s="8">
        <v>78433</v>
      </c>
      <c r="K146" s="19">
        <f t="shared" si="3"/>
        <v>0.18619713640941951</v>
      </c>
      <c r="L146" s="19">
        <f t="shared" si="4"/>
        <v>0.37147357798469977</v>
      </c>
      <c r="M146" s="19">
        <f t="shared" si="5"/>
        <v>6.9167316472512286E-2</v>
      </c>
      <c r="N146" s="19">
        <f t="shared" si="6"/>
        <v>1.0695006129338294</v>
      </c>
      <c r="T146" s="19"/>
      <c r="U146" s="19"/>
      <c r="V146" s="19"/>
      <c r="W146" s="19"/>
    </row>
    <row r="147" spans="1:23" ht="15.75" customHeight="1">
      <c r="A147" s="8">
        <v>31101</v>
      </c>
      <c r="B147" s="8">
        <v>385</v>
      </c>
      <c r="C147" s="8">
        <v>146.66667032241821</v>
      </c>
      <c r="D147" s="8">
        <v>1301</v>
      </c>
      <c r="E147" s="19">
        <f t="shared" si="0"/>
        <v>0.29592621060722524</v>
      </c>
      <c r="F147" s="19">
        <f t="shared" si="1"/>
        <v>0.38095239044783952</v>
      </c>
      <c r="G147" s="19">
        <f t="shared" si="2"/>
        <v>0.11273379732699326</v>
      </c>
      <c r="H147" s="8">
        <v>8780</v>
      </c>
      <c r="I147" s="8">
        <v>3437.7778635919094</v>
      </c>
      <c r="J147" s="8">
        <v>22885</v>
      </c>
      <c r="K147" s="19">
        <f t="shared" si="3"/>
        <v>0.38365741752239457</v>
      </c>
      <c r="L147" s="19">
        <f t="shared" si="4"/>
        <v>0.39154645371206259</v>
      </c>
      <c r="M147" s="19">
        <f t="shared" si="5"/>
        <v>0.15021970127122175</v>
      </c>
      <c r="N147" s="19">
        <f t="shared" si="6"/>
        <v>1.3325169987443755</v>
      </c>
      <c r="T147" s="19"/>
      <c r="U147" s="19"/>
      <c r="V147" s="19"/>
      <c r="W147" s="19"/>
    </row>
    <row r="148" spans="1:23" ht="15.75" customHeight="1">
      <c r="A148" s="8">
        <v>31201</v>
      </c>
      <c r="B148" s="8">
        <v>282</v>
      </c>
      <c r="C148" s="8">
        <v>106.88889139890671</v>
      </c>
      <c r="D148" s="8">
        <v>927</v>
      </c>
      <c r="E148" s="19">
        <f t="shared" si="0"/>
        <v>0.30420711974110032</v>
      </c>
      <c r="F148" s="19">
        <f t="shared" si="1"/>
        <v>0.37903862198193866</v>
      </c>
      <c r="G148" s="19">
        <f t="shared" si="2"/>
        <v>0.11530624746376128</v>
      </c>
      <c r="H148" s="8">
        <v>3610</v>
      </c>
      <c r="I148" s="8">
        <v>1373.2222563922405</v>
      </c>
      <c r="J148" s="8">
        <v>13253</v>
      </c>
      <c r="K148" s="19">
        <f t="shared" si="3"/>
        <v>0.27239115671923336</v>
      </c>
      <c r="L148" s="19">
        <f t="shared" si="4"/>
        <v>0.38039397683995585</v>
      </c>
      <c r="M148" s="19">
        <f t="shared" si="5"/>
        <v>0.10361595536046483</v>
      </c>
      <c r="N148" s="19">
        <f t="shared" si="6"/>
        <v>0.89861527575103428</v>
      </c>
      <c r="T148" s="19"/>
      <c r="U148" s="19"/>
      <c r="V148" s="19"/>
      <c r="W148" s="19"/>
    </row>
    <row r="149" spans="1:23" ht="15.75" customHeight="1">
      <c r="A149" s="8">
        <v>31202</v>
      </c>
      <c r="B149" s="8">
        <v>131</v>
      </c>
      <c r="C149" s="8">
        <v>47.444445729255676</v>
      </c>
      <c r="D149" s="8">
        <v>658</v>
      </c>
      <c r="E149" s="19">
        <f t="shared" si="0"/>
        <v>0.19908814589665655</v>
      </c>
      <c r="F149" s="19">
        <f t="shared" si="1"/>
        <v>0.36217134144469981</v>
      </c>
      <c r="G149" s="19">
        <f t="shared" si="2"/>
        <v>7.2104020865130208E-2</v>
      </c>
      <c r="H149" s="8">
        <v>3242</v>
      </c>
      <c r="I149" s="8">
        <v>1259.5555858314037</v>
      </c>
      <c r="J149" s="8">
        <v>10779</v>
      </c>
      <c r="K149" s="19">
        <f t="shared" si="3"/>
        <v>0.30077001577140738</v>
      </c>
      <c r="L149" s="19">
        <f t="shared" si="4"/>
        <v>0.38851190186039597</v>
      </c>
      <c r="M149" s="19">
        <f t="shared" si="5"/>
        <v>0.11685273084993078</v>
      </c>
      <c r="N149" s="19">
        <f t="shared" si="6"/>
        <v>1.6206132397041013</v>
      </c>
      <c r="T149" s="19"/>
      <c r="U149" s="19"/>
      <c r="V149" s="19"/>
      <c r="W149" s="19"/>
    </row>
    <row r="150" spans="1:23" ht="15.75" customHeight="1">
      <c r="A150" s="8">
        <v>31203</v>
      </c>
      <c r="B150" s="8">
        <v>126</v>
      </c>
      <c r="C150" s="8">
        <v>44.222223430871964</v>
      </c>
      <c r="D150" s="8">
        <v>842</v>
      </c>
      <c r="E150" s="19">
        <f t="shared" si="0"/>
        <v>0.1496437054631829</v>
      </c>
      <c r="F150" s="19">
        <f t="shared" si="1"/>
        <v>0.35097002722914256</v>
      </c>
      <c r="G150" s="19">
        <f t="shared" si="2"/>
        <v>5.2520455381083089E-2</v>
      </c>
      <c r="H150" s="8">
        <v>1601</v>
      </c>
      <c r="I150" s="8">
        <v>608.22223740816116</v>
      </c>
      <c r="J150" s="8">
        <v>11005</v>
      </c>
      <c r="K150" s="19">
        <f t="shared" si="3"/>
        <v>0.14547932757837348</v>
      </c>
      <c r="L150" s="19">
        <f t="shared" si="4"/>
        <v>0.37990145996762098</v>
      </c>
      <c r="M150" s="19">
        <f t="shared" si="5"/>
        <v>5.5267808942131874E-2</v>
      </c>
      <c r="N150" s="19">
        <f t="shared" si="6"/>
        <v>1.052310162604537</v>
      </c>
      <c r="T150" s="19"/>
      <c r="U150" s="19"/>
      <c r="V150" s="19"/>
      <c r="W150" s="19"/>
    </row>
    <row r="151" spans="1:23" ht="15.75" customHeight="1">
      <c r="A151" s="8">
        <v>31204</v>
      </c>
      <c r="B151" s="8">
        <v>457</v>
      </c>
      <c r="C151" s="8">
        <v>172.44444873929024</v>
      </c>
      <c r="D151" s="8">
        <v>3481</v>
      </c>
      <c r="E151" s="19">
        <f t="shared" si="0"/>
        <v>0.13128411376041368</v>
      </c>
      <c r="F151" s="19">
        <f t="shared" si="1"/>
        <v>0.37734015041420182</v>
      </c>
      <c r="G151" s="19">
        <f t="shared" si="2"/>
        <v>4.9538767233349684E-2</v>
      </c>
      <c r="H151" s="8">
        <v>3392</v>
      </c>
      <c r="I151" s="8">
        <v>1245.4444760680199</v>
      </c>
      <c r="J151" s="8">
        <v>22293</v>
      </c>
      <c r="K151" s="19">
        <f t="shared" si="3"/>
        <v>0.15215538509846141</v>
      </c>
      <c r="L151" s="19">
        <f t="shared" si="4"/>
        <v>0.36717113091627945</v>
      </c>
      <c r="M151" s="19">
        <f t="shared" si="5"/>
        <v>5.5867064821604091E-2</v>
      </c>
      <c r="N151" s="19">
        <f t="shared" si="6"/>
        <v>1.127744349358661</v>
      </c>
      <c r="T151" s="19"/>
      <c r="U151" s="19"/>
      <c r="V151" s="19"/>
      <c r="W151" s="19"/>
    </row>
    <row r="152" spans="1:23" ht="15.75" customHeight="1">
      <c r="A152" s="8">
        <v>31205</v>
      </c>
      <c r="B152" s="8">
        <v>723</v>
      </c>
      <c r="C152" s="8">
        <v>273.55556237697601</v>
      </c>
      <c r="D152" s="8">
        <v>5373</v>
      </c>
      <c r="E152" s="19">
        <f t="shared" si="0"/>
        <v>0.13456169737576773</v>
      </c>
      <c r="F152" s="19">
        <f t="shared" si="1"/>
        <v>0.3783617736887635</v>
      </c>
      <c r="G152" s="19">
        <f t="shared" si="2"/>
        <v>5.0913002489666112E-2</v>
      </c>
      <c r="H152" s="8">
        <v>8400</v>
      </c>
      <c r="I152" s="8">
        <v>3076.2222983539104</v>
      </c>
      <c r="J152" s="8">
        <v>57153</v>
      </c>
      <c r="K152" s="19">
        <f t="shared" si="3"/>
        <v>0.14697391213059682</v>
      </c>
      <c r="L152" s="19">
        <f t="shared" si="4"/>
        <v>0.36621694028022744</v>
      </c>
      <c r="M152" s="19">
        <f t="shared" si="5"/>
        <v>5.3824336401482174E-2</v>
      </c>
      <c r="N152" s="19">
        <f t="shared" si="6"/>
        <v>1.0571825225276585</v>
      </c>
      <c r="T152" s="19"/>
      <c r="U152" s="19"/>
      <c r="V152" s="19"/>
      <c r="W152" s="19"/>
    </row>
    <row r="153" spans="1:23" ht="15.75" customHeight="1">
      <c r="A153" s="8">
        <v>31206</v>
      </c>
      <c r="B153" s="8">
        <v>736</v>
      </c>
      <c r="C153" s="8">
        <v>270.66667321324348</v>
      </c>
      <c r="D153" s="8">
        <v>5244</v>
      </c>
      <c r="E153" s="19">
        <f t="shared" si="0"/>
        <v>0.14035087719298245</v>
      </c>
      <c r="F153" s="19">
        <f t="shared" si="1"/>
        <v>0.36775363208321127</v>
      </c>
      <c r="G153" s="19">
        <f t="shared" si="2"/>
        <v>5.1614544853784035E-2</v>
      </c>
      <c r="H153" s="8">
        <v>5934</v>
      </c>
      <c r="I153" s="8">
        <v>2182.4444996118546</v>
      </c>
      <c r="J153" s="8">
        <v>38180</v>
      </c>
      <c r="K153" s="19">
        <f t="shared" si="3"/>
        <v>0.15542168674698795</v>
      </c>
      <c r="L153" s="19">
        <f t="shared" si="4"/>
        <v>0.36778640033903853</v>
      </c>
      <c r="M153" s="19">
        <f t="shared" si="5"/>
        <v>5.7161982703296352E-2</v>
      </c>
      <c r="N153" s="19">
        <f t="shared" si="6"/>
        <v>1.1074781898247354</v>
      </c>
      <c r="T153" s="19"/>
      <c r="U153" s="19"/>
      <c r="V153" s="19"/>
      <c r="W153" s="19"/>
    </row>
    <row r="154" spans="1:23" ht="15.75" customHeight="1">
      <c r="A154" s="8">
        <v>31301</v>
      </c>
      <c r="B154" s="8">
        <v>194</v>
      </c>
      <c r="C154" s="8">
        <v>69.777779519557953</v>
      </c>
      <c r="D154" s="8">
        <v>1502</v>
      </c>
      <c r="E154" s="19">
        <f t="shared" si="0"/>
        <v>0.12916111850865514</v>
      </c>
      <c r="F154" s="19">
        <f t="shared" si="1"/>
        <v>0.35967927587401005</v>
      </c>
      <c r="G154" s="19">
        <f t="shared" si="2"/>
        <v>4.6456577576270273E-2</v>
      </c>
      <c r="H154" s="8">
        <v>3244</v>
      </c>
      <c r="I154" s="8">
        <v>1233.8889189362526</v>
      </c>
      <c r="J154" s="8">
        <v>17653</v>
      </c>
      <c r="K154" s="19">
        <f t="shared" si="3"/>
        <v>0.18376479918427463</v>
      </c>
      <c r="L154" s="19">
        <f t="shared" si="4"/>
        <v>0.38036033259440588</v>
      </c>
      <c r="M154" s="19">
        <f t="shared" si="5"/>
        <v>6.9896840136874902E-2</v>
      </c>
      <c r="N154" s="19">
        <f t="shared" si="6"/>
        <v>1.5045628365998653</v>
      </c>
      <c r="T154" s="19"/>
      <c r="U154" s="19"/>
      <c r="V154" s="19"/>
      <c r="W154" s="19"/>
    </row>
    <row r="155" spans="1:23" ht="15.75" customHeight="1">
      <c r="A155" s="8">
        <v>31302</v>
      </c>
      <c r="B155" s="8">
        <v>58</v>
      </c>
      <c r="C155" s="8">
        <v>22.555556058883667</v>
      </c>
      <c r="D155" s="8">
        <v>223</v>
      </c>
      <c r="E155" s="19">
        <f t="shared" si="0"/>
        <v>0.26008968609865468</v>
      </c>
      <c r="F155" s="19">
        <f t="shared" si="1"/>
        <v>0.38888889756695977</v>
      </c>
      <c r="G155" s="19">
        <f t="shared" si="2"/>
        <v>0.10114599129544244</v>
      </c>
      <c r="H155" s="8">
        <v>2455</v>
      </c>
      <c r="I155" s="8">
        <v>1008.555582344532</v>
      </c>
      <c r="J155" s="8">
        <v>4936</v>
      </c>
      <c r="K155" s="19">
        <f t="shared" si="3"/>
        <v>0.49736628849270664</v>
      </c>
      <c r="L155" s="19">
        <f t="shared" si="4"/>
        <v>0.41081693781854667</v>
      </c>
      <c r="M155" s="19">
        <f t="shared" si="5"/>
        <v>0.2043264956127496</v>
      </c>
      <c r="N155" s="19">
        <f t="shared" si="6"/>
        <v>2.0201146184421881</v>
      </c>
      <c r="T155" s="19"/>
      <c r="U155" s="19"/>
      <c r="V155" s="19"/>
      <c r="W155" s="19"/>
    </row>
    <row r="156" spans="1:23" ht="15.75" customHeight="1">
      <c r="A156" s="8">
        <v>31303</v>
      </c>
      <c r="B156" s="8">
        <v>52</v>
      </c>
      <c r="C156" s="8">
        <v>20.000000447034836</v>
      </c>
      <c r="D156" s="8">
        <v>109</v>
      </c>
      <c r="E156" s="19">
        <f t="shared" si="0"/>
        <v>0.47706422018348627</v>
      </c>
      <c r="F156" s="19">
        <f t="shared" si="1"/>
        <v>0.38461539321220839</v>
      </c>
      <c r="G156" s="19">
        <f t="shared" si="2"/>
        <v>0.18348624263334712</v>
      </c>
      <c r="H156" s="8">
        <v>1297</v>
      </c>
      <c r="I156" s="8">
        <v>506.11112347245216</v>
      </c>
      <c r="J156" s="8">
        <v>3340</v>
      </c>
      <c r="K156" s="19">
        <f t="shared" si="3"/>
        <v>0.38832335329341316</v>
      </c>
      <c r="L156" s="19">
        <f t="shared" si="4"/>
        <v>0.39021674901499781</v>
      </c>
      <c r="M156" s="19">
        <f t="shared" si="5"/>
        <v>0.15153027648875814</v>
      </c>
      <c r="N156" s="19">
        <f t="shared" si="6"/>
        <v>0.82583998840476969</v>
      </c>
      <c r="T156" s="19"/>
      <c r="U156" s="19"/>
      <c r="V156" s="19"/>
      <c r="W156" s="19"/>
    </row>
    <row r="157" spans="1:23" ht="15.75" customHeight="1">
      <c r="A157" s="8">
        <v>31304</v>
      </c>
      <c r="B157" s="8">
        <v>148</v>
      </c>
      <c r="C157" s="8">
        <v>60.666667997837067</v>
      </c>
      <c r="D157" s="8">
        <v>352</v>
      </c>
      <c r="E157" s="19">
        <f t="shared" si="0"/>
        <v>0.42045454545454547</v>
      </c>
      <c r="F157" s="19">
        <f t="shared" si="1"/>
        <v>0.4099099189043045</v>
      </c>
      <c r="G157" s="19">
        <f t="shared" si="2"/>
        <v>0.17234848863021895</v>
      </c>
      <c r="H157" s="8">
        <v>5107</v>
      </c>
      <c r="I157" s="8">
        <v>2292.1111726164818</v>
      </c>
      <c r="J157" s="8">
        <v>7595</v>
      </c>
      <c r="K157" s="19">
        <f t="shared" si="3"/>
        <v>0.67241606319947334</v>
      </c>
      <c r="L157" s="19">
        <f t="shared" si="4"/>
        <v>0.44881753918474288</v>
      </c>
      <c r="M157" s="19">
        <f t="shared" si="5"/>
        <v>0.30179212279348017</v>
      </c>
      <c r="N157" s="19">
        <f t="shared" si="6"/>
        <v>1.7510575531705883</v>
      </c>
      <c r="T157" s="19"/>
      <c r="U157" s="19"/>
      <c r="V157" s="19"/>
      <c r="W157" s="19"/>
    </row>
    <row r="158" spans="1:23" ht="15.75" customHeight="1">
      <c r="A158" s="8">
        <v>31401</v>
      </c>
      <c r="B158" s="8">
        <v>287</v>
      </c>
      <c r="C158" s="8">
        <v>101.44444718956947</v>
      </c>
      <c r="D158" s="8">
        <v>2370</v>
      </c>
      <c r="E158" s="19">
        <f t="shared" si="0"/>
        <v>0.12109704641350211</v>
      </c>
      <c r="F158" s="19">
        <f t="shared" si="1"/>
        <v>0.35346497278595634</v>
      </c>
      <c r="G158" s="19">
        <f t="shared" si="2"/>
        <v>4.2803564215008215E-2</v>
      </c>
      <c r="H158" s="8">
        <v>1481</v>
      </c>
      <c r="I158" s="8">
        <v>534.22223606705666</v>
      </c>
      <c r="J158" s="8">
        <v>31373</v>
      </c>
      <c r="K158" s="19">
        <f t="shared" si="3"/>
        <v>4.720619641092659E-2</v>
      </c>
      <c r="L158" s="19">
        <f t="shared" si="4"/>
        <v>0.36071724244905917</v>
      </c>
      <c r="M158" s="19">
        <f t="shared" si="5"/>
        <v>1.7028088995858115E-2</v>
      </c>
      <c r="N158" s="19">
        <f t="shared" si="6"/>
        <v>0.39781941780183705</v>
      </c>
      <c r="T158" s="19"/>
      <c r="U158" s="19"/>
      <c r="V158" s="19"/>
      <c r="W158" s="19"/>
    </row>
    <row r="159" spans="1:23" ht="15.75" customHeight="1">
      <c r="A159" s="8">
        <v>31402</v>
      </c>
      <c r="B159" s="8">
        <v>107</v>
      </c>
      <c r="C159" s="8">
        <v>37.555556535720825</v>
      </c>
      <c r="D159" s="8">
        <v>1010</v>
      </c>
      <c r="E159" s="19">
        <f t="shared" si="0"/>
        <v>0.10594059405940594</v>
      </c>
      <c r="F159" s="19">
        <f t="shared" si="1"/>
        <v>0.35098650967963391</v>
      </c>
      <c r="G159" s="19">
        <f t="shared" si="2"/>
        <v>3.7183719342297847E-2</v>
      </c>
      <c r="H159" s="8">
        <v>520</v>
      </c>
      <c r="I159" s="8">
        <v>189.11111614108086</v>
      </c>
      <c r="J159" s="8">
        <v>7363</v>
      </c>
      <c r="K159" s="19">
        <f t="shared" si="3"/>
        <v>7.0623387206301777E-2</v>
      </c>
      <c r="L159" s="19">
        <f t="shared" si="4"/>
        <v>0.36367522334823243</v>
      </c>
      <c r="M159" s="19">
        <f t="shared" si="5"/>
        <v>2.5683976115860499E-2</v>
      </c>
      <c r="N159" s="19">
        <f t="shared" si="6"/>
        <v>0.69073176568014893</v>
      </c>
      <c r="T159" s="19"/>
      <c r="U159" s="19"/>
      <c r="V159" s="19"/>
      <c r="W159" s="19"/>
    </row>
    <row r="160" spans="1:23" ht="15.75" customHeight="1">
      <c r="A160" s="8">
        <v>31403</v>
      </c>
      <c r="B160" s="8">
        <v>78</v>
      </c>
      <c r="C160" s="8">
        <v>28.333333969116211</v>
      </c>
      <c r="D160" s="8">
        <v>1161</v>
      </c>
      <c r="E160" s="19">
        <f t="shared" si="0"/>
        <v>6.7183462532299745E-2</v>
      </c>
      <c r="F160" s="19">
        <f t="shared" si="1"/>
        <v>0.36324787139892578</v>
      </c>
      <c r="G160" s="19">
        <f t="shared" si="2"/>
        <v>2.4404249758067365E-2</v>
      </c>
      <c r="H160" s="8">
        <v>557</v>
      </c>
      <c r="I160" s="8">
        <v>200.66667187213898</v>
      </c>
      <c r="J160" s="8">
        <v>11604</v>
      </c>
      <c r="K160" s="19">
        <f t="shared" si="3"/>
        <v>4.800068941744226E-2</v>
      </c>
      <c r="L160" s="19">
        <f t="shared" si="4"/>
        <v>0.36026332472556372</v>
      </c>
      <c r="M160" s="19">
        <f t="shared" si="5"/>
        <v>1.7292887958646933E-2</v>
      </c>
      <c r="N160" s="19">
        <f t="shared" si="6"/>
        <v>0.70860149892255486</v>
      </c>
      <c r="T160" s="19"/>
      <c r="U160" s="19"/>
      <c r="V160" s="19"/>
      <c r="W160" s="19"/>
    </row>
    <row r="161" spans="1:23" ht="15.75" customHeight="1">
      <c r="A161" s="8">
        <v>31404</v>
      </c>
      <c r="B161" s="8">
        <v>8</v>
      </c>
      <c r="C161" s="8">
        <v>3.444444477558136</v>
      </c>
      <c r="D161" s="8">
        <v>156</v>
      </c>
      <c r="E161" s="19">
        <f t="shared" si="0"/>
        <v>5.128205128205128E-2</v>
      </c>
      <c r="F161" s="19">
        <f t="shared" si="1"/>
        <v>0.430555559694767</v>
      </c>
      <c r="G161" s="19">
        <f t="shared" si="2"/>
        <v>2.2079772292039331E-2</v>
      </c>
      <c r="H161" s="8">
        <v>61</v>
      </c>
      <c r="I161" s="8">
        <v>22.777778297662735</v>
      </c>
      <c r="J161" s="8">
        <v>1103</v>
      </c>
      <c r="K161" s="19">
        <f t="shared" si="3"/>
        <v>5.5303717135086132E-2</v>
      </c>
      <c r="L161" s="19">
        <f t="shared" si="4"/>
        <v>0.37340620160102844</v>
      </c>
      <c r="M161" s="19">
        <f t="shared" si="5"/>
        <v>2.0650750949830224E-2</v>
      </c>
      <c r="N161" s="19">
        <f t="shared" si="6"/>
        <v>0.93527916305892667</v>
      </c>
      <c r="T161" s="19"/>
      <c r="U161" s="19"/>
      <c r="V161" s="19"/>
      <c r="W161" s="19"/>
    </row>
    <row r="162" spans="1:23" ht="15.75" customHeight="1">
      <c r="A162" s="8">
        <v>31405</v>
      </c>
      <c r="B162" s="8">
        <v>32</v>
      </c>
      <c r="C162" s="8">
        <v>11.111111402511597</v>
      </c>
      <c r="D162" s="8">
        <v>158</v>
      </c>
      <c r="E162" s="19">
        <f t="shared" si="0"/>
        <v>0.20253164556962025</v>
      </c>
      <c r="F162" s="19">
        <f t="shared" si="1"/>
        <v>0.3472222313284874</v>
      </c>
      <c r="G162" s="19">
        <f t="shared" si="2"/>
        <v>7.0323489889313903E-2</v>
      </c>
      <c r="H162" s="8">
        <v>560</v>
      </c>
      <c r="I162" s="8">
        <v>221.66667187213898</v>
      </c>
      <c r="J162" s="8">
        <v>3572</v>
      </c>
      <c r="K162" s="19">
        <f t="shared" si="3"/>
        <v>0.15677491601343785</v>
      </c>
      <c r="L162" s="19">
        <f t="shared" si="4"/>
        <v>0.39583334262881958</v>
      </c>
      <c r="M162" s="19">
        <f t="shared" si="5"/>
        <v>6.2056739045951555E-2</v>
      </c>
      <c r="N162" s="19">
        <f t="shared" si="6"/>
        <v>0.88244680609034265</v>
      </c>
      <c r="T162" s="19"/>
      <c r="U162" s="19"/>
      <c r="V162" s="19"/>
      <c r="W162" s="19"/>
    </row>
    <row r="163" spans="1:23" ht="15.75" customHeight="1">
      <c r="A163" s="8">
        <v>31501</v>
      </c>
      <c r="B163" s="8">
        <v>85</v>
      </c>
      <c r="C163" s="8">
        <v>32.222222864627838</v>
      </c>
      <c r="D163" s="8">
        <v>405</v>
      </c>
      <c r="E163" s="19">
        <f t="shared" si="0"/>
        <v>0.20987654320987653</v>
      </c>
      <c r="F163" s="19">
        <f t="shared" si="1"/>
        <v>0.37908497487797455</v>
      </c>
      <c r="G163" s="19">
        <f t="shared" si="2"/>
        <v>7.9561044110192186E-2</v>
      </c>
      <c r="H163" s="8">
        <v>2154</v>
      </c>
      <c r="I163" s="8">
        <v>805.66668644547462</v>
      </c>
      <c r="J163" s="8">
        <v>7644</v>
      </c>
      <c r="K163" s="19">
        <f t="shared" si="3"/>
        <v>0.28178963893249609</v>
      </c>
      <c r="L163" s="19">
        <f t="shared" si="4"/>
        <v>0.37403281636280161</v>
      </c>
      <c r="M163" s="19">
        <f t="shared" si="5"/>
        <v>0.10539857227177848</v>
      </c>
      <c r="N163" s="19">
        <f t="shared" si="6"/>
        <v>1.3247509940392597</v>
      </c>
      <c r="T163" s="19"/>
      <c r="U163" s="19"/>
      <c r="V163" s="19"/>
      <c r="W163" s="19"/>
    </row>
    <row r="164" spans="1:23" ht="15.75" customHeight="1">
      <c r="A164" s="8">
        <v>31601</v>
      </c>
      <c r="B164" s="8">
        <v>242</v>
      </c>
      <c r="C164" s="8">
        <v>97.0000019967556</v>
      </c>
      <c r="D164" s="8">
        <v>825</v>
      </c>
      <c r="E164" s="19">
        <f t="shared" si="0"/>
        <v>0.29333333333333333</v>
      </c>
      <c r="F164" s="19">
        <f t="shared" si="1"/>
        <v>0.40082645453204796</v>
      </c>
      <c r="G164" s="19">
        <f t="shared" si="2"/>
        <v>0.1175757599960674</v>
      </c>
      <c r="H164" s="8">
        <v>1901</v>
      </c>
      <c r="I164" s="8">
        <v>718.6666844189167</v>
      </c>
      <c r="J164" s="8">
        <v>17264</v>
      </c>
      <c r="K164" s="19">
        <f t="shared" si="3"/>
        <v>0.11011353104726598</v>
      </c>
      <c r="L164" s="19">
        <f t="shared" si="4"/>
        <v>0.37804665145655797</v>
      </c>
      <c r="M164" s="19">
        <f t="shared" si="5"/>
        <v>4.1628051692476638E-2</v>
      </c>
      <c r="N164" s="19">
        <f t="shared" si="6"/>
        <v>0.35405300968387521</v>
      </c>
      <c r="T164" s="19"/>
      <c r="U164" s="19"/>
      <c r="V164" s="19"/>
      <c r="W164" s="19"/>
    </row>
    <row r="165" spans="1:23" ht="15.75" customHeight="1">
      <c r="A165" s="8">
        <v>31602</v>
      </c>
      <c r="B165" s="8">
        <v>404</v>
      </c>
      <c r="C165" s="8">
        <v>148.55555927753448</v>
      </c>
      <c r="D165" s="8">
        <v>3686</v>
      </c>
      <c r="E165" s="19">
        <f t="shared" si="0"/>
        <v>0.10960390667390124</v>
      </c>
      <c r="F165" s="19">
        <f t="shared" si="1"/>
        <v>0.36771178038993685</v>
      </c>
      <c r="G165" s="19">
        <f t="shared" si="2"/>
        <v>4.0302647660752706E-2</v>
      </c>
      <c r="H165" s="8">
        <v>2379</v>
      </c>
      <c r="I165" s="8">
        <v>875.66668790578842</v>
      </c>
      <c r="J165" s="8">
        <v>22338</v>
      </c>
      <c r="K165" s="19">
        <f t="shared" si="3"/>
        <v>0.10650013430029547</v>
      </c>
      <c r="L165" s="19">
        <f t="shared" si="4"/>
        <v>0.36808183602597244</v>
      </c>
      <c r="M165" s="19">
        <f t="shared" si="5"/>
        <v>3.9200764970265402E-2</v>
      </c>
      <c r="N165" s="19">
        <f t="shared" si="6"/>
        <v>0.97265979397278324</v>
      </c>
      <c r="T165" s="19"/>
      <c r="U165" s="19"/>
      <c r="V165" s="19"/>
      <c r="W165" s="19"/>
    </row>
    <row r="166" spans="1:23" ht="15.75" customHeight="1">
      <c r="A166" s="8">
        <v>40101</v>
      </c>
      <c r="B166" s="8">
        <v>1335</v>
      </c>
      <c r="C166" s="8">
        <v>494.55556824803352</v>
      </c>
      <c r="D166" s="8">
        <v>20935</v>
      </c>
      <c r="E166" s="19">
        <f t="shared" si="0"/>
        <v>6.3768808215906372E-2</v>
      </c>
      <c r="F166" s="19">
        <f t="shared" si="1"/>
        <v>0.37045360917455694</v>
      </c>
      <c r="G166" s="19">
        <f t="shared" si="2"/>
        <v>2.3623385156342654E-2</v>
      </c>
      <c r="H166" s="8">
        <v>4537</v>
      </c>
      <c r="I166" s="8">
        <v>1635.111152946949</v>
      </c>
      <c r="J166" s="8">
        <v>266806</v>
      </c>
      <c r="K166" s="19">
        <f t="shared" si="3"/>
        <v>1.7004864958059415E-2</v>
      </c>
      <c r="L166" s="19">
        <f t="shared" si="4"/>
        <v>0.3603947879539231</v>
      </c>
      <c r="M166" s="19">
        <f t="shared" si="5"/>
        <v>6.1284647007449206E-3</v>
      </c>
      <c r="N166" s="19">
        <f t="shared" si="6"/>
        <v>0.2594236456877767</v>
      </c>
      <c r="T166" s="19"/>
      <c r="U166" s="19"/>
      <c r="V166" s="19"/>
      <c r="W166" s="19"/>
    </row>
    <row r="167" spans="1:23" ht="15.75" customHeight="1">
      <c r="A167" s="8">
        <v>40102</v>
      </c>
      <c r="B167" s="8">
        <v>151</v>
      </c>
      <c r="C167" s="8">
        <v>53.777779161930084</v>
      </c>
      <c r="D167" s="8">
        <v>1666</v>
      </c>
      <c r="E167" s="19">
        <f t="shared" si="0"/>
        <v>9.0636254501800725E-2</v>
      </c>
      <c r="F167" s="19">
        <f t="shared" si="1"/>
        <v>0.35614423286046415</v>
      </c>
      <c r="G167" s="19">
        <f t="shared" si="2"/>
        <v>3.2279579328889613E-2</v>
      </c>
      <c r="H167" s="8">
        <v>2872</v>
      </c>
      <c r="I167" s="8">
        <v>1036.8889147341251</v>
      </c>
      <c r="J167" s="8">
        <v>20350</v>
      </c>
      <c r="K167" s="19">
        <f t="shared" si="3"/>
        <v>0.14113022113022114</v>
      </c>
      <c r="L167" s="19">
        <f t="shared" si="4"/>
        <v>0.36103374468458393</v>
      </c>
      <c r="M167" s="19">
        <f t="shared" si="5"/>
        <v>5.0952772222807134E-2</v>
      </c>
      <c r="N167" s="19">
        <f t="shared" si="6"/>
        <v>1.5784831550516945</v>
      </c>
      <c r="T167" s="19"/>
      <c r="U167" s="19"/>
      <c r="V167" s="19"/>
      <c r="W167" s="19"/>
    </row>
    <row r="168" spans="1:23" ht="15.75" customHeight="1">
      <c r="A168" s="8">
        <v>40103</v>
      </c>
      <c r="B168" s="8">
        <v>442</v>
      </c>
      <c r="C168" s="8">
        <v>164.11111497879028</v>
      </c>
      <c r="D168" s="8">
        <v>784</v>
      </c>
      <c r="E168" s="19">
        <f t="shared" si="0"/>
        <v>0.56377551020408168</v>
      </c>
      <c r="F168" s="19">
        <f t="shared" si="1"/>
        <v>0.37129211533662959</v>
      </c>
      <c r="G168" s="19">
        <f t="shared" si="2"/>
        <v>0.20932540175866107</v>
      </c>
      <c r="H168" s="8">
        <v>4825</v>
      </c>
      <c r="I168" s="8">
        <v>1798.222265958786</v>
      </c>
      <c r="J168" s="8">
        <v>8875</v>
      </c>
      <c r="K168" s="19">
        <f t="shared" si="3"/>
        <v>0.54366197183098597</v>
      </c>
      <c r="L168" s="19">
        <f t="shared" si="4"/>
        <v>0.37268855253031835</v>
      </c>
      <c r="M168" s="19">
        <f t="shared" si="5"/>
        <v>0.20261659334746887</v>
      </c>
      <c r="N168" s="19">
        <f t="shared" si="6"/>
        <v>0.96795033782413553</v>
      </c>
      <c r="T168" s="19"/>
      <c r="U168" s="19"/>
      <c r="V168" s="19"/>
      <c r="W168" s="19"/>
    </row>
    <row r="169" spans="1:23" ht="15.75" customHeight="1">
      <c r="A169" s="8">
        <v>40104</v>
      </c>
      <c r="B169" s="8">
        <v>216</v>
      </c>
      <c r="C169" s="8">
        <v>78.666668564081192</v>
      </c>
      <c r="D169" s="8">
        <v>1221</v>
      </c>
      <c r="E169" s="19">
        <f t="shared" si="0"/>
        <v>0.1769041769041769</v>
      </c>
      <c r="F169" s="19">
        <f t="shared" si="1"/>
        <v>0.36419753964852403</v>
      </c>
      <c r="G169" s="19">
        <f t="shared" si="2"/>
        <v>6.4428065982048477E-2</v>
      </c>
      <c r="H169" s="8">
        <v>1633</v>
      </c>
      <c r="I169" s="8">
        <v>603.66668152809143</v>
      </c>
      <c r="J169" s="8">
        <v>14275</v>
      </c>
      <c r="K169" s="19">
        <f t="shared" si="3"/>
        <v>0.11439579684763573</v>
      </c>
      <c r="L169" s="19">
        <f t="shared" si="4"/>
        <v>0.36966728813722682</v>
      </c>
      <c r="M169" s="19">
        <f t="shared" si="5"/>
        <v>4.2288383994962625E-2</v>
      </c>
      <c r="N169" s="19">
        <f t="shared" si="6"/>
        <v>0.65636587642946465</v>
      </c>
      <c r="T169" s="19"/>
      <c r="U169" s="19"/>
      <c r="V169" s="19"/>
      <c r="W169" s="19"/>
    </row>
    <row r="170" spans="1:23" ht="15.75" customHeight="1">
      <c r="A170" s="8">
        <v>40201</v>
      </c>
      <c r="B170" s="8">
        <v>250</v>
      </c>
      <c r="C170" s="8">
        <v>89.555557787418365</v>
      </c>
      <c r="D170" s="8">
        <v>2374</v>
      </c>
      <c r="E170" s="19">
        <f t="shared" si="0"/>
        <v>0.10530749789385004</v>
      </c>
      <c r="F170" s="19">
        <f t="shared" si="1"/>
        <v>0.35822223114967344</v>
      </c>
      <c r="G170" s="19">
        <f t="shared" si="2"/>
        <v>3.7723486852324496E-2</v>
      </c>
      <c r="H170" s="8">
        <v>5840</v>
      </c>
      <c r="I170" s="8">
        <v>2162.444498360157</v>
      </c>
      <c r="J170" s="8">
        <v>32001</v>
      </c>
      <c r="K170" s="19">
        <f t="shared" si="3"/>
        <v>0.1824942970532171</v>
      </c>
      <c r="L170" s="19">
        <f t="shared" si="4"/>
        <v>0.37028159218495837</v>
      </c>
      <c r="M170" s="19">
        <f t="shared" si="5"/>
        <v>6.7574278877539987E-2</v>
      </c>
      <c r="N170" s="19">
        <f t="shared" si="6"/>
        <v>1.7913052190024714</v>
      </c>
      <c r="T170" s="19"/>
      <c r="U170" s="19"/>
      <c r="V170" s="19"/>
      <c r="W170" s="19"/>
    </row>
    <row r="171" spans="1:23" ht="15.75" customHeight="1">
      <c r="A171" s="8">
        <v>40202</v>
      </c>
      <c r="B171" s="8">
        <v>133</v>
      </c>
      <c r="C171" s="8">
        <v>49.222223341464996</v>
      </c>
      <c r="D171" s="8">
        <v>466</v>
      </c>
      <c r="E171" s="19">
        <f t="shared" si="0"/>
        <v>0.28540772532188841</v>
      </c>
      <c r="F171" s="19">
        <f t="shared" si="1"/>
        <v>0.3700919048230451</v>
      </c>
      <c r="G171" s="19">
        <f t="shared" si="2"/>
        <v>0.10562708871559012</v>
      </c>
      <c r="H171" s="8">
        <v>985</v>
      </c>
      <c r="I171" s="8">
        <v>349.00000888109207</v>
      </c>
      <c r="J171" s="8">
        <v>4589</v>
      </c>
      <c r="K171" s="19">
        <f t="shared" si="3"/>
        <v>0.21464371322728262</v>
      </c>
      <c r="L171" s="19">
        <f t="shared" si="4"/>
        <v>0.35431472982851986</v>
      </c>
      <c r="M171" s="19">
        <f t="shared" si="5"/>
        <v>7.6051429261514938E-2</v>
      </c>
      <c r="N171" s="19">
        <f t="shared" si="6"/>
        <v>0.71999929361198101</v>
      </c>
      <c r="T171" s="19"/>
      <c r="U171" s="19"/>
      <c r="V171" s="19"/>
      <c r="W171" s="19"/>
    </row>
    <row r="172" spans="1:23" ht="15.75" customHeight="1">
      <c r="A172" s="8">
        <v>40301</v>
      </c>
      <c r="B172" s="8">
        <v>436</v>
      </c>
      <c r="C172" s="8">
        <v>167.1111147403717</v>
      </c>
      <c r="D172" s="8">
        <v>1831</v>
      </c>
      <c r="E172" s="19">
        <f t="shared" si="0"/>
        <v>0.2381212452211906</v>
      </c>
      <c r="F172" s="19">
        <f t="shared" si="1"/>
        <v>0.38328237325773329</v>
      </c>
      <c r="G172" s="19">
        <f t="shared" si="2"/>
        <v>9.1267675991464611E-2</v>
      </c>
      <c r="H172" s="8">
        <v>4761</v>
      </c>
      <c r="I172" s="8">
        <v>1774.4444882571697</v>
      </c>
      <c r="J172" s="8">
        <v>13732</v>
      </c>
      <c r="K172" s="19">
        <f t="shared" si="3"/>
        <v>0.34670841829303817</v>
      </c>
      <c r="L172" s="19">
        <f t="shared" si="4"/>
        <v>0.37270415632370713</v>
      </c>
      <c r="M172" s="19">
        <f t="shared" si="5"/>
        <v>0.12921966853023373</v>
      </c>
      <c r="N172" s="19">
        <f t="shared" si="6"/>
        <v>1.4158316964520758</v>
      </c>
      <c r="T172" s="19"/>
      <c r="U172" s="19"/>
      <c r="V172" s="19"/>
      <c r="W172" s="19"/>
    </row>
    <row r="173" spans="1:23" ht="15.75" customHeight="1">
      <c r="A173" s="8">
        <v>40302</v>
      </c>
      <c r="B173" s="8">
        <v>26</v>
      </c>
      <c r="C173" s="8">
        <v>8.8888891339302063</v>
      </c>
      <c r="D173" s="8">
        <v>158</v>
      </c>
      <c r="E173" s="19">
        <f t="shared" si="0"/>
        <v>0.16455696202531644</v>
      </c>
      <c r="F173" s="19">
        <f t="shared" si="1"/>
        <v>0.34188035130500793</v>
      </c>
      <c r="G173" s="19">
        <f t="shared" si="2"/>
        <v>5.6258791986900036E-2</v>
      </c>
      <c r="H173" s="8">
        <v>639</v>
      </c>
      <c r="I173" s="8">
        <v>230.11111700534821</v>
      </c>
      <c r="J173" s="8">
        <v>2301</v>
      </c>
      <c r="K173" s="19">
        <f t="shared" si="3"/>
        <v>0.27770534550195569</v>
      </c>
      <c r="L173" s="19">
        <f t="shared" si="4"/>
        <v>0.36011129421807231</v>
      </c>
      <c r="M173" s="19">
        <f t="shared" si="5"/>
        <v>0.10000483137998618</v>
      </c>
      <c r="N173" s="19">
        <f t="shared" si="6"/>
        <v>1.7775858287762825</v>
      </c>
      <c r="T173" s="19"/>
      <c r="U173" s="19"/>
      <c r="V173" s="19"/>
      <c r="W173" s="19"/>
    </row>
    <row r="174" spans="1:23" ht="15.75" customHeight="1">
      <c r="A174" s="8">
        <v>40401</v>
      </c>
      <c r="B174" s="8">
        <v>39</v>
      </c>
      <c r="C174" s="8">
        <v>14.888889342546463</v>
      </c>
      <c r="D174" s="8">
        <v>348</v>
      </c>
      <c r="E174" s="19">
        <f t="shared" si="0"/>
        <v>0.11206896551724138</v>
      </c>
      <c r="F174" s="19">
        <f t="shared" si="1"/>
        <v>0.38176639339862728</v>
      </c>
      <c r="G174" s="19">
        <f t="shared" si="2"/>
        <v>4.2784164777432368E-2</v>
      </c>
      <c r="H174" s="8">
        <v>1170</v>
      </c>
      <c r="I174" s="8">
        <v>435.55556559562683</v>
      </c>
      <c r="J174" s="8">
        <v>5952</v>
      </c>
      <c r="K174" s="19">
        <f t="shared" si="3"/>
        <v>0.19657258064516128</v>
      </c>
      <c r="L174" s="19">
        <f t="shared" si="4"/>
        <v>0.37226971418429644</v>
      </c>
      <c r="M174" s="19">
        <f t="shared" si="5"/>
        <v>7.3178018413243756E-2</v>
      </c>
      <c r="N174" s="19">
        <f t="shared" si="6"/>
        <v>1.7103996021407299</v>
      </c>
      <c r="T174" s="19"/>
      <c r="U174" s="19"/>
      <c r="V174" s="19"/>
      <c r="W174" s="19"/>
    </row>
    <row r="175" spans="1:23" ht="15.75" customHeight="1">
      <c r="A175" s="8">
        <v>40402</v>
      </c>
      <c r="B175" s="8">
        <v>60</v>
      </c>
      <c r="C175" s="8">
        <v>22.222222685813904</v>
      </c>
      <c r="D175" s="8">
        <v>367</v>
      </c>
      <c r="E175" s="19">
        <f t="shared" si="0"/>
        <v>0.16348773841961853</v>
      </c>
      <c r="F175" s="19">
        <f t="shared" si="1"/>
        <v>0.37037037809689838</v>
      </c>
      <c r="G175" s="19">
        <f t="shared" si="2"/>
        <v>6.055101549268093E-2</v>
      </c>
      <c r="H175" s="8">
        <v>1739</v>
      </c>
      <c r="I175" s="8">
        <v>651.33334892988205</v>
      </c>
      <c r="J175" s="8">
        <v>5095</v>
      </c>
      <c r="K175" s="19">
        <f t="shared" si="3"/>
        <v>0.34131501472031406</v>
      </c>
      <c r="L175" s="19">
        <f t="shared" si="4"/>
        <v>0.37454476649216911</v>
      </c>
      <c r="M175" s="19">
        <f t="shared" si="5"/>
        <v>0.12783775248869128</v>
      </c>
      <c r="N175" s="19">
        <f t="shared" si="6"/>
        <v>2.1112404383068291</v>
      </c>
      <c r="T175" s="19"/>
      <c r="U175" s="19"/>
      <c r="V175" s="19"/>
      <c r="W175" s="19"/>
    </row>
    <row r="176" spans="1:23" ht="15.75" customHeight="1">
      <c r="A176" s="8">
        <v>40501</v>
      </c>
      <c r="B176" s="8">
        <v>9</v>
      </c>
      <c r="C176" s="8">
        <v>3.3333334028720856</v>
      </c>
      <c r="D176" s="8">
        <v>683</v>
      </c>
      <c r="E176" s="19">
        <f t="shared" si="0"/>
        <v>1.3177159590043924E-2</v>
      </c>
      <c r="F176" s="19">
        <f t="shared" si="1"/>
        <v>0.37037037809689838</v>
      </c>
      <c r="G176" s="19">
        <f t="shared" si="2"/>
        <v>4.8804295796077389E-3</v>
      </c>
      <c r="H176" s="8">
        <v>83</v>
      </c>
      <c r="I176" s="8">
        <v>28.555556327104568</v>
      </c>
      <c r="J176" s="8">
        <v>2974</v>
      </c>
      <c r="K176" s="19">
        <f t="shared" si="3"/>
        <v>2.7908540685944856E-2</v>
      </c>
      <c r="L176" s="19">
        <f t="shared" si="4"/>
        <v>0.3440428473145129</v>
      </c>
      <c r="M176" s="19">
        <f t="shared" si="5"/>
        <v>9.6017338019853977E-3</v>
      </c>
      <c r="N176" s="19">
        <f t="shared" si="6"/>
        <v>1.9673952149837455</v>
      </c>
      <c r="T176" s="19"/>
      <c r="U176" s="19"/>
      <c r="V176" s="19"/>
      <c r="W176" s="19"/>
    </row>
    <row r="177" spans="1:23" ht="15.75" customHeight="1">
      <c r="A177" s="8">
        <v>40502</v>
      </c>
      <c r="B177" s="8">
        <v>36</v>
      </c>
      <c r="C177" s="8">
        <v>13.888889133930206</v>
      </c>
      <c r="D177" s="8">
        <v>430</v>
      </c>
      <c r="E177" s="19">
        <f t="shared" si="0"/>
        <v>8.3720930232558138E-2</v>
      </c>
      <c r="F177" s="19">
        <f t="shared" si="1"/>
        <v>0.38580247594250572</v>
      </c>
      <c r="G177" s="19">
        <f t="shared" si="2"/>
        <v>3.2299742171930712E-2</v>
      </c>
      <c r="H177" s="8">
        <v>718</v>
      </c>
      <c r="I177" s="8">
        <v>264.33333989977837</v>
      </c>
      <c r="J177" s="8">
        <v>3690</v>
      </c>
      <c r="K177" s="19">
        <f t="shared" si="3"/>
        <v>0.194579945799458</v>
      </c>
      <c r="L177" s="19">
        <f t="shared" si="4"/>
        <v>0.36815228398297822</v>
      </c>
      <c r="M177" s="19">
        <f t="shared" si="5"/>
        <v>7.1635051463354568E-2</v>
      </c>
      <c r="N177" s="19">
        <f t="shared" si="6"/>
        <v>2.2178211541764945</v>
      </c>
      <c r="T177" s="19"/>
      <c r="U177" s="19"/>
      <c r="V177" s="19"/>
      <c r="W177" s="19"/>
    </row>
    <row r="178" spans="1:23" ht="15.75" customHeight="1">
      <c r="A178" s="8">
        <v>40503</v>
      </c>
      <c r="B178" s="8">
        <v>46</v>
      </c>
      <c r="C178" s="8">
        <v>18.444444894790649</v>
      </c>
      <c r="D178" s="8">
        <v>306</v>
      </c>
      <c r="E178" s="19">
        <f t="shared" si="0"/>
        <v>0.15032679738562091</v>
      </c>
      <c r="F178" s="19">
        <f t="shared" si="1"/>
        <v>0.4009661933650141</v>
      </c>
      <c r="G178" s="19">
        <f t="shared" si="2"/>
        <v>6.027596370846617E-2</v>
      </c>
      <c r="H178" s="8">
        <v>86</v>
      </c>
      <c r="I178" s="8">
        <v>32.777778565883636</v>
      </c>
      <c r="J178" s="8">
        <v>1135</v>
      </c>
      <c r="K178" s="19">
        <f t="shared" si="3"/>
        <v>7.5770925110132156E-2</v>
      </c>
      <c r="L178" s="19">
        <f t="shared" si="4"/>
        <v>0.38113696006841435</v>
      </c>
      <c r="M178" s="19">
        <f t="shared" si="5"/>
        <v>2.8879100058047256E-2</v>
      </c>
      <c r="N178" s="19">
        <f t="shared" si="6"/>
        <v>0.47911469649370353</v>
      </c>
      <c r="T178" s="19"/>
      <c r="U178" s="19"/>
      <c r="V178" s="19"/>
      <c r="W178" s="19"/>
    </row>
    <row r="179" spans="1:23" ht="15.75" customHeight="1">
      <c r="A179" s="8">
        <v>40504</v>
      </c>
      <c r="B179" s="8">
        <v>2</v>
      </c>
      <c r="C179" s="8">
        <v>0.66666668653488159</v>
      </c>
      <c r="D179" s="8">
        <v>156</v>
      </c>
      <c r="E179" s="19">
        <f t="shared" si="0"/>
        <v>1.282051282051282E-2</v>
      </c>
      <c r="F179" s="19">
        <f t="shared" si="1"/>
        <v>0.3333333432674408</v>
      </c>
      <c r="G179" s="19">
        <f t="shared" si="2"/>
        <v>4.2735044008646254E-3</v>
      </c>
      <c r="H179" s="8">
        <v>18</v>
      </c>
      <c r="I179" s="8">
        <v>6.0000001788139343</v>
      </c>
      <c r="J179" s="8">
        <v>696</v>
      </c>
      <c r="K179" s="19">
        <f t="shared" si="3"/>
        <v>2.5862068965517241E-2</v>
      </c>
      <c r="L179" s="19">
        <f t="shared" si="4"/>
        <v>0.3333333432674408</v>
      </c>
      <c r="M179" s="19">
        <f t="shared" si="5"/>
        <v>8.6206899120889868E-3</v>
      </c>
      <c r="N179" s="19">
        <f t="shared" si="6"/>
        <v>2.0172413793103452</v>
      </c>
      <c r="T179" s="19"/>
      <c r="U179" s="19"/>
      <c r="V179" s="19"/>
      <c r="W179" s="19"/>
    </row>
    <row r="180" spans="1:23" ht="15.75" customHeight="1">
      <c r="A180" s="8">
        <v>40505</v>
      </c>
      <c r="B180" s="8">
        <v>34</v>
      </c>
      <c r="C180" s="8">
        <v>12.111111402511597</v>
      </c>
      <c r="D180" s="8">
        <v>326</v>
      </c>
      <c r="E180" s="19">
        <f t="shared" si="0"/>
        <v>0.10429447852760736</v>
      </c>
      <c r="F180" s="19">
        <f t="shared" si="1"/>
        <v>0.3562091588973999</v>
      </c>
      <c r="G180" s="19">
        <f t="shared" si="2"/>
        <v>3.7150648473961954E-2</v>
      </c>
      <c r="H180" s="8">
        <v>294</v>
      </c>
      <c r="I180" s="8">
        <v>110.22222512960434</v>
      </c>
      <c r="J180" s="8">
        <v>3458</v>
      </c>
      <c r="K180" s="19">
        <f t="shared" si="3"/>
        <v>8.5020242914979755E-2</v>
      </c>
      <c r="L180" s="19">
        <f t="shared" si="4"/>
        <v>0.37490552765171542</v>
      </c>
      <c r="M180" s="19">
        <f t="shared" si="5"/>
        <v>3.1874559031117501E-2</v>
      </c>
      <c r="N180" s="19">
        <f t="shared" si="6"/>
        <v>0.85798122887296724</v>
      </c>
      <c r="T180" s="19"/>
      <c r="U180" s="19"/>
      <c r="V180" s="19"/>
      <c r="W180" s="19"/>
    </row>
    <row r="181" spans="1:23" ht="15.75" customHeight="1">
      <c r="A181" s="8">
        <v>40601</v>
      </c>
      <c r="B181" s="8">
        <v>153</v>
      </c>
      <c r="C181" s="8">
        <v>53.111112505197525</v>
      </c>
      <c r="D181" s="8">
        <v>1354</v>
      </c>
      <c r="E181" s="19">
        <f t="shared" si="0"/>
        <v>0.11299852289512555</v>
      </c>
      <c r="F181" s="19">
        <f t="shared" si="1"/>
        <v>0.34713145428233677</v>
      </c>
      <c r="G181" s="19">
        <f t="shared" si="2"/>
        <v>3.9225341584340857E-2</v>
      </c>
      <c r="H181" s="8">
        <v>828</v>
      </c>
      <c r="I181" s="8">
        <v>301.77778553962708</v>
      </c>
      <c r="J181" s="8">
        <v>7529</v>
      </c>
      <c r="K181" s="19">
        <f t="shared" si="3"/>
        <v>0.10997476424491964</v>
      </c>
      <c r="L181" s="19">
        <f t="shared" si="4"/>
        <v>0.36446592456476701</v>
      </c>
      <c r="M181" s="19">
        <f t="shared" si="5"/>
        <v>4.0082054129316917E-2</v>
      </c>
      <c r="N181" s="19">
        <f t="shared" si="6"/>
        <v>1.0218407924666248</v>
      </c>
      <c r="T181" s="19"/>
      <c r="U181" s="19"/>
      <c r="V181" s="19"/>
      <c r="W181" s="19"/>
    </row>
    <row r="182" spans="1:23" ht="15.75" customHeight="1">
      <c r="A182" s="8">
        <v>40602</v>
      </c>
      <c r="B182" s="8">
        <v>41</v>
      </c>
      <c r="C182" s="8">
        <v>15.000000357627869</v>
      </c>
      <c r="D182" s="8">
        <v>432</v>
      </c>
      <c r="E182" s="19">
        <f t="shared" si="0"/>
        <v>9.4907407407407413E-2</v>
      </c>
      <c r="F182" s="19">
        <f t="shared" si="1"/>
        <v>0.36585366725921631</v>
      </c>
      <c r="G182" s="19">
        <f t="shared" si="2"/>
        <v>3.4722223050064512E-2</v>
      </c>
      <c r="H182" s="8">
        <v>485</v>
      </c>
      <c r="I182" s="8">
        <v>179.77778217196465</v>
      </c>
      <c r="J182" s="8">
        <v>3659</v>
      </c>
      <c r="K182" s="19">
        <f t="shared" si="3"/>
        <v>0.13254987701557802</v>
      </c>
      <c r="L182" s="19">
        <f t="shared" si="4"/>
        <v>0.37067583952982402</v>
      </c>
      <c r="M182" s="19">
        <f t="shared" si="5"/>
        <v>4.9133036942324307E-2</v>
      </c>
      <c r="N182" s="19">
        <f t="shared" si="6"/>
        <v>1.4150314302019618</v>
      </c>
      <c r="T182" s="19"/>
      <c r="U182" s="19"/>
      <c r="V182" s="19"/>
      <c r="W182" s="19"/>
    </row>
    <row r="183" spans="1:23" ht="15.75" customHeight="1">
      <c r="A183" s="8">
        <v>40603</v>
      </c>
      <c r="B183" s="8">
        <v>51</v>
      </c>
      <c r="C183" s="8">
        <v>17.666667133569717</v>
      </c>
      <c r="D183" s="8">
        <v>538</v>
      </c>
      <c r="E183" s="19">
        <f t="shared" si="0"/>
        <v>9.4795539033457249E-2</v>
      </c>
      <c r="F183" s="19">
        <f t="shared" si="1"/>
        <v>0.34640523791313171</v>
      </c>
      <c r="G183" s="19">
        <f t="shared" si="2"/>
        <v>3.2837671251988325E-2</v>
      </c>
      <c r="H183" s="8">
        <v>220</v>
      </c>
      <c r="I183" s="8">
        <v>77.88889080286026</v>
      </c>
      <c r="J183" s="8">
        <v>2994</v>
      </c>
      <c r="K183" s="19">
        <f t="shared" si="3"/>
        <v>7.3480293921175679E-2</v>
      </c>
      <c r="L183" s="19">
        <f t="shared" si="4"/>
        <v>0.35404041274027392</v>
      </c>
      <c r="M183" s="19">
        <f t="shared" si="5"/>
        <v>2.6014993588129677E-2</v>
      </c>
      <c r="N183" s="19">
        <f t="shared" si="6"/>
        <v>0.79223016116145772</v>
      </c>
      <c r="T183" s="19"/>
      <c r="U183" s="19"/>
      <c r="V183" s="19"/>
      <c r="W183" s="19"/>
    </row>
    <row r="184" spans="1:23" ht="15.75" customHeight="1">
      <c r="A184" s="8">
        <v>40701</v>
      </c>
      <c r="B184" s="8">
        <v>56</v>
      </c>
      <c r="C184" s="8">
        <v>19.000000536441803</v>
      </c>
      <c r="D184" s="8">
        <v>1146</v>
      </c>
      <c r="E184" s="19">
        <f t="shared" si="0"/>
        <v>4.8865619546247817E-2</v>
      </c>
      <c r="F184" s="19">
        <f t="shared" si="1"/>
        <v>0.3392857238650322</v>
      </c>
      <c r="G184" s="19">
        <f t="shared" si="2"/>
        <v>1.6579407099861956E-2</v>
      </c>
      <c r="H184" s="8">
        <v>571</v>
      </c>
      <c r="I184" s="8">
        <v>205.7777826488018</v>
      </c>
      <c r="J184" s="8">
        <v>18107</v>
      </c>
      <c r="K184" s="19">
        <f t="shared" si="3"/>
        <v>3.1534765560280557E-2</v>
      </c>
      <c r="L184" s="19">
        <f t="shared" si="4"/>
        <v>0.36038140568967042</v>
      </c>
      <c r="M184" s="19">
        <f t="shared" si="5"/>
        <v>1.1364543140708115E-2</v>
      </c>
      <c r="N184" s="19">
        <f t="shared" si="6"/>
        <v>0.6854613721863877</v>
      </c>
      <c r="T184" s="19"/>
      <c r="U184" s="19"/>
      <c r="V184" s="19"/>
      <c r="W184" s="19"/>
    </row>
    <row r="185" spans="1:23" ht="15.75" customHeight="1">
      <c r="A185" s="8">
        <v>40702</v>
      </c>
      <c r="B185" s="8">
        <v>46</v>
      </c>
      <c r="C185" s="8">
        <v>16.888889253139496</v>
      </c>
      <c r="D185" s="8">
        <v>480</v>
      </c>
      <c r="E185" s="19">
        <f t="shared" si="0"/>
        <v>9.583333333333334E-2</v>
      </c>
      <c r="F185" s="19">
        <f t="shared" si="1"/>
        <v>0.36714976637259772</v>
      </c>
      <c r="G185" s="19">
        <f t="shared" si="2"/>
        <v>3.5185185944040617E-2</v>
      </c>
      <c r="H185" s="8">
        <v>294</v>
      </c>
      <c r="I185" s="8">
        <v>106.44444710016251</v>
      </c>
      <c r="J185" s="8">
        <v>5559</v>
      </c>
      <c r="K185" s="19">
        <f t="shared" si="3"/>
        <v>5.2887209929843498E-2</v>
      </c>
      <c r="L185" s="19">
        <f t="shared" si="4"/>
        <v>0.36205594251755957</v>
      </c>
      <c r="M185" s="19">
        <f t="shared" si="5"/>
        <v>1.9148128638273525E-2</v>
      </c>
      <c r="N185" s="19">
        <f t="shared" si="6"/>
        <v>0.54420996008738387</v>
      </c>
      <c r="T185" s="19"/>
      <c r="U185" s="19"/>
      <c r="V185" s="19"/>
      <c r="W185" s="19"/>
    </row>
    <row r="186" spans="1:23" ht="15.75" customHeight="1">
      <c r="A186" s="8">
        <v>40801</v>
      </c>
      <c r="B186" s="8">
        <v>219</v>
      </c>
      <c r="C186" s="8">
        <v>80.000001758337021</v>
      </c>
      <c r="D186" s="8">
        <v>1752</v>
      </c>
      <c r="E186" s="19">
        <f t="shared" si="0"/>
        <v>0.125</v>
      </c>
      <c r="F186" s="19">
        <f t="shared" si="1"/>
        <v>0.3652968116819042</v>
      </c>
      <c r="G186" s="19">
        <f t="shared" si="2"/>
        <v>4.5662101460238025E-2</v>
      </c>
      <c r="H186" s="8">
        <v>2101</v>
      </c>
      <c r="I186" s="8">
        <v>764.22224172949791</v>
      </c>
      <c r="J186" s="8">
        <v>13896</v>
      </c>
      <c r="K186" s="19">
        <f t="shared" si="3"/>
        <v>0.15119458837075417</v>
      </c>
      <c r="L186" s="19">
        <f t="shared" si="4"/>
        <v>0.36374214266039884</v>
      </c>
      <c r="M186" s="19">
        <f t="shared" si="5"/>
        <v>5.499584353263514E-2</v>
      </c>
      <c r="N186" s="19">
        <f t="shared" si="6"/>
        <v>1.204408946892749</v>
      </c>
      <c r="T186" s="19"/>
      <c r="U186" s="19"/>
      <c r="V186" s="19"/>
      <c r="W186" s="19"/>
    </row>
    <row r="187" spans="1:23" ht="15.75" customHeight="1">
      <c r="A187" s="8">
        <v>40802</v>
      </c>
      <c r="B187" s="8">
        <v>95</v>
      </c>
      <c r="C187" s="8">
        <v>34.777778625488281</v>
      </c>
      <c r="D187" s="8">
        <v>341</v>
      </c>
      <c r="E187" s="19">
        <f t="shared" si="0"/>
        <v>0.27859237536656889</v>
      </c>
      <c r="F187" s="19">
        <f t="shared" si="1"/>
        <v>0.36608188026829769</v>
      </c>
      <c r="G187" s="19">
        <f t="shared" si="2"/>
        <v>0.10198762060260493</v>
      </c>
      <c r="H187" s="8">
        <v>522</v>
      </c>
      <c r="I187" s="8">
        <v>188.4444492161274</v>
      </c>
      <c r="J187" s="8">
        <v>2821</v>
      </c>
      <c r="K187" s="19">
        <f t="shared" si="3"/>
        <v>0.18504076568592698</v>
      </c>
      <c r="L187" s="19">
        <f t="shared" si="4"/>
        <v>0.36100469198491836</v>
      </c>
      <c r="M187" s="19">
        <f t="shared" si="5"/>
        <v>6.6800584621101514E-2</v>
      </c>
      <c r="N187" s="19">
        <f t="shared" si="6"/>
        <v>0.65498718595848215</v>
      </c>
      <c r="T187" s="19"/>
      <c r="U187" s="19"/>
      <c r="V187" s="19"/>
      <c r="W187" s="19"/>
    </row>
    <row r="188" spans="1:23" ht="15.75" customHeight="1">
      <c r="A188" s="8">
        <v>40901</v>
      </c>
      <c r="B188" s="8">
        <v>184</v>
      </c>
      <c r="C188" s="8">
        <v>71.777779638767242</v>
      </c>
      <c r="D188" s="8">
        <v>2013</v>
      </c>
      <c r="E188" s="19">
        <f t="shared" si="0"/>
        <v>9.1405861897665183E-2</v>
      </c>
      <c r="F188" s="19">
        <f t="shared" si="1"/>
        <v>0.39009662847156112</v>
      </c>
      <c r="G188" s="19">
        <f t="shared" si="2"/>
        <v>3.565711854881632E-2</v>
      </c>
      <c r="H188" s="8">
        <v>1151</v>
      </c>
      <c r="I188" s="8">
        <v>418.55556571483612</v>
      </c>
      <c r="J188" s="8">
        <v>12468</v>
      </c>
      <c r="K188" s="19">
        <f t="shared" si="3"/>
        <v>9.2316329804299005E-2</v>
      </c>
      <c r="L188" s="19">
        <f t="shared" si="4"/>
        <v>0.36364514831871081</v>
      </c>
      <c r="M188" s="19">
        <f t="shared" si="5"/>
        <v>3.3570385443923337E-2</v>
      </c>
      <c r="N188" s="19">
        <f t="shared" si="6"/>
        <v>0.94147779770717743</v>
      </c>
      <c r="T188" s="19"/>
      <c r="U188" s="19"/>
      <c r="V188" s="19"/>
      <c r="W188" s="19"/>
    </row>
    <row r="189" spans="1:23" ht="15.75" customHeight="1">
      <c r="A189" s="8">
        <v>40902</v>
      </c>
      <c r="B189" s="8">
        <v>0</v>
      </c>
      <c r="C189" s="8">
        <v>0</v>
      </c>
      <c r="D189" s="8">
        <v>96</v>
      </c>
      <c r="E189" s="19">
        <f t="shared" si="0"/>
        <v>0</v>
      </c>
      <c r="F189" s="19">
        <v>0</v>
      </c>
      <c r="G189" s="19">
        <f t="shared" si="2"/>
        <v>0</v>
      </c>
      <c r="H189" s="8">
        <v>136</v>
      </c>
      <c r="I189" s="8">
        <v>53.222223103046417</v>
      </c>
      <c r="J189" s="8">
        <v>1240</v>
      </c>
      <c r="K189" s="19">
        <f t="shared" si="3"/>
        <v>0.10967741935483871</v>
      </c>
      <c r="L189" s="19">
        <f t="shared" si="4"/>
        <v>0.39133987575769424</v>
      </c>
      <c r="M189" s="19">
        <f t="shared" si="5"/>
        <v>4.2921147663747113E-2</v>
      </c>
      <c r="N189" s="19">
        <v>0</v>
      </c>
      <c r="T189" s="19"/>
      <c r="U189" s="19"/>
      <c r="V189" s="19"/>
      <c r="W189" s="19"/>
    </row>
    <row r="190" spans="1:23" ht="15.75" customHeight="1">
      <c r="A190" s="8">
        <v>40903</v>
      </c>
      <c r="B190" s="8">
        <v>14</v>
      </c>
      <c r="C190" s="8">
        <v>4.7777779102325439</v>
      </c>
      <c r="D190" s="8">
        <v>39</v>
      </c>
      <c r="E190" s="19">
        <f t="shared" si="0"/>
        <v>0.35897435897435898</v>
      </c>
      <c r="F190" s="19">
        <f t="shared" ref="F190:F227" si="14">C190/B190</f>
        <v>0.341269850730896</v>
      </c>
      <c r="G190" s="19">
        <f t="shared" si="2"/>
        <v>0.12250712590339856</v>
      </c>
      <c r="H190" s="8">
        <v>828</v>
      </c>
      <c r="I190" s="8">
        <v>315.55556318163872</v>
      </c>
      <c r="J190" s="8">
        <v>2242</v>
      </c>
      <c r="K190" s="19">
        <f t="shared" si="3"/>
        <v>0.36931311329170385</v>
      </c>
      <c r="L190" s="19">
        <f t="shared" si="4"/>
        <v>0.38110575263482938</v>
      </c>
      <c r="M190" s="19">
        <f t="shared" si="5"/>
        <v>0.14074735199894681</v>
      </c>
      <c r="N190" s="19">
        <f t="shared" ref="N190:N227" si="15">M190/G190</f>
        <v>1.1488911437684968</v>
      </c>
      <c r="T190" s="19"/>
      <c r="U190" s="19"/>
      <c r="V190" s="19"/>
      <c r="W190" s="19"/>
    </row>
    <row r="191" spans="1:23" ht="15.75" customHeight="1">
      <c r="A191" s="8">
        <v>41001</v>
      </c>
      <c r="B191" s="8">
        <v>295</v>
      </c>
      <c r="C191" s="8">
        <v>105.66666924953461</v>
      </c>
      <c r="D191" s="8">
        <v>1121</v>
      </c>
      <c r="E191" s="19">
        <f t="shared" si="0"/>
        <v>0.26315789473684209</v>
      </c>
      <c r="F191" s="19">
        <f t="shared" si="14"/>
        <v>0.35819209915096478</v>
      </c>
      <c r="G191" s="19">
        <f t="shared" si="2"/>
        <v>9.4261078723938102E-2</v>
      </c>
      <c r="H191" s="8">
        <v>3513</v>
      </c>
      <c r="I191" s="8">
        <v>1270.5555872321129</v>
      </c>
      <c r="J191" s="8">
        <v>10802</v>
      </c>
      <c r="K191" s="19">
        <f t="shared" si="3"/>
        <v>0.32521755230512867</v>
      </c>
      <c r="L191" s="19">
        <f t="shared" si="4"/>
        <v>0.36167252696615793</v>
      </c>
      <c r="M191" s="19">
        <f t="shared" si="5"/>
        <v>0.11762225395594453</v>
      </c>
      <c r="N191" s="19">
        <f t="shared" si="15"/>
        <v>1.2478347961667633</v>
      </c>
      <c r="T191" s="19"/>
      <c r="U191" s="19"/>
      <c r="V191" s="19"/>
      <c r="W191" s="19"/>
    </row>
    <row r="192" spans="1:23" ht="15.75" customHeight="1">
      <c r="A192" s="8">
        <v>41101</v>
      </c>
      <c r="B192" s="8">
        <v>45</v>
      </c>
      <c r="C192" s="8">
        <v>15.777778178453445</v>
      </c>
      <c r="D192" s="8">
        <v>434</v>
      </c>
      <c r="E192" s="19">
        <f t="shared" si="0"/>
        <v>0.10368663594470046</v>
      </c>
      <c r="F192" s="19">
        <f t="shared" si="14"/>
        <v>0.35061729285452103</v>
      </c>
      <c r="G192" s="19">
        <f t="shared" si="2"/>
        <v>3.6354327600123144E-2</v>
      </c>
      <c r="H192" s="8">
        <v>592</v>
      </c>
      <c r="I192" s="8">
        <v>215.33333900570869</v>
      </c>
      <c r="J192" s="8">
        <v>4815</v>
      </c>
      <c r="K192" s="19">
        <f t="shared" si="3"/>
        <v>0.12294911734164071</v>
      </c>
      <c r="L192" s="19">
        <f t="shared" si="4"/>
        <v>0.36373874832045389</v>
      </c>
      <c r="M192" s="19">
        <f t="shared" si="5"/>
        <v>4.4721358048953004E-2</v>
      </c>
      <c r="N192" s="19">
        <f t="shared" si="15"/>
        <v>1.230152254247759</v>
      </c>
      <c r="T192" s="19"/>
      <c r="U192" s="19"/>
      <c r="V192" s="19"/>
      <c r="W192" s="19"/>
    </row>
    <row r="193" spans="1:23" ht="15.75" customHeight="1">
      <c r="A193" s="8">
        <v>41201</v>
      </c>
      <c r="B193" s="8">
        <v>170</v>
      </c>
      <c r="C193" s="8">
        <v>61.777779310941696</v>
      </c>
      <c r="D193" s="8">
        <v>654</v>
      </c>
      <c r="E193" s="19">
        <f t="shared" si="0"/>
        <v>0.25993883792048927</v>
      </c>
      <c r="F193" s="19">
        <f t="shared" si="14"/>
        <v>0.3633987018290688</v>
      </c>
      <c r="G193" s="19">
        <f t="shared" si="2"/>
        <v>9.4461436255262529E-2</v>
      </c>
      <c r="H193" s="8">
        <v>1715</v>
      </c>
      <c r="I193" s="8">
        <v>641.33334875106812</v>
      </c>
      <c r="J193" s="8">
        <v>5493</v>
      </c>
      <c r="K193" s="19">
        <f t="shared" si="3"/>
        <v>0.3122155470598944</v>
      </c>
      <c r="L193" s="19">
        <f t="shared" si="4"/>
        <v>0.37395530539420879</v>
      </c>
      <c r="M193" s="19">
        <f t="shared" si="5"/>
        <v>0.11675466024960278</v>
      </c>
      <c r="N193" s="19">
        <f t="shared" si="15"/>
        <v>1.2360034409607896</v>
      </c>
      <c r="T193" s="19"/>
      <c r="U193" s="19"/>
      <c r="V193" s="19"/>
      <c r="W193" s="19"/>
    </row>
    <row r="194" spans="1:23" ht="15.75" customHeight="1">
      <c r="A194" s="8">
        <v>41202</v>
      </c>
      <c r="B194" s="8">
        <v>25</v>
      </c>
      <c r="C194" s="8">
        <v>9.2222224771976471</v>
      </c>
      <c r="D194" s="8">
        <v>280</v>
      </c>
      <c r="E194" s="19">
        <f t="shared" si="0"/>
        <v>8.9285714285714288E-2</v>
      </c>
      <c r="F194" s="19">
        <f t="shared" si="14"/>
        <v>0.3688888990879059</v>
      </c>
      <c r="G194" s="19">
        <f t="shared" si="2"/>
        <v>3.2936508847134456E-2</v>
      </c>
      <c r="H194" s="8">
        <v>624</v>
      </c>
      <c r="I194" s="8">
        <v>224.77778348326683</v>
      </c>
      <c r="J194" s="8">
        <v>2697</v>
      </c>
      <c r="K194" s="19">
        <f t="shared" si="3"/>
        <v>0.23136818687430477</v>
      </c>
      <c r="L194" s="19">
        <f t="shared" si="4"/>
        <v>0.36022080686420965</v>
      </c>
      <c r="M194" s="19">
        <f t="shared" si="5"/>
        <v>8.3343634958571305E-2</v>
      </c>
      <c r="N194" s="19">
        <f t="shared" si="15"/>
        <v>2.5304331842025927</v>
      </c>
      <c r="T194" s="19"/>
      <c r="U194" s="19"/>
      <c r="V194" s="19"/>
      <c r="W194" s="19"/>
    </row>
    <row r="195" spans="1:23" ht="15.75" customHeight="1">
      <c r="A195" s="8">
        <v>41301</v>
      </c>
      <c r="B195" s="8">
        <v>192</v>
      </c>
      <c r="C195" s="8">
        <v>70.555557310581207</v>
      </c>
      <c r="D195" s="8">
        <v>568</v>
      </c>
      <c r="E195" s="19">
        <f t="shared" si="0"/>
        <v>0.3380281690140845</v>
      </c>
      <c r="F195" s="19">
        <f t="shared" si="14"/>
        <v>0.36747686099261045</v>
      </c>
      <c r="G195" s="19">
        <f t="shared" si="2"/>
        <v>0.12421753047637536</v>
      </c>
      <c r="H195" s="8">
        <v>2131</v>
      </c>
      <c r="I195" s="8">
        <v>793.22224226593971</v>
      </c>
      <c r="J195" s="8">
        <v>5811</v>
      </c>
      <c r="K195" s="19">
        <f t="shared" si="3"/>
        <v>0.36671829289278951</v>
      </c>
      <c r="L195" s="19">
        <f t="shared" si="4"/>
        <v>0.37223005268228049</v>
      </c>
      <c r="M195" s="19">
        <f t="shared" si="5"/>
        <v>0.13650356948303902</v>
      </c>
      <c r="N195" s="19">
        <f t="shared" si="15"/>
        <v>1.0989074485666119</v>
      </c>
      <c r="T195" s="19"/>
      <c r="U195" s="19"/>
      <c r="V195" s="19"/>
      <c r="W195" s="19"/>
    </row>
    <row r="196" spans="1:23" ht="15.75" customHeight="1">
      <c r="A196" s="8">
        <v>41401</v>
      </c>
      <c r="B196" s="8">
        <v>227</v>
      </c>
      <c r="C196" s="8">
        <v>85.333335191011429</v>
      </c>
      <c r="D196" s="8">
        <v>1249</v>
      </c>
      <c r="E196" s="19">
        <f t="shared" si="0"/>
        <v>0.18174539631705364</v>
      </c>
      <c r="F196" s="19">
        <f t="shared" si="14"/>
        <v>0.37591777617185651</v>
      </c>
      <c r="G196" s="19">
        <f t="shared" si="2"/>
        <v>6.8321325212979525E-2</v>
      </c>
      <c r="H196" s="8">
        <v>2262</v>
      </c>
      <c r="I196" s="8">
        <v>851.22224324941635</v>
      </c>
      <c r="J196" s="8">
        <v>11975</v>
      </c>
      <c r="K196" s="19">
        <f t="shared" si="3"/>
        <v>0.18889352818371608</v>
      </c>
      <c r="L196" s="19">
        <f t="shared" si="4"/>
        <v>0.37631398905809743</v>
      </c>
      <c r="M196" s="19">
        <f t="shared" si="5"/>
        <v>7.1083277098072356E-2</v>
      </c>
      <c r="N196" s="19">
        <f t="shared" si="15"/>
        <v>1.0404259120630774</v>
      </c>
      <c r="T196" s="19"/>
      <c r="U196" s="19"/>
      <c r="V196" s="19"/>
      <c r="W196" s="19"/>
    </row>
    <row r="197" spans="1:23" ht="15.75" customHeight="1">
      <c r="A197" s="8">
        <v>41501</v>
      </c>
      <c r="B197" s="8">
        <v>10</v>
      </c>
      <c r="C197" s="8">
        <v>4.2222222685813904</v>
      </c>
      <c r="D197" s="8">
        <v>106</v>
      </c>
      <c r="E197" s="19">
        <f t="shared" si="0"/>
        <v>9.4339622641509441E-2</v>
      </c>
      <c r="F197" s="19">
        <f t="shared" si="14"/>
        <v>0.42222222685813904</v>
      </c>
      <c r="G197" s="19">
        <f t="shared" si="2"/>
        <v>3.9832285552654632E-2</v>
      </c>
      <c r="H197" s="8">
        <v>380</v>
      </c>
      <c r="I197" s="8">
        <v>151.55555957555771</v>
      </c>
      <c r="J197" s="8">
        <v>1109</v>
      </c>
      <c r="K197" s="19">
        <f t="shared" si="3"/>
        <v>0.34265103697024346</v>
      </c>
      <c r="L197" s="19">
        <f t="shared" si="4"/>
        <v>0.39883041993567819</v>
      </c>
      <c r="M197" s="19">
        <f t="shared" si="5"/>
        <v>0.1366596569662378</v>
      </c>
      <c r="N197" s="19">
        <f t="shared" si="15"/>
        <v>3.4308766135346729</v>
      </c>
      <c r="T197" s="19"/>
      <c r="U197" s="19"/>
      <c r="V197" s="19"/>
      <c r="W197" s="19"/>
    </row>
    <row r="198" spans="1:23" ht="15.75" customHeight="1">
      <c r="A198" s="8">
        <v>41502</v>
      </c>
      <c r="B198" s="8">
        <v>8</v>
      </c>
      <c r="C198" s="8">
        <v>2.6666667461395264</v>
      </c>
      <c r="D198" s="8">
        <v>83</v>
      </c>
      <c r="E198" s="19">
        <f t="shared" si="0"/>
        <v>9.6385542168674704E-2</v>
      </c>
      <c r="F198" s="19">
        <f t="shared" si="14"/>
        <v>0.3333333432674408</v>
      </c>
      <c r="G198" s="19">
        <f t="shared" si="2"/>
        <v>3.2128515013729236E-2</v>
      </c>
      <c r="H198" s="8">
        <v>136</v>
      </c>
      <c r="I198" s="8">
        <v>50.000001072883606</v>
      </c>
      <c r="J198" s="8">
        <v>988</v>
      </c>
      <c r="K198" s="19">
        <f t="shared" si="3"/>
        <v>0.13765182186234817</v>
      </c>
      <c r="L198" s="19">
        <f t="shared" si="4"/>
        <v>0.36764706671237946</v>
      </c>
      <c r="M198" s="19">
        <f t="shared" si="5"/>
        <v>5.0607288535307292E-2</v>
      </c>
      <c r="N198" s="19">
        <f t="shared" si="15"/>
        <v>1.5751518087182572</v>
      </c>
      <c r="T198" s="19"/>
      <c r="U198" s="19"/>
      <c r="V198" s="19"/>
      <c r="W198" s="19"/>
    </row>
    <row r="199" spans="1:23" ht="15.75" customHeight="1">
      <c r="A199" s="8">
        <v>41503</v>
      </c>
      <c r="B199" s="8">
        <v>21</v>
      </c>
      <c r="C199" s="8">
        <v>8.0000001490116119</v>
      </c>
      <c r="D199" s="8">
        <v>177</v>
      </c>
      <c r="E199" s="19">
        <f t="shared" si="0"/>
        <v>0.11864406779661017</v>
      </c>
      <c r="F199" s="19">
        <f t="shared" si="14"/>
        <v>0.380952388048172</v>
      </c>
      <c r="G199" s="19">
        <f t="shared" si="2"/>
        <v>4.5197740954867865E-2</v>
      </c>
      <c r="H199" s="8">
        <v>180</v>
      </c>
      <c r="I199" s="8">
        <v>66.222223788499832</v>
      </c>
      <c r="J199" s="8">
        <v>907</v>
      </c>
      <c r="K199" s="19">
        <f t="shared" si="3"/>
        <v>0.19845644983461963</v>
      </c>
      <c r="L199" s="19">
        <f t="shared" si="4"/>
        <v>0.36790124326944351</v>
      </c>
      <c r="M199" s="19">
        <f t="shared" si="5"/>
        <v>7.3012374628996513E-2</v>
      </c>
      <c r="N199" s="19">
        <f t="shared" si="15"/>
        <v>1.6153987585774012</v>
      </c>
      <c r="T199" s="19"/>
      <c r="U199" s="19"/>
      <c r="V199" s="19"/>
      <c r="W199" s="19"/>
    </row>
    <row r="200" spans="1:23" ht="15.75" customHeight="1">
      <c r="A200" s="8">
        <v>41601</v>
      </c>
      <c r="B200" s="8">
        <v>112</v>
      </c>
      <c r="C200" s="8">
        <v>38.000001072883606</v>
      </c>
      <c r="D200" s="8">
        <v>559</v>
      </c>
      <c r="E200" s="19">
        <f t="shared" si="0"/>
        <v>0.2003577817531306</v>
      </c>
      <c r="F200" s="19">
        <f t="shared" si="14"/>
        <v>0.3392857238650322</v>
      </c>
      <c r="G200" s="19">
        <f t="shared" si="2"/>
        <v>6.7978535014103059E-2</v>
      </c>
      <c r="H200" s="8">
        <v>1739</v>
      </c>
      <c r="I200" s="8">
        <v>637.55557134747505</v>
      </c>
      <c r="J200" s="8">
        <v>5321</v>
      </c>
      <c r="K200" s="19">
        <f t="shared" si="3"/>
        <v>0.32681826724299945</v>
      </c>
      <c r="L200" s="19">
        <f t="shared" si="4"/>
        <v>0.36662195017106097</v>
      </c>
      <c r="M200" s="19">
        <f t="shared" si="5"/>
        <v>0.11981875048815543</v>
      </c>
      <c r="N200" s="19">
        <f t="shared" si="15"/>
        <v>1.7625968324162535</v>
      </c>
      <c r="T200" s="19"/>
      <c r="U200" s="19"/>
      <c r="V200" s="19"/>
      <c r="W200" s="19"/>
    </row>
    <row r="201" spans="1:23" ht="15.75" customHeight="1">
      <c r="A201" s="8">
        <v>50101</v>
      </c>
      <c r="B201" s="8">
        <v>768</v>
      </c>
      <c r="C201" s="8">
        <v>289.66667369008064</v>
      </c>
      <c r="D201" s="8">
        <v>13132</v>
      </c>
      <c r="E201" s="19">
        <f t="shared" si="0"/>
        <v>5.8483094730429487E-2</v>
      </c>
      <c r="F201" s="19">
        <f t="shared" si="14"/>
        <v>0.37717014803395915</v>
      </c>
      <c r="G201" s="19">
        <f t="shared" si="2"/>
        <v>2.2058077496960145E-2</v>
      </c>
      <c r="H201" s="8">
        <v>6450</v>
      </c>
      <c r="I201" s="8">
        <v>2344.0000604391098</v>
      </c>
      <c r="J201" s="8">
        <v>197558</v>
      </c>
      <c r="K201" s="19">
        <f t="shared" si="3"/>
        <v>3.2648639893094689E-2</v>
      </c>
      <c r="L201" s="19">
        <f t="shared" si="4"/>
        <v>0.36341086208358292</v>
      </c>
      <c r="M201" s="19">
        <f t="shared" si="5"/>
        <v>1.1864870369405997E-2</v>
      </c>
      <c r="N201" s="19">
        <f t="shared" si="15"/>
        <v>0.53789231500529056</v>
      </c>
      <c r="T201" s="19"/>
      <c r="U201" s="19"/>
      <c r="V201" s="19"/>
      <c r="W201" s="19"/>
    </row>
    <row r="202" spans="1:23" ht="15.75" customHeight="1">
      <c r="A202" s="8">
        <v>50102</v>
      </c>
      <c r="B202" s="8">
        <v>451</v>
      </c>
      <c r="C202" s="8">
        <v>165.44444817304611</v>
      </c>
      <c r="D202" s="8">
        <v>1668</v>
      </c>
      <c r="E202" s="19">
        <f t="shared" si="0"/>
        <v>0.27038369304556353</v>
      </c>
      <c r="F202" s="19">
        <f t="shared" si="14"/>
        <v>0.36683913120409339</v>
      </c>
      <c r="G202" s="19">
        <f t="shared" si="2"/>
        <v>9.9187319048588796E-2</v>
      </c>
      <c r="H202" s="8">
        <v>9353</v>
      </c>
      <c r="I202" s="8">
        <v>3641.0000914037228</v>
      </c>
      <c r="J202" s="8">
        <v>26637</v>
      </c>
      <c r="K202" s="19">
        <f t="shared" si="3"/>
        <v>0.35112813004467469</v>
      </c>
      <c r="L202" s="19">
        <f t="shared" si="4"/>
        <v>0.38928686960373388</v>
      </c>
      <c r="M202" s="19">
        <f t="shared" si="5"/>
        <v>0.13668957057490419</v>
      </c>
      <c r="N202" s="19">
        <f t="shared" si="15"/>
        <v>1.3780952231196431</v>
      </c>
      <c r="T202" s="19"/>
      <c r="U202" s="19"/>
      <c r="V202" s="19"/>
      <c r="W202" s="19"/>
    </row>
    <row r="203" spans="1:23" ht="15.75" customHeight="1">
      <c r="A203" s="8">
        <v>50103</v>
      </c>
      <c r="B203" s="8">
        <v>104</v>
      </c>
      <c r="C203" s="8">
        <v>38.222223043441772</v>
      </c>
      <c r="D203" s="8">
        <v>1445</v>
      </c>
      <c r="E203" s="19">
        <f t="shared" si="0"/>
        <v>7.1972318339100352E-2</v>
      </c>
      <c r="F203" s="19">
        <f t="shared" si="14"/>
        <v>0.36752137541770935</v>
      </c>
      <c r="G203" s="19">
        <f t="shared" si="2"/>
        <v>2.645136542798739E-2</v>
      </c>
      <c r="H203" s="8">
        <v>885</v>
      </c>
      <c r="I203" s="8">
        <v>317.44445249438286</v>
      </c>
      <c r="J203" s="8">
        <v>10434</v>
      </c>
      <c r="K203" s="19">
        <f t="shared" si="3"/>
        <v>8.4818861414606095E-2</v>
      </c>
      <c r="L203" s="19">
        <f t="shared" si="4"/>
        <v>0.35869429660382246</v>
      </c>
      <c r="M203" s="19">
        <f t="shared" si="5"/>
        <v>3.0424041833849232E-2</v>
      </c>
      <c r="N203" s="19">
        <f t="shared" si="15"/>
        <v>1.1501879521749934</v>
      </c>
      <c r="T203" s="19"/>
      <c r="U203" s="19"/>
      <c r="V203" s="19"/>
      <c r="W203" s="19"/>
    </row>
    <row r="204" spans="1:23" ht="15.75" customHeight="1">
      <c r="A204" s="8">
        <v>50104</v>
      </c>
      <c r="B204" s="8">
        <v>46</v>
      </c>
      <c r="C204" s="8">
        <v>16.333333730697632</v>
      </c>
      <c r="D204" s="8">
        <v>184</v>
      </c>
      <c r="E204" s="19">
        <f t="shared" si="0"/>
        <v>0.25</v>
      </c>
      <c r="F204" s="19">
        <f t="shared" si="14"/>
        <v>0.35507247240647027</v>
      </c>
      <c r="G204" s="19">
        <f t="shared" si="2"/>
        <v>8.8768118101617569E-2</v>
      </c>
      <c r="H204" s="8">
        <v>1092</v>
      </c>
      <c r="I204" s="8">
        <v>411.44445437192917</v>
      </c>
      <c r="J204" s="8">
        <v>2916</v>
      </c>
      <c r="K204" s="19">
        <f t="shared" si="3"/>
        <v>0.37448559670781895</v>
      </c>
      <c r="L204" s="19">
        <f t="shared" si="4"/>
        <v>0.37678063587173</v>
      </c>
      <c r="M204" s="19">
        <f t="shared" si="5"/>
        <v>0.14109892125237625</v>
      </c>
      <c r="N204" s="19">
        <f t="shared" si="15"/>
        <v>1.5895225027847593</v>
      </c>
      <c r="T204" s="19"/>
      <c r="U204" s="19"/>
      <c r="V204" s="19"/>
      <c r="W204" s="19"/>
    </row>
    <row r="205" spans="1:23" ht="15.75" customHeight="1">
      <c r="A205" s="8">
        <v>50201</v>
      </c>
      <c r="B205" s="8">
        <v>237</v>
      </c>
      <c r="C205" s="8">
        <v>89.888891190290451</v>
      </c>
      <c r="D205" s="8">
        <v>1518</v>
      </c>
      <c r="E205" s="19">
        <f t="shared" si="0"/>
        <v>0.15612648221343872</v>
      </c>
      <c r="F205" s="19">
        <f t="shared" si="14"/>
        <v>0.37927802189995968</v>
      </c>
      <c r="G205" s="19">
        <f t="shared" si="2"/>
        <v>5.9215343340112275E-2</v>
      </c>
      <c r="H205" s="8">
        <v>3322</v>
      </c>
      <c r="I205" s="8">
        <v>1230.1111413240433</v>
      </c>
      <c r="J205" s="8">
        <v>20224</v>
      </c>
      <c r="K205" s="19">
        <f t="shared" si="3"/>
        <v>0.16426028481012658</v>
      </c>
      <c r="L205" s="19">
        <f t="shared" si="4"/>
        <v>0.37029233634077163</v>
      </c>
      <c r="M205" s="19">
        <f t="shared" si="5"/>
        <v>6.0824324630342333E-2</v>
      </c>
      <c r="N205" s="19">
        <f t="shared" si="15"/>
        <v>1.0271716957037407</v>
      </c>
      <c r="T205" s="19"/>
      <c r="U205" s="19"/>
      <c r="V205" s="19"/>
      <c r="W205" s="19"/>
    </row>
    <row r="206" spans="1:23" ht="15.75" customHeight="1">
      <c r="A206" s="8">
        <v>50202</v>
      </c>
      <c r="B206" s="8">
        <v>104</v>
      </c>
      <c r="C206" s="8">
        <v>38.666667699813843</v>
      </c>
      <c r="D206" s="8">
        <v>1152</v>
      </c>
      <c r="E206" s="19">
        <f t="shared" si="0"/>
        <v>9.0277777777777776E-2</v>
      </c>
      <c r="F206" s="19">
        <f t="shared" si="14"/>
        <v>0.37179488172897923</v>
      </c>
      <c r="G206" s="19">
        <f t="shared" si="2"/>
        <v>3.3564815711643957E-2</v>
      </c>
      <c r="H206" s="8">
        <v>2039</v>
      </c>
      <c r="I206" s="8">
        <v>757.88890796899796</v>
      </c>
      <c r="J206" s="8">
        <v>14257</v>
      </c>
      <c r="K206" s="19">
        <f t="shared" si="3"/>
        <v>0.14301746510486077</v>
      </c>
      <c r="L206" s="19">
        <f t="shared" si="4"/>
        <v>0.37169637467827266</v>
      </c>
      <c r="M206" s="19">
        <f t="shared" si="5"/>
        <v>5.3159073295153111E-2</v>
      </c>
      <c r="N206" s="19">
        <f t="shared" si="15"/>
        <v>1.5837737275796131</v>
      </c>
      <c r="T206" s="19"/>
      <c r="U206" s="19"/>
      <c r="V206" s="19"/>
      <c r="W206" s="19"/>
    </row>
    <row r="207" spans="1:23" ht="15.75" customHeight="1">
      <c r="A207" s="8">
        <v>50203</v>
      </c>
      <c r="B207" s="8">
        <v>331</v>
      </c>
      <c r="C207" s="8">
        <v>122.2222253382206</v>
      </c>
      <c r="D207" s="8">
        <v>4849</v>
      </c>
      <c r="E207" s="19">
        <f t="shared" si="0"/>
        <v>6.8261497215920813E-2</v>
      </c>
      <c r="F207" s="19">
        <f t="shared" si="14"/>
        <v>0.36925143606713173</v>
      </c>
      <c r="G207" s="19">
        <f t="shared" si="2"/>
        <v>2.5205655875071276E-2</v>
      </c>
      <c r="H207" s="8">
        <v>2487</v>
      </c>
      <c r="I207" s="8">
        <v>925.66669002175331</v>
      </c>
      <c r="J207" s="8">
        <v>35819</v>
      </c>
      <c r="K207" s="19">
        <f t="shared" si="3"/>
        <v>6.9432424132443674E-2</v>
      </c>
      <c r="L207" s="19">
        <f t="shared" si="4"/>
        <v>0.37220212706946254</v>
      </c>
      <c r="M207" s="19">
        <f t="shared" si="5"/>
        <v>2.5842895949684617E-2</v>
      </c>
      <c r="N207" s="19">
        <f t="shared" si="15"/>
        <v>1.0252816303520029</v>
      </c>
      <c r="T207" s="19"/>
      <c r="U207" s="19"/>
      <c r="V207" s="19"/>
      <c r="W207" s="19"/>
    </row>
    <row r="208" spans="1:23" ht="15.75" customHeight="1">
      <c r="A208" s="8">
        <v>50204</v>
      </c>
      <c r="B208" s="8">
        <v>97</v>
      </c>
      <c r="C208" s="8">
        <v>34.666667491197586</v>
      </c>
      <c r="D208" s="8">
        <v>581</v>
      </c>
      <c r="E208" s="19">
        <f t="shared" si="0"/>
        <v>0.16695352839931152</v>
      </c>
      <c r="F208" s="19">
        <f t="shared" si="14"/>
        <v>0.35738832465152148</v>
      </c>
      <c r="G208" s="19">
        <f t="shared" si="2"/>
        <v>5.9667241809290159E-2</v>
      </c>
      <c r="H208" s="8">
        <v>1973</v>
      </c>
      <c r="I208" s="8">
        <v>753.77779752016068</v>
      </c>
      <c r="J208" s="8">
        <v>7477</v>
      </c>
      <c r="K208" s="19">
        <f t="shared" si="3"/>
        <v>0.26387588605055501</v>
      </c>
      <c r="L208" s="19">
        <f t="shared" si="4"/>
        <v>0.382046526872864</v>
      </c>
      <c r="M208" s="19">
        <f t="shared" si="5"/>
        <v>0.10081286579111416</v>
      </c>
      <c r="N208" s="19">
        <f t="shared" si="15"/>
        <v>1.6895848162939158</v>
      </c>
      <c r="T208" s="19"/>
      <c r="U208" s="19"/>
      <c r="V208" s="19"/>
      <c r="W208" s="19"/>
    </row>
    <row r="209" spans="1:23" ht="15.75" customHeight="1">
      <c r="A209" s="8">
        <v>50301</v>
      </c>
      <c r="B209" s="8">
        <v>395</v>
      </c>
      <c r="C209" s="8">
        <v>152.33333712816238</v>
      </c>
      <c r="D209" s="8">
        <v>2095</v>
      </c>
      <c r="E209" s="19">
        <f t="shared" si="0"/>
        <v>0.18854415274463007</v>
      </c>
      <c r="F209" s="19">
        <f t="shared" si="14"/>
        <v>0.38565401804598071</v>
      </c>
      <c r="G209" s="19">
        <f t="shared" si="2"/>
        <v>7.2712810085041713E-2</v>
      </c>
      <c r="H209" s="8">
        <v>6050</v>
      </c>
      <c r="I209" s="8">
        <v>2291.555613219738</v>
      </c>
      <c r="J209" s="8">
        <v>28783</v>
      </c>
      <c r="K209" s="19">
        <f t="shared" si="3"/>
        <v>0.21019351700656638</v>
      </c>
      <c r="L209" s="19">
        <f t="shared" si="4"/>
        <v>0.37876952284623766</v>
      </c>
      <c r="M209" s="19">
        <f t="shared" si="5"/>
        <v>7.9614898141949692E-2</v>
      </c>
      <c r="N209" s="19">
        <f t="shared" si="15"/>
        <v>1.0949225872144894</v>
      </c>
      <c r="T209" s="19"/>
      <c r="U209" s="19"/>
      <c r="V209" s="19"/>
      <c r="W209" s="19"/>
    </row>
    <row r="210" spans="1:23" ht="15.75" customHeight="1">
      <c r="A210" s="8">
        <v>50302</v>
      </c>
      <c r="B210" s="8">
        <v>183</v>
      </c>
      <c r="C210" s="8">
        <v>69.222223669290543</v>
      </c>
      <c r="D210" s="8">
        <v>806</v>
      </c>
      <c r="E210" s="19">
        <f t="shared" si="0"/>
        <v>0.22704714640198512</v>
      </c>
      <c r="F210" s="19">
        <f t="shared" si="14"/>
        <v>0.37826351731852753</v>
      </c>
      <c r="G210" s="19">
        <f t="shared" si="2"/>
        <v>8.5883652195149554E-2</v>
      </c>
      <c r="H210" s="8">
        <v>1569</v>
      </c>
      <c r="I210" s="8">
        <v>592.11112529039383</v>
      </c>
      <c r="J210" s="8">
        <v>8156</v>
      </c>
      <c r="K210" s="19">
        <f t="shared" si="3"/>
        <v>0.19237371260421776</v>
      </c>
      <c r="L210" s="19">
        <f t="shared" si="4"/>
        <v>0.37738121433422167</v>
      </c>
      <c r="M210" s="19">
        <f t="shared" si="5"/>
        <v>7.2598225268562258E-2</v>
      </c>
      <c r="N210" s="19">
        <f t="shared" si="15"/>
        <v>0.84530901298422412</v>
      </c>
      <c r="T210" s="19"/>
      <c r="U210" s="19"/>
      <c r="V210" s="19"/>
      <c r="W210" s="19"/>
    </row>
    <row r="211" spans="1:23" ht="15.75" customHeight="1">
      <c r="A211" s="8">
        <v>50303</v>
      </c>
      <c r="B211" s="8">
        <v>523</v>
      </c>
      <c r="C211" s="8">
        <v>189.22222694754601</v>
      </c>
      <c r="D211" s="8">
        <v>1447</v>
      </c>
      <c r="E211" s="19">
        <f t="shared" si="0"/>
        <v>0.36143745680718731</v>
      </c>
      <c r="F211" s="19">
        <f t="shared" si="14"/>
        <v>0.36180158116165584</v>
      </c>
      <c r="G211" s="19">
        <f t="shared" si="2"/>
        <v>0.13076864336388805</v>
      </c>
      <c r="H211" s="8">
        <v>5682</v>
      </c>
      <c r="I211" s="8">
        <v>2229.2222790122032</v>
      </c>
      <c r="J211" s="8">
        <v>12634</v>
      </c>
      <c r="K211" s="19">
        <f t="shared" si="3"/>
        <v>0.44973880006332118</v>
      </c>
      <c r="L211" s="19">
        <f t="shared" si="4"/>
        <v>0.39233056652801884</v>
      </c>
      <c r="M211" s="19">
        <f t="shared" si="5"/>
        <v>0.1764462782184742</v>
      </c>
      <c r="N211" s="19">
        <f t="shared" si="15"/>
        <v>1.3493011296865689</v>
      </c>
      <c r="T211" s="19"/>
      <c r="U211" s="19"/>
      <c r="V211" s="19"/>
      <c r="W211" s="19"/>
    </row>
    <row r="212" spans="1:23" ht="15.75" customHeight="1">
      <c r="A212" s="8">
        <v>50401</v>
      </c>
      <c r="B212" s="8">
        <v>375</v>
      </c>
      <c r="C212" s="8">
        <v>140.88889226317406</v>
      </c>
      <c r="D212" s="8">
        <v>1688</v>
      </c>
      <c r="E212" s="19">
        <f t="shared" si="0"/>
        <v>0.22215639810426541</v>
      </c>
      <c r="F212" s="19">
        <f t="shared" si="14"/>
        <v>0.37570371270179748</v>
      </c>
      <c r="G212" s="19">
        <f t="shared" si="2"/>
        <v>8.346498356823108E-2</v>
      </c>
      <c r="H212" s="8">
        <v>4851</v>
      </c>
      <c r="I212" s="8">
        <v>1954.8889376819134</v>
      </c>
      <c r="J212" s="8">
        <v>13835</v>
      </c>
      <c r="K212" s="19">
        <f t="shared" si="3"/>
        <v>0.35063245392121434</v>
      </c>
      <c r="L212" s="19">
        <f t="shared" si="4"/>
        <v>0.40298679399750842</v>
      </c>
      <c r="M212" s="19">
        <f t="shared" si="5"/>
        <v>0.14130024847718928</v>
      </c>
      <c r="N212" s="19">
        <f t="shared" si="15"/>
        <v>1.6929284885281135</v>
      </c>
      <c r="T212" s="19"/>
      <c r="U212" s="19"/>
      <c r="V212" s="19"/>
      <c r="W212" s="19"/>
    </row>
    <row r="213" spans="1:23" ht="15.75" customHeight="1">
      <c r="A213" s="8">
        <v>50402</v>
      </c>
      <c r="B213" s="8">
        <v>405</v>
      </c>
      <c r="C213" s="8">
        <v>156.22222608327866</v>
      </c>
      <c r="D213" s="8">
        <v>1521</v>
      </c>
      <c r="E213" s="19">
        <f t="shared" si="0"/>
        <v>0.26627218934911245</v>
      </c>
      <c r="F213" s="19">
        <f t="shared" si="14"/>
        <v>0.38573389156365101</v>
      </c>
      <c r="G213" s="19">
        <f t="shared" si="2"/>
        <v>0.10271020781280649</v>
      </c>
      <c r="H213" s="8">
        <v>5460</v>
      </c>
      <c r="I213" s="8">
        <v>2199.6667230427265</v>
      </c>
      <c r="J213" s="8">
        <v>14830</v>
      </c>
      <c r="K213" s="19">
        <f t="shared" si="3"/>
        <v>0.36817262306136211</v>
      </c>
      <c r="L213" s="19">
        <f t="shared" si="4"/>
        <v>0.40286936319463856</v>
      </c>
      <c r="M213" s="19">
        <f t="shared" si="5"/>
        <v>0.14832547019843065</v>
      </c>
      <c r="N213" s="19">
        <f t="shared" si="15"/>
        <v>1.4441161531749582</v>
      </c>
      <c r="T213" s="19"/>
      <c r="U213" s="19"/>
      <c r="V213" s="19"/>
      <c r="W213" s="19"/>
    </row>
    <row r="214" spans="1:23" ht="15.75" customHeight="1">
      <c r="A214" s="8">
        <v>50403</v>
      </c>
      <c r="B214" s="8">
        <v>735</v>
      </c>
      <c r="C214" s="8">
        <v>275.8888955116272</v>
      </c>
      <c r="D214" s="8">
        <v>2912</v>
      </c>
      <c r="E214" s="19">
        <f t="shared" si="0"/>
        <v>0.25240384615384615</v>
      </c>
      <c r="F214" s="19">
        <f t="shared" si="14"/>
        <v>0.37535904151241795</v>
      </c>
      <c r="G214" s="19">
        <f t="shared" si="2"/>
        <v>9.4742065766355493E-2</v>
      </c>
      <c r="H214" s="8">
        <v>8488</v>
      </c>
      <c r="I214" s="8">
        <v>3244.1111938357353</v>
      </c>
      <c r="J214" s="8">
        <v>28874</v>
      </c>
      <c r="K214" s="19">
        <f t="shared" si="3"/>
        <v>0.29396689062824688</v>
      </c>
      <c r="L214" s="19">
        <f t="shared" si="4"/>
        <v>0.38219971652164647</v>
      </c>
      <c r="M214" s="19">
        <f t="shared" si="5"/>
        <v>0.11235406226486581</v>
      </c>
      <c r="N214" s="19">
        <f t="shared" si="15"/>
        <v>1.1858941575323412</v>
      </c>
      <c r="T214" s="19"/>
      <c r="U214" s="19"/>
      <c r="V214" s="19"/>
      <c r="W214" s="19"/>
    </row>
    <row r="215" spans="1:23" ht="15.75" customHeight="1">
      <c r="A215" s="8">
        <v>50404</v>
      </c>
      <c r="B215" s="8">
        <v>578</v>
      </c>
      <c r="C215" s="8">
        <v>223.33333930373192</v>
      </c>
      <c r="D215" s="8">
        <v>1631</v>
      </c>
      <c r="E215" s="19">
        <f t="shared" si="0"/>
        <v>0.35438381361128141</v>
      </c>
      <c r="F215" s="19">
        <f t="shared" si="14"/>
        <v>0.38638986038707945</v>
      </c>
      <c r="G215" s="19">
        <f t="shared" si="2"/>
        <v>0.13693031226470381</v>
      </c>
      <c r="H215" s="8">
        <v>4916</v>
      </c>
      <c r="I215" s="8">
        <v>1906.2222701907158</v>
      </c>
      <c r="J215" s="8">
        <v>12315</v>
      </c>
      <c r="K215" s="19">
        <f t="shared" si="3"/>
        <v>0.39918798213560697</v>
      </c>
      <c r="L215" s="19">
        <f t="shared" si="4"/>
        <v>0.3877588019102351</v>
      </c>
      <c r="M215" s="19">
        <f t="shared" si="5"/>
        <v>0.1547886536898673</v>
      </c>
      <c r="N215" s="19">
        <f t="shared" si="15"/>
        <v>1.1304191973990465</v>
      </c>
      <c r="T215" s="19"/>
      <c r="U215" s="19"/>
      <c r="V215" s="19"/>
      <c r="W215" s="19"/>
    </row>
    <row r="216" spans="1:23" ht="15.75" customHeight="1">
      <c r="A216" s="8">
        <v>50405</v>
      </c>
      <c r="B216" s="8">
        <v>390</v>
      </c>
      <c r="C216" s="8">
        <v>148.44444817304611</v>
      </c>
      <c r="D216" s="8">
        <v>1471</v>
      </c>
      <c r="E216" s="19">
        <f t="shared" si="0"/>
        <v>0.26512576478585997</v>
      </c>
      <c r="F216" s="19">
        <f t="shared" si="14"/>
        <v>0.38062679018729773</v>
      </c>
      <c r="G216" s="19">
        <f t="shared" si="2"/>
        <v>0.10091396884639438</v>
      </c>
      <c r="H216" s="8">
        <v>6142</v>
      </c>
      <c r="I216" s="8">
        <v>2358.4445024430752</v>
      </c>
      <c r="J216" s="8">
        <v>18858</v>
      </c>
      <c r="K216" s="19">
        <f t="shared" si="3"/>
        <v>0.32569731678863084</v>
      </c>
      <c r="L216" s="19">
        <f t="shared" si="4"/>
        <v>0.38398640547754398</v>
      </c>
      <c r="M216" s="19">
        <f t="shared" si="5"/>
        <v>0.12506334194734731</v>
      </c>
      <c r="N216" s="19">
        <f t="shared" si="15"/>
        <v>1.2393065437522506</v>
      </c>
      <c r="T216" s="19"/>
      <c r="U216" s="19"/>
      <c r="V216" s="19"/>
      <c r="W216" s="19"/>
    </row>
    <row r="217" spans="1:23" ht="15.75" customHeight="1">
      <c r="A217" s="8">
        <v>50501</v>
      </c>
      <c r="B217" s="8">
        <v>488</v>
      </c>
      <c r="C217" s="8">
        <v>192.22222703695297</v>
      </c>
      <c r="D217" s="8">
        <v>1457</v>
      </c>
      <c r="E217" s="19">
        <f t="shared" si="0"/>
        <v>0.33493479752916955</v>
      </c>
      <c r="F217" s="19">
        <f t="shared" si="14"/>
        <v>0.39389800622326426</v>
      </c>
      <c r="G217" s="19">
        <f t="shared" si="2"/>
        <v>0.13193014896153257</v>
      </c>
      <c r="H217" s="8">
        <v>13660</v>
      </c>
      <c r="I217" s="8">
        <v>5736.2223698496819</v>
      </c>
      <c r="J217" s="8">
        <v>26405</v>
      </c>
      <c r="K217" s="19">
        <f t="shared" si="3"/>
        <v>0.51732626396515813</v>
      </c>
      <c r="L217" s="19">
        <f t="shared" si="4"/>
        <v>0.41992843117494011</v>
      </c>
      <c r="M217" s="19">
        <f t="shared" si="5"/>
        <v>0.21724000643248181</v>
      </c>
      <c r="N217" s="19">
        <f t="shared" si="15"/>
        <v>1.6466289786106691</v>
      </c>
      <c r="T217" s="19"/>
      <c r="U217" s="19"/>
      <c r="V217" s="19"/>
      <c r="W217" s="19"/>
    </row>
    <row r="218" spans="1:23" ht="15.75" customHeight="1">
      <c r="A218" s="8">
        <v>50502</v>
      </c>
      <c r="B218" s="8">
        <v>258</v>
      </c>
      <c r="C218" s="8">
        <v>94.666668981313705</v>
      </c>
      <c r="D218" s="8">
        <v>970</v>
      </c>
      <c r="E218" s="19">
        <f t="shared" si="0"/>
        <v>0.26597938144329897</v>
      </c>
      <c r="F218" s="19">
        <f t="shared" si="14"/>
        <v>0.36692507357098336</v>
      </c>
      <c r="G218" s="19">
        <f t="shared" si="2"/>
        <v>9.7594504104447116E-2</v>
      </c>
      <c r="H218" s="8">
        <v>4059</v>
      </c>
      <c r="I218" s="8">
        <v>1658.2222630679607</v>
      </c>
      <c r="J218" s="8">
        <v>9394</v>
      </c>
      <c r="K218" s="19">
        <f t="shared" si="3"/>
        <v>0.43208430913348944</v>
      </c>
      <c r="L218" s="19">
        <f t="shared" si="4"/>
        <v>0.40852975192608049</v>
      </c>
      <c r="M218" s="19">
        <f t="shared" si="5"/>
        <v>0.17651929562145632</v>
      </c>
      <c r="N218" s="19">
        <f t="shared" si="15"/>
        <v>1.8087011890807161</v>
      </c>
      <c r="T218" s="19"/>
      <c r="U218" s="19"/>
      <c r="V218" s="19"/>
      <c r="W218" s="19"/>
    </row>
    <row r="219" spans="1:23" ht="15.75" customHeight="1">
      <c r="A219" s="8">
        <v>50601</v>
      </c>
      <c r="B219" s="8">
        <v>392</v>
      </c>
      <c r="C219" s="8">
        <v>141.33333680033684</v>
      </c>
      <c r="D219" s="8">
        <v>2258</v>
      </c>
      <c r="E219" s="19">
        <f t="shared" si="0"/>
        <v>0.17360496014171833</v>
      </c>
      <c r="F219" s="19">
        <f t="shared" si="14"/>
        <v>0.3605442265314715</v>
      </c>
      <c r="G219" s="19">
        <f t="shared" si="2"/>
        <v>6.2592266076322775E-2</v>
      </c>
      <c r="H219" s="8">
        <v>4947</v>
      </c>
      <c r="I219" s="8">
        <v>1892.8889368474483</v>
      </c>
      <c r="J219" s="8">
        <v>25837</v>
      </c>
      <c r="K219" s="19">
        <f t="shared" si="3"/>
        <v>0.19146959786352905</v>
      </c>
      <c r="L219" s="19">
        <f t="shared" si="4"/>
        <v>0.38263370463865948</v>
      </c>
      <c r="M219" s="19">
        <f t="shared" si="5"/>
        <v>7.3262721556196481E-2</v>
      </c>
      <c r="N219" s="19">
        <f t="shared" si="15"/>
        <v>1.1704756218102494</v>
      </c>
      <c r="T219" s="19"/>
      <c r="U219" s="19"/>
      <c r="V219" s="19"/>
      <c r="W219" s="19"/>
    </row>
    <row r="220" spans="1:23" ht="15.75" customHeight="1">
      <c r="A220" s="8">
        <v>50602</v>
      </c>
      <c r="B220" s="8">
        <v>135</v>
      </c>
      <c r="C220" s="8">
        <v>49.333334416151047</v>
      </c>
      <c r="D220" s="8">
        <v>728</v>
      </c>
      <c r="E220" s="19">
        <f t="shared" si="0"/>
        <v>0.18543956043956045</v>
      </c>
      <c r="F220" s="19">
        <f t="shared" si="14"/>
        <v>0.36543210678630406</v>
      </c>
      <c r="G220" s="19">
        <f t="shared" si="2"/>
        <v>6.7765569252954738E-2</v>
      </c>
      <c r="H220" s="8">
        <v>1308</v>
      </c>
      <c r="I220" s="8">
        <v>485.33334502577782</v>
      </c>
      <c r="J220" s="8">
        <v>8825</v>
      </c>
      <c r="K220" s="19">
        <f t="shared" si="3"/>
        <v>0.14821529745042492</v>
      </c>
      <c r="L220" s="19">
        <f t="shared" si="4"/>
        <v>0.37104995797077817</v>
      </c>
      <c r="M220" s="19">
        <f t="shared" si="5"/>
        <v>5.4995279889606549E-2</v>
      </c>
      <c r="N220" s="19">
        <f t="shared" si="15"/>
        <v>0.81155195028792038</v>
      </c>
      <c r="T220" s="19"/>
      <c r="U220" s="19"/>
      <c r="V220" s="19"/>
      <c r="W220" s="19"/>
    </row>
    <row r="221" spans="1:23" ht="15.75" customHeight="1">
      <c r="A221" s="8">
        <v>50701</v>
      </c>
      <c r="B221" s="8">
        <v>252</v>
      </c>
      <c r="C221" s="8">
        <v>91.333335548639297</v>
      </c>
      <c r="D221" s="8">
        <v>1370</v>
      </c>
      <c r="E221" s="19">
        <f t="shared" si="0"/>
        <v>0.18394160583941604</v>
      </c>
      <c r="F221" s="19">
        <f t="shared" si="14"/>
        <v>0.36243387122475912</v>
      </c>
      <c r="G221" s="19">
        <f t="shared" si="2"/>
        <v>6.6666668283678315E-2</v>
      </c>
      <c r="H221" s="8">
        <v>4091</v>
      </c>
      <c r="I221" s="8">
        <v>1544.0000401735306</v>
      </c>
      <c r="J221" s="8">
        <v>15498</v>
      </c>
      <c r="K221" s="19">
        <f t="shared" si="3"/>
        <v>0.26396954445734933</v>
      </c>
      <c r="L221" s="19">
        <f t="shared" si="4"/>
        <v>0.37741384506808373</v>
      </c>
      <c r="M221" s="19">
        <f t="shared" si="5"/>
        <v>9.9625760754518677E-2</v>
      </c>
      <c r="N221" s="19">
        <f t="shared" si="15"/>
        <v>1.4943863750711774</v>
      </c>
      <c r="T221" s="19"/>
      <c r="U221" s="19"/>
      <c r="V221" s="19"/>
      <c r="W221" s="19"/>
    </row>
    <row r="222" spans="1:23" ht="15.75" customHeight="1">
      <c r="A222" s="8">
        <v>50702</v>
      </c>
      <c r="B222" s="8">
        <v>150</v>
      </c>
      <c r="C222" s="8">
        <v>54.555556774139404</v>
      </c>
      <c r="D222" s="8">
        <v>677</v>
      </c>
      <c r="E222" s="19">
        <f t="shared" si="0"/>
        <v>0.22156573116691286</v>
      </c>
      <c r="F222" s="19">
        <f t="shared" si="14"/>
        <v>0.36370371182759603</v>
      </c>
      <c r="G222" s="19">
        <f t="shared" si="2"/>
        <v>8.0584278839201481E-2</v>
      </c>
      <c r="H222" s="8">
        <v>1866</v>
      </c>
      <c r="I222" s="8">
        <v>692.00001734495163</v>
      </c>
      <c r="J222" s="8">
        <v>7623</v>
      </c>
      <c r="K222" s="19">
        <f t="shared" si="3"/>
        <v>0.24478551751279023</v>
      </c>
      <c r="L222" s="19">
        <f t="shared" si="4"/>
        <v>0.37084674027060643</v>
      </c>
      <c r="M222" s="19">
        <f t="shared" si="5"/>
        <v>9.0777911235071701E-2</v>
      </c>
      <c r="N222" s="19">
        <f t="shared" si="15"/>
        <v>1.126496539308997</v>
      </c>
      <c r="T222" s="19"/>
      <c r="U222" s="19"/>
      <c r="V222" s="19"/>
      <c r="W222" s="19"/>
    </row>
    <row r="223" spans="1:23" ht="15.75" customHeight="1">
      <c r="A223" s="8">
        <v>50801</v>
      </c>
      <c r="B223" s="8">
        <v>267</v>
      </c>
      <c r="C223" s="8">
        <v>97.555557906627655</v>
      </c>
      <c r="D223" s="8">
        <v>4008</v>
      </c>
      <c r="E223" s="19">
        <f t="shared" si="0"/>
        <v>6.6616766467065866E-2</v>
      </c>
      <c r="F223" s="19">
        <f t="shared" si="14"/>
        <v>0.36537662137313731</v>
      </c>
      <c r="G223" s="19">
        <f t="shared" si="2"/>
        <v>2.4340209058539834E-2</v>
      </c>
      <c r="H223" s="8">
        <v>2410</v>
      </c>
      <c r="I223" s="8">
        <v>894.55557790398598</v>
      </c>
      <c r="J223" s="8">
        <v>39567</v>
      </c>
      <c r="K223" s="19">
        <f t="shared" si="3"/>
        <v>6.0909343644956655E-2</v>
      </c>
      <c r="L223" s="19">
        <f t="shared" si="4"/>
        <v>0.37118488709708963</v>
      </c>
      <c r="M223" s="19">
        <f t="shared" si="5"/>
        <v>2.2608627844011069E-2</v>
      </c>
      <c r="N223" s="19">
        <f t="shared" si="15"/>
        <v>0.92885922999411397</v>
      </c>
      <c r="T223" s="19"/>
      <c r="U223" s="19"/>
      <c r="V223" s="19"/>
      <c r="W223" s="19"/>
    </row>
    <row r="224" spans="1:23" ht="15.75" customHeight="1">
      <c r="A224" s="8">
        <v>50802</v>
      </c>
      <c r="B224" s="8">
        <v>99</v>
      </c>
      <c r="C224" s="8">
        <v>35.55555647611618</v>
      </c>
      <c r="D224" s="8">
        <v>1657</v>
      </c>
      <c r="E224" s="19">
        <f t="shared" si="0"/>
        <v>5.9746529873264939E-2</v>
      </c>
      <c r="F224" s="19">
        <f t="shared" si="14"/>
        <v>0.35914703511228463</v>
      </c>
      <c r="G224" s="19">
        <f t="shared" si="2"/>
        <v>2.1457789062230646E-2</v>
      </c>
      <c r="H224" s="8">
        <v>345</v>
      </c>
      <c r="I224" s="8">
        <v>131.77778115868568</v>
      </c>
      <c r="J224" s="8">
        <v>7710</v>
      </c>
      <c r="K224" s="19">
        <f t="shared" si="3"/>
        <v>4.4747081712062257E-2</v>
      </c>
      <c r="L224" s="19">
        <f t="shared" si="4"/>
        <v>0.38196458306865416</v>
      </c>
      <c r="M224" s="19">
        <f t="shared" si="5"/>
        <v>1.7091800409686858E-2</v>
      </c>
      <c r="N224" s="19">
        <f t="shared" si="15"/>
        <v>0.79653129034488135</v>
      </c>
      <c r="T224" s="19"/>
      <c r="U224" s="19"/>
      <c r="V224" s="19"/>
      <c r="W224" s="19"/>
    </row>
    <row r="225" spans="1:23" ht="15.75" customHeight="1">
      <c r="A225" s="8">
        <v>50901</v>
      </c>
      <c r="B225" s="8">
        <v>86</v>
      </c>
      <c r="C225" s="8">
        <v>31.000000715255737</v>
      </c>
      <c r="D225" s="8">
        <v>1336</v>
      </c>
      <c r="E225" s="19">
        <f t="shared" si="0"/>
        <v>6.4371257485029934E-2</v>
      </c>
      <c r="F225" s="19">
        <f t="shared" si="14"/>
        <v>0.36046512459599694</v>
      </c>
      <c r="G225" s="19">
        <f t="shared" si="2"/>
        <v>2.3203593349742316E-2</v>
      </c>
      <c r="H225" s="8">
        <v>676</v>
      </c>
      <c r="I225" s="8">
        <v>253.33333945274353</v>
      </c>
      <c r="J225" s="8">
        <v>9450</v>
      </c>
      <c r="K225" s="19">
        <f t="shared" si="3"/>
        <v>7.1534391534391534E-2</v>
      </c>
      <c r="L225" s="19">
        <f t="shared" si="4"/>
        <v>0.37475346072891053</v>
      </c>
      <c r="M225" s="19">
        <f t="shared" si="5"/>
        <v>2.6807760788650107E-2</v>
      </c>
      <c r="N225" s="19">
        <f t="shared" si="15"/>
        <v>1.1553279866865025</v>
      </c>
      <c r="T225" s="19"/>
      <c r="U225" s="19"/>
      <c r="V225" s="19"/>
      <c r="W225" s="19"/>
    </row>
    <row r="226" spans="1:23" ht="15.75" customHeight="1">
      <c r="A226" s="8">
        <v>50902</v>
      </c>
      <c r="B226" s="8">
        <v>16</v>
      </c>
      <c r="C226" s="8">
        <v>5.7777779102325439</v>
      </c>
      <c r="D226" s="8">
        <v>125</v>
      </c>
      <c r="E226" s="19">
        <f t="shared" si="0"/>
        <v>0.128</v>
      </c>
      <c r="F226" s="19">
        <f t="shared" si="14"/>
        <v>0.361111119389534</v>
      </c>
      <c r="G226" s="19">
        <f t="shared" si="2"/>
        <v>4.6222223281860354E-2</v>
      </c>
      <c r="H226" s="8">
        <v>119</v>
      </c>
      <c r="I226" s="8">
        <v>43.777778714895248</v>
      </c>
      <c r="J226" s="8">
        <v>1363</v>
      </c>
      <c r="K226" s="19">
        <f t="shared" si="3"/>
        <v>8.7307410124724871E-2</v>
      </c>
      <c r="L226" s="19">
        <f t="shared" si="4"/>
        <v>0.36788049340248108</v>
      </c>
      <c r="M226" s="19">
        <f t="shared" si="5"/>
        <v>3.2118693114376561E-2</v>
      </c>
      <c r="N226" s="19">
        <f t="shared" si="15"/>
        <v>0.69487555625610409</v>
      </c>
      <c r="T226" s="19"/>
      <c r="U226" s="19"/>
      <c r="V226" s="19"/>
      <c r="W226" s="19"/>
    </row>
    <row r="227" spans="1:23" ht="15.75" customHeight="1">
      <c r="A227" s="8">
        <v>51001</v>
      </c>
      <c r="B227" s="8">
        <v>48</v>
      </c>
      <c r="C227" s="8">
        <v>18.000000596046448</v>
      </c>
      <c r="D227" s="8">
        <v>297</v>
      </c>
      <c r="E227" s="19">
        <f t="shared" si="0"/>
        <v>0.16161616161616163</v>
      </c>
      <c r="F227" s="19">
        <f t="shared" si="14"/>
        <v>0.37500001241763431</v>
      </c>
      <c r="G227" s="19">
        <f t="shared" si="2"/>
        <v>6.0606062612951005E-2</v>
      </c>
      <c r="H227" s="8">
        <v>522</v>
      </c>
      <c r="I227" s="8">
        <v>199.22222712635994</v>
      </c>
      <c r="J227" s="8">
        <v>2562</v>
      </c>
      <c r="K227" s="19">
        <f t="shared" si="3"/>
        <v>0.20374707259953162</v>
      </c>
      <c r="L227" s="19">
        <f t="shared" si="4"/>
        <v>0.38165177610413781</v>
      </c>
      <c r="M227" s="19">
        <f t="shared" si="5"/>
        <v>7.7760432133629959E-2</v>
      </c>
      <c r="N227" s="19">
        <f t="shared" si="15"/>
        <v>1.2830470877184688</v>
      </c>
      <c r="T227" s="19"/>
      <c r="U227" s="19"/>
      <c r="V227" s="19"/>
      <c r="W227" s="19"/>
    </row>
    <row r="228" spans="1:23" ht="15.75" customHeight="1">
      <c r="A228" s="8">
        <v>51002</v>
      </c>
      <c r="B228" s="8">
        <v>0</v>
      </c>
      <c r="C228" s="8">
        <v>0</v>
      </c>
      <c r="D228" s="8">
        <v>4</v>
      </c>
      <c r="E228" s="19">
        <f t="shared" si="0"/>
        <v>0</v>
      </c>
      <c r="F228" s="19">
        <v>0</v>
      </c>
      <c r="G228" s="19">
        <f t="shared" si="2"/>
        <v>0</v>
      </c>
      <c r="H228" s="8">
        <v>343</v>
      </c>
      <c r="I228" s="8">
        <v>134.33333683013916</v>
      </c>
      <c r="J228" s="8">
        <v>951</v>
      </c>
      <c r="K228" s="19">
        <f t="shared" si="3"/>
        <v>0.36067297581493163</v>
      </c>
      <c r="L228" s="19">
        <f t="shared" si="4"/>
        <v>0.39164238142897717</v>
      </c>
      <c r="M228" s="19">
        <f t="shared" si="5"/>
        <v>0.14125482316523572</v>
      </c>
      <c r="N228" s="19">
        <v>0</v>
      </c>
      <c r="T228" s="19"/>
      <c r="U228" s="19"/>
      <c r="V228" s="19"/>
      <c r="W228" s="19"/>
    </row>
    <row r="229" spans="1:23" ht="15.75" customHeight="1">
      <c r="A229" s="8">
        <v>51003</v>
      </c>
      <c r="B229" s="8">
        <v>12</v>
      </c>
      <c r="C229" s="8">
        <v>4.0000001192092896</v>
      </c>
      <c r="D229" s="8">
        <v>102</v>
      </c>
      <c r="E229" s="19">
        <f t="shared" si="0"/>
        <v>0.11764705882352941</v>
      </c>
      <c r="F229" s="19">
        <f t="shared" ref="F229:F346" si="16">C229/B229</f>
        <v>0.3333333432674408</v>
      </c>
      <c r="G229" s="19">
        <f t="shared" si="2"/>
        <v>3.9215687443228328E-2</v>
      </c>
      <c r="H229" s="8">
        <v>510</v>
      </c>
      <c r="I229" s="8">
        <v>198.77778255939484</v>
      </c>
      <c r="J229" s="8">
        <v>1751</v>
      </c>
      <c r="K229" s="19">
        <f t="shared" si="3"/>
        <v>0.29126213592233008</v>
      </c>
      <c r="L229" s="19">
        <f t="shared" si="4"/>
        <v>0.38976035795959774</v>
      </c>
      <c r="M229" s="19">
        <f t="shared" si="5"/>
        <v>0.11352243435716439</v>
      </c>
      <c r="N229" s="19">
        <f t="shared" ref="N229:N346" si="17">M229/G229</f>
        <v>2.8948219898352736</v>
      </c>
      <c r="T229" s="19"/>
      <c r="U229" s="19"/>
      <c r="V229" s="19"/>
      <c r="W229" s="19"/>
    </row>
    <row r="230" spans="1:23" ht="15.75" customHeight="1">
      <c r="A230" s="8">
        <v>51101</v>
      </c>
      <c r="B230" s="8">
        <v>142</v>
      </c>
      <c r="C230" s="8">
        <v>50.000001281499863</v>
      </c>
      <c r="D230" s="8">
        <v>1006</v>
      </c>
      <c r="E230" s="19">
        <f t="shared" si="0"/>
        <v>0.14115308151093439</v>
      </c>
      <c r="F230" s="19">
        <f t="shared" si="16"/>
        <v>0.35211268508098492</v>
      </c>
      <c r="G230" s="19">
        <f t="shared" si="2"/>
        <v>4.9701790538270237E-2</v>
      </c>
      <c r="H230" s="8">
        <v>2114</v>
      </c>
      <c r="I230" s="8">
        <v>782.55557459592819</v>
      </c>
      <c r="J230" s="8">
        <v>14647</v>
      </c>
      <c r="K230" s="19">
        <f t="shared" si="3"/>
        <v>0.14432989690721648</v>
      </c>
      <c r="L230" s="19">
        <f t="shared" si="4"/>
        <v>0.37017766064140406</v>
      </c>
      <c r="M230" s="19">
        <f t="shared" si="5"/>
        <v>5.3427703597728415E-2</v>
      </c>
      <c r="N230" s="19">
        <f t="shared" si="17"/>
        <v>1.0749653688349363</v>
      </c>
      <c r="T230" s="19"/>
      <c r="U230" s="19"/>
      <c r="V230" s="19"/>
      <c r="W230" s="19"/>
    </row>
    <row r="231" spans="1:23" ht="15.75" customHeight="1">
      <c r="A231" s="8">
        <v>51102</v>
      </c>
      <c r="B231" s="8">
        <v>252</v>
      </c>
      <c r="C231" s="8">
        <v>92.666668772697449</v>
      </c>
      <c r="D231" s="8">
        <v>1477</v>
      </c>
      <c r="E231" s="19">
        <f t="shared" si="0"/>
        <v>0.17061611374407584</v>
      </c>
      <c r="F231" s="19">
        <f t="shared" si="16"/>
        <v>0.36772487608213272</v>
      </c>
      <c r="G231" s="19">
        <f t="shared" si="2"/>
        <v>6.2739789284155356E-2</v>
      </c>
      <c r="H231" s="8">
        <v>1693</v>
      </c>
      <c r="I231" s="8">
        <v>635.22223845124245</v>
      </c>
      <c r="J231" s="8">
        <v>10778</v>
      </c>
      <c r="K231" s="19">
        <f t="shared" si="3"/>
        <v>0.15707923547968083</v>
      </c>
      <c r="L231" s="19">
        <f t="shared" si="4"/>
        <v>0.37520510245200378</v>
      </c>
      <c r="M231" s="19">
        <f t="shared" si="5"/>
        <v>5.8936930641236077E-2</v>
      </c>
      <c r="N231" s="19">
        <f t="shared" si="17"/>
        <v>0.93938681200066332</v>
      </c>
      <c r="T231" s="19"/>
      <c r="U231" s="19"/>
      <c r="V231" s="19"/>
      <c r="W231" s="19"/>
    </row>
    <row r="232" spans="1:23" ht="15.75" customHeight="1">
      <c r="A232" s="8">
        <v>51103</v>
      </c>
      <c r="B232" s="8">
        <v>294</v>
      </c>
      <c r="C232" s="8">
        <v>107.77778032422066</v>
      </c>
      <c r="D232" s="8">
        <v>751</v>
      </c>
      <c r="E232" s="19">
        <f t="shared" si="0"/>
        <v>0.39147802929427428</v>
      </c>
      <c r="F232" s="19">
        <f t="shared" si="16"/>
        <v>0.36659108953816549</v>
      </c>
      <c r="G232" s="19">
        <f t="shared" si="2"/>
        <v>0.14351235728924189</v>
      </c>
      <c r="H232" s="8">
        <v>5986</v>
      </c>
      <c r="I232" s="8">
        <v>2424.111171245575</v>
      </c>
      <c r="J232" s="8">
        <v>13192</v>
      </c>
      <c r="K232" s="19">
        <f t="shared" si="3"/>
        <v>0.45375985445724681</v>
      </c>
      <c r="L232" s="19">
        <f t="shared" si="4"/>
        <v>0.40496344324182676</v>
      </c>
      <c r="M232" s="19">
        <f t="shared" si="5"/>
        <v>0.18375615306591683</v>
      </c>
      <c r="N232" s="19">
        <f t="shared" si="17"/>
        <v>1.2804204218844069</v>
      </c>
      <c r="T232" s="19"/>
      <c r="U232" s="19"/>
      <c r="V232" s="19"/>
      <c r="W232" s="19"/>
    </row>
    <row r="233" spans="1:23" ht="15.75" customHeight="1">
      <c r="A233" s="8">
        <v>51201</v>
      </c>
      <c r="B233" s="8">
        <v>359</v>
      </c>
      <c r="C233" s="8">
        <v>127.33333653211594</v>
      </c>
      <c r="D233" s="8">
        <v>3903</v>
      </c>
      <c r="E233" s="19">
        <f t="shared" si="0"/>
        <v>9.1980527799128881E-2</v>
      </c>
      <c r="F233" s="19">
        <f t="shared" si="16"/>
        <v>0.35468895969948727</v>
      </c>
      <c r="G233" s="19">
        <f t="shared" si="2"/>
        <v>3.2624477717682794E-2</v>
      </c>
      <c r="H233" s="8">
        <v>2404</v>
      </c>
      <c r="I233" s="8">
        <v>863.55557781457901</v>
      </c>
      <c r="J233" s="8">
        <v>29414</v>
      </c>
      <c r="K233" s="19">
        <f t="shared" si="3"/>
        <v>8.1729788536071254E-2</v>
      </c>
      <c r="L233" s="19">
        <f t="shared" si="4"/>
        <v>0.35921613053851043</v>
      </c>
      <c r="M233" s="19">
        <f t="shared" si="5"/>
        <v>2.9358658387658224E-2</v>
      </c>
      <c r="N233" s="19">
        <f t="shared" si="17"/>
        <v>0.89989665556379272</v>
      </c>
      <c r="T233" s="19"/>
      <c r="U233" s="19"/>
      <c r="V233" s="19"/>
      <c r="W233" s="19"/>
    </row>
    <row r="234" spans="1:23" ht="15.75" customHeight="1">
      <c r="A234" s="8">
        <v>51202</v>
      </c>
      <c r="B234" s="8">
        <v>209</v>
      </c>
      <c r="C234" s="8">
        <v>74.000001817941666</v>
      </c>
      <c r="D234" s="8">
        <v>1034</v>
      </c>
      <c r="E234" s="19">
        <f t="shared" si="0"/>
        <v>0.20212765957446807</v>
      </c>
      <c r="F234" s="19">
        <f t="shared" si="16"/>
        <v>0.35406699434421851</v>
      </c>
      <c r="G234" s="19">
        <f t="shared" si="2"/>
        <v>7.1566732899363314E-2</v>
      </c>
      <c r="H234" s="8">
        <v>1455</v>
      </c>
      <c r="I234" s="8">
        <v>531.88890191912651</v>
      </c>
      <c r="J234" s="8">
        <v>6615</v>
      </c>
      <c r="K234" s="19">
        <f t="shared" si="3"/>
        <v>0.2199546485260771</v>
      </c>
      <c r="L234" s="19">
        <f t="shared" si="4"/>
        <v>0.36555938276228628</v>
      </c>
      <c r="M234" s="19">
        <f t="shared" si="5"/>
        <v>8.0406485550888362E-2</v>
      </c>
      <c r="N234" s="19">
        <f t="shared" si="17"/>
        <v>1.1235176218530956</v>
      </c>
      <c r="T234" s="19"/>
      <c r="U234" s="19"/>
      <c r="V234" s="19"/>
      <c r="W234" s="19"/>
    </row>
    <row r="235" spans="1:23" ht="15.75" customHeight="1">
      <c r="A235" s="8">
        <v>51203</v>
      </c>
      <c r="B235" s="8">
        <v>186</v>
      </c>
      <c r="C235" s="8">
        <v>67.111112982034683</v>
      </c>
      <c r="D235" s="8">
        <v>3293</v>
      </c>
      <c r="E235" s="19">
        <f t="shared" si="0"/>
        <v>5.6483449741876711E-2</v>
      </c>
      <c r="F235" s="19">
        <f t="shared" si="16"/>
        <v>0.36081243538728325</v>
      </c>
      <c r="G235" s="19">
        <f t="shared" si="2"/>
        <v>2.0379931060441753E-2</v>
      </c>
      <c r="H235" s="8">
        <v>746</v>
      </c>
      <c r="I235" s="8">
        <v>277.44445094466209</v>
      </c>
      <c r="J235" s="8">
        <v>10985</v>
      </c>
      <c r="K235" s="19">
        <f t="shared" si="3"/>
        <v>6.791078743741466E-2</v>
      </c>
      <c r="L235" s="19">
        <f t="shared" si="4"/>
        <v>0.37190945166844785</v>
      </c>
      <c r="M235" s="19">
        <f t="shared" si="5"/>
        <v>2.5256663718221405E-2</v>
      </c>
      <c r="N235" s="19">
        <f t="shared" si="17"/>
        <v>1.2392909300486095</v>
      </c>
      <c r="T235" s="19"/>
      <c r="U235" s="19"/>
      <c r="V235" s="19"/>
      <c r="W235" s="19"/>
    </row>
    <row r="236" spans="1:23" ht="15.75" customHeight="1">
      <c r="A236" s="8">
        <v>51204</v>
      </c>
      <c r="B236" s="8">
        <v>219</v>
      </c>
      <c r="C236" s="8">
        <v>81.000001847743988</v>
      </c>
      <c r="D236" s="8">
        <v>896</v>
      </c>
      <c r="E236" s="19">
        <f t="shared" si="0"/>
        <v>0.24441964285714285</v>
      </c>
      <c r="F236" s="19">
        <f t="shared" si="16"/>
        <v>0.36986302213581729</v>
      </c>
      <c r="G236" s="19">
        <f t="shared" si="2"/>
        <v>9.0401787776499987E-2</v>
      </c>
      <c r="H236" s="8">
        <v>1119</v>
      </c>
      <c r="I236" s="8">
        <v>419.44445472955704</v>
      </c>
      <c r="J236" s="8">
        <v>4747</v>
      </c>
      <c r="K236" s="19">
        <f t="shared" si="3"/>
        <v>0.23572782810195914</v>
      </c>
      <c r="L236" s="19">
        <f t="shared" si="4"/>
        <v>0.37483865480746831</v>
      </c>
      <c r="M236" s="19">
        <f t="shared" si="5"/>
        <v>8.8359901986424488E-2</v>
      </c>
      <c r="N236" s="19">
        <f t="shared" si="17"/>
        <v>0.97741321449169072</v>
      </c>
      <c r="T236" s="19"/>
      <c r="U236" s="19"/>
      <c r="V236" s="19"/>
      <c r="W236" s="19"/>
    </row>
    <row r="237" spans="1:23" ht="15.75" customHeight="1">
      <c r="A237" s="8">
        <v>51301</v>
      </c>
      <c r="B237" s="8">
        <v>40</v>
      </c>
      <c r="C237" s="8">
        <v>14.555555880069733</v>
      </c>
      <c r="D237" s="8">
        <v>267</v>
      </c>
      <c r="E237" s="19">
        <f t="shared" si="0"/>
        <v>0.14981273408239701</v>
      </c>
      <c r="F237" s="19">
        <f t="shared" si="16"/>
        <v>0.36388889700174332</v>
      </c>
      <c r="G237" s="19">
        <f t="shared" si="2"/>
        <v>5.4515190562058925E-2</v>
      </c>
      <c r="H237" s="8">
        <v>947</v>
      </c>
      <c r="I237" s="8">
        <v>360.88889789581299</v>
      </c>
      <c r="J237" s="8">
        <v>3358</v>
      </c>
      <c r="K237" s="19">
        <f t="shared" si="3"/>
        <v>0.28201310303752236</v>
      </c>
      <c r="L237" s="19">
        <f t="shared" si="4"/>
        <v>0.38108648141057339</v>
      </c>
      <c r="M237" s="19">
        <f t="shared" si="5"/>
        <v>0.10747138114824688</v>
      </c>
      <c r="N237" s="19">
        <f t="shared" si="17"/>
        <v>1.9714024667290442</v>
      </c>
      <c r="T237" s="19"/>
      <c r="U237" s="19"/>
      <c r="V237" s="19"/>
      <c r="W237" s="19"/>
    </row>
    <row r="238" spans="1:23" ht="15.75" customHeight="1">
      <c r="A238" s="8">
        <v>51302</v>
      </c>
      <c r="B238" s="8">
        <v>80</v>
      </c>
      <c r="C238" s="8">
        <v>28.666667342185974</v>
      </c>
      <c r="D238" s="8">
        <v>442</v>
      </c>
      <c r="E238" s="19">
        <f t="shared" si="0"/>
        <v>0.18099547511312217</v>
      </c>
      <c r="F238" s="19">
        <f t="shared" si="16"/>
        <v>0.35833334177732468</v>
      </c>
      <c r="G238" s="19">
        <f t="shared" si="2"/>
        <v>6.4856713443859668E-2</v>
      </c>
      <c r="H238" s="8">
        <v>1015</v>
      </c>
      <c r="I238" s="8">
        <v>391.66667607426643</v>
      </c>
      <c r="J238" s="8">
        <v>3938</v>
      </c>
      <c r="K238" s="19">
        <f t="shared" si="3"/>
        <v>0.25774504824784156</v>
      </c>
      <c r="L238" s="19">
        <f t="shared" si="4"/>
        <v>0.38587849859533641</v>
      </c>
      <c r="M238" s="19">
        <f t="shared" si="5"/>
        <v>9.9458272238259648E-2</v>
      </c>
      <c r="N238" s="19">
        <f t="shared" si="17"/>
        <v>1.5335077427929074</v>
      </c>
      <c r="T238" s="19"/>
      <c r="U238" s="19"/>
      <c r="V238" s="19"/>
      <c r="W238" s="19"/>
    </row>
    <row r="239" spans="1:23" ht="15.75" customHeight="1">
      <c r="A239" s="8">
        <v>51401</v>
      </c>
      <c r="B239" s="8">
        <v>23</v>
      </c>
      <c r="C239" s="8">
        <v>7.6666668951511383</v>
      </c>
      <c r="D239" s="8">
        <v>585</v>
      </c>
      <c r="E239" s="19">
        <f t="shared" si="0"/>
        <v>3.9316239316239315E-2</v>
      </c>
      <c r="F239" s="19">
        <f t="shared" si="16"/>
        <v>0.3333333432674408</v>
      </c>
      <c r="G239" s="19">
        <f t="shared" si="2"/>
        <v>1.3105413495984852E-2</v>
      </c>
      <c r="H239" s="8">
        <v>163</v>
      </c>
      <c r="I239" s="8">
        <v>57.555557042360306</v>
      </c>
      <c r="J239" s="8">
        <v>3402</v>
      </c>
      <c r="K239" s="19">
        <f t="shared" si="3"/>
        <v>4.7912992357436804E-2</v>
      </c>
      <c r="L239" s="19">
        <f t="shared" si="4"/>
        <v>0.35310157694699573</v>
      </c>
      <c r="M239" s="19">
        <f t="shared" si="5"/>
        <v>1.6918153157660289E-2</v>
      </c>
      <c r="N239" s="19">
        <f t="shared" si="17"/>
        <v>1.2909286046444517</v>
      </c>
      <c r="T239" s="19"/>
      <c r="U239" s="19"/>
      <c r="V239" s="19"/>
      <c r="W239" s="19"/>
    </row>
    <row r="240" spans="1:23" ht="15.75" customHeight="1">
      <c r="A240" s="8">
        <v>51402</v>
      </c>
      <c r="B240" s="8">
        <v>25</v>
      </c>
      <c r="C240" s="8">
        <v>8.8888891041278839</v>
      </c>
      <c r="D240" s="8">
        <v>165</v>
      </c>
      <c r="E240" s="19">
        <f t="shared" si="0"/>
        <v>0.15151515151515152</v>
      </c>
      <c r="F240" s="19">
        <f t="shared" si="16"/>
        <v>0.35555556416511536</v>
      </c>
      <c r="G240" s="19">
        <f t="shared" si="2"/>
        <v>5.3872055176532631E-2</v>
      </c>
      <c r="H240" s="8">
        <v>221</v>
      </c>
      <c r="I240" s="8">
        <v>83.333335041999817</v>
      </c>
      <c r="J240" s="8">
        <v>1327</v>
      </c>
      <c r="K240" s="19">
        <f t="shared" si="3"/>
        <v>0.16654107008289373</v>
      </c>
      <c r="L240" s="19">
        <f t="shared" si="4"/>
        <v>0.37707391421719372</v>
      </c>
      <c r="M240" s="19">
        <f t="shared" si="5"/>
        <v>6.2798293174076716E-2</v>
      </c>
      <c r="N240" s="19">
        <f t="shared" si="17"/>
        <v>1.1656932888172507</v>
      </c>
      <c r="T240" s="19"/>
      <c r="U240" s="19"/>
      <c r="V240" s="19"/>
      <c r="W240" s="19"/>
    </row>
    <row r="241" spans="1:23" ht="15.75" customHeight="1">
      <c r="A241" s="8">
        <v>51501</v>
      </c>
      <c r="B241" s="8">
        <v>194</v>
      </c>
      <c r="C241" s="8">
        <v>73.777779757976532</v>
      </c>
      <c r="D241" s="8">
        <v>3584</v>
      </c>
      <c r="E241" s="19">
        <f t="shared" si="0"/>
        <v>5.4129464285714288E-2</v>
      </c>
      <c r="F241" s="19">
        <f t="shared" si="16"/>
        <v>0.38029783380400273</v>
      </c>
      <c r="G241" s="19">
        <f t="shared" si="2"/>
        <v>2.0585318012828275E-2</v>
      </c>
      <c r="H241" s="8">
        <v>2372</v>
      </c>
      <c r="I241" s="8">
        <v>894.11113297939301</v>
      </c>
      <c r="J241" s="8">
        <v>43164</v>
      </c>
      <c r="K241" s="19">
        <f t="shared" si="3"/>
        <v>5.4953201742192564E-2</v>
      </c>
      <c r="L241" s="19">
        <f t="shared" si="4"/>
        <v>0.37694398523583178</v>
      </c>
      <c r="M241" s="19">
        <f t="shared" si="5"/>
        <v>2.0714278866170718E-2</v>
      </c>
      <c r="N241" s="19">
        <f t="shared" si="17"/>
        <v>1.0062647005629002</v>
      </c>
      <c r="T241" s="19"/>
      <c r="U241" s="19"/>
      <c r="V241" s="19"/>
      <c r="W241" s="19"/>
    </row>
    <row r="242" spans="1:23" ht="15.75" customHeight="1">
      <c r="A242" s="8">
        <v>51601</v>
      </c>
      <c r="B242" s="8">
        <v>1</v>
      </c>
      <c r="C242" s="8">
        <v>0.3333333432674408</v>
      </c>
      <c r="D242" s="8">
        <v>129</v>
      </c>
      <c r="E242" s="19">
        <f t="shared" si="0"/>
        <v>7.7519379844961239E-3</v>
      </c>
      <c r="F242" s="19">
        <f t="shared" si="16"/>
        <v>0.3333333432674408</v>
      </c>
      <c r="G242" s="19">
        <f t="shared" si="2"/>
        <v>2.5839794051739596E-3</v>
      </c>
      <c r="H242" s="8">
        <v>129</v>
      </c>
      <c r="I242" s="8">
        <v>46.666667878627777</v>
      </c>
      <c r="J242" s="8">
        <v>1869</v>
      </c>
      <c r="K242" s="19">
        <f t="shared" si="3"/>
        <v>6.9020866773675763E-2</v>
      </c>
      <c r="L242" s="19">
        <f t="shared" si="4"/>
        <v>0.36175711533819982</v>
      </c>
      <c r="M242" s="19">
        <f t="shared" si="5"/>
        <v>2.4968789662187147E-2</v>
      </c>
      <c r="N242" s="19">
        <f t="shared" si="17"/>
        <v>9.6629213112889296</v>
      </c>
      <c r="T242" s="19"/>
      <c r="U242" s="19"/>
      <c r="V242" s="19"/>
      <c r="W242" s="19"/>
    </row>
    <row r="243" spans="1:23" ht="15.75" customHeight="1">
      <c r="A243" s="8">
        <v>60101</v>
      </c>
      <c r="B243" s="8">
        <v>483</v>
      </c>
      <c r="C243" s="8">
        <v>170.22222676873207</v>
      </c>
      <c r="D243" s="8">
        <v>14714</v>
      </c>
      <c r="E243" s="19">
        <f t="shared" si="0"/>
        <v>3.2825880114176975E-2</v>
      </c>
      <c r="F243" s="19">
        <f t="shared" si="16"/>
        <v>0.35242697053567718</v>
      </c>
      <c r="G243" s="19">
        <f t="shared" si="2"/>
        <v>1.1568725483806721E-2</v>
      </c>
      <c r="H243" s="8">
        <v>5915</v>
      </c>
      <c r="I243" s="8">
        <v>2157.4444990456104</v>
      </c>
      <c r="J243" s="8">
        <v>215615</v>
      </c>
      <c r="K243" s="19">
        <f t="shared" si="3"/>
        <v>2.7433156320293115E-2</v>
      </c>
      <c r="L243" s="19">
        <f t="shared" si="4"/>
        <v>0.36474125089528492</v>
      </c>
      <c r="M243" s="19">
        <f t="shared" si="5"/>
        <v>1.0006003752269602E-2</v>
      </c>
      <c r="N243" s="19">
        <f t="shared" si="17"/>
        <v>0.86491841873812869</v>
      </c>
      <c r="T243" s="19"/>
      <c r="U243" s="19"/>
      <c r="V243" s="19"/>
      <c r="W243" s="19"/>
    </row>
    <row r="244" spans="1:23" ht="15.75" customHeight="1">
      <c r="A244" s="8">
        <v>60201</v>
      </c>
      <c r="B244" s="8">
        <v>42</v>
      </c>
      <c r="C244" s="8">
        <v>14.444444835186005</v>
      </c>
      <c r="D244" s="8">
        <v>495</v>
      </c>
      <c r="E244" s="19">
        <f t="shared" si="0"/>
        <v>8.4848484848484854E-2</v>
      </c>
      <c r="F244" s="19">
        <f t="shared" si="16"/>
        <v>0.34391535321871441</v>
      </c>
      <c r="G244" s="19">
        <f t="shared" si="2"/>
        <v>2.9180696636739407E-2</v>
      </c>
      <c r="H244" s="8">
        <v>1759</v>
      </c>
      <c r="I244" s="8">
        <v>669.55557245016098</v>
      </c>
      <c r="J244" s="8">
        <v>16958</v>
      </c>
      <c r="K244" s="19">
        <f t="shared" si="3"/>
        <v>0.10372685458190824</v>
      </c>
      <c r="L244" s="19">
        <f t="shared" si="4"/>
        <v>0.38064557842533314</v>
      </c>
      <c r="M244" s="19">
        <f t="shared" si="5"/>
        <v>3.948316856057088E-2</v>
      </c>
      <c r="N244" s="19">
        <f t="shared" si="17"/>
        <v>1.3530577783006161</v>
      </c>
      <c r="T244" s="19"/>
      <c r="U244" s="19"/>
      <c r="V244" s="19"/>
      <c r="W244" s="19"/>
    </row>
    <row r="245" spans="1:23" ht="15.75" customHeight="1">
      <c r="A245" s="8">
        <v>60202</v>
      </c>
      <c r="B245" s="8">
        <v>48</v>
      </c>
      <c r="C245" s="8">
        <v>20.111111789941788</v>
      </c>
      <c r="D245" s="8">
        <v>1603</v>
      </c>
      <c r="E245" s="19">
        <f t="shared" si="0"/>
        <v>2.9943855271366188E-2</v>
      </c>
      <c r="F245" s="19">
        <f t="shared" si="16"/>
        <v>0.41898149562378723</v>
      </c>
      <c r="G245" s="19">
        <f t="shared" si="2"/>
        <v>1.254592126633923E-2</v>
      </c>
      <c r="H245" s="8">
        <v>996</v>
      </c>
      <c r="I245" s="8">
        <v>359.88889816403389</v>
      </c>
      <c r="J245" s="8">
        <v>34044</v>
      </c>
      <c r="K245" s="19">
        <f t="shared" si="3"/>
        <v>2.9256256609094113E-2</v>
      </c>
      <c r="L245" s="19">
        <f t="shared" si="4"/>
        <v>0.36133423510445167</v>
      </c>
      <c r="M245" s="19">
        <f t="shared" si="5"/>
        <v>1.0571287103866581E-2</v>
      </c>
      <c r="N245" s="19">
        <f t="shared" si="17"/>
        <v>0.84260748010824815</v>
      </c>
      <c r="T245" s="19"/>
      <c r="U245" s="19"/>
      <c r="V245" s="19"/>
      <c r="W245" s="19"/>
    </row>
    <row r="246" spans="1:23" ht="15.75" customHeight="1">
      <c r="A246" s="8">
        <v>60301</v>
      </c>
      <c r="B246" s="8">
        <v>221</v>
      </c>
      <c r="C246" s="8">
        <v>80.777779936790466</v>
      </c>
      <c r="D246" s="8">
        <v>5084</v>
      </c>
      <c r="E246" s="19">
        <f t="shared" si="0"/>
        <v>4.3469708890637296E-2</v>
      </c>
      <c r="F246" s="19">
        <f t="shared" si="16"/>
        <v>0.36551031645606546</v>
      </c>
      <c r="G246" s="19">
        <f t="shared" si="2"/>
        <v>1.5888627052869881E-2</v>
      </c>
      <c r="H246" s="8">
        <v>4073</v>
      </c>
      <c r="I246" s="8">
        <v>1529.0000382065773</v>
      </c>
      <c r="J246" s="8">
        <v>88448</v>
      </c>
      <c r="K246" s="19">
        <f t="shared" si="3"/>
        <v>4.6049656295224312E-2</v>
      </c>
      <c r="L246" s="19">
        <f t="shared" si="4"/>
        <v>0.37539897819950341</v>
      </c>
      <c r="M246" s="19">
        <f t="shared" si="5"/>
        <v>1.7286993919665535E-2</v>
      </c>
      <c r="N246" s="19">
        <f t="shared" si="17"/>
        <v>1.0880105538472611</v>
      </c>
      <c r="T246" s="19"/>
      <c r="U246" s="19"/>
      <c r="V246" s="19"/>
      <c r="W246" s="19"/>
    </row>
    <row r="247" spans="1:23" ht="15.75" customHeight="1">
      <c r="A247" s="8">
        <v>60302</v>
      </c>
      <c r="B247" s="8">
        <v>78</v>
      </c>
      <c r="C247" s="8">
        <v>26.666667401790619</v>
      </c>
      <c r="D247" s="8">
        <v>870</v>
      </c>
      <c r="E247" s="19">
        <f t="shared" si="0"/>
        <v>8.9655172413793102E-2</v>
      </c>
      <c r="F247" s="19">
        <f t="shared" si="16"/>
        <v>0.34188035130500793</v>
      </c>
      <c r="G247" s="19">
        <f t="shared" si="2"/>
        <v>3.0651341841138643E-2</v>
      </c>
      <c r="H247" s="8">
        <v>664</v>
      </c>
      <c r="I247" s="8">
        <v>246.22222885489464</v>
      </c>
      <c r="J247" s="8">
        <v>14220</v>
      </c>
      <c r="K247" s="19">
        <f t="shared" si="3"/>
        <v>4.6694796061884668E-2</v>
      </c>
      <c r="L247" s="19">
        <f t="shared" si="4"/>
        <v>0.37081660972122688</v>
      </c>
      <c r="M247" s="19">
        <f t="shared" si="5"/>
        <v>1.731520596729217E-2</v>
      </c>
      <c r="N247" s="19">
        <f t="shared" si="17"/>
        <v>0.56490857910998848</v>
      </c>
      <c r="T247" s="19"/>
      <c r="U247" s="19"/>
      <c r="V247" s="19"/>
      <c r="W247" s="19"/>
    </row>
    <row r="248" spans="1:23" ht="15.75" customHeight="1">
      <c r="A248" s="8">
        <v>60303</v>
      </c>
      <c r="B248" s="8">
        <v>180</v>
      </c>
      <c r="C248" s="8">
        <v>63.111112833023071</v>
      </c>
      <c r="D248" s="8">
        <v>3238</v>
      </c>
      <c r="E248" s="19">
        <f t="shared" si="0"/>
        <v>5.5589870290302656E-2</v>
      </c>
      <c r="F248" s="19">
        <f t="shared" si="16"/>
        <v>0.35061729351679483</v>
      </c>
      <c r="G248" s="19">
        <f t="shared" si="2"/>
        <v>1.94907698681356E-2</v>
      </c>
      <c r="H248" s="8">
        <v>2400</v>
      </c>
      <c r="I248" s="8">
        <v>903.77780097723007</v>
      </c>
      <c r="J248" s="8">
        <v>40656</v>
      </c>
      <c r="K248" s="19">
        <f t="shared" si="3"/>
        <v>5.9031877213695398E-2</v>
      </c>
      <c r="L248" s="19">
        <f t="shared" si="4"/>
        <v>0.37657408374051254</v>
      </c>
      <c r="M248" s="19">
        <f t="shared" si="5"/>
        <v>2.2229875073229786E-2</v>
      </c>
      <c r="N248" s="19">
        <f t="shared" si="17"/>
        <v>1.1405334537129905</v>
      </c>
      <c r="T248" s="19"/>
      <c r="U248" s="19"/>
      <c r="V248" s="19"/>
      <c r="W248" s="19"/>
    </row>
    <row r="249" spans="1:23" ht="15.75" customHeight="1">
      <c r="A249" s="8">
        <v>60401</v>
      </c>
      <c r="B249" s="8">
        <v>42</v>
      </c>
      <c r="C249" s="8">
        <v>14.555555939674377</v>
      </c>
      <c r="D249" s="8">
        <v>632</v>
      </c>
      <c r="E249" s="19">
        <f t="shared" si="0"/>
        <v>6.6455696202531639E-2</v>
      </c>
      <c r="F249" s="19">
        <f t="shared" si="16"/>
        <v>0.34656085570653278</v>
      </c>
      <c r="G249" s="19">
        <f t="shared" si="2"/>
        <v>2.3030942942522746E-2</v>
      </c>
      <c r="H249" s="8">
        <v>1173</v>
      </c>
      <c r="I249" s="8">
        <v>433.77778849005699</v>
      </c>
      <c r="J249" s="8">
        <v>14962</v>
      </c>
      <c r="K249" s="19">
        <f t="shared" si="3"/>
        <v>7.8398609811522524E-2</v>
      </c>
      <c r="L249" s="19">
        <f t="shared" si="4"/>
        <v>0.36980203622340752</v>
      </c>
      <c r="M249" s="19">
        <f t="shared" si="5"/>
        <v>2.8991965545385443E-2</v>
      </c>
      <c r="N249" s="19">
        <f t="shared" si="17"/>
        <v>1.2588266845061162</v>
      </c>
      <c r="T249" s="19"/>
      <c r="U249" s="19"/>
      <c r="V249" s="19"/>
      <c r="W249" s="19"/>
    </row>
    <row r="250" spans="1:23" ht="15.75" customHeight="1">
      <c r="A250" s="8">
        <v>60402</v>
      </c>
      <c r="B250" s="8">
        <v>4</v>
      </c>
      <c r="C250" s="8">
        <v>1.444444477558136</v>
      </c>
      <c r="D250" s="8">
        <v>152</v>
      </c>
      <c r="E250" s="19">
        <f t="shared" si="0"/>
        <v>2.6315789473684209E-2</v>
      </c>
      <c r="F250" s="19">
        <f t="shared" si="16"/>
        <v>0.361111119389534</v>
      </c>
      <c r="G250" s="19">
        <f t="shared" si="2"/>
        <v>9.5029241944614203E-3</v>
      </c>
      <c r="H250" s="8">
        <v>513</v>
      </c>
      <c r="I250" s="8">
        <v>195.00000435113907</v>
      </c>
      <c r="J250" s="8">
        <v>4496</v>
      </c>
      <c r="K250" s="19">
        <f t="shared" si="3"/>
        <v>0.11410142348754448</v>
      </c>
      <c r="L250" s="19">
        <f t="shared" si="4"/>
        <v>0.38011696754608004</v>
      </c>
      <c r="M250" s="19">
        <f t="shared" si="5"/>
        <v>4.3371887088776484E-2</v>
      </c>
      <c r="N250" s="19">
        <f t="shared" si="17"/>
        <v>4.5640569367116361</v>
      </c>
      <c r="T250" s="19"/>
      <c r="U250" s="19"/>
      <c r="V250" s="19"/>
      <c r="W250" s="19"/>
    </row>
    <row r="251" spans="1:23" ht="15.75" customHeight="1">
      <c r="A251" s="8">
        <v>60501</v>
      </c>
      <c r="B251" s="8">
        <v>389</v>
      </c>
      <c r="C251" s="8">
        <v>144.88889229297638</v>
      </c>
      <c r="D251" s="8">
        <v>3248</v>
      </c>
      <c r="E251" s="19">
        <f t="shared" si="0"/>
        <v>0.11976600985221675</v>
      </c>
      <c r="F251" s="19">
        <f t="shared" si="16"/>
        <v>0.37246501874801125</v>
      </c>
      <c r="G251" s="19">
        <f t="shared" si="2"/>
        <v>4.4608649104980413E-2</v>
      </c>
      <c r="H251" s="8">
        <v>2373</v>
      </c>
      <c r="I251" s="8">
        <v>912.22224533557892</v>
      </c>
      <c r="J251" s="8">
        <v>26448</v>
      </c>
      <c r="K251" s="19">
        <f t="shared" si="3"/>
        <v>8.9723230490018152E-2</v>
      </c>
      <c r="L251" s="19">
        <f t="shared" si="4"/>
        <v>0.38441729681229619</v>
      </c>
      <c r="M251" s="19">
        <f t="shared" si="5"/>
        <v>3.4491161726239374E-2</v>
      </c>
      <c r="N251" s="19">
        <f t="shared" si="17"/>
        <v>0.77319449071567037</v>
      </c>
      <c r="T251" s="19"/>
      <c r="U251" s="19"/>
      <c r="V251" s="19"/>
      <c r="W251" s="19"/>
    </row>
    <row r="252" spans="1:23" ht="15.75" customHeight="1">
      <c r="A252" s="8">
        <v>60502</v>
      </c>
      <c r="B252" s="8">
        <v>24</v>
      </c>
      <c r="C252" s="8">
        <v>9.8888891935348511</v>
      </c>
      <c r="D252" s="8">
        <v>409</v>
      </c>
      <c r="E252" s="19">
        <f t="shared" si="0"/>
        <v>5.8679706601466992E-2</v>
      </c>
      <c r="F252" s="19">
        <f t="shared" si="16"/>
        <v>0.41203704973061878</v>
      </c>
      <c r="G252" s="19">
        <f t="shared" si="2"/>
        <v>2.4178213187126773E-2</v>
      </c>
      <c r="H252" s="8">
        <v>559</v>
      </c>
      <c r="I252" s="8">
        <v>209.88889420032501</v>
      </c>
      <c r="J252" s="8">
        <v>8922</v>
      </c>
      <c r="K252" s="19">
        <f t="shared" si="3"/>
        <v>6.265411342748263E-2</v>
      </c>
      <c r="L252" s="19">
        <f t="shared" si="4"/>
        <v>0.37547208264816639</v>
      </c>
      <c r="M252" s="19">
        <f t="shared" si="5"/>
        <v>2.352487045509135E-2</v>
      </c>
      <c r="N252" s="19">
        <f t="shared" si="17"/>
        <v>0.97297803907266056</v>
      </c>
      <c r="T252" s="19"/>
      <c r="U252" s="19"/>
      <c r="V252" s="19"/>
      <c r="W252" s="19"/>
    </row>
    <row r="253" spans="1:23" ht="15.75" customHeight="1">
      <c r="A253" s="8">
        <v>60601</v>
      </c>
      <c r="B253" s="8">
        <v>57</v>
      </c>
      <c r="C253" s="8">
        <v>21.000000685453415</v>
      </c>
      <c r="D253" s="8">
        <v>940</v>
      </c>
      <c r="E253" s="19">
        <f t="shared" si="0"/>
        <v>6.0638297872340423E-2</v>
      </c>
      <c r="F253" s="19">
        <f t="shared" si="16"/>
        <v>0.36842106465707747</v>
      </c>
      <c r="G253" s="19">
        <f t="shared" si="2"/>
        <v>2.2340426261120653E-2</v>
      </c>
      <c r="H253" s="8">
        <v>2274</v>
      </c>
      <c r="I253" s="8">
        <v>872.88891020417213</v>
      </c>
      <c r="J253" s="8">
        <v>19084</v>
      </c>
      <c r="K253" s="19">
        <f t="shared" si="3"/>
        <v>0.11915740934814505</v>
      </c>
      <c r="L253" s="19">
        <f t="shared" si="4"/>
        <v>0.38385616103965353</v>
      </c>
      <c r="M253" s="19">
        <f t="shared" si="5"/>
        <v>4.573930571180948E-2</v>
      </c>
      <c r="N253" s="19">
        <f t="shared" si="17"/>
        <v>2.0473783793199245</v>
      </c>
      <c r="T253" s="19"/>
      <c r="U253" s="19"/>
      <c r="V253" s="19"/>
      <c r="W253" s="19"/>
    </row>
    <row r="254" spans="1:23" ht="15.75" customHeight="1">
      <c r="A254" s="8">
        <v>70101</v>
      </c>
      <c r="B254" s="8">
        <v>2220</v>
      </c>
      <c r="C254" s="8">
        <v>789.6666873395443</v>
      </c>
      <c r="D254" s="8">
        <v>97011</v>
      </c>
      <c r="E254" s="19">
        <f t="shared" si="0"/>
        <v>2.2884002845038193E-2</v>
      </c>
      <c r="F254" s="19">
        <f t="shared" si="16"/>
        <v>0.35570571501781273</v>
      </c>
      <c r="G254" s="19">
        <f t="shared" si="2"/>
        <v>8.1399705944639709E-3</v>
      </c>
      <c r="H254" s="8">
        <v>23620</v>
      </c>
      <c r="I254" s="8">
        <v>8374.0002210140228</v>
      </c>
      <c r="J254" s="8">
        <v>1449071</v>
      </c>
      <c r="K254" s="19">
        <f t="shared" si="3"/>
        <v>1.6300098476886227E-2</v>
      </c>
      <c r="L254" s="19">
        <f t="shared" si="4"/>
        <v>0.35453006862887482</v>
      </c>
      <c r="M254" s="19">
        <f t="shared" si="5"/>
        <v>5.7788750316678924E-3</v>
      </c>
      <c r="N254" s="19">
        <f t="shared" si="17"/>
        <v>0.70993807220853233</v>
      </c>
      <c r="T254" s="19"/>
      <c r="U254" s="19"/>
      <c r="V254" s="19"/>
      <c r="W254" s="19"/>
    </row>
    <row r="255" spans="1:23" ht="15.75" customHeight="1">
      <c r="A255" s="8">
        <v>70102</v>
      </c>
      <c r="B255" s="8">
        <v>1415</v>
      </c>
      <c r="C255" s="8">
        <v>504.111123919487</v>
      </c>
      <c r="D255" s="8">
        <v>21550</v>
      </c>
      <c r="E255" s="19">
        <f t="shared" si="0"/>
        <v>6.5661252900232017E-2</v>
      </c>
      <c r="F255" s="19">
        <f t="shared" si="16"/>
        <v>0.35626227838833002</v>
      </c>
      <c r="G255" s="19">
        <f t="shared" si="2"/>
        <v>2.3392627560069001E-2</v>
      </c>
      <c r="H255" s="8">
        <v>4827</v>
      </c>
      <c r="I255" s="8">
        <v>1736.7778237164021</v>
      </c>
      <c r="J255" s="8">
        <v>82139</v>
      </c>
      <c r="K255" s="19">
        <f t="shared" si="3"/>
        <v>5.8766237718988541E-2</v>
      </c>
      <c r="L255" s="19">
        <f t="shared" si="4"/>
        <v>0.35980481121118751</v>
      </c>
      <c r="M255" s="19">
        <f t="shared" si="5"/>
        <v>2.114437506807244E-2</v>
      </c>
      <c r="N255" s="19">
        <f t="shared" si="17"/>
        <v>0.9038905532855015</v>
      </c>
      <c r="T255" s="19"/>
      <c r="U255" s="19"/>
      <c r="V255" s="19"/>
      <c r="W255" s="19"/>
    </row>
    <row r="256" spans="1:23" ht="15.75" customHeight="1">
      <c r="A256" s="8">
        <v>70103</v>
      </c>
      <c r="B256" s="8">
        <v>148</v>
      </c>
      <c r="C256" s="8">
        <v>60.888890564441681</v>
      </c>
      <c r="D256" s="8">
        <v>5653</v>
      </c>
      <c r="E256" s="19">
        <f t="shared" si="0"/>
        <v>2.6180788961613303E-2</v>
      </c>
      <c r="F256" s="19">
        <f t="shared" si="16"/>
        <v>0.41141142273271408</v>
      </c>
      <c r="G256" s="19">
        <f t="shared" si="2"/>
        <v>1.0771075634962265E-2</v>
      </c>
      <c r="H256" s="8">
        <v>673</v>
      </c>
      <c r="I256" s="8">
        <v>243.00000640749931</v>
      </c>
      <c r="J256" s="8">
        <v>16567</v>
      </c>
      <c r="K256" s="19">
        <f t="shared" si="3"/>
        <v>4.0622925092050462E-2</v>
      </c>
      <c r="L256" s="19">
        <f t="shared" si="4"/>
        <v>0.36106984607355025</v>
      </c>
      <c r="M256" s="19">
        <f t="shared" si="5"/>
        <v>1.4667713310044022E-2</v>
      </c>
      <c r="N256" s="19">
        <f t="shared" si="17"/>
        <v>1.3617686670431972</v>
      </c>
      <c r="T256" s="19"/>
      <c r="U256" s="19"/>
      <c r="V256" s="19"/>
      <c r="W256" s="19"/>
    </row>
    <row r="257" spans="1:23" ht="15.75" customHeight="1">
      <c r="A257" s="8">
        <v>70104</v>
      </c>
      <c r="B257" s="8">
        <v>916</v>
      </c>
      <c r="C257" s="8">
        <v>323.777786642313</v>
      </c>
      <c r="D257" s="8">
        <v>25118</v>
      </c>
      <c r="E257" s="19">
        <f t="shared" ref="E257:E346" si="18">B257/D257</f>
        <v>3.6467871645831672E-2</v>
      </c>
      <c r="F257" s="19">
        <f t="shared" si="16"/>
        <v>0.35346919939117138</v>
      </c>
      <c r="G257" s="19">
        <f t="shared" ref="G257:G346" si="19">E257*F257</f>
        <v>1.289026939415212E-2</v>
      </c>
      <c r="H257" s="8">
        <v>3761</v>
      </c>
      <c r="I257" s="8">
        <v>1315.8889241218567</v>
      </c>
      <c r="J257" s="8">
        <v>119245</v>
      </c>
      <c r="K257" s="19">
        <f t="shared" ref="K257:K346" si="20">H257/J257</f>
        <v>3.1540106503417334E-2</v>
      </c>
      <c r="L257" s="19">
        <f t="shared" ref="L257:L346" si="21">I257/H257</f>
        <v>0.34987740604144024</v>
      </c>
      <c r="M257" s="19">
        <f t="shared" ref="M257:M346" si="22">K257*L257</f>
        <v>1.1035170649686416E-2</v>
      </c>
      <c r="N257" s="19">
        <f t="shared" si="17"/>
        <v>0.85608533943384457</v>
      </c>
      <c r="T257" s="19"/>
      <c r="U257" s="19"/>
      <c r="V257" s="19"/>
      <c r="W257" s="19"/>
    </row>
    <row r="258" spans="1:23" ht="15.75" customHeight="1">
      <c r="A258" s="8">
        <v>70105</v>
      </c>
      <c r="B258" s="8">
        <v>236</v>
      </c>
      <c r="C258" s="8">
        <v>83.777780205011368</v>
      </c>
      <c r="D258" s="8">
        <v>4430</v>
      </c>
      <c r="E258" s="19">
        <f t="shared" si="18"/>
        <v>5.3273137697516931E-2</v>
      </c>
      <c r="F258" s="19">
        <f t="shared" si="16"/>
        <v>0.35499059408903122</v>
      </c>
      <c r="G258" s="19">
        <f t="shared" si="19"/>
        <v>1.8911462800228301E-2</v>
      </c>
      <c r="H258" s="8">
        <v>2506</v>
      </c>
      <c r="I258" s="8">
        <v>892.88891205191612</v>
      </c>
      <c r="J258" s="8">
        <v>49667</v>
      </c>
      <c r="K258" s="19">
        <f t="shared" si="20"/>
        <v>5.0456037207803978E-2</v>
      </c>
      <c r="L258" s="19">
        <f t="shared" si="21"/>
        <v>0.35630044375575265</v>
      </c>
      <c r="M258" s="19">
        <f t="shared" si="22"/>
        <v>1.7977508447297324E-2</v>
      </c>
      <c r="N258" s="19">
        <f t="shared" si="17"/>
        <v>0.95061437802052506</v>
      </c>
      <c r="T258" s="19"/>
      <c r="U258" s="19"/>
      <c r="V258" s="19"/>
      <c r="W258" s="19"/>
    </row>
    <row r="259" spans="1:23" ht="15.75" customHeight="1">
      <c r="A259" s="8">
        <v>70201</v>
      </c>
      <c r="B259" s="8">
        <v>1181</v>
      </c>
      <c r="C259" s="8">
        <v>423.55556598305702</v>
      </c>
      <c r="D259" s="8">
        <v>25265</v>
      </c>
      <c r="E259" s="19">
        <f t="shared" si="18"/>
        <v>4.6744508212942806E-2</v>
      </c>
      <c r="F259" s="19">
        <f t="shared" si="16"/>
        <v>0.3586414614589814</v>
      </c>
      <c r="G259" s="19">
        <f t="shared" si="19"/>
        <v>1.6764518740671166E-2</v>
      </c>
      <c r="H259" s="8">
        <v>5678</v>
      </c>
      <c r="I259" s="8">
        <v>2027.2222738564014</v>
      </c>
      <c r="J259" s="8">
        <v>120769</v>
      </c>
      <c r="K259" s="19">
        <f t="shared" si="20"/>
        <v>4.7015376462502798E-2</v>
      </c>
      <c r="L259" s="19">
        <f t="shared" si="21"/>
        <v>0.35703104506100763</v>
      </c>
      <c r="M259" s="19">
        <f t="shared" si="22"/>
        <v>1.6785948992344073E-2</v>
      </c>
      <c r="N259" s="19">
        <f t="shared" si="17"/>
        <v>1.0012783099833888</v>
      </c>
      <c r="T259" s="19"/>
      <c r="U259" s="19"/>
      <c r="V259" s="19"/>
      <c r="W259" s="19"/>
    </row>
    <row r="260" spans="1:23" ht="15.75" customHeight="1">
      <c r="A260" s="8">
        <v>70202</v>
      </c>
      <c r="B260" s="8">
        <v>26</v>
      </c>
      <c r="C260" s="8">
        <v>9.8888890743255615</v>
      </c>
      <c r="D260" s="8">
        <v>787</v>
      </c>
      <c r="E260" s="19">
        <f t="shared" si="18"/>
        <v>3.303684879288437E-2</v>
      </c>
      <c r="F260" s="19">
        <f t="shared" si="16"/>
        <v>0.38034188747406006</v>
      </c>
      <c r="G260" s="19">
        <f t="shared" si="19"/>
        <v>1.2565297426080764E-2</v>
      </c>
      <c r="H260" s="8">
        <v>353</v>
      </c>
      <c r="I260" s="8">
        <v>122.77778097987175</v>
      </c>
      <c r="J260" s="8">
        <v>9454</v>
      </c>
      <c r="K260" s="19">
        <f t="shared" si="20"/>
        <v>3.733869261688174E-2</v>
      </c>
      <c r="L260" s="19">
        <f t="shared" si="21"/>
        <v>0.34781241070785196</v>
      </c>
      <c r="M260" s="19">
        <f t="shared" si="22"/>
        <v>1.2986860691757111E-2</v>
      </c>
      <c r="N260" s="19">
        <f t="shared" si="17"/>
        <v>1.0335498039864415</v>
      </c>
      <c r="T260" s="19"/>
      <c r="U260" s="19"/>
      <c r="V260" s="19"/>
      <c r="W260" s="19"/>
    </row>
    <row r="261" spans="1:23" ht="15.75" customHeight="1">
      <c r="A261" s="8">
        <v>70301</v>
      </c>
      <c r="B261" s="8">
        <v>1365</v>
      </c>
      <c r="C261" s="8">
        <v>517.4444574713707</v>
      </c>
      <c r="D261" s="8">
        <v>7479</v>
      </c>
      <c r="E261" s="19">
        <f t="shared" si="18"/>
        <v>0.18251103088648216</v>
      </c>
      <c r="F261" s="19">
        <f t="shared" si="16"/>
        <v>0.37908018862371479</v>
      </c>
      <c r="G261" s="19">
        <f t="shared" si="19"/>
        <v>6.9186316014356292E-2</v>
      </c>
      <c r="H261" s="8">
        <v>7123</v>
      </c>
      <c r="I261" s="8">
        <v>2675.444511026144</v>
      </c>
      <c r="J261" s="8">
        <v>56418</v>
      </c>
      <c r="K261" s="19">
        <f t="shared" si="20"/>
        <v>0.12625403240100677</v>
      </c>
      <c r="L261" s="19">
        <f t="shared" si="21"/>
        <v>0.37560641738398765</v>
      </c>
      <c r="M261" s="19">
        <f t="shared" si="22"/>
        <v>4.7421824790424047E-2</v>
      </c>
      <c r="N261" s="19">
        <f t="shared" si="17"/>
        <v>0.68542202450241652</v>
      </c>
      <c r="T261" s="19"/>
      <c r="U261" s="19"/>
      <c r="V261" s="19"/>
      <c r="W261" s="19"/>
    </row>
    <row r="262" spans="1:23" ht="15.75" customHeight="1">
      <c r="A262" s="8">
        <v>70302</v>
      </c>
      <c r="B262" s="8">
        <v>512</v>
      </c>
      <c r="C262" s="8">
        <v>197.44444936513901</v>
      </c>
      <c r="D262" s="8">
        <v>2048</v>
      </c>
      <c r="E262" s="19">
        <f t="shared" si="18"/>
        <v>0.25</v>
      </c>
      <c r="F262" s="19">
        <f t="shared" si="16"/>
        <v>0.38563369016628712</v>
      </c>
      <c r="G262" s="19">
        <f t="shared" si="19"/>
        <v>9.6408422541571781E-2</v>
      </c>
      <c r="H262" s="8">
        <v>1867</v>
      </c>
      <c r="I262" s="8">
        <v>698.66668444871902</v>
      </c>
      <c r="J262" s="8">
        <v>12517</v>
      </c>
      <c r="K262" s="19">
        <f t="shared" si="20"/>
        <v>0.14915714628105775</v>
      </c>
      <c r="L262" s="19">
        <f t="shared" si="21"/>
        <v>0.37421889900841943</v>
      </c>
      <c r="M262" s="19">
        <f t="shared" si="22"/>
        <v>5.5817423060535193E-2</v>
      </c>
      <c r="N262" s="19">
        <f t="shared" si="17"/>
        <v>0.57896832651178842</v>
      </c>
      <c r="T262" s="19"/>
      <c r="U262" s="19"/>
      <c r="V262" s="19"/>
      <c r="W262" s="19"/>
    </row>
    <row r="263" spans="1:23" ht="15.75" customHeight="1">
      <c r="A263" s="8">
        <v>70303</v>
      </c>
      <c r="B263" s="8">
        <v>530</v>
      </c>
      <c r="C263" s="8">
        <v>192.88889357447624</v>
      </c>
      <c r="D263" s="8">
        <v>1978</v>
      </c>
      <c r="E263" s="19">
        <f t="shared" si="18"/>
        <v>0.26794742163801821</v>
      </c>
      <c r="F263" s="19">
        <f t="shared" si="16"/>
        <v>0.36394130863108726</v>
      </c>
      <c r="G263" s="19">
        <f t="shared" si="19"/>
        <v>9.7517135275266051E-2</v>
      </c>
      <c r="H263" s="8">
        <v>948</v>
      </c>
      <c r="I263" s="8">
        <v>340.44445398449898</v>
      </c>
      <c r="J263" s="8">
        <v>6458</v>
      </c>
      <c r="K263" s="19">
        <f t="shared" si="20"/>
        <v>0.14679467327345927</v>
      </c>
      <c r="L263" s="19">
        <f t="shared" si="21"/>
        <v>0.35911862234651792</v>
      </c>
      <c r="M263" s="19">
        <f t="shared" si="22"/>
        <v>5.2716700833771911E-2</v>
      </c>
      <c r="N263" s="19">
        <f t="shared" si="17"/>
        <v>0.54058910451959119</v>
      </c>
      <c r="T263" s="19"/>
      <c r="U263" s="19"/>
      <c r="V263" s="19"/>
      <c r="W263" s="19"/>
    </row>
    <row r="264" spans="1:23" ht="15.75" customHeight="1">
      <c r="A264" s="8">
        <v>70401</v>
      </c>
      <c r="B264" s="8">
        <v>51</v>
      </c>
      <c r="C264" s="8">
        <v>18.000000506639481</v>
      </c>
      <c r="D264" s="8">
        <v>1264</v>
      </c>
      <c r="E264" s="19">
        <f t="shared" si="18"/>
        <v>4.0348101265822785E-2</v>
      </c>
      <c r="F264" s="19">
        <f t="shared" si="16"/>
        <v>0.35294118640469568</v>
      </c>
      <c r="G264" s="19">
        <f t="shared" si="19"/>
        <v>1.4240506729936297E-2</v>
      </c>
      <c r="H264" s="8">
        <v>685</v>
      </c>
      <c r="I264" s="8">
        <v>253.00000640749931</v>
      </c>
      <c r="J264" s="8">
        <v>11510</v>
      </c>
      <c r="K264" s="19">
        <f t="shared" si="20"/>
        <v>5.9513466550825372E-2</v>
      </c>
      <c r="L264" s="19">
        <f t="shared" si="21"/>
        <v>0.36934307504744424</v>
      </c>
      <c r="M264" s="19">
        <f t="shared" si="22"/>
        <v>2.1980886742615058E-2</v>
      </c>
      <c r="N264" s="19">
        <f t="shared" si="17"/>
        <v>1.5435466700357641</v>
      </c>
      <c r="T264" s="19"/>
      <c r="U264" s="19"/>
      <c r="V264" s="19"/>
      <c r="W264" s="19"/>
    </row>
    <row r="265" spans="1:23" ht="15.75" customHeight="1">
      <c r="A265" s="8">
        <v>70402</v>
      </c>
      <c r="B265" s="8">
        <v>130</v>
      </c>
      <c r="C265" s="8">
        <v>46.777779072523117</v>
      </c>
      <c r="D265" s="8">
        <v>1786</v>
      </c>
      <c r="E265" s="19">
        <f t="shared" si="18"/>
        <v>7.2788353863381852E-2</v>
      </c>
      <c r="F265" s="19">
        <f t="shared" si="16"/>
        <v>0.35982906978863938</v>
      </c>
      <c r="G265" s="19">
        <f t="shared" si="19"/>
        <v>2.6191365662107006E-2</v>
      </c>
      <c r="H265" s="8">
        <v>1215</v>
      </c>
      <c r="I265" s="8">
        <v>451.88889974355698</v>
      </c>
      <c r="J265" s="8">
        <v>16602</v>
      </c>
      <c r="K265" s="19">
        <f t="shared" si="20"/>
        <v>7.3183953740513188E-2</v>
      </c>
      <c r="L265" s="19">
        <f t="shared" si="21"/>
        <v>0.37192502036506747</v>
      </c>
      <c r="M265" s="19">
        <f t="shared" si="22"/>
        <v>2.7218943485336523E-2</v>
      </c>
      <c r="N265" s="19">
        <f t="shared" si="17"/>
        <v>1.0392334571815089</v>
      </c>
      <c r="T265" s="19"/>
      <c r="U265" s="19"/>
      <c r="V265" s="19"/>
      <c r="W265" s="19"/>
    </row>
    <row r="266" spans="1:23" ht="15.75" customHeight="1">
      <c r="A266" s="8">
        <v>70403</v>
      </c>
      <c r="B266" s="8">
        <v>1273</v>
      </c>
      <c r="C266" s="8">
        <v>469.22223335504532</v>
      </c>
      <c r="D266" s="8">
        <v>6082</v>
      </c>
      <c r="E266" s="19">
        <f t="shared" si="18"/>
        <v>0.20930614929299574</v>
      </c>
      <c r="F266" s="19">
        <f t="shared" si="16"/>
        <v>0.36859562714457605</v>
      </c>
      <c r="G266" s="19">
        <f t="shared" si="19"/>
        <v>7.7149331363868021E-2</v>
      </c>
      <c r="H266" s="8">
        <v>6398</v>
      </c>
      <c r="I266" s="8">
        <v>2385.7778351604939</v>
      </c>
      <c r="J266" s="8">
        <v>49509</v>
      </c>
      <c r="K266" s="19">
        <f t="shared" si="20"/>
        <v>0.12922902906542244</v>
      </c>
      <c r="L266" s="19">
        <f t="shared" si="21"/>
        <v>0.37289431621764518</v>
      </c>
      <c r="M266" s="19">
        <f t="shared" si="22"/>
        <v>4.8188770428820894E-2</v>
      </c>
      <c r="N266" s="19">
        <f t="shared" si="17"/>
        <v>0.62461682527801576</v>
      </c>
      <c r="T266" s="19"/>
      <c r="U266" s="19"/>
      <c r="V266" s="19"/>
      <c r="W266" s="19"/>
    </row>
    <row r="267" spans="1:23" ht="15.75" customHeight="1">
      <c r="A267" s="8">
        <v>70404</v>
      </c>
      <c r="B267" s="8">
        <v>97</v>
      </c>
      <c r="C267" s="8">
        <v>35.777778655290604</v>
      </c>
      <c r="D267" s="8">
        <v>931</v>
      </c>
      <c r="E267" s="19">
        <f t="shared" si="18"/>
        <v>0.1041890440386681</v>
      </c>
      <c r="F267" s="19">
        <f t="shared" si="16"/>
        <v>0.36884307892052171</v>
      </c>
      <c r="G267" s="19">
        <f t="shared" si="19"/>
        <v>3.8429407793008172E-2</v>
      </c>
      <c r="H267" s="8">
        <v>658</v>
      </c>
      <c r="I267" s="8">
        <v>244.44445076584816</v>
      </c>
      <c r="J267" s="8">
        <v>9045</v>
      </c>
      <c r="K267" s="19">
        <f t="shared" si="20"/>
        <v>7.2747374239911552E-2</v>
      </c>
      <c r="L267" s="19">
        <f t="shared" si="21"/>
        <v>0.37149612578396379</v>
      </c>
      <c r="M267" s="19">
        <f t="shared" si="22"/>
        <v>2.7025367691083269E-2</v>
      </c>
      <c r="N267" s="19">
        <f t="shared" si="17"/>
        <v>0.70324705071308047</v>
      </c>
      <c r="T267" s="19"/>
      <c r="U267" s="19"/>
      <c r="V267" s="19"/>
      <c r="W267" s="19"/>
    </row>
    <row r="268" spans="1:23" ht="15.75" customHeight="1">
      <c r="A268" s="8">
        <v>70501</v>
      </c>
      <c r="B268" s="8">
        <v>953</v>
      </c>
      <c r="C268" s="8">
        <v>356.22223094105721</v>
      </c>
      <c r="D268" s="8">
        <v>5310</v>
      </c>
      <c r="E268" s="19">
        <f t="shared" si="18"/>
        <v>0.17947269303201507</v>
      </c>
      <c r="F268" s="19">
        <f t="shared" si="16"/>
        <v>0.37379037874192783</v>
      </c>
      <c r="G268" s="19">
        <f t="shared" si="19"/>
        <v>6.7085165902270663E-2</v>
      </c>
      <c r="H268" s="8">
        <v>5881</v>
      </c>
      <c r="I268" s="8">
        <v>2105.3333869874477</v>
      </c>
      <c r="J268" s="8">
        <v>34126</v>
      </c>
      <c r="K268" s="19">
        <f t="shared" si="20"/>
        <v>0.17233194631659146</v>
      </c>
      <c r="L268" s="19">
        <f t="shared" si="21"/>
        <v>0.35798901326091614</v>
      </c>
      <c r="M268" s="19">
        <f t="shared" si="22"/>
        <v>6.1692943415209749E-2</v>
      </c>
      <c r="N268" s="19">
        <f t="shared" si="17"/>
        <v>0.91962123944187191</v>
      </c>
      <c r="T268" s="19"/>
      <c r="U268" s="19"/>
      <c r="V268" s="19"/>
      <c r="W268" s="19"/>
    </row>
    <row r="269" spans="1:23" ht="15.75" customHeight="1">
      <c r="A269" s="8">
        <v>70502</v>
      </c>
      <c r="B269" s="8">
        <v>299</v>
      </c>
      <c r="C269" s="8">
        <v>108.77778047323227</v>
      </c>
      <c r="D269" s="8">
        <v>4271</v>
      </c>
      <c r="E269" s="19">
        <f t="shared" si="18"/>
        <v>7.0007024116132049E-2</v>
      </c>
      <c r="F269" s="19">
        <f t="shared" si="16"/>
        <v>0.36380528586365307</v>
      </c>
      <c r="G269" s="19">
        <f t="shared" si="19"/>
        <v>2.5468925421033076E-2</v>
      </c>
      <c r="H269" s="8">
        <v>5376</v>
      </c>
      <c r="I269" s="8">
        <v>1900.1111613512039</v>
      </c>
      <c r="J269" s="8">
        <v>47172</v>
      </c>
      <c r="K269" s="19">
        <f t="shared" si="20"/>
        <v>0.11396591198168406</v>
      </c>
      <c r="L269" s="19">
        <f t="shared" si="21"/>
        <v>0.35344329638229238</v>
      </c>
      <c r="M269" s="19">
        <f t="shared" si="22"/>
        <v>4.0280487606020605E-2</v>
      </c>
      <c r="N269" s="19">
        <f t="shared" si="17"/>
        <v>1.5815542642704374</v>
      </c>
      <c r="T269" s="19"/>
      <c r="U269" s="19"/>
      <c r="V269" s="19"/>
      <c r="W269" s="19"/>
    </row>
    <row r="270" spans="1:23" ht="15.75" customHeight="1">
      <c r="A270" s="8">
        <v>70503</v>
      </c>
      <c r="B270" s="8">
        <v>138</v>
      </c>
      <c r="C270" s="8">
        <v>49.888890147209167</v>
      </c>
      <c r="D270" s="8">
        <v>2195</v>
      </c>
      <c r="E270" s="19">
        <f t="shared" si="18"/>
        <v>6.287015945330296E-2</v>
      </c>
      <c r="F270" s="19">
        <f t="shared" si="16"/>
        <v>0.36151369671890698</v>
      </c>
      <c r="G270" s="19">
        <f t="shared" si="19"/>
        <v>2.2728423757270688E-2</v>
      </c>
      <c r="H270" s="8">
        <v>849</v>
      </c>
      <c r="I270" s="8">
        <v>311.55556347966194</v>
      </c>
      <c r="J270" s="8">
        <v>15164</v>
      </c>
      <c r="K270" s="19">
        <f t="shared" si="20"/>
        <v>5.5987865998417305E-2</v>
      </c>
      <c r="L270" s="19">
        <f t="shared" si="21"/>
        <v>0.36696768372162775</v>
      </c>
      <c r="M270" s="19">
        <f t="shared" si="22"/>
        <v>2.0545737501956079E-2</v>
      </c>
      <c r="N270" s="19">
        <f t="shared" si="17"/>
        <v>0.90396666840495787</v>
      </c>
      <c r="T270" s="19"/>
      <c r="U270" s="19"/>
      <c r="V270" s="19"/>
      <c r="W270" s="19"/>
    </row>
    <row r="271" spans="1:23" ht="15.75" customHeight="1">
      <c r="A271" s="8">
        <v>70601</v>
      </c>
      <c r="B271" s="8">
        <v>70</v>
      </c>
      <c r="C271" s="8">
        <v>24.666667282581329</v>
      </c>
      <c r="D271" s="8">
        <v>1492</v>
      </c>
      <c r="E271" s="19">
        <f t="shared" si="18"/>
        <v>4.6916890080428951E-2</v>
      </c>
      <c r="F271" s="19">
        <f t="shared" si="16"/>
        <v>0.35238096117973328</v>
      </c>
      <c r="G271" s="19">
        <f t="shared" si="19"/>
        <v>1.6532618822105449E-2</v>
      </c>
      <c r="H271" s="8">
        <v>639</v>
      </c>
      <c r="I271" s="8">
        <v>236.33333986997604</v>
      </c>
      <c r="J271" s="8">
        <v>18533</v>
      </c>
      <c r="K271" s="19">
        <f t="shared" si="20"/>
        <v>3.4479037392758864E-2</v>
      </c>
      <c r="L271" s="19">
        <f t="shared" si="21"/>
        <v>0.36984873219088582</v>
      </c>
      <c r="M271" s="19">
        <f t="shared" si="22"/>
        <v>1.2752028266874011E-2</v>
      </c>
      <c r="N271" s="19">
        <f t="shared" si="17"/>
        <v>0.77132536617994951</v>
      </c>
      <c r="T271" s="19"/>
      <c r="U271" s="19"/>
      <c r="V271" s="19"/>
      <c r="W271" s="19"/>
    </row>
    <row r="272" spans="1:23" ht="15.75" customHeight="1">
      <c r="A272" s="8">
        <v>70602</v>
      </c>
      <c r="B272" s="8">
        <v>201</v>
      </c>
      <c r="C272" s="8">
        <v>72.55555734038353</v>
      </c>
      <c r="D272" s="8">
        <v>2066</v>
      </c>
      <c r="E272" s="19">
        <f t="shared" si="18"/>
        <v>9.728944820909971E-2</v>
      </c>
      <c r="F272" s="19">
        <f t="shared" si="16"/>
        <v>0.36097292209146037</v>
      </c>
      <c r="G272" s="19">
        <f t="shared" si="19"/>
        <v>3.5118856408704519E-2</v>
      </c>
      <c r="H272" s="8">
        <v>1192</v>
      </c>
      <c r="I272" s="8">
        <v>429.77778887748718</v>
      </c>
      <c r="J272" s="8">
        <v>15395</v>
      </c>
      <c r="K272" s="19">
        <f t="shared" si="20"/>
        <v>7.7427736278012346E-2</v>
      </c>
      <c r="L272" s="19">
        <f t="shared" si="21"/>
        <v>0.36055183630661675</v>
      </c>
      <c r="M272" s="19">
        <f t="shared" si="22"/>
        <v>2.7916712496101798E-2</v>
      </c>
      <c r="N272" s="19">
        <f t="shared" si="17"/>
        <v>0.79492088726392562</v>
      </c>
      <c r="T272" s="19"/>
      <c r="U272" s="19"/>
      <c r="V272" s="19"/>
      <c r="W272" s="19"/>
    </row>
    <row r="273" spans="1:23" ht="15.75" customHeight="1">
      <c r="A273" s="8">
        <v>70603</v>
      </c>
      <c r="B273" s="8">
        <v>50</v>
      </c>
      <c r="C273" s="8">
        <v>17.777778208255768</v>
      </c>
      <c r="D273" s="8">
        <v>563</v>
      </c>
      <c r="E273" s="19">
        <f t="shared" si="18"/>
        <v>8.8809946714031973E-2</v>
      </c>
      <c r="F273" s="19">
        <f t="shared" si="16"/>
        <v>0.35555556416511536</v>
      </c>
      <c r="G273" s="19">
        <f t="shared" si="19"/>
        <v>3.1576870707381473E-2</v>
      </c>
      <c r="H273" s="8">
        <v>281</v>
      </c>
      <c r="I273" s="8">
        <v>98.111113905906677</v>
      </c>
      <c r="J273" s="8">
        <v>5285</v>
      </c>
      <c r="K273" s="19">
        <f t="shared" si="20"/>
        <v>5.3169347209082306E-2</v>
      </c>
      <c r="L273" s="19">
        <f t="shared" si="21"/>
        <v>0.34914987155126931</v>
      </c>
      <c r="M273" s="19">
        <f t="shared" si="22"/>
        <v>1.8564070748515925E-2</v>
      </c>
      <c r="N273" s="19">
        <f t="shared" si="17"/>
        <v>0.58790090128140371</v>
      </c>
      <c r="T273" s="19"/>
      <c r="U273" s="19"/>
      <c r="V273" s="19"/>
      <c r="W273" s="19"/>
    </row>
    <row r="274" spans="1:23" ht="15.75" customHeight="1">
      <c r="A274" s="8">
        <v>70701</v>
      </c>
      <c r="B274" s="8">
        <v>18</v>
      </c>
      <c r="C274" s="8">
        <v>6.1111112833023071</v>
      </c>
      <c r="D274" s="8">
        <v>335</v>
      </c>
      <c r="E274" s="19">
        <f t="shared" si="18"/>
        <v>5.3731343283582089E-2</v>
      </c>
      <c r="F274" s="19">
        <f t="shared" si="16"/>
        <v>0.33950618240568375</v>
      </c>
      <c r="G274" s="19">
        <f t="shared" si="19"/>
        <v>1.8242123233738233E-2</v>
      </c>
      <c r="H274" s="8">
        <v>333</v>
      </c>
      <c r="I274" s="8">
        <v>129.11111468076706</v>
      </c>
      <c r="J274" s="8">
        <v>5289</v>
      </c>
      <c r="K274" s="19">
        <f t="shared" si="20"/>
        <v>6.2960862166761208E-2</v>
      </c>
      <c r="L274" s="19">
        <f t="shared" si="21"/>
        <v>0.38772106510740861</v>
      </c>
      <c r="M274" s="19">
        <f t="shared" si="22"/>
        <v>2.4411252539377402E-2</v>
      </c>
      <c r="N274" s="19">
        <f t="shared" si="17"/>
        <v>1.3381804424075789</v>
      </c>
      <c r="T274" s="19"/>
      <c r="U274" s="19"/>
      <c r="V274" s="19"/>
      <c r="W274" s="19"/>
    </row>
    <row r="275" spans="1:23" ht="15.75" customHeight="1">
      <c r="A275" s="8">
        <v>70702</v>
      </c>
      <c r="B275" s="8">
        <v>232</v>
      </c>
      <c r="C275" s="8">
        <v>85.777779936790466</v>
      </c>
      <c r="D275" s="8">
        <v>2399</v>
      </c>
      <c r="E275" s="19">
        <f t="shared" si="18"/>
        <v>9.6706961233847435E-2</v>
      </c>
      <c r="F275" s="19">
        <f t="shared" si="16"/>
        <v>0.36973181007237271</v>
      </c>
      <c r="G275" s="19">
        <f t="shared" si="19"/>
        <v>3.5755639823589189E-2</v>
      </c>
      <c r="H275" s="8">
        <v>5276</v>
      </c>
      <c r="I275" s="8">
        <v>1942.5556039810181</v>
      </c>
      <c r="J275" s="8">
        <v>34159</v>
      </c>
      <c r="K275" s="19">
        <f t="shared" si="20"/>
        <v>0.15445417020404578</v>
      </c>
      <c r="L275" s="19">
        <f t="shared" si="21"/>
        <v>0.3681871880176304</v>
      </c>
      <c r="M275" s="19">
        <f t="shared" si="22"/>
        <v>5.6868046605024092E-2</v>
      </c>
      <c r="N275" s="19">
        <f t="shared" si="17"/>
        <v>1.5904636830888521</v>
      </c>
      <c r="T275" s="19"/>
      <c r="U275" s="19"/>
      <c r="V275" s="19"/>
      <c r="W275" s="19"/>
    </row>
    <row r="276" spans="1:23" ht="15.75" customHeight="1">
      <c r="A276" s="8">
        <v>70703</v>
      </c>
      <c r="B276" s="8">
        <v>394</v>
      </c>
      <c r="C276" s="8">
        <v>139.1111147403717</v>
      </c>
      <c r="D276" s="8">
        <v>3283</v>
      </c>
      <c r="E276" s="19">
        <f t="shared" si="18"/>
        <v>0.12001218397806884</v>
      </c>
      <c r="F276" s="19">
        <f t="shared" si="16"/>
        <v>0.35307389528013122</v>
      </c>
      <c r="G276" s="19">
        <f t="shared" si="19"/>
        <v>4.2373169278212518E-2</v>
      </c>
      <c r="H276" s="8">
        <v>3275</v>
      </c>
      <c r="I276" s="8">
        <v>1190.1111413836479</v>
      </c>
      <c r="J276" s="8">
        <v>27843</v>
      </c>
      <c r="K276" s="19">
        <f t="shared" si="20"/>
        <v>0.11762381927234852</v>
      </c>
      <c r="L276" s="19">
        <f t="shared" si="21"/>
        <v>0.36339271492630471</v>
      </c>
      <c r="M276" s="19">
        <f t="shared" si="22"/>
        <v>4.2743639025379733E-2</v>
      </c>
      <c r="N276" s="19">
        <f t="shared" si="17"/>
        <v>1.0087430266245792</v>
      </c>
      <c r="T276" s="19"/>
      <c r="U276" s="19"/>
      <c r="V276" s="19"/>
      <c r="W276" s="19"/>
    </row>
    <row r="277" spans="1:23" ht="15.75" customHeight="1">
      <c r="A277" s="8">
        <v>70704</v>
      </c>
      <c r="B277" s="8">
        <v>23</v>
      </c>
      <c r="C277" s="8">
        <v>8.4444446265697479</v>
      </c>
      <c r="D277" s="8">
        <v>425</v>
      </c>
      <c r="E277" s="19">
        <f t="shared" si="18"/>
        <v>5.4117647058823527E-2</v>
      </c>
      <c r="F277" s="19">
        <f t="shared" si="16"/>
        <v>0.36714976637259772</v>
      </c>
      <c r="G277" s="19">
        <f t="shared" si="19"/>
        <v>1.9869281474281759E-2</v>
      </c>
      <c r="H277" s="8">
        <v>272</v>
      </c>
      <c r="I277" s="8">
        <v>100.3333360850811</v>
      </c>
      <c r="J277" s="8">
        <v>4412</v>
      </c>
      <c r="K277" s="19">
        <f t="shared" si="20"/>
        <v>6.1650045330915684E-2</v>
      </c>
      <c r="L277" s="19">
        <f t="shared" si="21"/>
        <v>0.36887255913632755</v>
      </c>
      <c r="M277" s="19">
        <f t="shared" si="22"/>
        <v>2.2741009992085469E-2</v>
      </c>
      <c r="N277" s="19">
        <f t="shared" si="17"/>
        <v>1.1445310703117673</v>
      </c>
      <c r="T277" s="19"/>
      <c r="U277" s="19"/>
      <c r="V277" s="19"/>
      <c r="W277" s="19"/>
    </row>
    <row r="278" spans="1:23" ht="15.75" customHeight="1">
      <c r="A278" s="8">
        <v>70705</v>
      </c>
      <c r="B278" s="8">
        <v>68</v>
      </c>
      <c r="C278" s="8">
        <v>24.666667312383652</v>
      </c>
      <c r="D278" s="8">
        <v>875</v>
      </c>
      <c r="E278" s="19">
        <f t="shared" si="18"/>
        <v>7.7714285714285708E-2</v>
      </c>
      <c r="F278" s="19">
        <f t="shared" si="16"/>
        <v>0.36274510753505368</v>
      </c>
      <c r="G278" s="19">
        <f t="shared" si="19"/>
        <v>2.8190476928438454E-2</v>
      </c>
      <c r="H278" s="8">
        <v>1371</v>
      </c>
      <c r="I278" s="8">
        <v>525.66667908430099</v>
      </c>
      <c r="J278" s="8">
        <v>12972</v>
      </c>
      <c r="K278" s="19">
        <f t="shared" si="20"/>
        <v>0.10568917668825162</v>
      </c>
      <c r="L278" s="19">
        <f t="shared" si="21"/>
        <v>0.38341843842764478</v>
      </c>
      <c r="M278" s="19">
        <f t="shared" si="22"/>
        <v>4.0523179084512875E-2</v>
      </c>
      <c r="N278" s="19">
        <f t="shared" si="17"/>
        <v>1.4374775988139894</v>
      </c>
      <c r="T278" s="19"/>
      <c r="U278" s="19"/>
      <c r="V278" s="19"/>
      <c r="W278" s="19"/>
    </row>
    <row r="279" spans="1:23" ht="15.75" customHeight="1">
      <c r="A279" s="8">
        <v>70706</v>
      </c>
      <c r="B279" s="8">
        <v>93</v>
      </c>
      <c r="C279" s="8">
        <v>33.444445461034775</v>
      </c>
      <c r="D279" s="8">
        <v>2135</v>
      </c>
      <c r="E279" s="19">
        <f t="shared" si="18"/>
        <v>4.3559718969555038E-2</v>
      </c>
      <c r="F279" s="19">
        <f t="shared" si="16"/>
        <v>0.35961769312940617</v>
      </c>
      <c r="G279" s="19">
        <f t="shared" si="19"/>
        <v>1.5664845649196617E-2</v>
      </c>
      <c r="H279" s="8">
        <v>977</v>
      </c>
      <c r="I279" s="8">
        <v>355.8888983130455</v>
      </c>
      <c r="J279" s="8">
        <v>28836</v>
      </c>
      <c r="K279" s="19">
        <f t="shared" si="20"/>
        <v>3.3881259536690252E-2</v>
      </c>
      <c r="L279" s="19">
        <f t="shared" si="21"/>
        <v>0.36426704023853174</v>
      </c>
      <c r="M279" s="19">
        <f t="shared" si="22"/>
        <v>1.2341826130983686E-2</v>
      </c>
      <c r="N279" s="19">
        <f t="shared" si="17"/>
        <v>0.78786771394818345</v>
      </c>
      <c r="T279" s="19"/>
      <c r="U279" s="19"/>
      <c r="V279" s="19"/>
      <c r="W279" s="19"/>
    </row>
    <row r="280" spans="1:23" ht="15.75" customHeight="1">
      <c r="A280" s="8">
        <v>70707</v>
      </c>
      <c r="B280" s="8">
        <v>349</v>
      </c>
      <c r="C280" s="8">
        <v>131.33333653211594</v>
      </c>
      <c r="D280" s="8">
        <v>1074</v>
      </c>
      <c r="E280" s="19">
        <f t="shared" si="18"/>
        <v>0.32495344506517693</v>
      </c>
      <c r="F280" s="19">
        <f t="shared" si="16"/>
        <v>0.37631328519230928</v>
      </c>
      <c r="G280" s="19">
        <f t="shared" si="19"/>
        <v>0.12228429844703533</v>
      </c>
      <c r="H280" s="8">
        <v>175</v>
      </c>
      <c r="I280" s="8">
        <v>62.666668325662613</v>
      </c>
      <c r="J280" s="8">
        <v>4117</v>
      </c>
      <c r="K280" s="19">
        <f t="shared" si="20"/>
        <v>4.2506679621083315E-2</v>
      </c>
      <c r="L280" s="19">
        <f t="shared" si="21"/>
        <v>0.35809524757521494</v>
      </c>
      <c r="M280" s="19">
        <f t="shared" si="22"/>
        <v>1.5221439962512174E-2</v>
      </c>
      <c r="N280" s="19">
        <f t="shared" si="17"/>
        <v>0.12447583341294627</v>
      </c>
      <c r="T280" s="19"/>
      <c r="U280" s="19"/>
      <c r="V280" s="19"/>
      <c r="W280" s="19"/>
    </row>
    <row r="281" spans="1:23" ht="15.75" customHeight="1">
      <c r="A281" s="8">
        <v>70801</v>
      </c>
      <c r="B281" s="8">
        <v>19</v>
      </c>
      <c r="C281" s="8">
        <v>6.3333335220813751</v>
      </c>
      <c r="D281" s="8">
        <v>1270</v>
      </c>
      <c r="E281" s="19">
        <f t="shared" si="18"/>
        <v>1.4960629921259842E-2</v>
      </c>
      <c r="F281" s="19">
        <f t="shared" si="16"/>
        <v>0.3333333432674408</v>
      </c>
      <c r="G281" s="19">
        <f t="shared" si="19"/>
        <v>4.9868767890404531E-3</v>
      </c>
      <c r="H281" s="8">
        <v>669</v>
      </c>
      <c r="I281" s="8">
        <v>246.22222828865051</v>
      </c>
      <c r="J281" s="8">
        <v>15271</v>
      </c>
      <c r="K281" s="19">
        <f t="shared" si="20"/>
        <v>4.3808525964245955E-2</v>
      </c>
      <c r="L281" s="19">
        <f t="shared" si="21"/>
        <v>0.3680451842879679</v>
      </c>
      <c r="M281" s="19">
        <f t="shared" si="22"/>
        <v>1.6123517011895128E-2</v>
      </c>
      <c r="N281" s="19">
        <f t="shared" si="17"/>
        <v>3.2331893676076815</v>
      </c>
      <c r="T281" s="19"/>
      <c r="U281" s="19"/>
      <c r="V281" s="19"/>
      <c r="W281" s="19"/>
    </row>
    <row r="282" spans="1:23" ht="15.75" customHeight="1">
      <c r="A282" s="8">
        <v>70802</v>
      </c>
      <c r="B282" s="8">
        <v>7</v>
      </c>
      <c r="C282" s="8">
        <v>2.7777778208255768</v>
      </c>
      <c r="D282" s="8">
        <v>221</v>
      </c>
      <c r="E282" s="19">
        <f t="shared" si="18"/>
        <v>3.1674208144796379E-2</v>
      </c>
      <c r="F282" s="19">
        <f t="shared" si="16"/>
        <v>0.3968254029750824</v>
      </c>
      <c r="G282" s="19">
        <f t="shared" si="19"/>
        <v>1.256913041097546E-2</v>
      </c>
      <c r="H282" s="8">
        <v>31</v>
      </c>
      <c r="I282" s="8">
        <v>10.55555585026741</v>
      </c>
      <c r="J282" s="8">
        <v>2126</v>
      </c>
      <c r="K282" s="19">
        <f t="shared" si="20"/>
        <v>1.458137347130762E-2</v>
      </c>
      <c r="L282" s="19">
        <f t="shared" si="21"/>
        <v>0.34050180162152938</v>
      </c>
      <c r="M282" s="19">
        <f t="shared" si="22"/>
        <v>4.9649839370966183E-3</v>
      </c>
      <c r="N282" s="19">
        <f t="shared" si="17"/>
        <v>0.39501411591379121</v>
      </c>
      <c r="T282" s="19"/>
      <c r="U282" s="19"/>
      <c r="V282" s="19"/>
      <c r="W282" s="19"/>
    </row>
    <row r="283" spans="1:23" ht="15.75" customHeight="1">
      <c r="A283" s="8">
        <v>70803</v>
      </c>
      <c r="B283" s="8">
        <v>17</v>
      </c>
      <c r="C283" s="8">
        <v>6.0000001490116119</v>
      </c>
      <c r="D283" s="8">
        <v>161</v>
      </c>
      <c r="E283" s="19">
        <f t="shared" si="18"/>
        <v>0.10559006211180125</v>
      </c>
      <c r="F283" s="19">
        <f t="shared" si="16"/>
        <v>0.35294118523597717</v>
      </c>
      <c r="G283" s="19">
        <f t="shared" si="19"/>
        <v>3.7267081670879582E-2</v>
      </c>
      <c r="H283" s="8">
        <v>192</v>
      </c>
      <c r="I283" s="8">
        <v>68.000001788139343</v>
      </c>
      <c r="J283" s="8">
        <v>2552</v>
      </c>
      <c r="K283" s="19">
        <f t="shared" si="20"/>
        <v>7.5235109717868343E-2</v>
      </c>
      <c r="L283" s="19">
        <f t="shared" si="21"/>
        <v>0.35416667597989243</v>
      </c>
      <c r="M283" s="19">
        <f t="shared" si="22"/>
        <v>2.6645768725759935E-2</v>
      </c>
      <c r="N283" s="19">
        <f t="shared" si="17"/>
        <v>0.71499477638413744</v>
      </c>
      <c r="T283" s="19"/>
      <c r="U283" s="19"/>
      <c r="V283" s="19"/>
      <c r="W283" s="19"/>
    </row>
    <row r="284" spans="1:23" ht="15.75" customHeight="1">
      <c r="A284" s="8">
        <v>70804</v>
      </c>
      <c r="B284" s="8">
        <v>33</v>
      </c>
      <c r="C284" s="8">
        <v>13.777778118848801</v>
      </c>
      <c r="D284" s="8">
        <v>176</v>
      </c>
      <c r="E284" s="19">
        <f t="shared" si="18"/>
        <v>0.1875</v>
      </c>
      <c r="F284" s="19">
        <f t="shared" si="16"/>
        <v>0.41750842784390307</v>
      </c>
      <c r="G284" s="19">
        <f t="shared" si="19"/>
        <v>7.8282830220731819E-2</v>
      </c>
      <c r="H284" s="8">
        <v>247</v>
      </c>
      <c r="I284" s="8">
        <v>91.333335429430008</v>
      </c>
      <c r="J284" s="8">
        <v>1518</v>
      </c>
      <c r="K284" s="19">
        <f t="shared" si="20"/>
        <v>0.16271409749670621</v>
      </c>
      <c r="L284" s="19">
        <f t="shared" si="21"/>
        <v>0.36977058878311742</v>
      </c>
      <c r="M284" s="19">
        <f t="shared" si="22"/>
        <v>6.0166887634670624E-2</v>
      </c>
      <c r="N284" s="19">
        <f t="shared" si="17"/>
        <v>0.76858344882293861</v>
      </c>
      <c r="T284" s="19"/>
      <c r="U284" s="19"/>
      <c r="V284" s="19"/>
      <c r="W284" s="19"/>
    </row>
    <row r="285" spans="1:23" ht="15.75" customHeight="1">
      <c r="A285" s="8">
        <v>70805</v>
      </c>
      <c r="B285" s="8">
        <v>25</v>
      </c>
      <c r="C285" s="8">
        <v>8.4444446861743927</v>
      </c>
      <c r="D285" s="8">
        <v>153</v>
      </c>
      <c r="E285" s="19">
        <f t="shared" si="18"/>
        <v>0.16339869281045752</v>
      </c>
      <c r="F285" s="19">
        <f t="shared" si="16"/>
        <v>0.33777778744697573</v>
      </c>
      <c r="G285" s="19">
        <f t="shared" si="19"/>
        <v>5.5192448929244402E-2</v>
      </c>
      <c r="H285" s="8">
        <v>131</v>
      </c>
      <c r="I285" s="8">
        <v>46.444445610046387</v>
      </c>
      <c r="J285" s="8">
        <v>1847</v>
      </c>
      <c r="K285" s="19">
        <f t="shared" si="20"/>
        <v>7.0925825663237685E-2</v>
      </c>
      <c r="L285" s="19">
        <f t="shared" si="21"/>
        <v>0.35453775274844568</v>
      </c>
      <c r="M285" s="19">
        <f t="shared" si="22"/>
        <v>2.5145882842472326E-2</v>
      </c>
      <c r="N285" s="19">
        <f t="shared" si="17"/>
        <v>0.45560368003798557</v>
      </c>
      <c r="T285" s="19"/>
      <c r="U285" s="19"/>
      <c r="V285" s="19"/>
      <c r="W285" s="19"/>
    </row>
    <row r="286" spans="1:23" ht="15.75" customHeight="1">
      <c r="A286" s="8">
        <v>70901</v>
      </c>
      <c r="B286" s="8">
        <v>103</v>
      </c>
      <c r="C286" s="8">
        <v>37.44444528222084</v>
      </c>
      <c r="D286" s="8">
        <v>1581</v>
      </c>
      <c r="E286" s="19">
        <f t="shared" si="18"/>
        <v>6.5148640101201777E-2</v>
      </c>
      <c r="F286" s="19">
        <f t="shared" si="16"/>
        <v>0.36353830371088197</v>
      </c>
      <c r="G286" s="19">
        <f t="shared" si="19"/>
        <v>2.3684026111461635E-2</v>
      </c>
      <c r="H286" s="8">
        <v>745</v>
      </c>
      <c r="I286" s="8">
        <v>276.55556228756905</v>
      </c>
      <c r="J286" s="8">
        <v>9608</v>
      </c>
      <c r="K286" s="19">
        <f t="shared" si="20"/>
        <v>7.7539550374687766E-2</v>
      </c>
      <c r="L286" s="19">
        <f t="shared" si="21"/>
        <v>0.37121551984908596</v>
      </c>
      <c r="M286" s="19">
        <f t="shared" si="22"/>
        <v>2.8783884501204109E-2</v>
      </c>
      <c r="N286" s="19">
        <f t="shared" si="17"/>
        <v>1.2153290308726037</v>
      </c>
      <c r="T286" s="19"/>
      <c r="U286" s="19"/>
      <c r="V286" s="19"/>
      <c r="W286" s="19"/>
    </row>
    <row r="287" spans="1:23" ht="15.75" customHeight="1">
      <c r="A287" s="8">
        <v>70902</v>
      </c>
      <c r="B287" s="8">
        <v>107</v>
      </c>
      <c r="C287" s="8">
        <v>38.22222313284874</v>
      </c>
      <c r="D287" s="8">
        <v>1258</v>
      </c>
      <c r="E287" s="19">
        <f t="shared" si="18"/>
        <v>8.505564387917329E-2</v>
      </c>
      <c r="F287" s="19">
        <f t="shared" si="16"/>
        <v>0.35721703862475457</v>
      </c>
      <c r="G287" s="19">
        <f t="shared" si="19"/>
        <v>3.0383325224840014E-2</v>
      </c>
      <c r="H287" s="8">
        <v>588</v>
      </c>
      <c r="I287" s="8">
        <v>218.44445043802261</v>
      </c>
      <c r="J287" s="8">
        <v>8242</v>
      </c>
      <c r="K287" s="19">
        <f t="shared" si="20"/>
        <v>7.1341907304052418E-2</v>
      </c>
      <c r="L287" s="19">
        <f t="shared" si="21"/>
        <v>0.37150416741160308</v>
      </c>
      <c r="M287" s="19">
        <f t="shared" si="22"/>
        <v>2.6503815874547757E-2</v>
      </c>
      <c r="N287" s="19">
        <f t="shared" si="17"/>
        <v>0.87231452378620666</v>
      </c>
      <c r="T287" s="19"/>
      <c r="U287" s="19"/>
      <c r="V287" s="19"/>
      <c r="W287" s="19"/>
    </row>
    <row r="288" spans="1:23" ht="15.75" customHeight="1">
      <c r="A288" s="8">
        <v>70903</v>
      </c>
      <c r="B288" s="8">
        <v>176</v>
      </c>
      <c r="C288" s="8">
        <v>69.777779638767242</v>
      </c>
      <c r="D288" s="8">
        <v>1647</v>
      </c>
      <c r="E288" s="19">
        <f t="shared" si="18"/>
        <v>0.10686095931997572</v>
      </c>
      <c r="F288" s="19">
        <f t="shared" si="16"/>
        <v>0.39646465703845024</v>
      </c>
      <c r="G288" s="19">
        <f t="shared" si="19"/>
        <v>4.2366593587593954E-2</v>
      </c>
      <c r="H288" s="8">
        <v>1207</v>
      </c>
      <c r="I288" s="8">
        <v>453.00001102685928</v>
      </c>
      <c r="J288" s="8">
        <v>10874</v>
      </c>
      <c r="K288" s="19">
        <f t="shared" si="20"/>
        <v>0.11099871252528969</v>
      </c>
      <c r="L288" s="19">
        <f t="shared" si="21"/>
        <v>0.37531069679110129</v>
      </c>
      <c r="M288" s="19">
        <f t="shared" si="22"/>
        <v>4.1659004140781615E-2</v>
      </c>
      <c r="N288" s="19">
        <f t="shared" si="17"/>
        <v>0.9832984106841306</v>
      </c>
      <c r="T288" s="19"/>
      <c r="U288" s="19"/>
      <c r="V288" s="19"/>
      <c r="W288" s="19"/>
    </row>
    <row r="289" spans="1:23" ht="15.75" customHeight="1">
      <c r="A289" s="8">
        <v>70904</v>
      </c>
      <c r="B289" s="8">
        <v>38</v>
      </c>
      <c r="C289" s="8">
        <v>15.777778267860413</v>
      </c>
      <c r="D289" s="8">
        <v>401</v>
      </c>
      <c r="E289" s="19">
        <f t="shared" si="18"/>
        <v>9.4763092269326679E-2</v>
      </c>
      <c r="F289" s="19">
        <f t="shared" si="16"/>
        <v>0.41520469125948456</v>
      </c>
      <c r="G289" s="19">
        <f t="shared" si="19"/>
        <v>3.934608046847983E-2</v>
      </c>
      <c r="H289" s="8">
        <v>189</v>
      </c>
      <c r="I289" s="8">
        <v>68.000001728534698</v>
      </c>
      <c r="J289" s="8">
        <v>2599</v>
      </c>
      <c r="K289" s="19">
        <f t="shared" si="20"/>
        <v>7.2720277029626773E-2</v>
      </c>
      <c r="L289" s="19">
        <f t="shared" si="21"/>
        <v>0.35978836893404603</v>
      </c>
      <c r="M289" s="19">
        <f t="shared" si="22"/>
        <v>2.6163909860921392E-2</v>
      </c>
      <c r="N289" s="19">
        <f t="shared" si="17"/>
        <v>0.6649686461623876</v>
      </c>
      <c r="T289" s="19"/>
      <c r="U289" s="19"/>
      <c r="V289" s="19"/>
      <c r="W289" s="19"/>
    </row>
    <row r="290" spans="1:23" ht="15.75" customHeight="1">
      <c r="A290" s="8">
        <v>71001</v>
      </c>
      <c r="B290" s="8">
        <v>434</v>
      </c>
      <c r="C290" s="8">
        <v>160.00000390410423</v>
      </c>
      <c r="D290" s="8">
        <v>7735</v>
      </c>
      <c r="E290" s="19">
        <f t="shared" si="18"/>
        <v>5.6108597285067875E-2</v>
      </c>
      <c r="F290" s="19">
        <f t="shared" si="16"/>
        <v>0.36866360346567795</v>
      </c>
      <c r="G290" s="19">
        <f t="shared" si="19"/>
        <v>2.0685197660517678E-2</v>
      </c>
      <c r="H290" s="8">
        <v>4763</v>
      </c>
      <c r="I290" s="8">
        <v>1688.6667103171349</v>
      </c>
      <c r="J290" s="8">
        <v>112713</v>
      </c>
      <c r="K290" s="19">
        <f t="shared" si="20"/>
        <v>4.2257769733748549E-2</v>
      </c>
      <c r="L290" s="19">
        <f t="shared" si="21"/>
        <v>0.35453846531957484</v>
      </c>
      <c r="M290" s="19">
        <f t="shared" si="22"/>
        <v>1.4982004829231189E-2</v>
      </c>
      <c r="N290" s="19">
        <f t="shared" si="17"/>
        <v>0.72428627829008829</v>
      </c>
      <c r="T290" s="19"/>
      <c r="U290" s="19"/>
      <c r="V290" s="19"/>
      <c r="W290" s="19"/>
    </row>
    <row r="291" spans="1:23" ht="15.75" customHeight="1">
      <c r="A291" s="8">
        <v>71002</v>
      </c>
      <c r="B291" s="8">
        <v>149</v>
      </c>
      <c r="C291" s="8">
        <v>53.88889017701149</v>
      </c>
      <c r="D291" s="8">
        <v>1688</v>
      </c>
      <c r="E291" s="19">
        <f t="shared" si="18"/>
        <v>8.8270142180094782E-2</v>
      </c>
      <c r="F291" s="19">
        <f t="shared" si="16"/>
        <v>0.36167040387256033</v>
      </c>
      <c r="G291" s="19">
        <f t="shared" si="19"/>
        <v>3.1924697972163206E-2</v>
      </c>
      <c r="H291" s="8">
        <v>1081</v>
      </c>
      <c r="I291" s="8">
        <v>386.66667640209198</v>
      </c>
      <c r="J291" s="8">
        <v>14497</v>
      </c>
      <c r="K291" s="19">
        <f t="shared" si="20"/>
        <v>7.4567151824515412E-2</v>
      </c>
      <c r="L291" s="19">
        <f t="shared" si="21"/>
        <v>0.35769350268463646</v>
      </c>
      <c r="M291" s="19">
        <f t="shared" si="22"/>
        <v>2.6672185721327998E-2</v>
      </c>
      <c r="N291" s="19">
        <f t="shared" si="17"/>
        <v>0.83547182637670858</v>
      </c>
      <c r="T291" s="19"/>
      <c r="U291" s="19"/>
      <c r="V291" s="19"/>
      <c r="W291" s="19"/>
    </row>
    <row r="292" spans="1:23" ht="15.75" customHeight="1">
      <c r="A292" s="8">
        <v>71003</v>
      </c>
      <c r="B292" s="8">
        <v>119</v>
      </c>
      <c r="C292" s="8">
        <v>44.222223430871964</v>
      </c>
      <c r="D292" s="8">
        <v>1431</v>
      </c>
      <c r="E292" s="19">
        <f t="shared" si="18"/>
        <v>8.3158630328441646E-2</v>
      </c>
      <c r="F292" s="19">
        <f t="shared" si="16"/>
        <v>0.37161532294850391</v>
      </c>
      <c r="G292" s="19">
        <f t="shared" si="19"/>
        <v>3.0903021265459095E-2</v>
      </c>
      <c r="H292" s="8">
        <v>1133</v>
      </c>
      <c r="I292" s="8">
        <v>406.55556660890579</v>
      </c>
      <c r="J292" s="8">
        <v>21173</v>
      </c>
      <c r="K292" s="19">
        <f t="shared" si="20"/>
        <v>5.3511547725877295E-2</v>
      </c>
      <c r="L292" s="19">
        <f t="shared" si="21"/>
        <v>0.35883103848976683</v>
      </c>
      <c r="M292" s="19">
        <f t="shared" si="22"/>
        <v>1.920160424167127E-2</v>
      </c>
      <c r="N292" s="19">
        <f t="shared" si="17"/>
        <v>0.62135038761188299</v>
      </c>
      <c r="T292" s="19"/>
      <c r="U292" s="19"/>
      <c r="V292" s="19"/>
      <c r="W292" s="19"/>
    </row>
    <row r="293" spans="1:23" ht="15.75" customHeight="1">
      <c r="A293" s="8">
        <v>71004</v>
      </c>
      <c r="B293" s="8">
        <v>156</v>
      </c>
      <c r="C293" s="8">
        <v>59.666668295860291</v>
      </c>
      <c r="D293" s="8">
        <v>1166</v>
      </c>
      <c r="E293" s="19">
        <f t="shared" si="18"/>
        <v>0.13379073756432247</v>
      </c>
      <c r="F293" s="19">
        <f t="shared" si="16"/>
        <v>0.38247864292218137</v>
      </c>
      <c r="G293" s="19">
        <f t="shared" si="19"/>
        <v>5.1172099739159774E-2</v>
      </c>
      <c r="H293" s="8">
        <v>846</v>
      </c>
      <c r="I293" s="8">
        <v>313.00000846385956</v>
      </c>
      <c r="J293" s="8">
        <v>11329</v>
      </c>
      <c r="K293" s="19">
        <f t="shared" si="20"/>
        <v>7.4675611263130021E-2</v>
      </c>
      <c r="L293" s="19">
        <f t="shared" si="21"/>
        <v>0.36997636934262357</v>
      </c>
      <c r="M293" s="19">
        <f t="shared" si="22"/>
        <v>2.7628211533573973E-2</v>
      </c>
      <c r="N293" s="19">
        <f t="shared" si="17"/>
        <v>0.53990771679105654</v>
      </c>
      <c r="T293" s="19"/>
      <c r="U293" s="19"/>
      <c r="V293" s="19"/>
      <c r="W293" s="19"/>
    </row>
    <row r="294" spans="1:23" ht="15.75" customHeight="1">
      <c r="A294" s="8">
        <v>71005</v>
      </c>
      <c r="B294" s="8">
        <v>101</v>
      </c>
      <c r="C294" s="8">
        <v>37.333334177732468</v>
      </c>
      <c r="D294" s="8">
        <v>1136</v>
      </c>
      <c r="E294" s="19">
        <f t="shared" si="18"/>
        <v>8.8908450704225359E-2</v>
      </c>
      <c r="F294" s="19">
        <f t="shared" si="16"/>
        <v>0.36963697205675711</v>
      </c>
      <c r="G294" s="19">
        <f t="shared" si="19"/>
        <v>3.2863850508567313E-2</v>
      </c>
      <c r="H294" s="8">
        <v>706</v>
      </c>
      <c r="I294" s="8">
        <v>252.11111736297607</v>
      </c>
      <c r="J294" s="8">
        <v>12049</v>
      </c>
      <c r="K294" s="19">
        <f t="shared" si="20"/>
        <v>5.8594074197028799E-2</v>
      </c>
      <c r="L294" s="19">
        <f t="shared" si="21"/>
        <v>0.35709789994755819</v>
      </c>
      <c r="M294" s="19">
        <f t="shared" si="22"/>
        <v>2.0923820845130392E-2</v>
      </c>
      <c r="N294" s="19">
        <f t="shared" si="17"/>
        <v>0.63668196274431499</v>
      </c>
      <c r="T294" s="19"/>
      <c r="U294" s="19"/>
      <c r="V294" s="19"/>
      <c r="W294" s="19"/>
    </row>
    <row r="295" spans="1:23" ht="15.75" customHeight="1">
      <c r="A295" s="8">
        <v>71101</v>
      </c>
      <c r="B295" s="8">
        <v>677</v>
      </c>
      <c r="C295" s="8">
        <v>252.55556184053421</v>
      </c>
      <c r="D295" s="8">
        <v>4631</v>
      </c>
      <c r="E295" s="19">
        <f t="shared" si="18"/>
        <v>0.1461887281364716</v>
      </c>
      <c r="F295" s="19">
        <f t="shared" si="16"/>
        <v>0.3730510514631229</v>
      </c>
      <c r="G295" s="19">
        <f t="shared" si="19"/>
        <v>5.4535858743367346E-2</v>
      </c>
      <c r="H295" s="8">
        <v>3919</v>
      </c>
      <c r="I295" s="8">
        <v>1454.0000365674496</v>
      </c>
      <c r="J295" s="8">
        <v>24117</v>
      </c>
      <c r="K295" s="19">
        <f t="shared" si="20"/>
        <v>0.16249948169341127</v>
      </c>
      <c r="L295" s="19">
        <f t="shared" si="21"/>
        <v>0.37101302285466947</v>
      </c>
      <c r="M295" s="19">
        <f t="shared" si="22"/>
        <v>6.0289423915389544E-2</v>
      </c>
      <c r="N295" s="19">
        <f t="shared" si="17"/>
        <v>1.1055005881377442</v>
      </c>
      <c r="T295" s="19"/>
      <c r="U295" s="19"/>
      <c r="V295" s="19"/>
      <c r="W295" s="19"/>
    </row>
    <row r="296" spans="1:23" ht="15.75" customHeight="1">
      <c r="A296" s="8">
        <v>71102</v>
      </c>
      <c r="B296" s="8">
        <v>76</v>
      </c>
      <c r="C296" s="8">
        <v>26.666667491197586</v>
      </c>
      <c r="D296" s="8">
        <v>1222</v>
      </c>
      <c r="E296" s="19">
        <f t="shared" si="18"/>
        <v>6.2193126022913256E-2</v>
      </c>
      <c r="F296" s="19">
        <f t="shared" si="16"/>
        <v>0.35087720383154719</v>
      </c>
      <c r="G296" s="19">
        <f t="shared" si="19"/>
        <v>2.1822150156462838E-2</v>
      </c>
      <c r="H296" s="8">
        <v>1378</v>
      </c>
      <c r="I296" s="8">
        <v>520.44445732235909</v>
      </c>
      <c r="J296" s="8">
        <v>12731</v>
      </c>
      <c r="K296" s="19">
        <f t="shared" si="20"/>
        <v>0.10823972979341764</v>
      </c>
      <c r="L296" s="19">
        <f t="shared" si="21"/>
        <v>0.37768102853581936</v>
      </c>
      <c r="M296" s="19">
        <f t="shared" si="22"/>
        <v>4.0880092476817148E-2</v>
      </c>
      <c r="N296" s="19">
        <f t="shared" si="17"/>
        <v>1.8733301798269462</v>
      </c>
      <c r="T296" s="19"/>
      <c r="U296" s="19"/>
      <c r="V296" s="19"/>
      <c r="W296" s="19"/>
    </row>
    <row r="297" spans="1:23" ht="15.75" customHeight="1">
      <c r="A297" s="8">
        <v>71103</v>
      </c>
      <c r="B297" s="8">
        <v>115</v>
      </c>
      <c r="C297" s="8">
        <v>40.888889968395233</v>
      </c>
      <c r="D297" s="8">
        <v>989</v>
      </c>
      <c r="E297" s="19">
        <f t="shared" si="18"/>
        <v>0.11627906976744186</v>
      </c>
      <c r="F297" s="19">
        <f t="shared" si="16"/>
        <v>0.35555556494256724</v>
      </c>
      <c r="G297" s="19">
        <f t="shared" si="19"/>
        <v>4.1343670342158981E-2</v>
      </c>
      <c r="H297" s="8">
        <v>713</v>
      </c>
      <c r="I297" s="8">
        <v>258.55556258559227</v>
      </c>
      <c r="J297" s="8">
        <v>7095</v>
      </c>
      <c r="K297" s="19">
        <f t="shared" si="20"/>
        <v>0.10049330514446793</v>
      </c>
      <c r="L297" s="19">
        <f t="shared" si="21"/>
        <v>0.36263052256043798</v>
      </c>
      <c r="M297" s="19">
        <f t="shared" si="22"/>
        <v>3.6441939758363955E-2</v>
      </c>
      <c r="N297" s="19">
        <f t="shared" si="17"/>
        <v>0.88143939463457288</v>
      </c>
      <c r="T297" s="19"/>
      <c r="U297" s="19"/>
      <c r="V297" s="19"/>
      <c r="W297" s="19"/>
    </row>
    <row r="298" spans="1:23" ht="15.75" customHeight="1">
      <c r="A298" s="8">
        <v>71104</v>
      </c>
      <c r="B298" s="8">
        <v>266</v>
      </c>
      <c r="C298" s="8">
        <v>96.888891458511353</v>
      </c>
      <c r="D298" s="8">
        <v>4545</v>
      </c>
      <c r="E298" s="19">
        <f t="shared" si="18"/>
        <v>5.8525852585258525E-2</v>
      </c>
      <c r="F298" s="19">
        <f t="shared" si="16"/>
        <v>0.36424395285154643</v>
      </c>
      <c r="G298" s="19">
        <f t="shared" si="19"/>
        <v>2.1317687889661464E-2</v>
      </c>
      <c r="H298" s="8">
        <v>2202</v>
      </c>
      <c r="I298" s="8">
        <v>788.66668671369553</v>
      </c>
      <c r="J298" s="8">
        <v>37597</v>
      </c>
      <c r="K298" s="19">
        <f t="shared" si="20"/>
        <v>5.8568502806074951E-2</v>
      </c>
      <c r="L298" s="19">
        <f t="shared" si="21"/>
        <v>0.35815925827143302</v>
      </c>
      <c r="M298" s="19">
        <f t="shared" si="22"/>
        <v>2.0976851523092147E-2</v>
      </c>
      <c r="N298" s="19">
        <f t="shared" si="17"/>
        <v>0.98401156971931214</v>
      </c>
      <c r="T298" s="19"/>
      <c r="U298" s="19"/>
      <c r="V298" s="19"/>
      <c r="W298" s="19"/>
    </row>
    <row r="299" spans="1:23" ht="15.75" customHeight="1">
      <c r="A299" s="8">
        <v>71105</v>
      </c>
      <c r="B299" s="8">
        <v>48</v>
      </c>
      <c r="C299" s="8">
        <v>16.111111581325531</v>
      </c>
      <c r="D299" s="8">
        <v>428</v>
      </c>
      <c r="E299" s="19">
        <f t="shared" si="18"/>
        <v>0.11214953271028037</v>
      </c>
      <c r="F299" s="19">
        <f t="shared" si="16"/>
        <v>0.33564815794428188</v>
      </c>
      <c r="G299" s="19">
        <f t="shared" si="19"/>
        <v>3.7642784068517593E-2</v>
      </c>
      <c r="H299" s="8">
        <v>381</v>
      </c>
      <c r="I299" s="8">
        <v>134.77778118848801</v>
      </c>
      <c r="J299" s="8">
        <v>5725</v>
      </c>
      <c r="K299" s="19">
        <f t="shared" si="20"/>
        <v>6.6550218340611353E-2</v>
      </c>
      <c r="L299" s="19">
        <f t="shared" si="21"/>
        <v>0.35374745718763256</v>
      </c>
      <c r="M299" s="19">
        <f t="shared" si="22"/>
        <v>2.3541970513273013E-2</v>
      </c>
      <c r="N299" s="19">
        <f t="shared" si="17"/>
        <v>0.62540460531351227</v>
      </c>
      <c r="T299" s="19"/>
      <c r="U299" s="19"/>
      <c r="V299" s="19"/>
      <c r="W299" s="19"/>
    </row>
    <row r="300" spans="1:23" ht="15.75" customHeight="1">
      <c r="A300" s="8">
        <v>71106</v>
      </c>
      <c r="B300" s="8">
        <v>117</v>
      </c>
      <c r="C300" s="8">
        <v>46.000001221895218</v>
      </c>
      <c r="D300" s="8">
        <v>2510</v>
      </c>
      <c r="E300" s="19">
        <f t="shared" si="18"/>
        <v>4.6613545816733069E-2</v>
      </c>
      <c r="F300" s="19">
        <f t="shared" si="16"/>
        <v>0.39316240360594201</v>
      </c>
      <c r="G300" s="19">
        <f t="shared" si="19"/>
        <v>1.8326693713902477E-2</v>
      </c>
      <c r="H300" s="8">
        <v>1206</v>
      </c>
      <c r="I300" s="8">
        <v>433.55556681752205</v>
      </c>
      <c r="J300" s="8">
        <v>21175</v>
      </c>
      <c r="K300" s="19">
        <f t="shared" si="20"/>
        <v>5.6953955135773317E-2</v>
      </c>
      <c r="L300" s="19">
        <f t="shared" si="21"/>
        <v>0.35949881162315261</v>
      </c>
      <c r="M300" s="19">
        <f t="shared" si="22"/>
        <v>2.0474879188548858E-2</v>
      </c>
      <c r="N300" s="19">
        <f t="shared" si="17"/>
        <v>1.1172162043073153</v>
      </c>
      <c r="T300" s="19"/>
      <c r="U300" s="19"/>
      <c r="V300" s="19"/>
      <c r="W300" s="19"/>
    </row>
    <row r="301" spans="1:23" ht="15.75" customHeight="1">
      <c r="A301" s="8">
        <v>71201</v>
      </c>
      <c r="B301" s="8">
        <v>99</v>
      </c>
      <c r="C301" s="8">
        <v>36.000000864267349</v>
      </c>
      <c r="D301" s="8">
        <v>1129</v>
      </c>
      <c r="E301" s="19">
        <f t="shared" si="18"/>
        <v>8.7688219663418956E-2</v>
      </c>
      <c r="F301" s="19">
        <f t="shared" si="16"/>
        <v>0.36363637236633684</v>
      </c>
      <c r="G301" s="19">
        <f t="shared" si="19"/>
        <v>3.1886626097668153E-2</v>
      </c>
      <c r="H301" s="8">
        <v>1858</v>
      </c>
      <c r="I301" s="8">
        <v>688.33335137367249</v>
      </c>
      <c r="J301" s="8">
        <v>13410</v>
      </c>
      <c r="K301" s="19">
        <f t="shared" si="20"/>
        <v>0.13855331841909024</v>
      </c>
      <c r="L301" s="19">
        <f t="shared" si="21"/>
        <v>0.37047004917851051</v>
      </c>
      <c r="M301" s="19">
        <f t="shared" si="22"/>
        <v>5.1329854688566191E-2</v>
      </c>
      <c r="N301" s="19">
        <f t="shared" si="17"/>
        <v>1.6097612375590877</v>
      </c>
      <c r="T301" s="19"/>
      <c r="U301" s="19"/>
      <c r="V301" s="19"/>
      <c r="W301" s="19"/>
    </row>
    <row r="302" spans="1:23" ht="15.75" customHeight="1">
      <c r="A302" s="8">
        <v>71301</v>
      </c>
      <c r="B302" s="8">
        <v>115</v>
      </c>
      <c r="C302" s="8">
        <v>43.111112385988235</v>
      </c>
      <c r="D302" s="8">
        <v>1401</v>
      </c>
      <c r="E302" s="19">
        <f t="shared" si="18"/>
        <v>8.2084225553176307E-2</v>
      </c>
      <c r="F302" s="19">
        <f t="shared" si="16"/>
        <v>0.37487923813902813</v>
      </c>
      <c r="G302" s="19">
        <f t="shared" si="19"/>
        <v>3.077167193860688E-2</v>
      </c>
      <c r="H302" s="8">
        <v>1548</v>
      </c>
      <c r="I302" s="8">
        <v>568.66668105125427</v>
      </c>
      <c r="J302" s="8">
        <v>15326</v>
      </c>
      <c r="K302" s="19">
        <f t="shared" si="20"/>
        <v>0.10100482839618949</v>
      </c>
      <c r="L302" s="19">
        <f t="shared" si="21"/>
        <v>0.36735573711321334</v>
      </c>
      <c r="M302" s="19">
        <f t="shared" si="22"/>
        <v>3.7104703187475815E-2</v>
      </c>
      <c r="N302" s="19">
        <f t="shared" si="17"/>
        <v>1.2058071872566456</v>
      </c>
      <c r="T302" s="19"/>
      <c r="U302" s="19"/>
      <c r="V302" s="19"/>
      <c r="W302" s="19"/>
    </row>
    <row r="303" spans="1:23" ht="15.75" customHeight="1">
      <c r="A303" s="8">
        <v>71302</v>
      </c>
      <c r="B303" s="8">
        <v>27</v>
      </c>
      <c r="C303" s="8">
        <v>9.7777779996395111</v>
      </c>
      <c r="D303" s="8">
        <v>630</v>
      </c>
      <c r="E303" s="19">
        <f t="shared" si="18"/>
        <v>4.2857142857142858E-2</v>
      </c>
      <c r="F303" s="19">
        <f t="shared" si="16"/>
        <v>0.36213992591257449</v>
      </c>
      <c r="G303" s="19">
        <f t="shared" si="19"/>
        <v>1.5520282539110336E-2</v>
      </c>
      <c r="H303" s="8">
        <v>383</v>
      </c>
      <c r="I303" s="8">
        <v>140.33333659172058</v>
      </c>
      <c r="J303" s="8">
        <v>5255</v>
      </c>
      <c r="K303" s="19">
        <f t="shared" si="20"/>
        <v>7.288296860133206E-2</v>
      </c>
      <c r="L303" s="19">
        <f t="shared" si="21"/>
        <v>0.36640557856846107</v>
      </c>
      <c r="M303" s="19">
        <f t="shared" si="22"/>
        <v>2.6704726278158054E-2</v>
      </c>
      <c r="N303" s="19">
        <f t="shared" si="17"/>
        <v>1.7206340291076196</v>
      </c>
      <c r="T303" s="19"/>
      <c r="U303" s="19"/>
      <c r="V303" s="19"/>
      <c r="W303" s="19"/>
    </row>
    <row r="304" spans="1:23" ht="15.75" customHeight="1">
      <c r="A304" s="8">
        <v>71401</v>
      </c>
      <c r="B304" s="8">
        <v>92</v>
      </c>
      <c r="C304" s="8">
        <v>32.444445252418518</v>
      </c>
      <c r="D304" s="8">
        <v>1432</v>
      </c>
      <c r="E304" s="19">
        <f t="shared" si="18"/>
        <v>6.4245810055865923E-2</v>
      </c>
      <c r="F304" s="19">
        <f t="shared" si="16"/>
        <v>0.35265701361324475</v>
      </c>
      <c r="G304" s="19">
        <f t="shared" si="19"/>
        <v>2.2656735511465447E-2</v>
      </c>
      <c r="H304" s="8">
        <v>649</v>
      </c>
      <c r="I304" s="8">
        <v>230.88889476656914</v>
      </c>
      <c r="J304" s="8">
        <v>14392</v>
      </c>
      <c r="K304" s="19">
        <f t="shared" si="20"/>
        <v>4.5094496942745969E-2</v>
      </c>
      <c r="L304" s="19">
        <f t="shared" si="21"/>
        <v>0.35576100888531453</v>
      </c>
      <c r="M304" s="19">
        <f t="shared" si="22"/>
        <v>1.604286372752704E-2</v>
      </c>
      <c r="N304" s="19">
        <f t="shared" si="17"/>
        <v>0.70808363894297766</v>
      </c>
      <c r="T304" s="19"/>
      <c r="U304" s="19"/>
      <c r="V304" s="19"/>
      <c r="W304" s="19"/>
    </row>
    <row r="305" spans="1:23" ht="15.75" customHeight="1">
      <c r="A305" s="8">
        <v>71402</v>
      </c>
      <c r="B305" s="8">
        <v>81</v>
      </c>
      <c r="C305" s="8">
        <v>27.777778595685959</v>
      </c>
      <c r="D305" s="8">
        <v>1731</v>
      </c>
      <c r="E305" s="19">
        <f t="shared" si="18"/>
        <v>4.6793760831889082E-2</v>
      </c>
      <c r="F305" s="19">
        <f t="shared" si="16"/>
        <v>0.34293553821834516</v>
      </c>
      <c r="G305" s="19">
        <f t="shared" si="19"/>
        <v>1.6047243556144401E-2</v>
      </c>
      <c r="H305" s="8">
        <v>843</v>
      </c>
      <c r="I305" s="8">
        <v>302.33334082365036</v>
      </c>
      <c r="J305" s="8">
        <v>14763</v>
      </c>
      <c r="K305" s="19">
        <f t="shared" si="20"/>
        <v>5.7102214996951839E-2</v>
      </c>
      <c r="L305" s="19">
        <f t="shared" si="21"/>
        <v>0.358639787453915</v>
      </c>
      <c r="M305" s="19">
        <f t="shared" si="22"/>
        <v>2.0479126249654565E-2</v>
      </c>
      <c r="N305" s="19">
        <f t="shared" si="17"/>
        <v>1.2761771937968263</v>
      </c>
      <c r="T305" s="19"/>
      <c r="U305" s="19"/>
      <c r="V305" s="19"/>
      <c r="W305" s="19"/>
    </row>
    <row r="306" spans="1:23" ht="15.75" customHeight="1">
      <c r="A306" s="8">
        <v>71403</v>
      </c>
      <c r="B306" s="8">
        <v>125</v>
      </c>
      <c r="C306" s="8">
        <v>45.222223579883575</v>
      </c>
      <c r="D306" s="8">
        <v>1463</v>
      </c>
      <c r="E306" s="19">
        <f t="shared" si="18"/>
        <v>8.5440874914559123E-2</v>
      </c>
      <c r="F306" s="19">
        <f t="shared" si="16"/>
        <v>0.36177778863906862</v>
      </c>
      <c r="G306" s="19">
        <f t="shared" si="19"/>
        <v>3.0910610785976469E-2</v>
      </c>
      <c r="H306" s="8">
        <v>771</v>
      </c>
      <c r="I306" s="8">
        <v>289.77778542041779</v>
      </c>
      <c r="J306" s="8">
        <v>6766</v>
      </c>
      <c r="K306" s="19">
        <f t="shared" si="20"/>
        <v>0.11395211350872007</v>
      </c>
      <c r="L306" s="19">
        <f t="shared" si="21"/>
        <v>0.37584667369703995</v>
      </c>
      <c r="M306" s="19">
        <f t="shared" si="22"/>
        <v>4.2828522822999975E-2</v>
      </c>
      <c r="N306" s="19">
        <f t="shared" si="17"/>
        <v>1.3855605481089499</v>
      </c>
      <c r="T306" s="19"/>
      <c r="U306" s="19"/>
      <c r="V306" s="19"/>
      <c r="W306" s="19"/>
    </row>
    <row r="307" spans="1:23" ht="15.75" customHeight="1">
      <c r="A307" s="8">
        <v>71501</v>
      </c>
      <c r="B307" s="8">
        <v>1208</v>
      </c>
      <c r="C307" s="8">
        <v>465.55556690692902</v>
      </c>
      <c r="D307" s="8">
        <v>5982</v>
      </c>
      <c r="E307" s="19">
        <f t="shared" si="18"/>
        <v>0.20193915078569041</v>
      </c>
      <c r="F307" s="19">
        <f t="shared" si="16"/>
        <v>0.3853936812143452</v>
      </c>
      <c r="G307" s="19">
        <f t="shared" si="19"/>
        <v>7.7826072702595964E-2</v>
      </c>
      <c r="H307" s="8">
        <v>5443</v>
      </c>
      <c r="I307" s="8">
        <v>2072.0000524520874</v>
      </c>
      <c r="J307" s="8">
        <v>26969</v>
      </c>
      <c r="K307" s="19">
        <f t="shared" si="20"/>
        <v>0.20182431680818719</v>
      </c>
      <c r="L307" s="19">
        <f t="shared" si="21"/>
        <v>0.38067243293259001</v>
      </c>
      <c r="M307" s="19">
        <f t="shared" si="22"/>
        <v>7.6828953704330433E-2</v>
      </c>
      <c r="N307" s="19">
        <f t="shared" si="17"/>
        <v>0.98718785410031018</v>
      </c>
      <c r="T307" s="19"/>
      <c r="U307" s="19"/>
      <c r="V307" s="19"/>
      <c r="W307" s="19"/>
    </row>
    <row r="308" spans="1:23" ht="15.75" customHeight="1">
      <c r="A308" s="8">
        <v>71502</v>
      </c>
      <c r="B308" s="8">
        <v>79</v>
      </c>
      <c r="C308" s="8">
        <v>30.222222775220871</v>
      </c>
      <c r="D308" s="8">
        <v>544</v>
      </c>
      <c r="E308" s="19">
        <f t="shared" si="18"/>
        <v>0.14522058823529413</v>
      </c>
      <c r="F308" s="19">
        <f t="shared" si="16"/>
        <v>0.38255978196482116</v>
      </c>
      <c r="G308" s="19">
        <f t="shared" si="19"/>
        <v>5.5555556572097195E-2</v>
      </c>
      <c r="H308" s="8">
        <v>791</v>
      </c>
      <c r="I308" s="8">
        <v>289.66667383909225</v>
      </c>
      <c r="J308" s="8">
        <v>5752</v>
      </c>
      <c r="K308" s="19">
        <f t="shared" si="20"/>
        <v>0.13751738525730181</v>
      </c>
      <c r="L308" s="19">
        <f t="shared" si="21"/>
        <v>0.36620312748304962</v>
      </c>
      <c r="M308" s="19">
        <f t="shared" si="22"/>
        <v>5.0359296564515342E-2</v>
      </c>
      <c r="N308" s="19">
        <f t="shared" si="17"/>
        <v>0.90646732157496412</v>
      </c>
      <c r="T308" s="19"/>
      <c r="U308" s="19"/>
      <c r="V308" s="19"/>
      <c r="W308" s="19"/>
    </row>
    <row r="309" spans="1:23" ht="15.75" customHeight="1">
      <c r="A309" s="8">
        <v>71503</v>
      </c>
      <c r="B309" s="8">
        <v>305</v>
      </c>
      <c r="C309" s="8">
        <v>113.3333360850811</v>
      </c>
      <c r="D309" s="8">
        <v>2225</v>
      </c>
      <c r="E309" s="19">
        <f t="shared" si="18"/>
        <v>0.13707865168539327</v>
      </c>
      <c r="F309" s="19">
        <f t="shared" si="16"/>
        <v>0.37158470847567576</v>
      </c>
      <c r="G309" s="19">
        <f t="shared" si="19"/>
        <v>5.0936330824755557E-2</v>
      </c>
      <c r="H309" s="8">
        <v>2061</v>
      </c>
      <c r="I309" s="8">
        <v>764.55557450652122</v>
      </c>
      <c r="J309" s="8">
        <v>14335</v>
      </c>
      <c r="K309" s="19">
        <f t="shared" si="20"/>
        <v>0.1437739797697942</v>
      </c>
      <c r="L309" s="19">
        <f t="shared" si="21"/>
        <v>0.37096340344809375</v>
      </c>
      <c r="M309" s="19">
        <f t="shared" si="22"/>
        <v>5.3334884862680232E-2</v>
      </c>
      <c r="N309" s="19">
        <f t="shared" si="17"/>
        <v>1.0470892582776881</v>
      </c>
      <c r="T309" s="19"/>
      <c r="U309" s="19"/>
      <c r="V309" s="19"/>
      <c r="W309" s="19"/>
    </row>
    <row r="310" spans="1:23" ht="15.75" customHeight="1">
      <c r="A310" s="8">
        <v>80101</v>
      </c>
      <c r="B310" s="8">
        <v>1214</v>
      </c>
      <c r="C310" s="8">
        <v>437.22223377227783</v>
      </c>
      <c r="D310" s="8">
        <v>10136</v>
      </c>
      <c r="E310" s="19">
        <f t="shared" si="18"/>
        <v>0.11977111286503551</v>
      </c>
      <c r="F310" s="19">
        <f t="shared" si="16"/>
        <v>0.36015011019133264</v>
      </c>
      <c r="G310" s="19">
        <f t="shared" si="19"/>
        <v>4.3135579496081079E-2</v>
      </c>
      <c r="H310" s="8">
        <v>10463</v>
      </c>
      <c r="I310" s="8">
        <v>3783.2223185896873</v>
      </c>
      <c r="J310" s="8">
        <v>111274</v>
      </c>
      <c r="K310" s="19">
        <f t="shared" si="20"/>
        <v>9.4029153261318901E-2</v>
      </c>
      <c r="L310" s="19">
        <f t="shared" si="21"/>
        <v>0.36158103016244741</v>
      </c>
      <c r="M310" s="19">
        <f t="shared" si="22"/>
        <v>3.3999158101530341E-2</v>
      </c>
      <c r="N310" s="19">
        <f t="shared" si="17"/>
        <v>0.78819291403327985</v>
      </c>
      <c r="T310" s="19"/>
      <c r="U310" s="19"/>
      <c r="V310" s="19"/>
      <c r="W310" s="19"/>
    </row>
    <row r="311" spans="1:23" ht="15.75" customHeight="1">
      <c r="A311" s="8">
        <v>80102</v>
      </c>
      <c r="B311" s="8">
        <v>693</v>
      </c>
      <c r="C311" s="8">
        <v>260.33333906531334</v>
      </c>
      <c r="D311" s="8">
        <v>2133</v>
      </c>
      <c r="E311" s="19">
        <f t="shared" si="18"/>
        <v>0.32489451476793246</v>
      </c>
      <c r="F311" s="19">
        <f t="shared" si="16"/>
        <v>0.3756613839326311</v>
      </c>
      <c r="G311" s="19">
        <f t="shared" si="19"/>
        <v>0.12205032304984216</v>
      </c>
      <c r="H311" s="8">
        <v>847</v>
      </c>
      <c r="I311" s="8">
        <v>307.44445216655731</v>
      </c>
      <c r="J311" s="8">
        <v>5452</v>
      </c>
      <c r="K311" s="19">
        <f t="shared" si="20"/>
        <v>0.1553558327219369</v>
      </c>
      <c r="L311" s="19">
        <f t="shared" si="21"/>
        <v>0.36298046300656117</v>
      </c>
      <c r="M311" s="19">
        <f t="shared" si="22"/>
        <v>5.6391132092178525E-2</v>
      </c>
      <c r="N311" s="19">
        <f t="shared" si="17"/>
        <v>0.46203181346066458</v>
      </c>
      <c r="T311" s="19"/>
      <c r="U311" s="19"/>
      <c r="V311" s="19"/>
      <c r="W311" s="19"/>
    </row>
    <row r="312" spans="1:23" ht="15.75" customHeight="1">
      <c r="A312" s="8">
        <v>80201</v>
      </c>
      <c r="B312" s="8">
        <v>1701</v>
      </c>
      <c r="C312" s="8">
        <v>644.11112713813782</v>
      </c>
      <c r="D312" s="8">
        <v>7617</v>
      </c>
      <c r="E312" s="19">
        <f t="shared" si="18"/>
        <v>0.22331626624655376</v>
      </c>
      <c r="F312" s="19">
        <f t="shared" si="16"/>
        <v>0.3786661535203632</v>
      </c>
      <c r="G312" s="19">
        <f t="shared" si="19"/>
        <v>8.4562311558111836E-2</v>
      </c>
      <c r="H312" s="8">
        <v>24247</v>
      </c>
      <c r="I312" s="8">
        <v>8966.7780043780804</v>
      </c>
      <c r="J312" s="8">
        <v>97360</v>
      </c>
      <c r="K312" s="19">
        <f t="shared" si="20"/>
        <v>0.24904478225143797</v>
      </c>
      <c r="L312" s="19">
        <f t="shared" si="21"/>
        <v>0.36980979108252898</v>
      </c>
      <c r="M312" s="19">
        <f t="shared" si="22"/>
        <v>9.2099198894598194E-2</v>
      </c>
      <c r="N312" s="19">
        <f t="shared" si="17"/>
        <v>1.0891282085081953</v>
      </c>
      <c r="T312" s="19"/>
      <c r="U312" s="19"/>
      <c r="V312" s="19"/>
      <c r="W312" s="19"/>
    </row>
    <row r="313" spans="1:23" ht="15.75" customHeight="1">
      <c r="A313" s="8">
        <v>80202</v>
      </c>
      <c r="B313" s="8">
        <v>243</v>
      </c>
      <c r="C313" s="8">
        <v>86.777780055999756</v>
      </c>
      <c r="D313" s="8">
        <v>2949</v>
      </c>
      <c r="E313" s="19">
        <f t="shared" si="18"/>
        <v>8.2400813835198372E-2</v>
      </c>
      <c r="F313" s="19">
        <f t="shared" si="16"/>
        <v>0.35711020599176857</v>
      </c>
      <c r="G313" s="19">
        <f t="shared" si="19"/>
        <v>2.9426171602577066E-2</v>
      </c>
      <c r="H313" s="8">
        <v>3799</v>
      </c>
      <c r="I313" s="8">
        <v>1378.4444795548916</v>
      </c>
      <c r="J313" s="8">
        <v>35822</v>
      </c>
      <c r="K313" s="19">
        <f t="shared" si="20"/>
        <v>0.10605214672547597</v>
      </c>
      <c r="L313" s="19">
        <f t="shared" si="21"/>
        <v>0.36284403252300385</v>
      </c>
      <c r="M313" s="19">
        <f t="shared" si="22"/>
        <v>3.848038857559298E-2</v>
      </c>
      <c r="N313" s="19">
        <f t="shared" si="17"/>
        <v>1.3076926586067679</v>
      </c>
      <c r="T313" s="19"/>
      <c r="U313" s="19"/>
      <c r="V313" s="19"/>
      <c r="W313" s="19"/>
    </row>
    <row r="314" spans="1:23" ht="15.75" customHeight="1">
      <c r="A314" s="8">
        <v>80301</v>
      </c>
      <c r="B314" s="8">
        <v>206</v>
      </c>
      <c r="C314" s="8">
        <v>77.333335280418396</v>
      </c>
      <c r="D314" s="8">
        <v>1204</v>
      </c>
      <c r="E314" s="19">
        <f t="shared" si="18"/>
        <v>0.17109634551495018</v>
      </c>
      <c r="F314" s="19">
        <f t="shared" si="16"/>
        <v>0.37540454019620578</v>
      </c>
      <c r="G314" s="19">
        <f t="shared" si="19"/>
        <v>6.423034491729103E-2</v>
      </c>
      <c r="H314" s="8">
        <v>2244</v>
      </c>
      <c r="I314" s="8">
        <v>830.55557695031166</v>
      </c>
      <c r="J314" s="8">
        <v>9924</v>
      </c>
      <c r="K314" s="19">
        <f t="shared" si="20"/>
        <v>0.22611850060459493</v>
      </c>
      <c r="L314" s="19">
        <f t="shared" si="21"/>
        <v>0.37012280612758985</v>
      </c>
      <c r="M314" s="19">
        <f t="shared" si="22"/>
        <v>8.3691613961135794E-2</v>
      </c>
      <c r="N314" s="19">
        <f t="shared" si="17"/>
        <v>1.3029918190367016</v>
      </c>
      <c r="T314" s="19"/>
      <c r="U314" s="19"/>
      <c r="V314" s="19"/>
      <c r="W314" s="19"/>
    </row>
    <row r="315" spans="1:23" ht="15.75" customHeight="1">
      <c r="A315" s="8">
        <v>80302</v>
      </c>
      <c r="B315" s="8">
        <v>637</v>
      </c>
      <c r="C315" s="8">
        <v>251.11111748218536</v>
      </c>
      <c r="D315" s="8">
        <v>3475</v>
      </c>
      <c r="E315" s="19">
        <f t="shared" si="18"/>
        <v>0.18330935251798561</v>
      </c>
      <c r="F315" s="19">
        <f t="shared" si="16"/>
        <v>0.39420897563922347</v>
      </c>
      <c r="G315" s="19">
        <f t="shared" si="19"/>
        <v>7.2262192081204421E-2</v>
      </c>
      <c r="H315" s="8">
        <v>14598</v>
      </c>
      <c r="I315" s="8">
        <v>6751.2224004864693</v>
      </c>
      <c r="J315" s="8">
        <v>40426</v>
      </c>
      <c r="K315" s="19">
        <f t="shared" si="20"/>
        <v>0.36110423984564388</v>
      </c>
      <c r="L315" s="19">
        <f t="shared" si="21"/>
        <v>0.4624758460396266</v>
      </c>
      <c r="M315" s="19">
        <f t="shared" si="22"/>
        <v>0.16700198883111039</v>
      </c>
      <c r="N315" s="19">
        <f t="shared" si="17"/>
        <v>2.3110562248574249</v>
      </c>
      <c r="T315" s="19"/>
      <c r="U315" s="19"/>
      <c r="V315" s="19"/>
      <c r="W315" s="19"/>
    </row>
    <row r="316" spans="1:23" ht="15.75" customHeight="1">
      <c r="A316" s="8">
        <v>80303</v>
      </c>
      <c r="B316" s="8">
        <v>109</v>
      </c>
      <c r="C316" s="8">
        <v>43.111112236976624</v>
      </c>
      <c r="D316" s="8">
        <v>1150</v>
      </c>
      <c r="E316" s="19">
        <f t="shared" si="18"/>
        <v>9.4782608695652179E-2</v>
      </c>
      <c r="F316" s="19">
        <f t="shared" si="16"/>
        <v>0.39551479116492316</v>
      </c>
      <c r="G316" s="19">
        <f t="shared" si="19"/>
        <v>3.7487923684327504E-2</v>
      </c>
      <c r="H316" s="8">
        <v>1069</v>
      </c>
      <c r="I316" s="8">
        <v>401.44445472955704</v>
      </c>
      <c r="J316" s="8">
        <v>9473</v>
      </c>
      <c r="K316" s="19">
        <f t="shared" si="20"/>
        <v>0.11284703895281326</v>
      </c>
      <c r="L316" s="19">
        <f t="shared" si="21"/>
        <v>0.3755326985309233</v>
      </c>
      <c r="M316" s="19">
        <f t="shared" si="22"/>
        <v>4.2377753059174177E-2</v>
      </c>
      <c r="N316" s="19">
        <f t="shared" si="17"/>
        <v>1.1304374554329066</v>
      </c>
      <c r="T316" s="19"/>
      <c r="U316" s="19"/>
      <c r="V316" s="19"/>
      <c r="W316" s="19"/>
    </row>
    <row r="317" spans="1:23" ht="15.75" customHeight="1">
      <c r="A317" s="8">
        <v>80304</v>
      </c>
      <c r="B317" s="8">
        <v>324</v>
      </c>
      <c r="C317" s="8">
        <v>132.33333665132523</v>
      </c>
      <c r="D317" s="8">
        <v>2290</v>
      </c>
      <c r="E317" s="19">
        <f t="shared" si="18"/>
        <v>0.14148471615720523</v>
      </c>
      <c r="F317" s="19">
        <f t="shared" si="16"/>
        <v>0.40843622423248527</v>
      </c>
      <c r="G317" s="19">
        <f t="shared" si="19"/>
        <v>5.7787483253853807E-2</v>
      </c>
      <c r="H317" s="8">
        <v>2625</v>
      </c>
      <c r="I317" s="8">
        <v>1046.0000267028809</v>
      </c>
      <c r="J317" s="8">
        <v>17784</v>
      </c>
      <c r="K317" s="19">
        <f t="shared" si="20"/>
        <v>0.14760458839406207</v>
      </c>
      <c r="L317" s="19">
        <f t="shared" si="21"/>
        <v>0.39847620064871653</v>
      </c>
      <c r="M317" s="19">
        <f t="shared" si="22"/>
        <v>5.8816915581583494E-2</v>
      </c>
      <c r="N317" s="19">
        <f t="shared" si="17"/>
        <v>1.017814105577284</v>
      </c>
      <c r="T317" s="19"/>
      <c r="U317" s="19"/>
      <c r="V317" s="19"/>
      <c r="W317" s="19"/>
    </row>
    <row r="318" spans="1:23" ht="15.75" customHeight="1">
      <c r="A318" s="8">
        <v>80401</v>
      </c>
      <c r="B318" s="8">
        <v>318</v>
      </c>
      <c r="C318" s="8">
        <v>131.11111399531364</v>
      </c>
      <c r="D318" s="8">
        <v>1622</v>
      </c>
      <c r="E318" s="19">
        <f t="shared" si="18"/>
        <v>0.19605425400739829</v>
      </c>
      <c r="F318" s="19">
        <f t="shared" si="16"/>
        <v>0.41229910061419384</v>
      </c>
      <c r="G318" s="19">
        <f t="shared" si="19"/>
        <v>8.0832992598837028E-2</v>
      </c>
      <c r="H318" s="8">
        <v>3294</v>
      </c>
      <c r="I318" s="8">
        <v>1576.8889278769493</v>
      </c>
      <c r="J318" s="8">
        <v>15888</v>
      </c>
      <c r="K318" s="19">
        <f t="shared" si="20"/>
        <v>0.20732628398791542</v>
      </c>
      <c r="L318" s="19">
        <f t="shared" si="21"/>
        <v>0.47871552151698521</v>
      </c>
      <c r="M318" s="19">
        <f t="shared" si="22"/>
        <v>9.9250310163453509E-2</v>
      </c>
      <c r="N318" s="19">
        <f t="shared" si="17"/>
        <v>1.2278440643168944</v>
      </c>
      <c r="T318" s="19"/>
      <c r="U318" s="19"/>
      <c r="V318" s="19"/>
      <c r="W318" s="19"/>
    </row>
    <row r="319" spans="1:23" ht="15.75" customHeight="1">
      <c r="A319" s="8">
        <v>80402</v>
      </c>
      <c r="B319" s="8">
        <v>559</v>
      </c>
      <c r="C319" s="8">
        <v>209.44444951415062</v>
      </c>
      <c r="D319" s="8">
        <v>2088</v>
      </c>
      <c r="E319" s="19">
        <f t="shared" si="18"/>
        <v>0.26772030651340994</v>
      </c>
      <c r="F319" s="19">
        <f t="shared" si="16"/>
        <v>0.37467701165322115</v>
      </c>
      <c r="G319" s="19">
        <f t="shared" si="19"/>
        <v>0.10030864440332883</v>
      </c>
      <c r="H319" s="8">
        <v>1299</v>
      </c>
      <c r="I319" s="8">
        <v>503.55556845664978</v>
      </c>
      <c r="J319" s="8">
        <v>5513</v>
      </c>
      <c r="K319" s="19">
        <f t="shared" si="20"/>
        <v>0.23562488663159803</v>
      </c>
      <c r="L319" s="19">
        <f t="shared" si="21"/>
        <v>0.38764862852705911</v>
      </c>
      <c r="M319" s="19">
        <f t="shared" si="22"/>
        <v>9.1339664149582764E-2</v>
      </c>
      <c r="N319" s="19">
        <f t="shared" si="17"/>
        <v>0.91058616825003746</v>
      </c>
      <c r="T319" s="19"/>
      <c r="U319" s="19"/>
      <c r="V319" s="19"/>
      <c r="W319" s="19"/>
    </row>
    <row r="320" spans="1:23" ht="15.75" customHeight="1">
      <c r="A320" s="8">
        <v>80501</v>
      </c>
      <c r="B320" s="8">
        <v>292</v>
      </c>
      <c r="C320" s="8">
        <v>119.66667011380196</v>
      </c>
      <c r="D320" s="8">
        <v>2037</v>
      </c>
      <c r="E320" s="19">
        <f t="shared" si="18"/>
        <v>0.14334806087383406</v>
      </c>
      <c r="F320" s="19">
        <f t="shared" si="16"/>
        <v>0.40981736340343133</v>
      </c>
      <c r="G320" s="19">
        <f t="shared" si="19"/>
        <v>5.8746524356309247E-2</v>
      </c>
      <c r="H320" s="8">
        <v>3747</v>
      </c>
      <c r="I320" s="8">
        <v>1624.4444889724255</v>
      </c>
      <c r="J320" s="8">
        <v>18779</v>
      </c>
      <c r="K320" s="19">
        <f t="shared" si="20"/>
        <v>0.19953139144789392</v>
      </c>
      <c r="L320" s="19">
        <f t="shared" si="21"/>
        <v>0.43353202267745544</v>
      </c>
      <c r="M320" s="19">
        <f t="shared" si="22"/>
        <v>8.650324772205259E-2</v>
      </c>
      <c r="N320" s="19">
        <f t="shared" si="17"/>
        <v>1.472482817832649</v>
      </c>
      <c r="T320" s="19"/>
      <c r="U320" s="19"/>
      <c r="V320" s="19"/>
      <c r="W320" s="19"/>
    </row>
    <row r="321" spans="1:23" ht="15.75" customHeight="1">
      <c r="A321" s="8">
        <v>80601</v>
      </c>
      <c r="B321" s="8">
        <v>108</v>
      </c>
      <c r="C321" s="8">
        <v>44.555556803941727</v>
      </c>
      <c r="D321" s="8">
        <v>603</v>
      </c>
      <c r="E321" s="19">
        <f t="shared" si="18"/>
        <v>0.17910447761194029</v>
      </c>
      <c r="F321" s="19">
        <f t="shared" si="16"/>
        <v>0.4125514518883493</v>
      </c>
      <c r="G321" s="19">
        <f t="shared" si="19"/>
        <v>7.3889812278510311E-2</v>
      </c>
      <c r="H321" s="8">
        <v>953</v>
      </c>
      <c r="I321" s="8">
        <v>400.55556544661522</v>
      </c>
      <c r="J321" s="8">
        <v>3545</v>
      </c>
      <c r="K321" s="19">
        <f t="shared" si="20"/>
        <v>0.2688293370944993</v>
      </c>
      <c r="L321" s="19">
        <f t="shared" si="21"/>
        <v>0.4203101421265637</v>
      </c>
      <c r="M321" s="19">
        <f t="shared" si="22"/>
        <v>0.11299169688197891</v>
      </c>
      <c r="N321" s="19">
        <f t="shared" si="17"/>
        <v>1.5291918249309284</v>
      </c>
      <c r="T321" s="19"/>
      <c r="U321" s="19"/>
      <c r="V321" s="19"/>
      <c r="W321" s="19"/>
    </row>
    <row r="322" spans="1:23" ht="15.75" customHeight="1">
      <c r="A322" s="8">
        <v>80602</v>
      </c>
      <c r="B322" s="8">
        <v>379</v>
      </c>
      <c r="C322" s="8">
        <v>134.33333677053452</v>
      </c>
      <c r="D322" s="8">
        <v>2786</v>
      </c>
      <c r="E322" s="19">
        <f t="shared" si="18"/>
        <v>0.13603732950466618</v>
      </c>
      <c r="F322" s="19">
        <f t="shared" si="16"/>
        <v>0.35444152182199079</v>
      </c>
      <c r="G322" s="19">
        <f t="shared" si="19"/>
        <v>4.8217278094233491E-2</v>
      </c>
      <c r="H322" s="8">
        <v>1897</v>
      </c>
      <c r="I322" s="8">
        <v>705.55557355284691</v>
      </c>
      <c r="J322" s="8">
        <v>11751</v>
      </c>
      <c r="K322" s="19">
        <f t="shared" si="20"/>
        <v>0.16143306952599779</v>
      </c>
      <c r="L322" s="19">
        <f t="shared" si="21"/>
        <v>0.37193230023871737</v>
      </c>
      <c r="M322" s="19">
        <f t="shared" si="22"/>
        <v>6.0042172883401142E-2</v>
      </c>
      <c r="N322" s="19">
        <f t="shared" si="17"/>
        <v>1.2452418563747554</v>
      </c>
      <c r="T322" s="19"/>
      <c r="U322" s="19"/>
      <c r="V322" s="19"/>
      <c r="W322" s="19"/>
    </row>
    <row r="323" spans="1:23" ht="15.75" customHeight="1">
      <c r="A323" s="8">
        <v>80701</v>
      </c>
      <c r="B323" s="8">
        <v>164</v>
      </c>
      <c r="C323" s="8">
        <v>60.888890147209167</v>
      </c>
      <c r="D323" s="8">
        <v>937</v>
      </c>
      <c r="E323" s="19">
        <f t="shared" si="18"/>
        <v>0.17502668089647813</v>
      </c>
      <c r="F323" s="19">
        <f t="shared" si="16"/>
        <v>0.37127372040981199</v>
      </c>
      <c r="G323" s="19">
        <f t="shared" si="19"/>
        <v>6.4982806987416403E-2</v>
      </c>
      <c r="H323" s="8">
        <v>697</v>
      </c>
      <c r="I323" s="8">
        <v>256.5555619597435</v>
      </c>
      <c r="J323" s="8">
        <v>5232</v>
      </c>
      <c r="K323" s="19">
        <f t="shared" si="20"/>
        <v>0.13321865443425077</v>
      </c>
      <c r="L323" s="19">
        <f t="shared" si="21"/>
        <v>0.36808545474855597</v>
      </c>
      <c r="M323" s="19">
        <f t="shared" si="22"/>
        <v>4.9035848998421928E-2</v>
      </c>
      <c r="N323" s="19">
        <f t="shared" si="17"/>
        <v>0.75459727382840625</v>
      </c>
      <c r="T323" s="19"/>
      <c r="U323" s="19"/>
      <c r="V323" s="19"/>
      <c r="W323" s="19"/>
    </row>
    <row r="324" spans="1:23" ht="15.75" customHeight="1">
      <c r="A324" s="8">
        <v>80702</v>
      </c>
      <c r="B324" s="8">
        <v>187</v>
      </c>
      <c r="C324" s="8">
        <v>71.666668295860291</v>
      </c>
      <c r="D324" s="8">
        <v>818</v>
      </c>
      <c r="E324" s="19">
        <f t="shared" si="18"/>
        <v>0.22860635696821516</v>
      </c>
      <c r="F324" s="19">
        <f t="shared" si="16"/>
        <v>0.38324421548588389</v>
      </c>
      <c r="G324" s="19">
        <f t="shared" si="19"/>
        <v>8.7612063931369541E-2</v>
      </c>
      <c r="H324" s="8">
        <v>525</v>
      </c>
      <c r="I324" s="8">
        <v>197.22222703695297</v>
      </c>
      <c r="J324" s="8">
        <v>4312</v>
      </c>
      <c r="K324" s="19">
        <f t="shared" si="20"/>
        <v>0.12175324675324675</v>
      </c>
      <c r="L324" s="19">
        <f t="shared" si="21"/>
        <v>0.37566138483229139</v>
      </c>
      <c r="M324" s="19">
        <f t="shared" si="22"/>
        <v>4.573799328315236E-2</v>
      </c>
      <c r="N324" s="19">
        <f t="shared" si="17"/>
        <v>0.52205131611761801</v>
      </c>
      <c r="T324" s="19"/>
      <c r="U324" s="19"/>
      <c r="V324" s="19"/>
      <c r="W324" s="19"/>
    </row>
    <row r="325" spans="1:23" ht="15.75" customHeight="1">
      <c r="A325" s="8">
        <v>80703</v>
      </c>
      <c r="B325" s="8">
        <v>16</v>
      </c>
      <c r="C325" s="8">
        <v>5.3333334922790527</v>
      </c>
      <c r="D325" s="8">
        <v>254</v>
      </c>
      <c r="E325" s="19">
        <f t="shared" si="18"/>
        <v>6.2992125984251968E-2</v>
      </c>
      <c r="F325" s="19">
        <f t="shared" si="16"/>
        <v>0.3333333432674408</v>
      </c>
      <c r="G325" s="19">
        <f t="shared" si="19"/>
        <v>2.0997375953854539E-2</v>
      </c>
      <c r="H325" s="8">
        <v>79</v>
      </c>
      <c r="I325" s="8">
        <v>30.777778506278992</v>
      </c>
      <c r="J325" s="8">
        <v>803</v>
      </c>
      <c r="K325" s="19">
        <f t="shared" si="20"/>
        <v>9.8381070983810714E-2</v>
      </c>
      <c r="L325" s="19">
        <f t="shared" si="21"/>
        <v>0.38959213299087331</v>
      </c>
      <c r="M325" s="19">
        <f t="shared" si="22"/>
        <v>3.8328491290509331E-2</v>
      </c>
      <c r="N325" s="19">
        <f t="shared" si="17"/>
        <v>1.8253943433095161</v>
      </c>
      <c r="T325" s="19"/>
      <c r="U325" s="19"/>
      <c r="V325" s="19"/>
      <c r="W325" s="19"/>
    </row>
    <row r="326" spans="1:23" ht="15.75" customHeight="1">
      <c r="A326" s="8">
        <v>80801</v>
      </c>
      <c r="B326" s="8">
        <v>114</v>
      </c>
      <c r="C326" s="8">
        <v>41.666667580604553</v>
      </c>
      <c r="D326" s="8">
        <v>827</v>
      </c>
      <c r="E326" s="19">
        <f t="shared" si="18"/>
        <v>0.13784764207980654</v>
      </c>
      <c r="F326" s="19">
        <f t="shared" si="16"/>
        <v>0.36549708404039083</v>
      </c>
      <c r="G326" s="19">
        <f t="shared" si="19"/>
        <v>5.0382911222012765E-2</v>
      </c>
      <c r="H326" s="8">
        <v>1935</v>
      </c>
      <c r="I326" s="8">
        <v>706.7777960896492</v>
      </c>
      <c r="J326" s="8">
        <v>11452</v>
      </c>
      <c r="K326" s="19">
        <f t="shared" si="20"/>
        <v>0.168966119455117</v>
      </c>
      <c r="L326" s="19">
        <f t="shared" si="21"/>
        <v>0.36525984294038716</v>
      </c>
      <c r="M326" s="19">
        <f t="shared" si="22"/>
        <v>6.1716538254422727E-2</v>
      </c>
      <c r="N326" s="19">
        <f t="shared" si="17"/>
        <v>1.2249498244051089</v>
      </c>
      <c r="T326" s="19"/>
      <c r="U326" s="19"/>
      <c r="V326" s="19"/>
      <c r="W326" s="19"/>
    </row>
    <row r="327" spans="1:23" ht="15.75" customHeight="1">
      <c r="A327" s="8">
        <v>80802</v>
      </c>
      <c r="B327" s="8">
        <v>281</v>
      </c>
      <c r="C327" s="8">
        <v>101.55555811524391</v>
      </c>
      <c r="D327" s="8">
        <v>1159</v>
      </c>
      <c r="E327" s="19">
        <f t="shared" si="18"/>
        <v>0.24245038826574633</v>
      </c>
      <c r="F327" s="19">
        <f t="shared" si="16"/>
        <v>0.36140768012542318</v>
      </c>
      <c r="G327" s="19">
        <f t="shared" si="19"/>
        <v>8.7623432368631501E-2</v>
      </c>
      <c r="H327" s="8">
        <v>916</v>
      </c>
      <c r="I327" s="8">
        <v>335.7777863740921</v>
      </c>
      <c r="J327" s="8">
        <v>5834</v>
      </c>
      <c r="K327" s="19">
        <f t="shared" si="20"/>
        <v>0.15701062735687349</v>
      </c>
      <c r="L327" s="19">
        <f t="shared" si="21"/>
        <v>0.36656963577957652</v>
      </c>
      <c r="M327" s="19">
        <f t="shared" si="22"/>
        <v>5.7555328483731925E-2</v>
      </c>
      <c r="N327" s="19">
        <f t="shared" si="17"/>
        <v>0.65684859549437458</v>
      </c>
      <c r="T327" s="19"/>
      <c r="U327" s="19"/>
      <c r="V327" s="19"/>
      <c r="W327" s="19"/>
    </row>
    <row r="328" spans="1:23" ht="15.75" customHeight="1">
      <c r="A328" s="8">
        <v>80803</v>
      </c>
      <c r="B328" s="8">
        <v>88</v>
      </c>
      <c r="C328" s="8">
        <v>32.222223073244095</v>
      </c>
      <c r="D328" s="8">
        <v>427</v>
      </c>
      <c r="E328" s="19">
        <f t="shared" si="18"/>
        <v>0.20608899297423888</v>
      </c>
      <c r="F328" s="19">
        <f t="shared" si="16"/>
        <v>0.36616162583231926</v>
      </c>
      <c r="G328" s="19">
        <f t="shared" si="19"/>
        <v>7.5461880733592737E-2</v>
      </c>
      <c r="H328" s="8">
        <v>497</v>
      </c>
      <c r="I328" s="8">
        <v>187.55556038022041</v>
      </c>
      <c r="J328" s="8">
        <v>4047</v>
      </c>
      <c r="K328" s="19">
        <f t="shared" si="20"/>
        <v>0.12280701754385964</v>
      </c>
      <c r="L328" s="19">
        <f t="shared" si="21"/>
        <v>0.37737537299843144</v>
      </c>
      <c r="M328" s="19">
        <f t="shared" si="22"/>
        <v>4.6344344052438945E-2</v>
      </c>
      <c r="N328" s="19">
        <f t="shared" si="17"/>
        <v>0.61414244651615502</v>
      </c>
      <c r="T328" s="19"/>
      <c r="U328" s="19"/>
      <c r="V328" s="19"/>
      <c r="W328" s="19"/>
    </row>
    <row r="329" spans="1:23" ht="15.75" customHeight="1">
      <c r="A329" s="8">
        <v>80901</v>
      </c>
      <c r="B329" s="8">
        <v>140</v>
      </c>
      <c r="C329" s="8">
        <v>68.666668295860291</v>
      </c>
      <c r="D329" s="8">
        <v>497</v>
      </c>
      <c r="E329" s="19">
        <f t="shared" si="18"/>
        <v>0.28169014084507044</v>
      </c>
      <c r="F329" s="19">
        <f t="shared" si="16"/>
        <v>0.4904762021132878</v>
      </c>
      <c r="G329" s="19">
        <f t="shared" si="19"/>
        <v>0.13816231045444727</v>
      </c>
      <c r="H329" s="8">
        <v>1117</v>
      </c>
      <c r="I329" s="8">
        <v>577.88890480995178</v>
      </c>
      <c r="J329" s="8">
        <v>3317</v>
      </c>
      <c r="K329" s="19">
        <f t="shared" si="20"/>
        <v>0.33675007536930962</v>
      </c>
      <c r="L329" s="19">
        <f t="shared" si="21"/>
        <v>0.51735801683970617</v>
      </c>
      <c r="M329" s="19">
        <f t="shared" si="22"/>
        <v>0.17422035116368761</v>
      </c>
      <c r="N329" s="19">
        <f t="shared" si="17"/>
        <v>1.2609831913684511</v>
      </c>
      <c r="T329" s="19"/>
      <c r="U329" s="19"/>
      <c r="V329" s="19"/>
      <c r="W329" s="19"/>
    </row>
    <row r="330" spans="1:23" ht="15.75" customHeight="1">
      <c r="A330" s="8">
        <v>90101</v>
      </c>
      <c r="B330" s="8">
        <v>264</v>
      </c>
      <c r="C330" s="8">
        <v>94.333335608243942</v>
      </c>
      <c r="D330" s="8">
        <v>5103</v>
      </c>
      <c r="E330" s="19">
        <f t="shared" si="18"/>
        <v>5.1734273956496178E-2</v>
      </c>
      <c r="F330" s="19">
        <f t="shared" si="16"/>
        <v>0.35732324094031798</v>
      </c>
      <c r="G330" s="19">
        <f t="shared" si="19"/>
        <v>1.8485858437829503E-2</v>
      </c>
      <c r="H330" s="8">
        <v>2429</v>
      </c>
      <c r="I330" s="8">
        <v>877.5555779337883</v>
      </c>
      <c r="J330" s="8">
        <v>45998</v>
      </c>
      <c r="K330" s="19">
        <f t="shared" si="20"/>
        <v>5.2806643767120312E-2</v>
      </c>
      <c r="L330" s="19">
        <f t="shared" si="21"/>
        <v>0.36128265868002812</v>
      </c>
      <c r="M330" s="19">
        <f t="shared" si="22"/>
        <v>1.9078124656154362E-2</v>
      </c>
      <c r="N330" s="19">
        <f t="shared" si="17"/>
        <v>1.032038880981196</v>
      </c>
      <c r="T330" s="19"/>
      <c r="U330" s="19"/>
      <c r="V330" s="19"/>
      <c r="W330" s="19"/>
    </row>
    <row r="331" spans="1:23" ht="15.75" customHeight="1">
      <c r="A331" s="8">
        <v>90102</v>
      </c>
      <c r="B331" s="8">
        <v>129</v>
      </c>
      <c r="C331" s="8">
        <v>48.444445610046387</v>
      </c>
      <c r="D331" s="8">
        <v>960</v>
      </c>
      <c r="E331" s="19">
        <f t="shared" si="18"/>
        <v>0.13437499999999999</v>
      </c>
      <c r="F331" s="19">
        <f t="shared" si="16"/>
        <v>0.37553833806237508</v>
      </c>
      <c r="G331" s="19">
        <f t="shared" si="19"/>
        <v>5.0462964177131649E-2</v>
      </c>
      <c r="H331" s="8">
        <v>734</v>
      </c>
      <c r="I331" s="8">
        <v>270.33333992958069</v>
      </c>
      <c r="J331" s="8">
        <v>7939</v>
      </c>
      <c r="K331" s="19">
        <f t="shared" si="20"/>
        <v>9.2454969139690132E-2</v>
      </c>
      <c r="L331" s="19">
        <f t="shared" si="21"/>
        <v>0.36830155303757589</v>
      </c>
      <c r="M331" s="19">
        <f t="shared" si="22"/>
        <v>3.4051308720189029E-2</v>
      </c>
      <c r="N331" s="19">
        <f t="shared" si="17"/>
        <v>0.67477821161405527</v>
      </c>
      <c r="T331" s="19"/>
      <c r="U331" s="19"/>
      <c r="V331" s="19"/>
      <c r="W331" s="19"/>
    </row>
    <row r="332" spans="1:23" ht="15.75" customHeight="1">
      <c r="A332" s="8">
        <v>90103</v>
      </c>
      <c r="B332" s="8">
        <v>79</v>
      </c>
      <c r="C332" s="8">
        <v>28.111111789941788</v>
      </c>
      <c r="D332" s="8">
        <v>378</v>
      </c>
      <c r="E332" s="19">
        <f t="shared" si="18"/>
        <v>0.20899470899470898</v>
      </c>
      <c r="F332" s="19">
        <f t="shared" si="16"/>
        <v>0.35583685810052895</v>
      </c>
      <c r="G332" s="19">
        <f t="shared" si="19"/>
        <v>7.4368020608311602E-2</v>
      </c>
      <c r="H332" s="8">
        <v>235</v>
      </c>
      <c r="I332" s="8">
        <v>86.333335727453232</v>
      </c>
      <c r="J332" s="8">
        <v>1917</v>
      </c>
      <c r="K332" s="19">
        <f t="shared" si="20"/>
        <v>0.12258737610850287</v>
      </c>
      <c r="L332" s="19">
        <f t="shared" si="21"/>
        <v>0.36737589671256693</v>
      </c>
      <c r="M332" s="19">
        <f t="shared" si="22"/>
        <v>4.5035647223501944E-2</v>
      </c>
      <c r="N332" s="19">
        <f t="shared" si="17"/>
        <v>0.60557813499837343</v>
      </c>
      <c r="T332" s="19"/>
      <c r="U332" s="19"/>
      <c r="V332" s="19"/>
      <c r="W332" s="19"/>
    </row>
    <row r="333" spans="1:23" ht="15.75" customHeight="1">
      <c r="A333" s="8">
        <v>90104</v>
      </c>
      <c r="B333" s="8">
        <v>90</v>
      </c>
      <c r="C333" s="8">
        <v>33.333334028720856</v>
      </c>
      <c r="D333" s="8">
        <v>640</v>
      </c>
      <c r="E333" s="19">
        <f t="shared" si="18"/>
        <v>0.140625</v>
      </c>
      <c r="F333" s="19">
        <f t="shared" si="16"/>
        <v>0.37037037809689838</v>
      </c>
      <c r="G333" s="19">
        <f t="shared" si="19"/>
        <v>5.2083334419876337E-2</v>
      </c>
      <c r="H333" s="8">
        <v>361</v>
      </c>
      <c r="I333" s="8">
        <v>142.00000363588333</v>
      </c>
      <c r="J333" s="8">
        <v>2668</v>
      </c>
      <c r="K333" s="19">
        <f t="shared" si="20"/>
        <v>0.13530734632683658</v>
      </c>
      <c r="L333" s="19">
        <f t="shared" si="21"/>
        <v>0.39335181062571561</v>
      </c>
      <c r="M333" s="19">
        <f t="shared" si="22"/>
        <v>5.3223389668621938E-2</v>
      </c>
      <c r="N333" s="19">
        <f t="shared" si="17"/>
        <v>1.0218890603192741</v>
      </c>
      <c r="T333" s="19"/>
      <c r="U333" s="19"/>
      <c r="V333" s="19"/>
      <c r="W333" s="19"/>
    </row>
    <row r="334" spans="1:23" ht="15.75" customHeight="1">
      <c r="A334" s="8">
        <v>90201</v>
      </c>
      <c r="B334" s="8">
        <v>191</v>
      </c>
      <c r="C334" s="8">
        <v>68.777779757976532</v>
      </c>
      <c r="D334" s="8">
        <v>1276</v>
      </c>
      <c r="E334" s="19">
        <f t="shared" si="18"/>
        <v>0.14968652037617555</v>
      </c>
      <c r="F334" s="19">
        <f t="shared" si="16"/>
        <v>0.36009308773809701</v>
      </c>
      <c r="G334" s="19">
        <f t="shared" si="19"/>
        <v>5.3901081315028632E-2</v>
      </c>
      <c r="H334" s="8">
        <v>781</v>
      </c>
      <c r="I334" s="8">
        <v>295.66667374968529</v>
      </c>
      <c r="J334" s="8">
        <v>5501</v>
      </c>
      <c r="K334" s="19">
        <f t="shared" si="20"/>
        <v>0.14197418651154337</v>
      </c>
      <c r="L334" s="19">
        <f t="shared" si="21"/>
        <v>0.37857448623519241</v>
      </c>
      <c r="M334" s="19">
        <f t="shared" si="22"/>
        <v>5.3747804717266916E-2</v>
      </c>
      <c r="N334" s="19">
        <f t="shared" si="17"/>
        <v>0.9971563353828492</v>
      </c>
      <c r="T334" s="19"/>
      <c r="U334" s="19"/>
      <c r="V334" s="19"/>
      <c r="W334" s="19"/>
    </row>
    <row r="335" spans="1:23" ht="15.75" customHeight="1">
      <c r="A335" s="8">
        <v>90202</v>
      </c>
      <c r="B335" s="8">
        <v>152</v>
      </c>
      <c r="C335" s="8">
        <v>60.666667819023132</v>
      </c>
      <c r="D335" s="8">
        <v>377</v>
      </c>
      <c r="E335" s="19">
        <f t="shared" si="18"/>
        <v>0.40318302387267907</v>
      </c>
      <c r="F335" s="19">
        <f t="shared" si="16"/>
        <v>0.39912281459883642</v>
      </c>
      <c r="G335" s="19">
        <f t="shared" si="19"/>
        <v>0.16091954328653352</v>
      </c>
      <c r="H335" s="8">
        <v>1280</v>
      </c>
      <c r="I335" s="8">
        <v>491.33334535360336</v>
      </c>
      <c r="J335" s="8">
        <v>2702</v>
      </c>
      <c r="K335" s="19">
        <f t="shared" si="20"/>
        <v>0.47372316802368614</v>
      </c>
      <c r="L335" s="19">
        <f t="shared" si="21"/>
        <v>0.38385417605750261</v>
      </c>
      <c r="M335" s="19">
        <f t="shared" si="22"/>
        <v>0.1818406163410819</v>
      </c>
      <c r="N335" s="19">
        <f t="shared" si="17"/>
        <v>1.1300095229408915</v>
      </c>
      <c r="T335" s="19"/>
      <c r="U335" s="19"/>
      <c r="V335" s="19"/>
      <c r="W335" s="19"/>
    </row>
    <row r="336" spans="1:23" ht="15.75" customHeight="1">
      <c r="A336" s="8">
        <v>90203</v>
      </c>
      <c r="B336" s="8">
        <v>227</v>
      </c>
      <c r="C336" s="8">
        <v>86.666668951511383</v>
      </c>
      <c r="D336" s="8">
        <v>1255</v>
      </c>
      <c r="E336" s="19">
        <f t="shared" si="18"/>
        <v>0.18087649402390438</v>
      </c>
      <c r="F336" s="19">
        <f t="shared" si="16"/>
        <v>0.38179149317846423</v>
      </c>
      <c r="G336" s="19">
        <f t="shared" si="19"/>
        <v>6.9057106734272011E-2</v>
      </c>
      <c r="H336" s="8">
        <v>758</v>
      </c>
      <c r="I336" s="8">
        <v>285.33334070444107</v>
      </c>
      <c r="J336" s="8">
        <v>6579</v>
      </c>
      <c r="K336" s="19">
        <f t="shared" si="20"/>
        <v>0.11521507827937376</v>
      </c>
      <c r="L336" s="19">
        <f t="shared" si="21"/>
        <v>0.37642920937261354</v>
      </c>
      <c r="M336" s="19">
        <f t="shared" si="22"/>
        <v>4.3370320824508445E-2</v>
      </c>
      <c r="N336" s="19">
        <f t="shared" si="17"/>
        <v>0.62803559076685733</v>
      </c>
      <c r="T336" s="19"/>
      <c r="U336" s="19"/>
      <c r="V336" s="19"/>
      <c r="W336" s="19"/>
    </row>
    <row r="337" spans="1:23" ht="15.75" customHeight="1">
      <c r="A337" s="8">
        <v>90301</v>
      </c>
      <c r="B337" s="8">
        <v>329</v>
      </c>
      <c r="C337" s="8">
        <v>121.44444751739502</v>
      </c>
      <c r="D337" s="8">
        <v>1170</v>
      </c>
      <c r="E337" s="19">
        <f t="shared" si="18"/>
        <v>0.2811965811965812</v>
      </c>
      <c r="F337" s="19">
        <f t="shared" si="16"/>
        <v>0.36913205932338911</v>
      </c>
      <c r="G337" s="19">
        <f t="shared" si="19"/>
        <v>0.10379867309179061</v>
      </c>
      <c r="H337" s="8">
        <v>1993</v>
      </c>
      <c r="I337" s="8">
        <v>754.88890767097473</v>
      </c>
      <c r="J337" s="8">
        <v>10080</v>
      </c>
      <c r="K337" s="19">
        <f t="shared" si="20"/>
        <v>0.19771825396825396</v>
      </c>
      <c r="L337" s="19">
        <f t="shared" si="21"/>
        <v>0.37877014935824121</v>
      </c>
      <c r="M337" s="19">
        <f t="shared" si="22"/>
        <v>7.4889772586406222E-2</v>
      </c>
      <c r="N337" s="19">
        <f t="shared" si="17"/>
        <v>0.72149065451135541</v>
      </c>
      <c r="T337" s="19"/>
      <c r="U337" s="19"/>
      <c r="V337" s="19"/>
      <c r="W337" s="19"/>
    </row>
    <row r="338" spans="1:23" ht="15.75" customHeight="1">
      <c r="A338" s="8">
        <v>90302</v>
      </c>
      <c r="B338" s="8">
        <v>221</v>
      </c>
      <c r="C338" s="8">
        <v>83.111113160848618</v>
      </c>
      <c r="D338" s="8">
        <v>1262</v>
      </c>
      <c r="E338" s="19">
        <f t="shared" si="18"/>
        <v>0.1751188589540412</v>
      </c>
      <c r="F338" s="19">
        <f t="shared" si="16"/>
        <v>0.37606838534320641</v>
      </c>
      <c r="G338" s="19">
        <f t="shared" si="19"/>
        <v>6.5856666529990976E-2</v>
      </c>
      <c r="H338" s="8">
        <v>1308</v>
      </c>
      <c r="I338" s="8">
        <v>499.88890093564987</v>
      </c>
      <c r="J338" s="8">
        <v>8236</v>
      </c>
      <c r="K338" s="19">
        <f t="shared" si="20"/>
        <v>0.1588149587178242</v>
      </c>
      <c r="L338" s="19">
        <f t="shared" si="21"/>
        <v>0.38217805881930417</v>
      </c>
      <c r="M338" s="19">
        <f t="shared" si="22"/>
        <v>6.0695592634245982E-2</v>
      </c>
      <c r="N338" s="19">
        <f t="shared" si="17"/>
        <v>0.92163171676181554</v>
      </c>
      <c r="T338" s="19"/>
      <c r="U338" s="19"/>
      <c r="V338" s="19"/>
      <c r="W338" s="19"/>
    </row>
    <row r="339" spans="1:23" ht="15.75" customHeight="1">
      <c r="A339" s="8">
        <v>90303</v>
      </c>
      <c r="B339" s="8">
        <v>625</v>
      </c>
      <c r="C339" s="8">
        <v>237.00000643730164</v>
      </c>
      <c r="D339" s="8">
        <v>2200</v>
      </c>
      <c r="E339" s="19">
        <f t="shared" si="18"/>
        <v>0.28409090909090912</v>
      </c>
      <c r="F339" s="19">
        <f t="shared" si="16"/>
        <v>0.37920001029968264</v>
      </c>
      <c r="G339" s="19">
        <f t="shared" si="19"/>
        <v>0.10772727565331894</v>
      </c>
      <c r="H339" s="8">
        <v>2076</v>
      </c>
      <c r="I339" s="8">
        <v>792.11113083362579</v>
      </c>
      <c r="J339" s="8">
        <v>7639</v>
      </c>
      <c r="K339" s="19">
        <f t="shared" si="20"/>
        <v>0.27176331980625734</v>
      </c>
      <c r="L339" s="19">
        <f t="shared" si="21"/>
        <v>0.38155642140348062</v>
      </c>
      <c r="M339" s="19">
        <f t="shared" si="22"/>
        <v>0.10369303977400519</v>
      </c>
      <c r="N339" s="19">
        <f t="shared" si="17"/>
        <v>0.96255139791804945</v>
      </c>
      <c r="T339" s="19"/>
      <c r="U339" s="19"/>
      <c r="V339" s="19"/>
      <c r="W339" s="19"/>
    </row>
    <row r="340" spans="1:23" ht="15.75" customHeight="1">
      <c r="A340" s="8">
        <v>90401</v>
      </c>
      <c r="B340" s="8">
        <v>72</v>
      </c>
      <c r="C340" s="8">
        <v>29.666667431592941</v>
      </c>
      <c r="D340" s="8">
        <v>520</v>
      </c>
      <c r="E340" s="19">
        <f t="shared" si="18"/>
        <v>0.13846153846153847</v>
      </c>
      <c r="F340" s="19">
        <f t="shared" si="16"/>
        <v>0.41203704766101307</v>
      </c>
      <c r="G340" s="19">
        <f t="shared" si="19"/>
        <v>5.7051283522294119E-2</v>
      </c>
      <c r="H340" s="8">
        <v>230</v>
      </c>
      <c r="I340" s="8">
        <v>86.333335608243942</v>
      </c>
      <c r="J340" s="8">
        <v>2239</v>
      </c>
      <c r="K340" s="19">
        <f t="shared" si="20"/>
        <v>0.10272443054935239</v>
      </c>
      <c r="L340" s="19">
        <f t="shared" si="21"/>
        <v>0.37536232873149539</v>
      </c>
      <c r="M340" s="19">
        <f t="shared" si="22"/>
        <v>3.8558881468621679E-2</v>
      </c>
      <c r="N340" s="19">
        <f t="shared" si="17"/>
        <v>0.67586352292238783</v>
      </c>
      <c r="T340" s="19"/>
      <c r="U340" s="19"/>
      <c r="V340" s="19"/>
      <c r="W340" s="19"/>
    </row>
    <row r="341" spans="1:23" ht="15.75" customHeight="1">
      <c r="A341" s="8">
        <v>90402</v>
      </c>
      <c r="B341" s="8">
        <v>231</v>
      </c>
      <c r="C341" s="8">
        <v>86.555557548999786</v>
      </c>
      <c r="D341" s="8">
        <v>759</v>
      </c>
      <c r="E341" s="19">
        <f t="shared" si="18"/>
        <v>0.30434782608695654</v>
      </c>
      <c r="F341" s="19">
        <f t="shared" si="16"/>
        <v>0.37469938332900338</v>
      </c>
      <c r="G341" s="19">
        <f t="shared" si="19"/>
        <v>0.11403894275230539</v>
      </c>
      <c r="H341" s="8">
        <v>475</v>
      </c>
      <c r="I341" s="8">
        <v>176.11111494898796</v>
      </c>
      <c r="J341" s="8">
        <v>1708</v>
      </c>
      <c r="K341" s="19">
        <f t="shared" si="20"/>
        <v>0.2781030444964871</v>
      </c>
      <c r="L341" s="19">
        <f t="shared" si="21"/>
        <v>0.37076024199786939</v>
      </c>
      <c r="M341" s="19">
        <f t="shared" si="22"/>
        <v>0.10310955207786179</v>
      </c>
      <c r="N341" s="19">
        <f t="shared" si="17"/>
        <v>0.90416089091440954</v>
      </c>
      <c r="T341" s="19"/>
      <c r="U341" s="19"/>
      <c r="V341" s="19"/>
      <c r="W341" s="19"/>
    </row>
    <row r="342" spans="1:23" ht="15.75" customHeight="1">
      <c r="A342" s="8">
        <v>90501</v>
      </c>
      <c r="B342" s="8">
        <v>80</v>
      </c>
      <c r="C342" s="8">
        <v>31.44444528222084</v>
      </c>
      <c r="D342" s="8">
        <v>342</v>
      </c>
      <c r="E342" s="19">
        <f t="shared" si="18"/>
        <v>0.23391812865497075</v>
      </c>
      <c r="F342" s="19">
        <f t="shared" si="16"/>
        <v>0.39305556602776048</v>
      </c>
      <c r="G342" s="19">
        <f t="shared" si="19"/>
        <v>9.1942822462634022E-2</v>
      </c>
      <c r="H342" s="8">
        <v>180</v>
      </c>
      <c r="I342" s="8">
        <v>64.888890475034714</v>
      </c>
      <c r="J342" s="8">
        <v>1202</v>
      </c>
      <c r="K342" s="19">
        <f t="shared" si="20"/>
        <v>0.14975041597337771</v>
      </c>
      <c r="L342" s="19">
        <f t="shared" si="21"/>
        <v>0.36049383597241508</v>
      </c>
      <c r="M342" s="19">
        <f t="shared" si="22"/>
        <v>5.3984101892707748E-2</v>
      </c>
      <c r="N342" s="19">
        <f t="shared" si="17"/>
        <v>0.58714862614367891</v>
      </c>
      <c r="T342" s="19"/>
      <c r="U342" s="19"/>
      <c r="V342" s="19"/>
      <c r="W342" s="19"/>
    </row>
    <row r="343" spans="1:23" ht="15.75" customHeight="1">
      <c r="A343" s="8">
        <v>90502</v>
      </c>
      <c r="B343" s="8">
        <v>78</v>
      </c>
      <c r="C343" s="8">
        <v>27.777778506278992</v>
      </c>
      <c r="D343" s="8">
        <v>573</v>
      </c>
      <c r="E343" s="19">
        <f t="shared" si="18"/>
        <v>0.13612565445026178</v>
      </c>
      <c r="F343" s="19">
        <f t="shared" si="16"/>
        <v>0.35612536546511525</v>
      </c>
      <c r="G343" s="19">
        <f t="shared" si="19"/>
        <v>4.847779844027747E-2</v>
      </c>
      <c r="H343" s="8">
        <v>298</v>
      </c>
      <c r="I343" s="8">
        <v>107.6666693687439</v>
      </c>
      <c r="J343" s="8">
        <v>1868</v>
      </c>
      <c r="K343" s="19">
        <f t="shared" si="20"/>
        <v>0.15952890792291222</v>
      </c>
      <c r="L343" s="19">
        <f t="shared" si="21"/>
        <v>0.3612975482172614</v>
      </c>
      <c r="M343" s="19">
        <f t="shared" si="22"/>
        <v>5.7637403302325432E-2</v>
      </c>
      <c r="N343" s="19">
        <f t="shared" si="17"/>
        <v>1.1889443241390634</v>
      </c>
      <c r="T343" s="19"/>
      <c r="U343" s="19"/>
      <c r="V343" s="19"/>
      <c r="W343" s="19"/>
    </row>
    <row r="344" spans="1:23" ht="15.75" customHeight="1">
      <c r="A344" s="8">
        <v>90503</v>
      </c>
      <c r="B344" s="8">
        <v>84</v>
      </c>
      <c r="C344" s="8">
        <v>31.111111760139465</v>
      </c>
      <c r="D344" s="8">
        <v>349</v>
      </c>
      <c r="E344" s="19">
        <f t="shared" si="18"/>
        <v>0.24068767908309455</v>
      </c>
      <c r="F344" s="19">
        <f t="shared" si="16"/>
        <v>0.37037037809689838</v>
      </c>
      <c r="G344" s="19">
        <f t="shared" si="19"/>
        <v>8.9143586705270672E-2</v>
      </c>
      <c r="H344" s="8">
        <v>362</v>
      </c>
      <c r="I344" s="8">
        <v>142.44444844126701</v>
      </c>
      <c r="J344" s="8">
        <v>1898</v>
      </c>
      <c r="K344" s="19">
        <f t="shared" si="20"/>
        <v>0.19072708113804004</v>
      </c>
      <c r="L344" s="19">
        <f t="shared" si="21"/>
        <v>0.39349295149521274</v>
      </c>
      <c r="M344" s="19">
        <f t="shared" si="22"/>
        <v>7.5049762087074298E-2</v>
      </c>
      <c r="N344" s="19">
        <f t="shared" si="17"/>
        <v>0.84189749213486531</v>
      </c>
      <c r="T344" s="19"/>
      <c r="U344" s="19"/>
      <c r="V344" s="19"/>
      <c r="W344" s="19"/>
    </row>
    <row r="345" spans="1:23" ht="15.75" customHeight="1">
      <c r="A345" s="17">
        <v>10</v>
      </c>
      <c r="B345" s="14">
        <f t="shared" ref="B345:D345" si="23">SUM(B246:B248)</f>
        <v>479</v>
      </c>
      <c r="C345" s="14">
        <f t="shared" si="23"/>
        <v>170.55556017160416</v>
      </c>
      <c r="D345" s="14">
        <f t="shared" si="23"/>
        <v>9192</v>
      </c>
      <c r="E345" s="19">
        <f t="shared" si="18"/>
        <v>5.2110530896431681E-2</v>
      </c>
      <c r="F345" s="19">
        <f t="shared" si="16"/>
        <v>0.3560658876233907</v>
      </c>
      <c r="G345" s="19">
        <f t="shared" si="19"/>
        <v>1.8554782438164073E-2</v>
      </c>
      <c r="H345" s="14">
        <f t="shared" ref="H345:J345" si="24">SUM(H246:H248)</f>
        <v>7137</v>
      </c>
      <c r="I345" s="14">
        <f t="shared" si="24"/>
        <v>2679.000068038702</v>
      </c>
      <c r="J345" s="14">
        <f t="shared" si="24"/>
        <v>143324</v>
      </c>
      <c r="K345" s="19">
        <f t="shared" si="20"/>
        <v>4.9796265803354639E-2</v>
      </c>
      <c r="L345" s="19">
        <f t="shared" si="21"/>
        <v>0.37536781113054535</v>
      </c>
      <c r="M345" s="19">
        <f t="shared" si="22"/>
        <v>1.8691915297080058E-2</v>
      </c>
      <c r="N345" s="19">
        <f t="shared" si="17"/>
        <v>1.0073907015279213</v>
      </c>
      <c r="T345" s="19"/>
      <c r="U345" s="19"/>
      <c r="V345" s="19"/>
      <c r="W345" s="19"/>
    </row>
    <row r="346" spans="1:23" ht="15.75" customHeight="1">
      <c r="A346" s="17">
        <v>11</v>
      </c>
      <c r="B346" s="14">
        <f t="shared" ref="B346:D346" si="25">SUM(B2:B344)</f>
        <v>95063</v>
      </c>
      <c r="C346" s="14">
        <f t="shared" si="25"/>
        <v>35140.778662860394</v>
      </c>
      <c r="D346" s="14">
        <f t="shared" si="25"/>
        <v>972405</v>
      </c>
      <c r="E346" s="19">
        <f t="shared" si="18"/>
        <v>9.7760706701425851E-2</v>
      </c>
      <c r="F346" s="19">
        <f t="shared" si="16"/>
        <v>0.3696577918102773</v>
      </c>
      <c r="G346" s="19">
        <f t="shared" si="19"/>
        <v>3.613800696506126E-2</v>
      </c>
      <c r="H346" s="14">
        <f t="shared" ref="H346:J346" si="26">SUM(H2:H344)</f>
        <v>862368</v>
      </c>
      <c r="I346" s="14">
        <f t="shared" si="26"/>
        <v>326179.56377953291</v>
      </c>
      <c r="J346" s="14">
        <f t="shared" si="26"/>
        <v>9959448</v>
      </c>
      <c r="K346" s="19">
        <f t="shared" si="20"/>
        <v>8.6587931379329464E-2</v>
      </c>
      <c r="L346" s="19">
        <f t="shared" si="21"/>
        <v>0.37823709110209669</v>
      </c>
      <c r="M346" s="19">
        <f t="shared" si="22"/>
        <v>3.2750767289465535E-2</v>
      </c>
      <c r="N346" s="19">
        <f t="shared" si="17"/>
        <v>0.90626932805479399</v>
      </c>
      <c r="T346" s="19"/>
      <c r="U346" s="19"/>
      <c r="V346" s="19"/>
      <c r="W346" s="19"/>
    </row>
    <row r="347" spans="1:23" ht="15.75" customHeight="1">
      <c r="E347" s="19"/>
      <c r="F347" s="19"/>
      <c r="G347" s="19"/>
      <c r="K347" s="19"/>
      <c r="L347" s="19"/>
      <c r="M347" s="19"/>
      <c r="N347" s="19"/>
      <c r="T347" s="19"/>
      <c r="U347" s="19"/>
      <c r="V347" s="19"/>
      <c r="W347" s="19"/>
    </row>
    <row r="348" spans="1:23" ht="15.75" customHeight="1">
      <c r="E348" s="19"/>
      <c r="F348" s="19"/>
      <c r="G348" s="19"/>
      <c r="K348" s="19"/>
      <c r="L348" s="19"/>
      <c r="M348" s="19"/>
      <c r="N348" s="19"/>
      <c r="T348" s="19"/>
      <c r="U348" s="19"/>
      <c r="V348" s="19"/>
      <c r="W348" s="19"/>
    </row>
    <row r="349" spans="1:23" ht="15.75" customHeight="1">
      <c r="E349" s="19"/>
      <c r="F349" s="19"/>
      <c r="G349" s="19"/>
      <c r="K349" s="19"/>
      <c r="L349" s="19"/>
      <c r="M349" s="19"/>
      <c r="N349" s="19"/>
      <c r="T349" s="19"/>
      <c r="U349" s="19"/>
      <c r="V349" s="19"/>
      <c r="W349" s="19"/>
    </row>
    <row r="350" spans="1:23" ht="15.75" customHeight="1">
      <c r="E350" s="19"/>
      <c r="F350" s="19"/>
      <c r="G350" s="19"/>
      <c r="K350" s="19"/>
      <c r="L350" s="19"/>
      <c r="M350" s="19"/>
      <c r="N350" s="19"/>
      <c r="T350" s="19"/>
      <c r="U350" s="19"/>
      <c r="V350" s="19"/>
      <c r="W350" s="19"/>
    </row>
    <row r="351" spans="1:23" ht="15.75" customHeight="1">
      <c r="E351" s="19"/>
      <c r="F351" s="19"/>
      <c r="G351" s="19"/>
      <c r="K351" s="19"/>
      <c r="L351" s="19"/>
      <c r="M351" s="19"/>
      <c r="N351" s="19"/>
      <c r="T351" s="19"/>
      <c r="U351" s="19"/>
      <c r="V351" s="19"/>
      <c r="W351" s="19"/>
    </row>
    <row r="352" spans="1:23" ht="15.75" customHeight="1">
      <c r="E352" s="19"/>
      <c r="F352" s="19"/>
      <c r="G352" s="19"/>
      <c r="K352" s="19"/>
      <c r="L352" s="19"/>
      <c r="M352" s="19"/>
      <c r="N352" s="19"/>
      <c r="T352" s="19"/>
      <c r="U352" s="19"/>
      <c r="V352" s="19"/>
      <c r="W352" s="19"/>
    </row>
    <row r="353" spans="5:23" ht="15.75" customHeight="1">
      <c r="E353" s="19"/>
      <c r="F353" s="19"/>
      <c r="G353" s="19"/>
      <c r="K353" s="19"/>
      <c r="L353" s="19"/>
      <c r="M353" s="19"/>
      <c r="N353" s="19"/>
      <c r="T353" s="19"/>
      <c r="U353" s="19"/>
      <c r="V353" s="19"/>
      <c r="W353" s="19"/>
    </row>
    <row r="354" spans="5:23" ht="15.75" customHeight="1">
      <c r="E354" s="19"/>
      <c r="F354" s="19"/>
      <c r="G354" s="19"/>
      <c r="K354" s="19"/>
      <c r="L354" s="19"/>
      <c r="M354" s="19"/>
      <c r="N354" s="19"/>
      <c r="T354" s="19"/>
      <c r="U354" s="19"/>
      <c r="V354" s="19"/>
      <c r="W354" s="19"/>
    </row>
    <row r="355" spans="5:23" ht="15.75" customHeight="1">
      <c r="E355" s="19"/>
      <c r="F355" s="19"/>
      <c r="G355" s="19"/>
      <c r="K355" s="19"/>
      <c r="L355" s="19"/>
      <c r="M355" s="19"/>
      <c r="N355" s="19"/>
      <c r="T355" s="19"/>
      <c r="U355" s="19"/>
      <c r="V355" s="19"/>
      <c r="W355" s="19"/>
    </row>
    <row r="356" spans="5:23" ht="15.75" customHeight="1">
      <c r="E356" s="19"/>
      <c r="F356" s="19"/>
      <c r="G356" s="19"/>
      <c r="K356" s="19"/>
      <c r="L356" s="19"/>
      <c r="M356" s="19"/>
      <c r="N356" s="19"/>
      <c r="T356" s="19"/>
      <c r="U356" s="19"/>
      <c r="V356" s="19"/>
      <c r="W356" s="19"/>
    </row>
    <row r="357" spans="5:23" ht="15.75" customHeight="1">
      <c r="E357" s="19"/>
      <c r="F357" s="19"/>
      <c r="G357" s="19"/>
      <c r="K357" s="19"/>
      <c r="L357" s="19"/>
      <c r="M357" s="19"/>
      <c r="N357" s="19"/>
      <c r="T357" s="19"/>
      <c r="U357" s="19"/>
      <c r="V357" s="19"/>
      <c r="W357" s="19"/>
    </row>
    <row r="358" spans="5:23" ht="15.75" customHeight="1">
      <c r="E358" s="19"/>
      <c r="F358" s="19"/>
      <c r="G358" s="19"/>
      <c r="K358" s="19"/>
      <c r="L358" s="19"/>
      <c r="M358" s="19"/>
      <c r="N358" s="19"/>
      <c r="T358" s="19"/>
      <c r="U358" s="19"/>
      <c r="V358" s="19"/>
      <c r="W358" s="19"/>
    </row>
    <row r="359" spans="5:23" ht="15.75" customHeight="1">
      <c r="E359" s="19"/>
      <c r="F359" s="19"/>
      <c r="G359" s="19"/>
      <c r="K359" s="19"/>
      <c r="L359" s="19"/>
      <c r="M359" s="19"/>
      <c r="N359" s="19"/>
      <c r="T359" s="19"/>
      <c r="U359" s="19"/>
      <c r="V359" s="19"/>
      <c r="W359" s="19"/>
    </row>
    <row r="360" spans="5:23" ht="15.75" customHeight="1">
      <c r="E360" s="19"/>
      <c r="F360" s="19"/>
      <c r="G360" s="19"/>
      <c r="K360" s="19"/>
      <c r="L360" s="19"/>
      <c r="M360" s="19"/>
      <c r="N360" s="19"/>
      <c r="T360" s="19"/>
      <c r="U360" s="19"/>
      <c r="V360" s="19"/>
      <c r="W360" s="19"/>
    </row>
    <row r="361" spans="5:23" ht="15.75" customHeight="1">
      <c r="E361" s="19"/>
      <c r="F361" s="19"/>
      <c r="G361" s="19"/>
      <c r="K361" s="19"/>
      <c r="L361" s="19"/>
      <c r="M361" s="19"/>
      <c r="N361" s="19"/>
      <c r="T361" s="19"/>
      <c r="U361" s="19"/>
      <c r="V361" s="19"/>
      <c r="W361" s="19"/>
    </row>
    <row r="362" spans="5:23" ht="15.75" customHeight="1">
      <c r="E362" s="19"/>
      <c r="F362" s="19"/>
      <c r="G362" s="19"/>
      <c r="K362" s="19"/>
      <c r="L362" s="19"/>
      <c r="M362" s="19"/>
      <c r="N362" s="19"/>
      <c r="T362" s="19"/>
      <c r="U362" s="19"/>
      <c r="V362" s="19"/>
      <c r="W362" s="19"/>
    </row>
    <row r="363" spans="5:23" ht="15.75" customHeight="1">
      <c r="E363" s="19"/>
      <c r="F363" s="19"/>
      <c r="G363" s="19"/>
      <c r="K363" s="19"/>
      <c r="L363" s="19"/>
      <c r="M363" s="19"/>
      <c r="N363" s="19"/>
      <c r="T363" s="19"/>
      <c r="U363" s="19"/>
      <c r="V363" s="19"/>
      <c r="W363" s="19"/>
    </row>
    <row r="364" spans="5:23" ht="15.75" customHeight="1">
      <c r="E364" s="19"/>
      <c r="F364" s="19"/>
      <c r="G364" s="19"/>
      <c r="K364" s="19"/>
      <c r="L364" s="19"/>
      <c r="M364" s="19"/>
      <c r="N364" s="19"/>
      <c r="T364" s="19"/>
      <c r="U364" s="19"/>
      <c r="V364" s="19"/>
      <c r="W364" s="19"/>
    </row>
    <row r="365" spans="5:23" ht="15.75" customHeight="1">
      <c r="E365" s="19"/>
      <c r="F365" s="19"/>
      <c r="G365" s="19"/>
      <c r="K365" s="19"/>
      <c r="L365" s="19"/>
      <c r="M365" s="19"/>
      <c r="N365" s="19"/>
      <c r="T365" s="19"/>
      <c r="U365" s="19"/>
      <c r="V365" s="19"/>
      <c r="W365" s="19"/>
    </row>
    <row r="366" spans="5:23" ht="15.75" customHeight="1">
      <c r="E366" s="19"/>
      <c r="F366" s="19"/>
      <c r="G366" s="19"/>
      <c r="K366" s="19"/>
      <c r="L366" s="19"/>
      <c r="M366" s="19"/>
      <c r="N366" s="19"/>
      <c r="T366" s="19"/>
      <c r="U366" s="19"/>
      <c r="V366" s="19"/>
      <c r="W366" s="19"/>
    </row>
    <row r="367" spans="5:23" ht="15.75" customHeight="1">
      <c r="E367" s="19"/>
      <c r="F367" s="19"/>
      <c r="G367" s="19"/>
      <c r="K367" s="19"/>
      <c r="L367" s="19"/>
      <c r="M367" s="19"/>
      <c r="N367" s="19"/>
      <c r="T367" s="19"/>
      <c r="U367" s="19"/>
      <c r="V367" s="19"/>
      <c r="W367" s="19"/>
    </row>
    <row r="368" spans="5:23" ht="15.75" customHeight="1">
      <c r="E368" s="19"/>
      <c r="F368" s="19"/>
      <c r="G368" s="19"/>
      <c r="K368" s="19"/>
      <c r="L368" s="19"/>
      <c r="M368" s="19"/>
      <c r="N368" s="19"/>
      <c r="T368" s="19"/>
      <c r="U368" s="19"/>
      <c r="V368" s="19"/>
      <c r="W368" s="19"/>
    </row>
    <row r="369" spans="5:23" ht="15.75" customHeight="1">
      <c r="E369" s="19"/>
      <c r="F369" s="19"/>
      <c r="G369" s="19"/>
      <c r="K369" s="19"/>
      <c r="L369" s="19"/>
      <c r="M369" s="19"/>
      <c r="N369" s="19"/>
      <c r="T369" s="19"/>
      <c r="U369" s="19"/>
      <c r="V369" s="19"/>
      <c r="W369" s="19"/>
    </row>
    <row r="370" spans="5:23" ht="15.75" customHeight="1">
      <c r="E370" s="19"/>
      <c r="F370" s="19"/>
      <c r="G370" s="19"/>
      <c r="K370" s="19"/>
      <c r="L370" s="19"/>
      <c r="M370" s="19"/>
      <c r="N370" s="19"/>
      <c r="T370" s="19"/>
      <c r="U370" s="19"/>
      <c r="V370" s="19"/>
      <c r="W370" s="19"/>
    </row>
    <row r="371" spans="5:23" ht="15.75" customHeight="1">
      <c r="E371" s="19"/>
      <c r="F371" s="19"/>
      <c r="G371" s="19"/>
      <c r="K371" s="19"/>
      <c r="L371" s="19"/>
      <c r="M371" s="19"/>
      <c r="N371" s="19"/>
      <c r="T371" s="19"/>
      <c r="U371" s="19"/>
      <c r="V371" s="19"/>
      <c r="W371" s="19"/>
    </row>
    <row r="372" spans="5:23" ht="15.75" customHeight="1">
      <c r="E372" s="19"/>
      <c r="F372" s="19"/>
      <c r="G372" s="19"/>
      <c r="K372" s="19"/>
      <c r="L372" s="19"/>
      <c r="M372" s="19"/>
      <c r="N372" s="19"/>
      <c r="T372" s="19"/>
      <c r="U372" s="19"/>
      <c r="V372" s="19"/>
      <c r="W372" s="19"/>
    </row>
    <row r="373" spans="5:23" ht="15.75" customHeight="1">
      <c r="E373" s="19"/>
      <c r="F373" s="19"/>
      <c r="G373" s="19"/>
      <c r="K373" s="19"/>
      <c r="L373" s="19"/>
      <c r="M373" s="19"/>
      <c r="N373" s="19"/>
      <c r="T373" s="19"/>
      <c r="U373" s="19"/>
      <c r="V373" s="19"/>
      <c r="W373" s="19"/>
    </row>
    <row r="374" spans="5:23" ht="15.75" customHeight="1">
      <c r="E374" s="19"/>
      <c r="F374" s="19"/>
      <c r="G374" s="19"/>
      <c r="K374" s="19"/>
      <c r="L374" s="19"/>
      <c r="M374" s="19"/>
      <c r="N374" s="19"/>
      <c r="T374" s="19"/>
      <c r="U374" s="19"/>
      <c r="V374" s="19"/>
      <c r="W374" s="19"/>
    </row>
    <row r="375" spans="5:23" ht="15.75" customHeight="1">
      <c r="E375" s="19"/>
      <c r="F375" s="19"/>
      <c r="G375" s="19"/>
      <c r="K375" s="19"/>
      <c r="L375" s="19"/>
      <c r="M375" s="19"/>
      <c r="N375" s="19"/>
      <c r="T375" s="19"/>
      <c r="U375" s="19"/>
      <c r="V375" s="19"/>
      <c r="W375" s="19"/>
    </row>
    <row r="376" spans="5:23" ht="15.75" customHeight="1">
      <c r="E376" s="19"/>
      <c r="F376" s="19"/>
      <c r="G376" s="19"/>
      <c r="K376" s="19"/>
      <c r="L376" s="19"/>
      <c r="M376" s="19"/>
      <c r="N376" s="19"/>
      <c r="T376" s="19"/>
      <c r="U376" s="19"/>
      <c r="V376" s="19"/>
      <c r="W376" s="19"/>
    </row>
    <row r="377" spans="5:23" ht="15.75" customHeight="1">
      <c r="E377" s="19"/>
      <c r="F377" s="19"/>
      <c r="G377" s="19"/>
      <c r="K377" s="19"/>
      <c r="L377" s="19"/>
      <c r="M377" s="19"/>
      <c r="N377" s="19"/>
      <c r="T377" s="19"/>
      <c r="U377" s="19"/>
      <c r="V377" s="19"/>
      <c r="W377" s="19"/>
    </row>
    <row r="378" spans="5:23" ht="15.75" customHeight="1">
      <c r="E378" s="19"/>
      <c r="F378" s="19"/>
      <c r="G378" s="19"/>
      <c r="K378" s="19"/>
      <c r="L378" s="19"/>
      <c r="M378" s="19"/>
      <c r="N378" s="19"/>
      <c r="T378" s="19"/>
      <c r="U378" s="19"/>
      <c r="V378" s="19"/>
      <c r="W378" s="19"/>
    </row>
    <row r="379" spans="5:23" ht="15.75" customHeight="1">
      <c r="E379" s="19"/>
      <c r="F379" s="19"/>
      <c r="G379" s="19"/>
      <c r="K379" s="19"/>
      <c r="L379" s="19"/>
      <c r="M379" s="19"/>
      <c r="N379" s="19"/>
      <c r="T379" s="19"/>
      <c r="U379" s="19"/>
      <c r="V379" s="19"/>
      <c r="W379" s="19"/>
    </row>
    <row r="380" spans="5:23" ht="15.75" customHeight="1">
      <c r="E380" s="19"/>
      <c r="F380" s="19"/>
      <c r="G380" s="19"/>
      <c r="K380" s="19"/>
      <c r="L380" s="19"/>
      <c r="M380" s="19"/>
      <c r="N380" s="19"/>
      <c r="T380" s="19"/>
      <c r="U380" s="19"/>
      <c r="V380" s="19"/>
      <c r="W380" s="19"/>
    </row>
    <row r="381" spans="5:23" ht="15.75" customHeight="1">
      <c r="E381" s="19"/>
      <c r="F381" s="19"/>
      <c r="G381" s="19"/>
      <c r="K381" s="19"/>
      <c r="L381" s="19"/>
      <c r="M381" s="19"/>
      <c r="N381" s="19"/>
      <c r="T381" s="19"/>
      <c r="U381" s="19"/>
      <c r="V381" s="19"/>
      <c r="W381" s="19"/>
    </row>
    <row r="382" spans="5:23" ht="15.75" customHeight="1">
      <c r="E382" s="19"/>
      <c r="F382" s="19"/>
      <c r="G382" s="19"/>
      <c r="K382" s="19"/>
      <c r="L382" s="19"/>
      <c r="M382" s="19"/>
      <c r="N382" s="19"/>
      <c r="T382" s="19"/>
      <c r="U382" s="19"/>
      <c r="V382" s="19"/>
      <c r="W382" s="19"/>
    </row>
    <row r="383" spans="5:23" ht="15.75" customHeight="1">
      <c r="E383" s="19"/>
      <c r="F383" s="19"/>
      <c r="G383" s="19"/>
      <c r="K383" s="19"/>
      <c r="L383" s="19"/>
      <c r="M383" s="19"/>
      <c r="N383" s="19"/>
      <c r="T383" s="19"/>
      <c r="U383" s="19"/>
      <c r="V383" s="19"/>
      <c r="W383" s="19"/>
    </row>
    <row r="384" spans="5:23" ht="15.75" customHeight="1">
      <c r="E384" s="19"/>
      <c r="F384" s="19"/>
      <c r="G384" s="19"/>
      <c r="K384" s="19"/>
      <c r="L384" s="19"/>
      <c r="M384" s="19"/>
      <c r="N384" s="19"/>
      <c r="T384" s="19"/>
      <c r="U384" s="19"/>
      <c r="V384" s="19"/>
      <c r="W384" s="19"/>
    </row>
    <row r="385" spans="5:23" ht="15.75" customHeight="1">
      <c r="E385" s="19"/>
      <c r="F385" s="19"/>
      <c r="G385" s="19"/>
      <c r="K385" s="19"/>
      <c r="L385" s="19"/>
      <c r="M385" s="19"/>
      <c r="N385" s="19"/>
      <c r="T385" s="19"/>
      <c r="U385" s="19"/>
      <c r="V385" s="19"/>
      <c r="W385" s="19"/>
    </row>
    <row r="386" spans="5:23" ht="15.75" customHeight="1">
      <c r="E386" s="19"/>
      <c r="F386" s="19"/>
      <c r="G386" s="19"/>
      <c r="K386" s="19"/>
      <c r="L386" s="19"/>
      <c r="M386" s="19"/>
      <c r="N386" s="19"/>
      <c r="T386" s="19"/>
      <c r="U386" s="19"/>
      <c r="V386" s="19"/>
      <c r="W386" s="19"/>
    </row>
    <row r="387" spans="5:23" ht="15.75" customHeight="1">
      <c r="E387" s="19"/>
      <c r="F387" s="19"/>
      <c r="G387" s="19"/>
      <c r="K387" s="19"/>
      <c r="L387" s="19"/>
      <c r="M387" s="19"/>
      <c r="N387" s="19"/>
      <c r="T387" s="19"/>
      <c r="U387" s="19"/>
      <c r="V387" s="19"/>
      <c r="W387" s="19"/>
    </row>
    <row r="388" spans="5:23" ht="15.75" customHeight="1">
      <c r="E388" s="19"/>
      <c r="F388" s="19"/>
      <c r="G388" s="19"/>
      <c r="K388" s="19"/>
      <c r="L388" s="19"/>
      <c r="M388" s="19"/>
      <c r="N388" s="19"/>
      <c r="T388" s="19"/>
      <c r="U388" s="19"/>
      <c r="V388" s="19"/>
      <c r="W388" s="19"/>
    </row>
    <row r="389" spans="5:23" ht="15.75" customHeight="1">
      <c r="E389" s="19"/>
      <c r="F389" s="19"/>
      <c r="G389" s="19"/>
      <c r="K389" s="19"/>
      <c r="L389" s="19"/>
      <c r="M389" s="19"/>
      <c r="N389" s="19"/>
      <c r="T389" s="19"/>
      <c r="U389" s="19"/>
      <c r="V389" s="19"/>
      <c r="W389" s="19"/>
    </row>
    <row r="390" spans="5:23" ht="15.75" customHeight="1">
      <c r="E390" s="19"/>
      <c r="F390" s="19"/>
      <c r="G390" s="19"/>
      <c r="K390" s="19"/>
      <c r="L390" s="19"/>
      <c r="M390" s="19"/>
      <c r="N390" s="19"/>
      <c r="T390" s="19"/>
      <c r="U390" s="19"/>
      <c r="V390" s="19"/>
      <c r="W390" s="19"/>
    </row>
    <row r="391" spans="5:23" ht="15.75" customHeight="1">
      <c r="E391" s="19"/>
      <c r="F391" s="19"/>
      <c r="G391" s="19"/>
      <c r="K391" s="19"/>
      <c r="L391" s="19"/>
      <c r="M391" s="19"/>
      <c r="N391" s="19"/>
      <c r="T391" s="19"/>
      <c r="U391" s="19"/>
      <c r="V391" s="19"/>
      <c r="W391" s="19"/>
    </row>
    <row r="392" spans="5:23" ht="15.75" customHeight="1">
      <c r="E392" s="19"/>
      <c r="F392" s="19"/>
      <c r="G392" s="19"/>
      <c r="K392" s="19"/>
      <c r="L392" s="19"/>
      <c r="M392" s="19"/>
      <c r="N392" s="19"/>
      <c r="T392" s="19"/>
      <c r="U392" s="19"/>
      <c r="V392" s="19"/>
      <c r="W392" s="19"/>
    </row>
    <row r="393" spans="5:23" ht="15.75" customHeight="1">
      <c r="E393" s="19"/>
      <c r="F393" s="19"/>
      <c r="G393" s="19"/>
      <c r="K393" s="19"/>
      <c r="L393" s="19"/>
      <c r="M393" s="19"/>
      <c r="N393" s="19"/>
      <c r="T393" s="19"/>
      <c r="U393" s="19"/>
      <c r="V393" s="19"/>
      <c r="W393" s="19"/>
    </row>
    <row r="394" spans="5:23" ht="15.75" customHeight="1">
      <c r="E394" s="19"/>
      <c r="F394" s="19"/>
      <c r="G394" s="19"/>
      <c r="K394" s="19"/>
      <c r="L394" s="19"/>
      <c r="M394" s="19"/>
      <c r="N394" s="19"/>
      <c r="T394" s="19"/>
      <c r="U394" s="19"/>
      <c r="V394" s="19"/>
      <c r="W394" s="19"/>
    </row>
    <row r="395" spans="5:23" ht="15.75" customHeight="1">
      <c r="E395" s="19"/>
      <c r="F395" s="19"/>
      <c r="G395" s="19"/>
      <c r="K395" s="19"/>
      <c r="L395" s="19"/>
      <c r="M395" s="19"/>
      <c r="N395" s="19"/>
      <c r="T395" s="19"/>
      <c r="U395" s="19"/>
      <c r="V395" s="19"/>
      <c r="W395" s="19"/>
    </row>
    <row r="396" spans="5:23" ht="15.75" customHeight="1">
      <c r="E396" s="19"/>
      <c r="F396" s="19"/>
      <c r="G396" s="19"/>
      <c r="K396" s="19"/>
      <c r="L396" s="19"/>
      <c r="M396" s="19"/>
      <c r="N396" s="19"/>
      <c r="T396" s="19"/>
      <c r="U396" s="19"/>
      <c r="V396" s="19"/>
      <c r="W396" s="19"/>
    </row>
    <row r="397" spans="5:23" ht="15.75" customHeight="1">
      <c r="E397" s="19"/>
      <c r="F397" s="19"/>
      <c r="G397" s="19"/>
      <c r="K397" s="19"/>
      <c r="L397" s="19"/>
      <c r="M397" s="19"/>
      <c r="N397" s="19"/>
      <c r="T397" s="19"/>
      <c r="U397" s="19"/>
      <c r="V397" s="19"/>
      <c r="W397" s="19"/>
    </row>
    <row r="398" spans="5:23" ht="15.75" customHeight="1">
      <c r="E398" s="19"/>
      <c r="F398" s="19"/>
      <c r="G398" s="19"/>
      <c r="K398" s="19"/>
      <c r="L398" s="19"/>
      <c r="M398" s="19"/>
      <c r="N398" s="19"/>
      <c r="T398" s="19"/>
      <c r="U398" s="19"/>
      <c r="V398" s="19"/>
      <c r="W398" s="19"/>
    </row>
    <row r="399" spans="5:23" ht="15.75" customHeight="1">
      <c r="E399" s="19"/>
      <c r="F399" s="19"/>
      <c r="G399" s="19"/>
      <c r="K399" s="19"/>
      <c r="L399" s="19"/>
      <c r="M399" s="19"/>
      <c r="N399" s="19"/>
      <c r="T399" s="19"/>
      <c r="U399" s="19"/>
      <c r="V399" s="19"/>
      <c r="W399" s="19"/>
    </row>
    <row r="400" spans="5:23" ht="15.75" customHeight="1">
      <c r="E400" s="19"/>
      <c r="F400" s="19"/>
      <c r="G400" s="19"/>
      <c r="K400" s="19"/>
      <c r="L400" s="19"/>
      <c r="M400" s="19"/>
      <c r="N400" s="19"/>
      <c r="T400" s="19"/>
      <c r="U400" s="19"/>
      <c r="V400" s="19"/>
      <c r="W400" s="19"/>
    </row>
    <row r="401" spans="5:23" ht="15.75" customHeight="1">
      <c r="E401" s="19"/>
      <c r="F401" s="19"/>
      <c r="G401" s="19"/>
      <c r="K401" s="19"/>
      <c r="L401" s="19"/>
      <c r="M401" s="19"/>
      <c r="N401" s="19"/>
      <c r="T401" s="19"/>
      <c r="U401" s="19"/>
      <c r="V401" s="19"/>
      <c r="W401" s="19"/>
    </row>
    <row r="402" spans="5:23" ht="15.75" customHeight="1">
      <c r="E402" s="19"/>
      <c r="F402" s="19"/>
      <c r="G402" s="19"/>
      <c r="K402" s="19"/>
      <c r="L402" s="19"/>
      <c r="M402" s="19"/>
      <c r="N402" s="19"/>
      <c r="T402" s="19"/>
      <c r="U402" s="19"/>
      <c r="V402" s="19"/>
      <c r="W402" s="19"/>
    </row>
    <row r="403" spans="5:23" ht="15.75" customHeight="1">
      <c r="E403" s="19"/>
      <c r="F403" s="19"/>
      <c r="G403" s="19"/>
      <c r="K403" s="19"/>
      <c r="L403" s="19"/>
      <c r="M403" s="19"/>
      <c r="N403" s="19"/>
      <c r="T403" s="19"/>
      <c r="U403" s="19"/>
      <c r="V403" s="19"/>
      <c r="W403" s="19"/>
    </row>
    <row r="404" spans="5:23" ht="15.75" customHeight="1">
      <c r="E404" s="19"/>
      <c r="F404" s="19"/>
      <c r="G404" s="19"/>
      <c r="K404" s="19"/>
      <c r="L404" s="19"/>
      <c r="M404" s="19"/>
      <c r="N404" s="19"/>
      <c r="T404" s="19"/>
      <c r="U404" s="19"/>
      <c r="V404" s="19"/>
      <c r="W404" s="19"/>
    </row>
    <row r="405" spans="5:23" ht="15.75" customHeight="1">
      <c r="E405" s="19"/>
      <c r="F405" s="19"/>
      <c r="G405" s="19"/>
      <c r="K405" s="19"/>
      <c r="L405" s="19"/>
      <c r="M405" s="19"/>
      <c r="N405" s="19"/>
      <c r="T405" s="19"/>
      <c r="U405" s="19"/>
      <c r="V405" s="19"/>
      <c r="W405" s="19"/>
    </row>
    <row r="406" spans="5:23" ht="15.75" customHeight="1">
      <c r="E406" s="19"/>
      <c r="F406" s="19"/>
      <c r="G406" s="19"/>
      <c r="K406" s="19"/>
      <c r="L406" s="19"/>
      <c r="M406" s="19"/>
      <c r="N406" s="19"/>
      <c r="T406" s="19"/>
      <c r="U406" s="19"/>
      <c r="V406" s="19"/>
      <c r="W406" s="19"/>
    </row>
    <row r="407" spans="5:23" ht="15.75" customHeight="1">
      <c r="E407" s="19"/>
      <c r="F407" s="19"/>
      <c r="G407" s="19"/>
      <c r="K407" s="19"/>
      <c r="L407" s="19"/>
      <c r="M407" s="19"/>
      <c r="N407" s="19"/>
      <c r="T407" s="19"/>
      <c r="U407" s="19"/>
      <c r="V407" s="19"/>
      <c r="W407" s="19"/>
    </row>
    <row r="408" spans="5:23" ht="15.75" customHeight="1">
      <c r="E408" s="19"/>
      <c r="F408" s="19"/>
      <c r="G408" s="19"/>
      <c r="K408" s="19"/>
      <c r="L408" s="19"/>
      <c r="M408" s="19"/>
      <c r="N408" s="19"/>
      <c r="T408" s="19"/>
      <c r="U408" s="19"/>
      <c r="V408" s="19"/>
      <c r="W408" s="19"/>
    </row>
    <row r="409" spans="5:23" ht="15.75" customHeight="1">
      <c r="E409" s="19"/>
      <c r="F409" s="19"/>
      <c r="G409" s="19"/>
      <c r="K409" s="19"/>
      <c r="L409" s="19"/>
      <c r="M409" s="19"/>
      <c r="N409" s="19"/>
      <c r="T409" s="19"/>
      <c r="U409" s="19"/>
      <c r="V409" s="19"/>
      <c r="W409" s="19"/>
    </row>
    <row r="410" spans="5:23" ht="15.75" customHeight="1">
      <c r="E410" s="19"/>
      <c r="F410" s="19"/>
      <c r="G410" s="19"/>
      <c r="K410" s="19"/>
      <c r="L410" s="19"/>
      <c r="M410" s="19"/>
      <c r="N410" s="19"/>
      <c r="T410" s="19"/>
      <c r="U410" s="19"/>
      <c r="V410" s="19"/>
      <c r="W410" s="19"/>
    </row>
    <row r="411" spans="5:23" ht="15.75" customHeight="1">
      <c r="E411" s="19"/>
      <c r="F411" s="19"/>
      <c r="G411" s="19"/>
      <c r="K411" s="19"/>
      <c r="L411" s="19"/>
      <c r="M411" s="19"/>
      <c r="N411" s="19"/>
      <c r="T411" s="19"/>
      <c r="U411" s="19"/>
      <c r="V411" s="19"/>
      <c r="W411" s="19"/>
    </row>
    <row r="412" spans="5:23" ht="15.75" customHeight="1">
      <c r="E412" s="19"/>
      <c r="F412" s="19"/>
      <c r="G412" s="19"/>
      <c r="K412" s="19"/>
      <c r="L412" s="19"/>
      <c r="M412" s="19"/>
      <c r="N412" s="19"/>
      <c r="T412" s="19"/>
      <c r="U412" s="19"/>
      <c r="V412" s="19"/>
      <c r="W412" s="19"/>
    </row>
    <row r="413" spans="5:23" ht="15.75" customHeight="1">
      <c r="E413" s="19"/>
      <c r="F413" s="19"/>
      <c r="G413" s="19"/>
      <c r="K413" s="19"/>
      <c r="L413" s="19"/>
      <c r="M413" s="19"/>
      <c r="N413" s="19"/>
      <c r="T413" s="19"/>
      <c r="U413" s="19"/>
      <c r="V413" s="19"/>
      <c r="W413" s="19"/>
    </row>
    <row r="414" spans="5:23" ht="15.75" customHeight="1">
      <c r="E414" s="19"/>
      <c r="F414" s="19"/>
      <c r="G414" s="19"/>
      <c r="K414" s="19"/>
      <c r="L414" s="19"/>
      <c r="M414" s="19"/>
      <c r="N414" s="19"/>
      <c r="T414" s="19"/>
      <c r="U414" s="19"/>
      <c r="V414" s="19"/>
      <c r="W414" s="19"/>
    </row>
    <row r="415" spans="5:23" ht="15.75" customHeight="1">
      <c r="E415" s="19"/>
      <c r="F415" s="19"/>
      <c r="G415" s="19"/>
      <c r="K415" s="19"/>
      <c r="L415" s="19"/>
      <c r="M415" s="19"/>
      <c r="N415" s="19"/>
      <c r="T415" s="19"/>
      <c r="U415" s="19"/>
      <c r="V415" s="19"/>
      <c r="W415" s="19"/>
    </row>
    <row r="416" spans="5:23" ht="15.75" customHeight="1">
      <c r="E416" s="19"/>
      <c r="F416" s="19"/>
      <c r="G416" s="19"/>
      <c r="K416" s="19"/>
      <c r="L416" s="19"/>
      <c r="M416" s="19"/>
      <c r="N416" s="19"/>
      <c r="T416" s="19"/>
      <c r="U416" s="19"/>
      <c r="V416" s="19"/>
      <c r="W416" s="19"/>
    </row>
    <row r="417" spans="5:23" ht="15.75" customHeight="1">
      <c r="E417" s="19"/>
      <c r="F417" s="19"/>
      <c r="G417" s="19"/>
      <c r="K417" s="19"/>
      <c r="L417" s="19"/>
      <c r="M417" s="19"/>
      <c r="N417" s="19"/>
      <c r="T417" s="19"/>
      <c r="U417" s="19"/>
      <c r="V417" s="19"/>
      <c r="W417" s="19"/>
    </row>
    <row r="418" spans="5:23" ht="15.75" customHeight="1">
      <c r="E418" s="19"/>
      <c r="F418" s="19"/>
      <c r="G418" s="19"/>
      <c r="K418" s="19"/>
      <c r="L418" s="19"/>
      <c r="M418" s="19"/>
      <c r="N418" s="19"/>
      <c r="T418" s="19"/>
      <c r="U418" s="19"/>
      <c r="V418" s="19"/>
      <c r="W418" s="19"/>
    </row>
    <row r="419" spans="5:23" ht="15.75" customHeight="1">
      <c r="E419" s="19"/>
      <c r="F419" s="19"/>
      <c r="G419" s="19"/>
      <c r="K419" s="19"/>
      <c r="L419" s="19"/>
      <c r="M419" s="19"/>
      <c r="N419" s="19"/>
      <c r="T419" s="19"/>
      <c r="U419" s="19"/>
      <c r="V419" s="19"/>
      <c r="W419" s="19"/>
    </row>
    <row r="420" spans="5:23" ht="15.75" customHeight="1">
      <c r="E420" s="19"/>
      <c r="F420" s="19"/>
      <c r="G420" s="19"/>
      <c r="K420" s="19"/>
      <c r="L420" s="19"/>
      <c r="M420" s="19"/>
      <c r="N420" s="19"/>
      <c r="T420" s="19"/>
      <c r="U420" s="19"/>
      <c r="V420" s="19"/>
      <c r="W420" s="19"/>
    </row>
    <row r="421" spans="5:23" ht="15.75" customHeight="1">
      <c r="E421" s="19"/>
      <c r="F421" s="19"/>
      <c r="G421" s="19"/>
      <c r="K421" s="19"/>
      <c r="L421" s="19"/>
      <c r="M421" s="19"/>
      <c r="N421" s="19"/>
      <c r="T421" s="19"/>
      <c r="U421" s="19"/>
      <c r="V421" s="19"/>
      <c r="W421" s="19"/>
    </row>
    <row r="422" spans="5:23" ht="15.75" customHeight="1">
      <c r="E422" s="19"/>
      <c r="F422" s="19"/>
      <c r="G422" s="19"/>
      <c r="K422" s="19"/>
      <c r="L422" s="19"/>
      <c r="M422" s="19"/>
      <c r="N422" s="19"/>
      <c r="T422" s="19"/>
      <c r="U422" s="19"/>
      <c r="V422" s="19"/>
      <c r="W422" s="19"/>
    </row>
    <row r="423" spans="5:23" ht="15.75" customHeight="1">
      <c r="E423" s="19"/>
      <c r="F423" s="19"/>
      <c r="G423" s="19"/>
      <c r="K423" s="19"/>
      <c r="L423" s="19"/>
      <c r="M423" s="19"/>
      <c r="N423" s="19"/>
      <c r="T423" s="19"/>
      <c r="U423" s="19"/>
      <c r="V423" s="19"/>
      <c r="W423" s="19"/>
    </row>
    <row r="424" spans="5:23" ht="15.75" customHeight="1">
      <c r="E424" s="19"/>
      <c r="F424" s="19"/>
      <c r="G424" s="19"/>
      <c r="K424" s="19"/>
      <c r="L424" s="19"/>
      <c r="M424" s="19"/>
      <c r="N424" s="19"/>
      <c r="T424" s="19"/>
      <c r="U424" s="19"/>
      <c r="V424" s="19"/>
      <c r="W424" s="19"/>
    </row>
    <row r="425" spans="5:23" ht="15.75" customHeight="1">
      <c r="E425" s="19"/>
      <c r="F425" s="19"/>
      <c r="G425" s="19"/>
      <c r="K425" s="19"/>
      <c r="L425" s="19"/>
      <c r="M425" s="19"/>
      <c r="N425" s="19"/>
      <c r="T425" s="19"/>
      <c r="U425" s="19"/>
      <c r="V425" s="19"/>
      <c r="W425" s="19"/>
    </row>
    <row r="426" spans="5:23" ht="15.75" customHeight="1">
      <c r="E426" s="19"/>
      <c r="F426" s="19"/>
      <c r="G426" s="19"/>
      <c r="K426" s="19"/>
      <c r="L426" s="19"/>
      <c r="M426" s="19"/>
      <c r="N426" s="19"/>
      <c r="T426" s="19"/>
      <c r="U426" s="19"/>
      <c r="V426" s="19"/>
      <c r="W426" s="19"/>
    </row>
    <row r="427" spans="5:23" ht="15.75" customHeight="1">
      <c r="E427" s="19"/>
      <c r="F427" s="19"/>
      <c r="G427" s="19"/>
      <c r="K427" s="19"/>
      <c r="L427" s="19"/>
      <c r="M427" s="19"/>
      <c r="N427" s="19"/>
      <c r="T427" s="19"/>
      <c r="U427" s="19"/>
      <c r="V427" s="19"/>
      <c r="W427" s="19"/>
    </row>
    <row r="428" spans="5:23" ht="15.75" customHeight="1">
      <c r="E428" s="19"/>
      <c r="F428" s="19"/>
      <c r="G428" s="19"/>
      <c r="K428" s="19"/>
      <c r="L428" s="19"/>
      <c r="M428" s="19"/>
      <c r="N428" s="19"/>
      <c r="T428" s="19"/>
      <c r="U428" s="19"/>
      <c r="V428" s="19"/>
      <c r="W428" s="19"/>
    </row>
    <row r="429" spans="5:23" ht="15.75" customHeight="1">
      <c r="E429" s="19"/>
      <c r="F429" s="19"/>
      <c r="G429" s="19"/>
      <c r="K429" s="19"/>
      <c r="L429" s="19"/>
      <c r="M429" s="19"/>
      <c r="N429" s="19"/>
      <c r="T429" s="19"/>
      <c r="U429" s="19"/>
      <c r="V429" s="19"/>
      <c r="W429" s="19"/>
    </row>
    <row r="430" spans="5:23" ht="15.75" customHeight="1">
      <c r="E430" s="19"/>
      <c r="F430" s="19"/>
      <c r="G430" s="19"/>
      <c r="K430" s="19"/>
      <c r="L430" s="19"/>
      <c r="M430" s="19"/>
      <c r="N430" s="19"/>
      <c r="T430" s="19"/>
      <c r="U430" s="19"/>
      <c r="V430" s="19"/>
      <c r="W430" s="19"/>
    </row>
    <row r="431" spans="5:23" ht="15.75" customHeight="1">
      <c r="E431" s="19"/>
      <c r="F431" s="19"/>
      <c r="G431" s="19"/>
      <c r="K431" s="19"/>
      <c r="L431" s="19"/>
      <c r="M431" s="19"/>
      <c r="N431" s="19"/>
      <c r="T431" s="19"/>
      <c r="U431" s="19"/>
      <c r="V431" s="19"/>
      <c r="W431" s="19"/>
    </row>
    <row r="432" spans="5:23" ht="15.75" customHeight="1">
      <c r="E432" s="19"/>
      <c r="F432" s="19"/>
      <c r="G432" s="19"/>
      <c r="K432" s="19"/>
      <c r="L432" s="19"/>
      <c r="M432" s="19"/>
      <c r="N432" s="19"/>
      <c r="T432" s="19"/>
      <c r="U432" s="19"/>
      <c r="V432" s="19"/>
      <c r="W432" s="19"/>
    </row>
    <row r="433" spans="5:23" ht="15.75" customHeight="1">
      <c r="E433" s="19"/>
      <c r="F433" s="19"/>
      <c r="G433" s="19"/>
      <c r="K433" s="19"/>
      <c r="L433" s="19"/>
      <c r="M433" s="19"/>
      <c r="N433" s="19"/>
      <c r="T433" s="19"/>
      <c r="U433" s="19"/>
      <c r="V433" s="19"/>
      <c r="W433" s="19"/>
    </row>
    <row r="434" spans="5:23" ht="15.75" customHeight="1">
      <c r="E434" s="19"/>
      <c r="F434" s="19"/>
      <c r="G434" s="19"/>
      <c r="K434" s="19"/>
      <c r="L434" s="19"/>
      <c r="M434" s="19"/>
      <c r="N434" s="19"/>
      <c r="T434" s="19"/>
      <c r="U434" s="19"/>
      <c r="V434" s="19"/>
      <c r="W434" s="19"/>
    </row>
    <row r="435" spans="5:23" ht="15.75" customHeight="1">
      <c r="E435" s="19"/>
      <c r="F435" s="19"/>
      <c r="G435" s="19"/>
      <c r="K435" s="19"/>
      <c r="L435" s="19"/>
      <c r="M435" s="19"/>
      <c r="N435" s="19"/>
      <c r="T435" s="19"/>
      <c r="U435" s="19"/>
      <c r="V435" s="19"/>
      <c r="W435" s="19"/>
    </row>
    <row r="436" spans="5:23" ht="15.75" customHeight="1">
      <c r="E436" s="19"/>
      <c r="F436" s="19"/>
      <c r="G436" s="19"/>
      <c r="K436" s="19"/>
      <c r="L436" s="19"/>
      <c r="M436" s="19"/>
      <c r="N436" s="19"/>
      <c r="T436" s="19"/>
      <c r="U436" s="19"/>
      <c r="V436" s="19"/>
      <c r="W436" s="19"/>
    </row>
    <row r="437" spans="5:23" ht="15.75" customHeight="1">
      <c r="E437" s="19"/>
      <c r="F437" s="19"/>
      <c r="G437" s="19"/>
      <c r="K437" s="19"/>
      <c r="L437" s="19"/>
      <c r="M437" s="19"/>
      <c r="N437" s="19"/>
      <c r="T437" s="19"/>
      <c r="U437" s="19"/>
      <c r="V437" s="19"/>
      <c r="W437" s="19"/>
    </row>
    <row r="438" spans="5:23" ht="15.75" customHeight="1">
      <c r="E438" s="19"/>
      <c r="F438" s="19"/>
      <c r="G438" s="19"/>
      <c r="K438" s="19"/>
      <c r="L438" s="19"/>
      <c r="M438" s="19"/>
      <c r="N438" s="19"/>
      <c r="T438" s="19"/>
      <c r="U438" s="19"/>
      <c r="V438" s="19"/>
      <c r="W438" s="19"/>
    </row>
    <row r="439" spans="5:23" ht="15.75" customHeight="1">
      <c r="E439" s="19"/>
      <c r="F439" s="19"/>
      <c r="G439" s="19"/>
      <c r="K439" s="19"/>
      <c r="L439" s="19"/>
      <c r="M439" s="19"/>
      <c r="N439" s="19"/>
      <c r="T439" s="19"/>
      <c r="U439" s="19"/>
      <c r="V439" s="19"/>
      <c r="W439" s="19"/>
    </row>
    <row r="440" spans="5:23" ht="15.75" customHeight="1">
      <c r="E440" s="19"/>
      <c r="F440" s="19"/>
      <c r="G440" s="19"/>
      <c r="K440" s="19"/>
      <c r="L440" s="19"/>
      <c r="M440" s="19"/>
      <c r="N440" s="19"/>
      <c r="T440" s="19"/>
      <c r="U440" s="19"/>
      <c r="V440" s="19"/>
      <c r="W440" s="19"/>
    </row>
    <row r="441" spans="5:23" ht="15.75" customHeight="1">
      <c r="E441" s="19"/>
      <c r="F441" s="19"/>
      <c r="G441" s="19"/>
      <c r="K441" s="19"/>
      <c r="L441" s="19"/>
      <c r="M441" s="19"/>
      <c r="N441" s="19"/>
      <c r="T441" s="19"/>
      <c r="U441" s="19"/>
      <c r="V441" s="19"/>
      <c r="W441" s="19"/>
    </row>
    <row r="442" spans="5:23" ht="15.75" customHeight="1">
      <c r="E442" s="19"/>
      <c r="F442" s="19"/>
      <c r="G442" s="19"/>
      <c r="K442" s="19"/>
      <c r="L442" s="19"/>
      <c r="M442" s="19"/>
      <c r="N442" s="19"/>
      <c r="T442" s="19"/>
      <c r="U442" s="19"/>
      <c r="V442" s="19"/>
      <c r="W442" s="19"/>
    </row>
    <row r="443" spans="5:23" ht="15.75" customHeight="1">
      <c r="E443" s="19"/>
      <c r="F443" s="19"/>
      <c r="G443" s="19"/>
      <c r="K443" s="19"/>
      <c r="L443" s="19"/>
      <c r="M443" s="19"/>
      <c r="N443" s="19"/>
      <c r="T443" s="19"/>
      <c r="U443" s="19"/>
      <c r="V443" s="19"/>
      <c r="W443" s="19"/>
    </row>
    <row r="444" spans="5:23" ht="15.75" customHeight="1">
      <c r="E444" s="19"/>
      <c r="F444" s="19"/>
      <c r="G444" s="19"/>
      <c r="K444" s="19"/>
      <c r="L444" s="19"/>
      <c r="M444" s="19"/>
      <c r="N444" s="19"/>
      <c r="T444" s="19"/>
      <c r="U444" s="19"/>
      <c r="V444" s="19"/>
      <c r="W444" s="19"/>
    </row>
    <row r="445" spans="5:23" ht="15.75" customHeight="1">
      <c r="E445" s="19"/>
      <c r="F445" s="19"/>
      <c r="G445" s="19"/>
      <c r="K445" s="19"/>
      <c r="L445" s="19"/>
      <c r="M445" s="19"/>
      <c r="N445" s="19"/>
      <c r="T445" s="19"/>
      <c r="U445" s="19"/>
      <c r="V445" s="19"/>
      <c r="W445" s="19"/>
    </row>
    <row r="446" spans="5:23" ht="15.75" customHeight="1">
      <c r="E446" s="19"/>
      <c r="F446" s="19"/>
      <c r="G446" s="19"/>
      <c r="K446" s="19"/>
      <c r="L446" s="19"/>
      <c r="M446" s="19"/>
      <c r="N446" s="19"/>
      <c r="T446" s="19"/>
      <c r="U446" s="19"/>
      <c r="V446" s="19"/>
      <c r="W446" s="19"/>
    </row>
    <row r="447" spans="5:23" ht="15.75" customHeight="1">
      <c r="E447" s="19"/>
      <c r="F447" s="19"/>
      <c r="G447" s="19"/>
      <c r="K447" s="19"/>
      <c r="L447" s="19"/>
      <c r="M447" s="19"/>
      <c r="N447" s="19"/>
      <c r="T447" s="19"/>
      <c r="U447" s="19"/>
      <c r="V447" s="19"/>
      <c r="W447" s="19"/>
    </row>
    <row r="448" spans="5:23" ht="15.75" customHeight="1">
      <c r="E448" s="19"/>
      <c r="F448" s="19"/>
      <c r="G448" s="19"/>
      <c r="K448" s="19"/>
      <c r="L448" s="19"/>
      <c r="M448" s="19"/>
      <c r="N448" s="19"/>
      <c r="T448" s="19"/>
      <c r="U448" s="19"/>
      <c r="V448" s="19"/>
      <c r="W448" s="19"/>
    </row>
    <row r="449" spans="5:23" ht="15.75" customHeight="1">
      <c r="E449" s="19"/>
      <c r="F449" s="19"/>
      <c r="G449" s="19"/>
      <c r="K449" s="19"/>
      <c r="L449" s="19"/>
      <c r="M449" s="19"/>
      <c r="N449" s="19"/>
      <c r="T449" s="19"/>
      <c r="U449" s="19"/>
      <c r="V449" s="19"/>
      <c r="W449" s="19"/>
    </row>
    <row r="450" spans="5:23" ht="15.75" customHeight="1">
      <c r="E450" s="19"/>
      <c r="F450" s="19"/>
      <c r="G450" s="19"/>
      <c r="K450" s="19"/>
      <c r="L450" s="19"/>
      <c r="M450" s="19"/>
      <c r="N450" s="19"/>
      <c r="T450" s="19"/>
      <c r="U450" s="19"/>
      <c r="V450" s="19"/>
      <c r="W450" s="19"/>
    </row>
    <row r="451" spans="5:23" ht="15.75" customHeight="1">
      <c r="E451" s="19"/>
      <c r="F451" s="19"/>
      <c r="G451" s="19"/>
      <c r="K451" s="19"/>
      <c r="L451" s="19"/>
      <c r="M451" s="19"/>
      <c r="N451" s="19"/>
      <c r="T451" s="19"/>
      <c r="U451" s="19"/>
      <c r="V451" s="19"/>
      <c r="W451" s="19"/>
    </row>
    <row r="452" spans="5:23" ht="15.75" customHeight="1">
      <c r="E452" s="19"/>
      <c r="F452" s="19"/>
      <c r="G452" s="19"/>
      <c r="K452" s="19"/>
      <c r="L452" s="19"/>
      <c r="M452" s="19"/>
      <c r="N452" s="19"/>
      <c r="T452" s="19"/>
      <c r="U452" s="19"/>
      <c r="V452" s="19"/>
      <c r="W452" s="19"/>
    </row>
    <row r="453" spans="5:23" ht="15.75" customHeight="1">
      <c r="E453" s="19"/>
      <c r="F453" s="19"/>
      <c r="G453" s="19"/>
      <c r="K453" s="19"/>
      <c r="L453" s="19"/>
      <c r="M453" s="19"/>
      <c r="N453" s="19"/>
      <c r="T453" s="19"/>
      <c r="U453" s="19"/>
      <c r="V453" s="19"/>
      <c r="W453" s="19"/>
    </row>
    <row r="454" spans="5:23" ht="15.75" customHeight="1">
      <c r="E454" s="19"/>
      <c r="F454" s="19"/>
      <c r="G454" s="19"/>
      <c r="K454" s="19"/>
      <c r="L454" s="19"/>
      <c r="M454" s="19"/>
      <c r="N454" s="19"/>
      <c r="T454" s="19"/>
      <c r="U454" s="19"/>
      <c r="V454" s="19"/>
      <c r="W454" s="19"/>
    </row>
    <row r="455" spans="5:23" ht="15.75" customHeight="1">
      <c r="E455" s="19"/>
      <c r="F455" s="19"/>
      <c r="G455" s="19"/>
      <c r="K455" s="19"/>
      <c r="L455" s="19"/>
      <c r="M455" s="19"/>
      <c r="N455" s="19"/>
      <c r="T455" s="19"/>
      <c r="U455" s="19"/>
      <c r="V455" s="19"/>
      <c r="W455" s="19"/>
    </row>
    <row r="456" spans="5:23" ht="15.75" customHeight="1">
      <c r="E456" s="19"/>
      <c r="F456" s="19"/>
      <c r="G456" s="19"/>
      <c r="K456" s="19"/>
      <c r="L456" s="19"/>
      <c r="M456" s="19"/>
      <c r="N456" s="19"/>
      <c r="T456" s="19"/>
      <c r="U456" s="19"/>
      <c r="V456" s="19"/>
      <c r="W456" s="19"/>
    </row>
    <row r="457" spans="5:23" ht="15.75" customHeight="1">
      <c r="E457" s="19"/>
      <c r="F457" s="19"/>
      <c r="G457" s="19"/>
      <c r="K457" s="19"/>
      <c r="L457" s="19"/>
      <c r="M457" s="19"/>
      <c r="N457" s="19"/>
      <c r="T457" s="19"/>
      <c r="U457" s="19"/>
      <c r="V457" s="19"/>
      <c r="W457" s="19"/>
    </row>
    <row r="458" spans="5:23" ht="15.75" customHeight="1">
      <c r="E458" s="19"/>
      <c r="F458" s="19"/>
      <c r="G458" s="19"/>
      <c r="K458" s="19"/>
      <c r="L458" s="19"/>
      <c r="M458" s="19"/>
      <c r="N458" s="19"/>
      <c r="T458" s="19"/>
      <c r="U458" s="19"/>
      <c r="V458" s="19"/>
      <c r="W458" s="19"/>
    </row>
    <row r="459" spans="5:23" ht="15.75" customHeight="1">
      <c r="E459" s="19"/>
      <c r="F459" s="19"/>
      <c r="G459" s="19"/>
      <c r="K459" s="19"/>
      <c r="L459" s="19"/>
      <c r="M459" s="19"/>
      <c r="N459" s="19"/>
      <c r="T459" s="19"/>
      <c r="U459" s="19"/>
      <c r="V459" s="19"/>
      <c r="W459" s="19"/>
    </row>
    <row r="460" spans="5:23" ht="15.75" customHeight="1">
      <c r="E460" s="19"/>
      <c r="F460" s="19"/>
      <c r="G460" s="19"/>
      <c r="K460" s="19"/>
      <c r="L460" s="19"/>
      <c r="M460" s="19"/>
      <c r="N460" s="19"/>
      <c r="T460" s="19"/>
      <c r="U460" s="19"/>
      <c r="V460" s="19"/>
      <c r="W460" s="19"/>
    </row>
    <row r="461" spans="5:23" ht="15.75" customHeight="1">
      <c r="E461" s="19"/>
      <c r="F461" s="19"/>
      <c r="G461" s="19"/>
      <c r="K461" s="19"/>
      <c r="L461" s="19"/>
      <c r="M461" s="19"/>
      <c r="N461" s="19"/>
      <c r="T461" s="19"/>
      <c r="U461" s="19"/>
      <c r="V461" s="19"/>
      <c r="W461" s="19"/>
    </row>
    <row r="462" spans="5:23" ht="15.75" customHeight="1">
      <c r="E462" s="19"/>
      <c r="F462" s="19"/>
      <c r="G462" s="19"/>
      <c r="K462" s="19"/>
      <c r="L462" s="19"/>
      <c r="M462" s="19"/>
      <c r="N462" s="19"/>
      <c r="T462" s="19"/>
      <c r="U462" s="19"/>
      <c r="V462" s="19"/>
      <c r="W462" s="19"/>
    </row>
    <row r="463" spans="5:23" ht="15.75" customHeight="1">
      <c r="E463" s="19"/>
      <c r="F463" s="19"/>
      <c r="G463" s="19"/>
      <c r="K463" s="19"/>
      <c r="L463" s="19"/>
      <c r="M463" s="19"/>
      <c r="N463" s="19"/>
      <c r="T463" s="19"/>
      <c r="U463" s="19"/>
      <c r="V463" s="19"/>
      <c r="W463" s="19"/>
    </row>
    <row r="464" spans="5:23" ht="15.75" customHeight="1">
      <c r="E464" s="19"/>
      <c r="F464" s="19"/>
      <c r="G464" s="19"/>
      <c r="K464" s="19"/>
      <c r="L464" s="19"/>
      <c r="M464" s="19"/>
      <c r="N464" s="19"/>
      <c r="T464" s="19"/>
      <c r="U464" s="19"/>
      <c r="V464" s="19"/>
      <c r="W464" s="19"/>
    </row>
    <row r="465" spans="5:23" ht="15.75" customHeight="1">
      <c r="E465" s="19"/>
      <c r="F465" s="19"/>
      <c r="G465" s="19"/>
      <c r="K465" s="19"/>
      <c r="L465" s="19"/>
      <c r="M465" s="19"/>
      <c r="N465" s="19"/>
      <c r="T465" s="19"/>
      <c r="U465" s="19"/>
      <c r="V465" s="19"/>
      <c r="W465" s="19"/>
    </row>
    <row r="466" spans="5:23" ht="15.75" customHeight="1">
      <c r="E466" s="19"/>
      <c r="F466" s="19"/>
      <c r="G466" s="19"/>
      <c r="K466" s="19"/>
      <c r="L466" s="19"/>
      <c r="M466" s="19"/>
      <c r="N466" s="19"/>
      <c r="T466" s="19"/>
      <c r="U466" s="19"/>
      <c r="V466" s="19"/>
      <c r="W466" s="19"/>
    </row>
    <row r="467" spans="5:23" ht="15.75" customHeight="1">
      <c r="E467" s="19"/>
      <c r="F467" s="19"/>
      <c r="G467" s="19"/>
      <c r="K467" s="19"/>
      <c r="L467" s="19"/>
      <c r="M467" s="19"/>
      <c r="N467" s="19"/>
      <c r="T467" s="19"/>
      <c r="U467" s="19"/>
      <c r="V467" s="19"/>
      <c r="W467" s="19"/>
    </row>
    <row r="468" spans="5:23" ht="15.75" customHeight="1">
      <c r="E468" s="19"/>
      <c r="F468" s="19"/>
      <c r="G468" s="19"/>
      <c r="K468" s="19"/>
      <c r="L468" s="19"/>
      <c r="M468" s="19"/>
      <c r="N468" s="19"/>
      <c r="T468" s="19"/>
      <c r="U468" s="19"/>
      <c r="V468" s="19"/>
      <c r="W468" s="19"/>
    </row>
    <row r="469" spans="5:23" ht="15.75" customHeight="1">
      <c r="E469" s="19"/>
      <c r="F469" s="19"/>
      <c r="G469" s="19"/>
      <c r="K469" s="19"/>
      <c r="L469" s="19"/>
      <c r="M469" s="19"/>
      <c r="N469" s="19"/>
      <c r="T469" s="19"/>
      <c r="U469" s="19"/>
      <c r="V469" s="19"/>
      <c r="W469" s="19"/>
    </row>
    <row r="470" spans="5:23" ht="15.75" customHeight="1">
      <c r="E470" s="19"/>
      <c r="F470" s="19"/>
      <c r="G470" s="19"/>
      <c r="K470" s="19"/>
      <c r="L470" s="19"/>
      <c r="M470" s="19"/>
      <c r="N470" s="19"/>
      <c r="T470" s="19"/>
      <c r="U470" s="19"/>
      <c r="V470" s="19"/>
      <c r="W470" s="19"/>
    </row>
    <row r="471" spans="5:23" ht="15.75" customHeight="1">
      <c r="E471" s="19"/>
      <c r="F471" s="19"/>
      <c r="G471" s="19"/>
      <c r="K471" s="19"/>
      <c r="L471" s="19"/>
      <c r="M471" s="19"/>
      <c r="N471" s="19"/>
      <c r="T471" s="19"/>
      <c r="U471" s="19"/>
      <c r="V471" s="19"/>
      <c r="W471" s="19"/>
    </row>
    <row r="472" spans="5:23" ht="15.75" customHeight="1">
      <c r="E472" s="19"/>
      <c r="F472" s="19"/>
      <c r="G472" s="19"/>
      <c r="K472" s="19"/>
      <c r="L472" s="19"/>
      <c r="M472" s="19"/>
      <c r="N472" s="19"/>
      <c r="T472" s="19"/>
      <c r="U472" s="19"/>
      <c r="V472" s="19"/>
      <c r="W472" s="19"/>
    </row>
    <row r="473" spans="5:23" ht="15.75" customHeight="1">
      <c r="E473" s="19"/>
      <c r="F473" s="19"/>
      <c r="G473" s="19"/>
      <c r="K473" s="19"/>
      <c r="L473" s="19"/>
      <c r="M473" s="19"/>
      <c r="N473" s="19"/>
      <c r="T473" s="19"/>
      <c r="U473" s="19"/>
      <c r="V473" s="19"/>
      <c r="W473" s="19"/>
    </row>
    <row r="474" spans="5:23" ht="15.75" customHeight="1">
      <c r="E474" s="19"/>
      <c r="F474" s="19"/>
      <c r="G474" s="19"/>
      <c r="K474" s="19"/>
      <c r="L474" s="19"/>
      <c r="M474" s="19"/>
      <c r="N474" s="19"/>
      <c r="T474" s="19"/>
      <c r="U474" s="19"/>
      <c r="V474" s="19"/>
      <c r="W474" s="19"/>
    </row>
    <row r="475" spans="5:23" ht="15.75" customHeight="1">
      <c r="E475" s="19"/>
      <c r="F475" s="19"/>
      <c r="G475" s="19"/>
      <c r="K475" s="19"/>
      <c r="L475" s="19"/>
      <c r="M475" s="19"/>
      <c r="N475" s="19"/>
      <c r="T475" s="19"/>
      <c r="U475" s="19"/>
      <c r="V475" s="19"/>
      <c r="W475" s="19"/>
    </row>
    <row r="476" spans="5:23" ht="15.75" customHeight="1">
      <c r="E476" s="19"/>
      <c r="F476" s="19"/>
      <c r="G476" s="19"/>
      <c r="K476" s="19"/>
      <c r="L476" s="19"/>
      <c r="M476" s="19"/>
      <c r="N476" s="19"/>
      <c r="T476" s="19"/>
      <c r="U476" s="19"/>
      <c r="V476" s="19"/>
      <c r="W476" s="19"/>
    </row>
    <row r="477" spans="5:23" ht="15.75" customHeight="1">
      <c r="E477" s="19"/>
      <c r="F477" s="19"/>
      <c r="G477" s="19"/>
      <c r="K477" s="19"/>
      <c r="L477" s="19"/>
      <c r="M477" s="19"/>
      <c r="N477" s="19"/>
      <c r="T477" s="19"/>
      <c r="U477" s="19"/>
      <c r="V477" s="19"/>
      <c r="W477" s="19"/>
    </row>
    <row r="478" spans="5:23" ht="15.75" customHeight="1">
      <c r="E478" s="19"/>
      <c r="F478" s="19"/>
      <c r="G478" s="19"/>
      <c r="K478" s="19"/>
      <c r="L478" s="19"/>
      <c r="M478" s="19"/>
      <c r="N478" s="19"/>
      <c r="T478" s="19"/>
      <c r="U478" s="19"/>
      <c r="V478" s="19"/>
      <c r="W478" s="19"/>
    </row>
    <row r="479" spans="5:23" ht="15.75" customHeight="1">
      <c r="E479" s="19"/>
      <c r="F479" s="19"/>
      <c r="G479" s="19"/>
      <c r="K479" s="19"/>
      <c r="L479" s="19"/>
      <c r="M479" s="19"/>
      <c r="N479" s="19"/>
      <c r="T479" s="19"/>
      <c r="U479" s="19"/>
      <c r="V479" s="19"/>
      <c r="W479" s="19"/>
    </row>
    <row r="480" spans="5:23" ht="15.75" customHeight="1">
      <c r="E480" s="19"/>
      <c r="F480" s="19"/>
      <c r="G480" s="19"/>
      <c r="K480" s="19"/>
      <c r="L480" s="19"/>
      <c r="M480" s="19"/>
      <c r="N480" s="19"/>
      <c r="T480" s="19"/>
      <c r="U480" s="19"/>
      <c r="V480" s="19"/>
      <c r="W480" s="19"/>
    </row>
    <row r="481" spans="5:23" ht="15.75" customHeight="1">
      <c r="E481" s="19"/>
      <c r="F481" s="19"/>
      <c r="G481" s="19"/>
      <c r="K481" s="19"/>
      <c r="L481" s="19"/>
      <c r="M481" s="19"/>
      <c r="N481" s="19"/>
      <c r="T481" s="19"/>
      <c r="U481" s="19"/>
      <c r="V481" s="19"/>
      <c r="W481" s="19"/>
    </row>
    <row r="482" spans="5:23" ht="15.75" customHeight="1">
      <c r="E482" s="19"/>
      <c r="F482" s="19"/>
      <c r="G482" s="19"/>
      <c r="K482" s="19"/>
      <c r="L482" s="19"/>
      <c r="M482" s="19"/>
      <c r="N482" s="19"/>
      <c r="T482" s="19"/>
      <c r="U482" s="19"/>
      <c r="V482" s="19"/>
      <c r="W482" s="19"/>
    </row>
    <row r="483" spans="5:23" ht="15.75" customHeight="1">
      <c r="E483" s="19"/>
      <c r="F483" s="19"/>
      <c r="G483" s="19"/>
      <c r="K483" s="19"/>
      <c r="L483" s="19"/>
      <c r="M483" s="19"/>
      <c r="N483" s="19"/>
      <c r="T483" s="19"/>
      <c r="U483" s="19"/>
      <c r="V483" s="19"/>
      <c r="W483" s="19"/>
    </row>
    <row r="484" spans="5:23" ht="15.75" customHeight="1">
      <c r="E484" s="19"/>
      <c r="F484" s="19"/>
      <c r="G484" s="19"/>
      <c r="K484" s="19"/>
      <c r="L484" s="19"/>
      <c r="M484" s="19"/>
      <c r="N484" s="19"/>
      <c r="T484" s="19"/>
      <c r="U484" s="19"/>
      <c r="V484" s="19"/>
      <c r="W484" s="19"/>
    </row>
    <row r="485" spans="5:23" ht="15.75" customHeight="1">
      <c r="E485" s="19"/>
      <c r="F485" s="19"/>
      <c r="G485" s="19"/>
      <c r="K485" s="19"/>
      <c r="L485" s="19"/>
      <c r="M485" s="19"/>
      <c r="N485" s="19"/>
      <c r="T485" s="19"/>
      <c r="U485" s="19"/>
      <c r="V485" s="19"/>
      <c r="W485" s="19"/>
    </row>
    <row r="486" spans="5:23" ht="15.75" customHeight="1">
      <c r="E486" s="19"/>
      <c r="F486" s="19"/>
      <c r="G486" s="19"/>
      <c r="K486" s="19"/>
      <c r="L486" s="19"/>
      <c r="M486" s="19"/>
      <c r="N486" s="19"/>
      <c r="T486" s="19"/>
      <c r="U486" s="19"/>
      <c r="V486" s="19"/>
      <c r="W486" s="19"/>
    </row>
    <row r="487" spans="5:23" ht="15.75" customHeight="1">
      <c r="E487" s="19"/>
      <c r="F487" s="19"/>
      <c r="G487" s="19"/>
      <c r="K487" s="19"/>
      <c r="L487" s="19"/>
      <c r="M487" s="19"/>
      <c r="N487" s="19"/>
      <c r="T487" s="19"/>
      <c r="U487" s="19"/>
      <c r="V487" s="19"/>
      <c r="W487" s="19"/>
    </row>
    <row r="488" spans="5:23" ht="15.75" customHeight="1">
      <c r="E488" s="19"/>
      <c r="F488" s="19"/>
      <c r="G488" s="19"/>
      <c r="K488" s="19"/>
      <c r="L488" s="19"/>
      <c r="M488" s="19"/>
      <c r="N488" s="19"/>
      <c r="T488" s="19"/>
      <c r="U488" s="19"/>
      <c r="V488" s="19"/>
      <c r="W488" s="19"/>
    </row>
    <row r="489" spans="5:23" ht="15.75" customHeight="1">
      <c r="E489" s="19"/>
      <c r="F489" s="19"/>
      <c r="G489" s="19"/>
      <c r="K489" s="19"/>
      <c r="L489" s="19"/>
      <c r="M489" s="19"/>
      <c r="N489" s="19"/>
      <c r="T489" s="19"/>
      <c r="U489" s="19"/>
      <c r="V489" s="19"/>
      <c r="W489" s="19"/>
    </row>
    <row r="490" spans="5:23" ht="15.75" customHeight="1">
      <c r="E490" s="19"/>
      <c r="F490" s="19"/>
      <c r="G490" s="19"/>
      <c r="K490" s="19"/>
      <c r="L490" s="19"/>
      <c r="M490" s="19"/>
      <c r="N490" s="19"/>
      <c r="T490" s="19"/>
      <c r="U490" s="19"/>
      <c r="V490" s="19"/>
      <c r="W490" s="19"/>
    </row>
    <row r="491" spans="5:23" ht="15.75" customHeight="1">
      <c r="E491" s="19"/>
      <c r="F491" s="19"/>
      <c r="G491" s="19"/>
      <c r="K491" s="19"/>
      <c r="L491" s="19"/>
      <c r="M491" s="19"/>
      <c r="N491" s="19"/>
      <c r="T491" s="19"/>
      <c r="U491" s="19"/>
      <c r="V491" s="19"/>
      <c r="W491" s="19"/>
    </row>
    <row r="492" spans="5:23" ht="15.75" customHeight="1">
      <c r="E492" s="19"/>
      <c r="F492" s="19"/>
      <c r="G492" s="19"/>
      <c r="K492" s="19"/>
      <c r="L492" s="19"/>
      <c r="M492" s="19"/>
      <c r="N492" s="19"/>
      <c r="T492" s="19"/>
      <c r="U492" s="19"/>
      <c r="V492" s="19"/>
      <c r="W492" s="19"/>
    </row>
    <row r="493" spans="5:23" ht="15.75" customHeight="1">
      <c r="E493" s="19"/>
      <c r="F493" s="19"/>
      <c r="G493" s="19"/>
      <c r="K493" s="19"/>
      <c r="L493" s="19"/>
      <c r="M493" s="19"/>
      <c r="N493" s="19"/>
      <c r="T493" s="19"/>
      <c r="U493" s="19"/>
      <c r="V493" s="19"/>
      <c r="W493" s="19"/>
    </row>
    <row r="494" spans="5:23" ht="15.75" customHeight="1">
      <c r="E494" s="19"/>
      <c r="F494" s="19"/>
      <c r="G494" s="19"/>
      <c r="K494" s="19"/>
      <c r="L494" s="19"/>
      <c r="M494" s="19"/>
      <c r="N494" s="19"/>
      <c r="T494" s="19"/>
      <c r="U494" s="19"/>
      <c r="V494" s="19"/>
      <c r="W494" s="19"/>
    </row>
    <row r="495" spans="5:23" ht="15.75" customHeight="1">
      <c r="E495" s="19"/>
      <c r="F495" s="19"/>
      <c r="G495" s="19"/>
      <c r="K495" s="19"/>
      <c r="L495" s="19"/>
      <c r="M495" s="19"/>
      <c r="N495" s="19"/>
      <c r="T495" s="19"/>
      <c r="U495" s="19"/>
      <c r="V495" s="19"/>
      <c r="W495" s="19"/>
    </row>
    <row r="496" spans="5:23" ht="15.75" customHeight="1">
      <c r="E496" s="19"/>
      <c r="F496" s="19"/>
      <c r="G496" s="19"/>
      <c r="K496" s="19"/>
      <c r="L496" s="19"/>
      <c r="M496" s="19"/>
      <c r="N496" s="19"/>
      <c r="T496" s="19"/>
      <c r="U496" s="19"/>
      <c r="V496" s="19"/>
      <c r="W496" s="19"/>
    </row>
    <row r="497" spans="5:23" ht="15.75" customHeight="1">
      <c r="E497" s="19"/>
      <c r="F497" s="19"/>
      <c r="G497" s="19"/>
      <c r="K497" s="19"/>
      <c r="L497" s="19"/>
      <c r="M497" s="19"/>
      <c r="N497" s="19"/>
      <c r="T497" s="19"/>
      <c r="U497" s="19"/>
      <c r="V497" s="19"/>
      <c r="W497" s="19"/>
    </row>
    <row r="498" spans="5:23" ht="15.75" customHeight="1">
      <c r="E498" s="19"/>
      <c r="F498" s="19"/>
      <c r="G498" s="19"/>
      <c r="K498" s="19"/>
      <c r="L498" s="19"/>
      <c r="M498" s="19"/>
      <c r="N498" s="19"/>
      <c r="T498" s="19"/>
      <c r="U498" s="19"/>
      <c r="V498" s="19"/>
      <c r="W498" s="19"/>
    </row>
    <row r="499" spans="5:23" ht="15.75" customHeight="1">
      <c r="E499" s="19"/>
      <c r="F499" s="19"/>
      <c r="G499" s="19"/>
      <c r="K499" s="19"/>
      <c r="L499" s="19"/>
      <c r="M499" s="19"/>
      <c r="N499" s="19"/>
      <c r="T499" s="19"/>
      <c r="U499" s="19"/>
      <c r="V499" s="19"/>
      <c r="W499" s="19"/>
    </row>
    <row r="500" spans="5:23" ht="15.75" customHeight="1">
      <c r="E500" s="19"/>
      <c r="F500" s="19"/>
      <c r="G500" s="19"/>
      <c r="K500" s="19"/>
      <c r="L500" s="19"/>
      <c r="M500" s="19"/>
      <c r="N500" s="19"/>
      <c r="T500" s="19"/>
      <c r="U500" s="19"/>
      <c r="V500" s="19"/>
      <c r="W500" s="19"/>
    </row>
    <row r="501" spans="5:23" ht="15.75" customHeight="1">
      <c r="E501" s="19"/>
      <c r="F501" s="19"/>
      <c r="G501" s="19"/>
      <c r="K501" s="19"/>
      <c r="L501" s="19"/>
      <c r="M501" s="19"/>
      <c r="N501" s="19"/>
      <c r="T501" s="19"/>
      <c r="U501" s="19"/>
      <c r="V501" s="19"/>
      <c r="W501" s="19"/>
    </row>
    <row r="502" spans="5:23" ht="15.75" customHeight="1">
      <c r="E502" s="19"/>
      <c r="F502" s="19"/>
      <c r="G502" s="19"/>
      <c r="K502" s="19"/>
      <c r="L502" s="19"/>
      <c r="M502" s="19"/>
      <c r="N502" s="19"/>
      <c r="T502" s="19"/>
      <c r="U502" s="19"/>
      <c r="V502" s="19"/>
      <c r="W502" s="19"/>
    </row>
    <row r="503" spans="5:23" ht="15.75" customHeight="1">
      <c r="E503" s="19"/>
      <c r="F503" s="19"/>
      <c r="G503" s="19"/>
      <c r="K503" s="19"/>
      <c r="L503" s="19"/>
      <c r="M503" s="19"/>
      <c r="N503" s="19"/>
      <c r="T503" s="19"/>
      <c r="U503" s="19"/>
      <c r="V503" s="19"/>
      <c r="W503" s="19"/>
    </row>
    <row r="504" spans="5:23" ht="15.75" customHeight="1">
      <c r="E504" s="19"/>
      <c r="F504" s="19"/>
      <c r="G504" s="19"/>
      <c r="K504" s="19"/>
      <c r="L504" s="19"/>
      <c r="M504" s="19"/>
      <c r="N504" s="19"/>
      <c r="T504" s="19"/>
      <c r="U504" s="19"/>
      <c r="V504" s="19"/>
      <c r="W504" s="19"/>
    </row>
    <row r="505" spans="5:23" ht="15.75" customHeight="1">
      <c r="E505" s="19"/>
      <c r="F505" s="19"/>
      <c r="G505" s="19"/>
      <c r="K505" s="19"/>
      <c r="L505" s="19"/>
      <c r="M505" s="19"/>
      <c r="N505" s="19"/>
      <c r="T505" s="19"/>
      <c r="U505" s="19"/>
      <c r="V505" s="19"/>
      <c r="W505" s="19"/>
    </row>
    <row r="506" spans="5:23" ht="15.75" customHeight="1">
      <c r="E506" s="19"/>
      <c r="F506" s="19"/>
      <c r="G506" s="19"/>
      <c r="K506" s="19"/>
      <c r="L506" s="19"/>
      <c r="M506" s="19"/>
      <c r="N506" s="19"/>
      <c r="T506" s="19"/>
      <c r="U506" s="19"/>
      <c r="V506" s="19"/>
      <c r="W506" s="19"/>
    </row>
    <row r="507" spans="5:23" ht="15.75" customHeight="1">
      <c r="E507" s="19"/>
      <c r="F507" s="19"/>
      <c r="G507" s="19"/>
      <c r="K507" s="19"/>
      <c r="L507" s="19"/>
      <c r="M507" s="19"/>
      <c r="N507" s="19"/>
      <c r="T507" s="19"/>
      <c r="U507" s="19"/>
      <c r="V507" s="19"/>
      <c r="W507" s="19"/>
    </row>
    <row r="508" spans="5:23" ht="15.75" customHeight="1">
      <c r="E508" s="19"/>
      <c r="F508" s="19"/>
      <c r="G508" s="19"/>
      <c r="K508" s="19"/>
      <c r="L508" s="19"/>
      <c r="M508" s="19"/>
      <c r="N508" s="19"/>
      <c r="T508" s="19"/>
      <c r="U508" s="19"/>
      <c r="V508" s="19"/>
      <c r="W508" s="19"/>
    </row>
    <row r="509" spans="5:23" ht="15.75" customHeight="1">
      <c r="E509" s="19"/>
      <c r="F509" s="19"/>
      <c r="G509" s="19"/>
      <c r="K509" s="19"/>
      <c r="L509" s="19"/>
      <c r="M509" s="19"/>
      <c r="N509" s="19"/>
      <c r="T509" s="19"/>
      <c r="U509" s="19"/>
      <c r="V509" s="19"/>
      <c r="W509" s="19"/>
    </row>
    <row r="510" spans="5:23" ht="15.75" customHeight="1">
      <c r="E510" s="19"/>
      <c r="F510" s="19"/>
      <c r="G510" s="19"/>
      <c r="K510" s="19"/>
      <c r="L510" s="19"/>
      <c r="M510" s="19"/>
      <c r="N510" s="19"/>
      <c r="T510" s="19"/>
      <c r="U510" s="19"/>
      <c r="V510" s="19"/>
      <c r="W510" s="19"/>
    </row>
    <row r="511" spans="5:23" ht="15.75" customHeight="1">
      <c r="E511" s="19"/>
      <c r="F511" s="19"/>
      <c r="G511" s="19"/>
      <c r="K511" s="19"/>
      <c r="L511" s="19"/>
      <c r="M511" s="19"/>
      <c r="N511" s="19"/>
      <c r="T511" s="19"/>
      <c r="U511" s="19"/>
      <c r="V511" s="19"/>
      <c r="W511" s="19"/>
    </row>
    <row r="512" spans="5:23" ht="15.75" customHeight="1">
      <c r="E512" s="19"/>
      <c r="F512" s="19"/>
      <c r="G512" s="19"/>
      <c r="K512" s="19"/>
      <c r="L512" s="19"/>
      <c r="M512" s="19"/>
      <c r="N512" s="19"/>
      <c r="T512" s="19"/>
      <c r="U512" s="19"/>
      <c r="V512" s="19"/>
      <c r="W512" s="19"/>
    </row>
    <row r="513" spans="5:23" ht="15.75" customHeight="1">
      <c r="E513" s="19"/>
      <c r="F513" s="19"/>
      <c r="G513" s="19"/>
      <c r="K513" s="19"/>
      <c r="L513" s="19"/>
      <c r="M513" s="19"/>
      <c r="N513" s="19"/>
      <c r="T513" s="19"/>
      <c r="U513" s="19"/>
      <c r="V513" s="19"/>
      <c r="W513" s="19"/>
    </row>
    <row r="514" spans="5:23" ht="15.75" customHeight="1">
      <c r="E514" s="19"/>
      <c r="F514" s="19"/>
      <c r="G514" s="19"/>
      <c r="K514" s="19"/>
      <c r="L514" s="19"/>
      <c r="M514" s="19"/>
      <c r="N514" s="19"/>
      <c r="T514" s="19"/>
      <c r="U514" s="19"/>
      <c r="V514" s="19"/>
      <c r="W514" s="19"/>
    </row>
    <row r="515" spans="5:23" ht="15.75" customHeight="1">
      <c r="E515" s="19"/>
      <c r="F515" s="19"/>
      <c r="G515" s="19"/>
      <c r="K515" s="19"/>
      <c r="L515" s="19"/>
      <c r="M515" s="19"/>
      <c r="N515" s="19"/>
      <c r="T515" s="19"/>
      <c r="U515" s="19"/>
      <c r="V515" s="19"/>
      <c r="W515" s="19"/>
    </row>
    <row r="516" spans="5:23" ht="15.75" customHeight="1">
      <c r="E516" s="19"/>
      <c r="F516" s="19"/>
      <c r="G516" s="19"/>
      <c r="K516" s="19"/>
      <c r="L516" s="19"/>
      <c r="M516" s="19"/>
      <c r="N516" s="19"/>
      <c r="T516" s="19"/>
      <c r="U516" s="19"/>
      <c r="V516" s="19"/>
      <c r="W516" s="19"/>
    </row>
    <row r="517" spans="5:23" ht="15.75" customHeight="1">
      <c r="E517" s="19"/>
      <c r="F517" s="19"/>
      <c r="G517" s="19"/>
      <c r="K517" s="19"/>
      <c r="L517" s="19"/>
      <c r="M517" s="19"/>
      <c r="N517" s="19"/>
      <c r="T517" s="19"/>
      <c r="U517" s="19"/>
      <c r="V517" s="19"/>
      <c r="W517" s="19"/>
    </row>
    <row r="518" spans="5:23" ht="15.75" customHeight="1">
      <c r="E518" s="19"/>
      <c r="F518" s="19"/>
      <c r="G518" s="19"/>
      <c r="K518" s="19"/>
      <c r="L518" s="19"/>
      <c r="M518" s="19"/>
      <c r="N518" s="19"/>
      <c r="T518" s="19"/>
      <c r="U518" s="19"/>
      <c r="V518" s="19"/>
      <c r="W518" s="19"/>
    </row>
    <row r="519" spans="5:23" ht="15.75" customHeight="1">
      <c r="E519" s="19"/>
      <c r="F519" s="19"/>
      <c r="G519" s="19"/>
      <c r="K519" s="19"/>
      <c r="L519" s="19"/>
      <c r="M519" s="19"/>
      <c r="N519" s="19"/>
      <c r="T519" s="19"/>
      <c r="U519" s="19"/>
      <c r="V519" s="19"/>
      <c r="W519" s="19"/>
    </row>
    <row r="520" spans="5:23" ht="15.75" customHeight="1">
      <c r="E520" s="19"/>
      <c r="F520" s="19"/>
      <c r="G520" s="19"/>
      <c r="K520" s="19"/>
      <c r="L520" s="19"/>
      <c r="M520" s="19"/>
      <c r="N520" s="19"/>
      <c r="T520" s="19"/>
      <c r="U520" s="19"/>
      <c r="V520" s="19"/>
      <c r="W520" s="19"/>
    </row>
    <row r="521" spans="5:23" ht="15.75" customHeight="1">
      <c r="E521" s="19"/>
      <c r="F521" s="19"/>
      <c r="G521" s="19"/>
      <c r="K521" s="19"/>
      <c r="L521" s="19"/>
      <c r="M521" s="19"/>
      <c r="N521" s="19"/>
      <c r="T521" s="19"/>
      <c r="U521" s="19"/>
      <c r="V521" s="19"/>
      <c r="W521" s="19"/>
    </row>
    <row r="522" spans="5:23" ht="15.75" customHeight="1">
      <c r="E522" s="19"/>
      <c r="F522" s="19"/>
      <c r="G522" s="19"/>
      <c r="K522" s="19"/>
      <c r="L522" s="19"/>
      <c r="M522" s="19"/>
      <c r="N522" s="19"/>
      <c r="T522" s="19"/>
      <c r="U522" s="19"/>
      <c r="V522" s="19"/>
      <c r="W522" s="19"/>
    </row>
    <row r="523" spans="5:23" ht="15.75" customHeight="1">
      <c r="E523" s="19"/>
      <c r="F523" s="19"/>
      <c r="G523" s="19"/>
      <c r="K523" s="19"/>
      <c r="L523" s="19"/>
      <c r="M523" s="19"/>
      <c r="N523" s="19"/>
      <c r="T523" s="19"/>
      <c r="U523" s="19"/>
      <c r="V523" s="19"/>
      <c r="W523" s="19"/>
    </row>
    <row r="524" spans="5:23" ht="15.75" customHeight="1">
      <c r="E524" s="19"/>
      <c r="F524" s="19"/>
      <c r="G524" s="19"/>
      <c r="K524" s="19"/>
      <c r="L524" s="19"/>
      <c r="M524" s="19"/>
      <c r="N524" s="19"/>
      <c r="T524" s="19"/>
      <c r="U524" s="19"/>
      <c r="V524" s="19"/>
      <c r="W524" s="19"/>
    </row>
    <row r="525" spans="5:23" ht="15.75" customHeight="1">
      <c r="E525" s="19"/>
      <c r="F525" s="19"/>
      <c r="G525" s="19"/>
      <c r="K525" s="19"/>
      <c r="L525" s="19"/>
      <c r="M525" s="19"/>
      <c r="N525" s="19"/>
      <c r="T525" s="19"/>
      <c r="U525" s="19"/>
      <c r="V525" s="19"/>
      <c r="W525" s="19"/>
    </row>
    <row r="526" spans="5:23" ht="15.75" customHeight="1">
      <c r="E526" s="19"/>
      <c r="F526" s="19"/>
      <c r="G526" s="19"/>
      <c r="K526" s="19"/>
      <c r="L526" s="19"/>
      <c r="M526" s="19"/>
      <c r="N526" s="19"/>
      <c r="T526" s="19"/>
      <c r="U526" s="19"/>
      <c r="V526" s="19"/>
      <c r="W526" s="19"/>
    </row>
    <row r="527" spans="5:23" ht="15.75" customHeight="1">
      <c r="E527" s="19"/>
      <c r="F527" s="19"/>
      <c r="G527" s="19"/>
      <c r="K527" s="19"/>
      <c r="L527" s="19"/>
      <c r="M527" s="19"/>
      <c r="N527" s="19"/>
      <c r="T527" s="19"/>
      <c r="U527" s="19"/>
      <c r="V527" s="19"/>
      <c r="W527" s="19"/>
    </row>
    <row r="528" spans="5:23" ht="15.75" customHeight="1">
      <c r="E528" s="19"/>
      <c r="F528" s="19"/>
      <c r="G528" s="19"/>
      <c r="K528" s="19"/>
      <c r="L528" s="19"/>
      <c r="M528" s="19"/>
      <c r="N528" s="19"/>
      <c r="T528" s="19"/>
      <c r="U528" s="19"/>
      <c r="V528" s="19"/>
      <c r="W528" s="19"/>
    </row>
    <row r="529" spans="5:23" ht="15.75" customHeight="1">
      <c r="E529" s="19"/>
      <c r="F529" s="19"/>
      <c r="G529" s="19"/>
      <c r="K529" s="19"/>
      <c r="L529" s="19"/>
      <c r="M529" s="19"/>
      <c r="N529" s="19"/>
      <c r="T529" s="19"/>
      <c r="U529" s="19"/>
      <c r="V529" s="19"/>
      <c r="W529" s="19"/>
    </row>
    <row r="530" spans="5:23" ht="15.75" customHeight="1">
      <c r="E530" s="19"/>
      <c r="F530" s="19"/>
      <c r="G530" s="19"/>
      <c r="K530" s="19"/>
      <c r="L530" s="19"/>
      <c r="M530" s="19"/>
      <c r="N530" s="19"/>
      <c r="T530" s="19"/>
      <c r="U530" s="19"/>
      <c r="V530" s="19"/>
      <c r="W530" s="19"/>
    </row>
    <row r="531" spans="5:23" ht="15.75" customHeight="1">
      <c r="E531" s="19"/>
      <c r="F531" s="19"/>
      <c r="G531" s="19"/>
      <c r="K531" s="19"/>
      <c r="L531" s="19"/>
      <c r="M531" s="19"/>
      <c r="N531" s="19"/>
      <c r="T531" s="19"/>
      <c r="U531" s="19"/>
      <c r="V531" s="19"/>
      <c r="W531" s="19"/>
    </row>
    <row r="532" spans="5:23" ht="15.75" customHeight="1">
      <c r="E532" s="19"/>
      <c r="F532" s="19"/>
      <c r="G532" s="19"/>
      <c r="K532" s="19"/>
      <c r="L532" s="19"/>
      <c r="M532" s="19"/>
      <c r="N532" s="19"/>
      <c r="T532" s="19"/>
      <c r="U532" s="19"/>
      <c r="V532" s="19"/>
      <c r="W532" s="19"/>
    </row>
    <row r="533" spans="5:23" ht="15.75" customHeight="1">
      <c r="E533" s="19"/>
      <c r="F533" s="19"/>
      <c r="G533" s="19"/>
      <c r="K533" s="19"/>
      <c r="L533" s="19"/>
      <c r="M533" s="19"/>
      <c r="N533" s="19"/>
      <c r="T533" s="19"/>
      <c r="U533" s="19"/>
      <c r="V533" s="19"/>
      <c r="W533" s="19"/>
    </row>
    <row r="534" spans="5:23" ht="15.75" customHeight="1">
      <c r="E534" s="19"/>
      <c r="F534" s="19"/>
      <c r="G534" s="19"/>
      <c r="K534" s="19"/>
      <c r="L534" s="19"/>
      <c r="M534" s="19"/>
      <c r="N534" s="19"/>
      <c r="T534" s="19"/>
      <c r="U534" s="19"/>
      <c r="V534" s="19"/>
      <c r="W534" s="19"/>
    </row>
    <row r="535" spans="5:23" ht="15.75" customHeight="1">
      <c r="E535" s="19"/>
      <c r="F535" s="19"/>
      <c r="G535" s="19"/>
      <c r="K535" s="19"/>
      <c r="L535" s="19"/>
      <c r="M535" s="19"/>
      <c r="N535" s="19"/>
      <c r="T535" s="19"/>
      <c r="U535" s="19"/>
      <c r="V535" s="19"/>
      <c r="W535" s="19"/>
    </row>
    <row r="536" spans="5:23" ht="15.75" customHeight="1">
      <c r="E536" s="19"/>
      <c r="F536" s="19"/>
      <c r="G536" s="19"/>
      <c r="K536" s="19"/>
      <c r="L536" s="19"/>
      <c r="M536" s="19"/>
      <c r="N536" s="19"/>
      <c r="T536" s="19"/>
      <c r="U536" s="19"/>
      <c r="V536" s="19"/>
      <c r="W536" s="19"/>
    </row>
    <row r="537" spans="5:23" ht="15.75" customHeight="1">
      <c r="E537" s="19"/>
      <c r="F537" s="19"/>
      <c r="G537" s="19"/>
      <c r="K537" s="19"/>
      <c r="L537" s="19"/>
      <c r="M537" s="19"/>
      <c r="N537" s="19"/>
      <c r="T537" s="19"/>
      <c r="U537" s="19"/>
      <c r="V537" s="19"/>
      <c r="W537" s="19"/>
    </row>
    <row r="538" spans="5:23" ht="15.75" customHeight="1">
      <c r="E538" s="19"/>
      <c r="F538" s="19"/>
      <c r="G538" s="19"/>
      <c r="K538" s="19"/>
      <c r="L538" s="19"/>
      <c r="M538" s="19"/>
      <c r="N538" s="19"/>
      <c r="T538" s="19"/>
      <c r="U538" s="19"/>
      <c r="V538" s="19"/>
      <c r="W538" s="19"/>
    </row>
    <row r="539" spans="5:23" ht="15.75" customHeight="1">
      <c r="E539" s="19"/>
      <c r="F539" s="19"/>
      <c r="G539" s="19"/>
      <c r="K539" s="19"/>
      <c r="L539" s="19"/>
      <c r="M539" s="19"/>
      <c r="N539" s="19"/>
      <c r="T539" s="19"/>
      <c r="U539" s="19"/>
      <c r="V539" s="19"/>
      <c r="W539" s="19"/>
    </row>
    <row r="540" spans="5:23" ht="15.75" customHeight="1">
      <c r="E540" s="19"/>
      <c r="F540" s="19"/>
      <c r="G540" s="19"/>
      <c r="K540" s="19"/>
      <c r="L540" s="19"/>
      <c r="M540" s="19"/>
      <c r="N540" s="19"/>
      <c r="T540" s="19"/>
      <c r="U540" s="19"/>
      <c r="V540" s="19"/>
      <c r="W540" s="19"/>
    </row>
    <row r="541" spans="5:23" ht="15.75" customHeight="1">
      <c r="E541" s="19"/>
      <c r="F541" s="19"/>
      <c r="G541" s="19"/>
      <c r="K541" s="19"/>
      <c r="L541" s="19"/>
      <c r="M541" s="19"/>
      <c r="N541" s="19"/>
      <c r="T541" s="19"/>
      <c r="U541" s="19"/>
      <c r="V541" s="19"/>
      <c r="W541" s="19"/>
    </row>
    <row r="542" spans="5:23" ht="15.75" customHeight="1">
      <c r="E542" s="19"/>
      <c r="F542" s="19"/>
      <c r="G542" s="19"/>
      <c r="K542" s="19"/>
      <c r="L542" s="19"/>
      <c r="M542" s="19"/>
      <c r="N542" s="19"/>
      <c r="T542" s="19"/>
      <c r="U542" s="19"/>
      <c r="V542" s="19"/>
      <c r="W542" s="19"/>
    </row>
    <row r="543" spans="5:23" ht="15.75" customHeight="1">
      <c r="E543" s="19"/>
      <c r="F543" s="19"/>
      <c r="G543" s="19"/>
      <c r="K543" s="19"/>
      <c r="L543" s="19"/>
      <c r="M543" s="19"/>
      <c r="N543" s="19"/>
      <c r="T543" s="19"/>
      <c r="U543" s="19"/>
      <c r="V543" s="19"/>
      <c r="W543" s="19"/>
    </row>
    <row r="544" spans="5:23" ht="15.75" customHeight="1">
      <c r="E544" s="19"/>
      <c r="F544" s="19"/>
      <c r="G544" s="19"/>
      <c r="K544" s="19"/>
      <c r="L544" s="19"/>
      <c r="M544" s="19"/>
      <c r="N544" s="19"/>
      <c r="T544" s="19"/>
      <c r="U544" s="19"/>
      <c r="V544" s="19"/>
      <c r="W544" s="19"/>
    </row>
    <row r="545" spans="5:23" ht="15.75" customHeight="1">
      <c r="E545" s="19"/>
      <c r="F545" s="19"/>
      <c r="G545" s="19"/>
      <c r="K545" s="19"/>
      <c r="L545" s="19"/>
      <c r="M545" s="19"/>
      <c r="N545" s="19"/>
      <c r="T545" s="19"/>
      <c r="U545" s="19"/>
      <c r="V545" s="19"/>
      <c r="W545" s="19"/>
    </row>
    <row r="546" spans="5:23" ht="15.75" customHeight="1">
      <c r="E546" s="19"/>
      <c r="F546" s="19"/>
      <c r="G546" s="19"/>
      <c r="K546" s="19"/>
      <c r="L546" s="19"/>
      <c r="M546" s="19"/>
      <c r="N546" s="19"/>
      <c r="T546" s="19"/>
      <c r="U546" s="19"/>
      <c r="V546" s="19"/>
      <c r="W546" s="19"/>
    </row>
    <row r="547" spans="5:23" ht="15.75" customHeight="1">
      <c r="E547" s="22"/>
      <c r="F547" s="22"/>
      <c r="G547" s="22"/>
      <c r="K547" s="22"/>
      <c r="L547" s="22"/>
      <c r="M547" s="22"/>
    </row>
    <row r="548" spans="5:23" ht="15.75" customHeight="1">
      <c r="E548" s="22"/>
      <c r="F548" s="22"/>
      <c r="G548" s="22"/>
      <c r="K548" s="22"/>
      <c r="L548" s="22"/>
      <c r="M548" s="22"/>
    </row>
    <row r="549" spans="5:23" ht="15.75" customHeight="1">
      <c r="E549" s="22"/>
      <c r="F549" s="22"/>
      <c r="G549" s="22"/>
      <c r="K549" s="22"/>
      <c r="L549" s="22"/>
      <c r="M549" s="22"/>
    </row>
    <row r="550" spans="5:23" ht="15.75" customHeight="1">
      <c r="E550" s="22"/>
      <c r="F550" s="22"/>
      <c r="G550" s="22"/>
      <c r="K550" s="22"/>
      <c r="L550" s="22"/>
      <c r="M550" s="22"/>
    </row>
    <row r="551" spans="5:23" ht="15.75" customHeight="1">
      <c r="E551" s="22"/>
      <c r="F551" s="22"/>
      <c r="G551" s="22"/>
      <c r="K551" s="22"/>
      <c r="L551" s="22"/>
      <c r="M551" s="22"/>
    </row>
    <row r="552" spans="5:23" ht="15.75" customHeight="1">
      <c r="E552" s="22"/>
      <c r="F552" s="22"/>
      <c r="G552" s="22"/>
      <c r="K552" s="22"/>
      <c r="L552" s="22"/>
      <c r="M552" s="22"/>
    </row>
    <row r="553" spans="5:23" ht="15.75" customHeight="1">
      <c r="E553" s="22"/>
      <c r="F553" s="22"/>
      <c r="G553" s="22"/>
      <c r="K553" s="22"/>
      <c r="L553" s="22"/>
      <c r="M553" s="22"/>
    </row>
    <row r="554" spans="5:23" ht="15.75" customHeight="1">
      <c r="E554" s="22"/>
      <c r="F554" s="22"/>
      <c r="G554" s="22"/>
      <c r="K554" s="22"/>
      <c r="L554" s="22"/>
      <c r="M554" s="22"/>
    </row>
    <row r="555" spans="5:23" ht="15.75" customHeight="1">
      <c r="E555" s="22"/>
      <c r="F555" s="22"/>
      <c r="G555" s="22"/>
      <c r="K555" s="22"/>
      <c r="L555" s="22"/>
      <c r="M555" s="22"/>
    </row>
    <row r="556" spans="5:23" ht="15.75" customHeight="1">
      <c r="E556" s="22"/>
      <c r="F556" s="22"/>
      <c r="G556" s="22"/>
      <c r="K556" s="22"/>
      <c r="L556" s="22"/>
      <c r="M556" s="22"/>
    </row>
    <row r="557" spans="5:23" ht="15.75" customHeight="1">
      <c r="E557" s="22"/>
      <c r="F557" s="22"/>
      <c r="G557" s="22"/>
      <c r="K557" s="22"/>
      <c r="L557" s="22"/>
      <c r="M557" s="22"/>
    </row>
    <row r="558" spans="5:23" ht="15.75" customHeight="1">
      <c r="E558" s="22"/>
      <c r="F558" s="22"/>
      <c r="G558" s="22"/>
      <c r="K558" s="22"/>
      <c r="L558" s="22"/>
      <c r="M558" s="22"/>
    </row>
    <row r="559" spans="5:23" ht="15.75" customHeight="1">
      <c r="E559" s="22"/>
      <c r="F559" s="22"/>
      <c r="G559" s="22"/>
      <c r="K559" s="22"/>
      <c r="L559" s="22"/>
      <c r="M559" s="22"/>
    </row>
    <row r="560" spans="5:23" ht="15.75" customHeight="1">
      <c r="E560" s="22"/>
      <c r="F560" s="22"/>
      <c r="G560" s="22"/>
      <c r="K560" s="22"/>
      <c r="L560" s="22"/>
      <c r="M560" s="22"/>
    </row>
    <row r="561" spans="5:13" ht="15.75" customHeight="1">
      <c r="E561" s="22"/>
      <c r="F561" s="22"/>
      <c r="G561" s="22"/>
      <c r="K561" s="22"/>
      <c r="L561" s="22"/>
      <c r="M561" s="22"/>
    </row>
    <row r="562" spans="5:13" ht="15.75" customHeight="1">
      <c r="E562" s="22"/>
      <c r="F562" s="22"/>
      <c r="G562" s="22"/>
      <c r="K562" s="22"/>
      <c r="L562" s="22"/>
      <c r="M562" s="22"/>
    </row>
    <row r="563" spans="5:13" ht="15.75" customHeight="1">
      <c r="E563" s="22"/>
      <c r="F563" s="22"/>
      <c r="G563" s="22"/>
      <c r="K563" s="22"/>
      <c r="L563" s="22"/>
      <c r="M563" s="22"/>
    </row>
    <row r="564" spans="5:13" ht="15.75" customHeight="1">
      <c r="E564" s="22"/>
      <c r="F564" s="22"/>
      <c r="G564" s="22"/>
      <c r="K564" s="22"/>
      <c r="L564" s="22"/>
      <c r="M564" s="22"/>
    </row>
    <row r="565" spans="5:13" ht="15.75" customHeight="1">
      <c r="E565" s="22"/>
      <c r="F565" s="22"/>
      <c r="G565" s="22"/>
      <c r="K565" s="22"/>
      <c r="L565" s="22"/>
      <c r="M565" s="22"/>
    </row>
    <row r="566" spans="5:13" ht="15.75" customHeight="1">
      <c r="E566" s="22"/>
      <c r="F566" s="22"/>
      <c r="G566" s="22"/>
      <c r="K566" s="22"/>
      <c r="L566" s="22"/>
      <c r="M566" s="22"/>
    </row>
    <row r="567" spans="5:13" ht="15.75" customHeight="1">
      <c r="E567" s="22"/>
      <c r="F567" s="22"/>
      <c r="G567" s="22"/>
      <c r="K567" s="22"/>
      <c r="L567" s="22"/>
      <c r="M567" s="22"/>
    </row>
    <row r="568" spans="5:13" ht="15.75" customHeight="1">
      <c r="E568" s="22"/>
      <c r="F568" s="22"/>
      <c r="G568" s="22"/>
      <c r="K568" s="22"/>
      <c r="L568" s="22"/>
      <c r="M568" s="22"/>
    </row>
    <row r="569" spans="5:13" ht="15.75" customHeight="1">
      <c r="E569" s="22"/>
      <c r="F569" s="22"/>
      <c r="G569" s="22"/>
      <c r="K569" s="22"/>
      <c r="L569" s="22"/>
      <c r="M569" s="22"/>
    </row>
    <row r="570" spans="5:13" ht="15.75" customHeight="1">
      <c r="E570" s="22"/>
      <c r="F570" s="22"/>
      <c r="G570" s="22"/>
      <c r="K570" s="22"/>
      <c r="L570" s="22"/>
      <c r="M570" s="22"/>
    </row>
    <row r="571" spans="5:13" ht="15.75" customHeight="1">
      <c r="E571" s="22"/>
      <c r="F571" s="22"/>
      <c r="G571" s="22"/>
      <c r="K571" s="22"/>
      <c r="L571" s="22"/>
      <c r="M571" s="22"/>
    </row>
    <row r="572" spans="5:13" ht="15.75" customHeight="1">
      <c r="E572" s="22"/>
      <c r="F572" s="22"/>
      <c r="G572" s="22"/>
      <c r="K572" s="22"/>
      <c r="L572" s="22"/>
      <c r="M572" s="22"/>
    </row>
    <row r="573" spans="5:13" ht="15.75" customHeight="1">
      <c r="E573" s="22"/>
      <c r="F573" s="22"/>
      <c r="G573" s="22"/>
      <c r="K573" s="22"/>
      <c r="L573" s="22"/>
      <c r="M573" s="22"/>
    </row>
    <row r="574" spans="5:13" ht="15.75" customHeight="1">
      <c r="E574" s="22"/>
      <c r="F574" s="22"/>
      <c r="G574" s="22"/>
      <c r="K574" s="22"/>
      <c r="L574" s="22"/>
      <c r="M574" s="22"/>
    </row>
    <row r="575" spans="5:13" ht="15.75" customHeight="1">
      <c r="E575" s="22"/>
      <c r="F575" s="22"/>
      <c r="G575" s="22"/>
      <c r="K575" s="22"/>
      <c r="L575" s="22"/>
      <c r="M575" s="22"/>
    </row>
    <row r="576" spans="5:13" ht="15.75" customHeight="1">
      <c r="E576" s="22"/>
      <c r="F576" s="22"/>
      <c r="G576" s="22"/>
      <c r="K576" s="22"/>
      <c r="L576" s="22"/>
      <c r="M576" s="22"/>
    </row>
    <row r="577" spans="5:13" ht="15.75" customHeight="1">
      <c r="E577" s="22"/>
      <c r="F577" s="22"/>
      <c r="G577" s="22"/>
      <c r="K577" s="22"/>
      <c r="L577" s="22"/>
      <c r="M577" s="22"/>
    </row>
    <row r="578" spans="5:13" ht="15.75" customHeight="1">
      <c r="E578" s="22"/>
      <c r="F578" s="22"/>
      <c r="G578" s="22"/>
      <c r="K578" s="22"/>
      <c r="L578" s="22"/>
      <c r="M578" s="22"/>
    </row>
    <row r="579" spans="5:13" ht="15.75" customHeight="1">
      <c r="E579" s="22"/>
      <c r="F579" s="22"/>
      <c r="G579" s="22"/>
      <c r="K579" s="22"/>
      <c r="L579" s="22"/>
      <c r="M579" s="22"/>
    </row>
    <row r="580" spans="5:13" ht="15.75" customHeight="1">
      <c r="E580" s="22"/>
      <c r="F580" s="22"/>
      <c r="G580" s="22"/>
      <c r="K580" s="22"/>
      <c r="L580" s="22"/>
      <c r="M580" s="22"/>
    </row>
    <row r="581" spans="5:13" ht="15.75" customHeight="1">
      <c r="E581" s="22"/>
      <c r="F581" s="22"/>
      <c r="G581" s="22"/>
      <c r="K581" s="22"/>
      <c r="L581" s="22"/>
      <c r="M581" s="22"/>
    </row>
    <row r="582" spans="5:13" ht="15.75" customHeight="1">
      <c r="E582" s="22"/>
      <c r="F582" s="22"/>
      <c r="G582" s="22"/>
      <c r="K582" s="22"/>
      <c r="L582" s="22"/>
      <c r="M582" s="22"/>
    </row>
    <row r="583" spans="5:13" ht="15.75" customHeight="1">
      <c r="E583" s="22"/>
      <c r="F583" s="22"/>
      <c r="G583" s="22"/>
      <c r="K583" s="22"/>
      <c r="L583" s="22"/>
      <c r="M583" s="22"/>
    </row>
    <row r="584" spans="5:13" ht="15.75" customHeight="1">
      <c r="E584" s="22"/>
      <c r="F584" s="22"/>
      <c r="G584" s="22"/>
      <c r="K584" s="22"/>
      <c r="L584" s="22"/>
      <c r="M584" s="22"/>
    </row>
    <row r="585" spans="5:13" ht="15.75" customHeight="1">
      <c r="E585" s="22"/>
      <c r="F585" s="22"/>
      <c r="G585" s="22"/>
      <c r="K585" s="22"/>
      <c r="L585" s="22"/>
      <c r="M585" s="22"/>
    </row>
    <row r="586" spans="5:13" ht="15.75" customHeight="1">
      <c r="E586" s="22"/>
      <c r="F586" s="22"/>
      <c r="G586" s="22"/>
      <c r="K586" s="22"/>
      <c r="L586" s="22"/>
      <c r="M586" s="22"/>
    </row>
    <row r="587" spans="5:13" ht="15.75" customHeight="1">
      <c r="E587" s="22"/>
      <c r="F587" s="22"/>
      <c r="G587" s="22"/>
      <c r="K587" s="22"/>
      <c r="L587" s="22"/>
      <c r="M587" s="22"/>
    </row>
    <row r="588" spans="5:13" ht="15.75" customHeight="1">
      <c r="E588" s="22"/>
      <c r="F588" s="22"/>
      <c r="G588" s="22"/>
      <c r="K588" s="22"/>
      <c r="L588" s="22"/>
      <c r="M588" s="22"/>
    </row>
    <row r="589" spans="5:13" ht="15.75" customHeight="1">
      <c r="E589" s="22"/>
      <c r="F589" s="22"/>
      <c r="G589" s="22"/>
      <c r="K589" s="22"/>
      <c r="L589" s="22"/>
      <c r="M589" s="22"/>
    </row>
    <row r="590" spans="5:13" ht="15.75" customHeight="1">
      <c r="E590" s="22"/>
      <c r="F590" s="22"/>
      <c r="G590" s="22"/>
      <c r="K590" s="22"/>
      <c r="L590" s="22"/>
      <c r="M590" s="22"/>
    </row>
    <row r="591" spans="5:13" ht="15.75" customHeight="1">
      <c r="E591" s="22"/>
      <c r="F591" s="22"/>
      <c r="G591" s="22"/>
      <c r="K591" s="22"/>
      <c r="L591" s="22"/>
      <c r="M591" s="22"/>
    </row>
    <row r="592" spans="5:13" ht="15.75" customHeight="1">
      <c r="E592" s="22"/>
      <c r="F592" s="22"/>
      <c r="G592" s="22"/>
      <c r="K592" s="22"/>
      <c r="L592" s="22"/>
      <c r="M592" s="22"/>
    </row>
    <row r="593" spans="5:13" ht="15.75" customHeight="1">
      <c r="E593" s="22"/>
      <c r="F593" s="22"/>
      <c r="G593" s="22"/>
      <c r="K593" s="22"/>
      <c r="L593" s="22"/>
      <c r="M593" s="22"/>
    </row>
    <row r="594" spans="5:13" ht="15.75" customHeight="1">
      <c r="E594" s="22"/>
      <c r="F594" s="22"/>
      <c r="G594" s="22"/>
      <c r="K594" s="22"/>
      <c r="L594" s="22"/>
      <c r="M594" s="22"/>
    </row>
    <row r="595" spans="5:13" ht="15.75" customHeight="1">
      <c r="E595" s="22"/>
      <c r="F595" s="22"/>
      <c r="G595" s="22"/>
      <c r="K595" s="22"/>
      <c r="L595" s="22"/>
      <c r="M595" s="22"/>
    </row>
    <row r="596" spans="5:13" ht="15.75" customHeight="1">
      <c r="E596" s="22"/>
      <c r="F596" s="22"/>
      <c r="G596" s="22"/>
      <c r="K596" s="22"/>
      <c r="L596" s="22"/>
      <c r="M596" s="22"/>
    </row>
    <row r="597" spans="5:13" ht="15.75" customHeight="1">
      <c r="E597" s="22"/>
      <c r="F597" s="22"/>
      <c r="G597" s="22"/>
      <c r="K597" s="22"/>
      <c r="L597" s="22"/>
      <c r="M597" s="22"/>
    </row>
    <row r="598" spans="5:13" ht="15.75" customHeight="1">
      <c r="E598" s="22"/>
      <c r="F598" s="22"/>
      <c r="G598" s="22"/>
      <c r="K598" s="22"/>
      <c r="L598" s="22"/>
      <c r="M598" s="22"/>
    </row>
    <row r="599" spans="5:13" ht="15.75" customHeight="1">
      <c r="E599" s="22"/>
      <c r="F599" s="22"/>
      <c r="G599" s="22"/>
      <c r="K599" s="22"/>
      <c r="L599" s="22"/>
      <c r="M599" s="22"/>
    </row>
    <row r="600" spans="5:13" ht="15.75" customHeight="1">
      <c r="E600" s="22"/>
      <c r="F600" s="22"/>
      <c r="G600" s="22"/>
      <c r="K600" s="22"/>
      <c r="L600" s="22"/>
      <c r="M600" s="22"/>
    </row>
    <row r="601" spans="5:13" ht="15.75" customHeight="1">
      <c r="E601" s="22"/>
      <c r="F601" s="22"/>
      <c r="G601" s="22"/>
      <c r="K601" s="22"/>
      <c r="L601" s="22"/>
      <c r="M601" s="22"/>
    </row>
    <row r="602" spans="5:13" ht="15.75" customHeight="1">
      <c r="E602" s="22"/>
      <c r="F602" s="22"/>
      <c r="G602" s="22"/>
      <c r="K602" s="22"/>
      <c r="L602" s="22"/>
      <c r="M602" s="22"/>
    </row>
    <row r="603" spans="5:13" ht="15.75" customHeight="1">
      <c r="E603" s="22"/>
      <c r="F603" s="22"/>
      <c r="G603" s="22"/>
      <c r="K603" s="22"/>
      <c r="L603" s="22"/>
      <c r="M603" s="22"/>
    </row>
    <row r="604" spans="5:13" ht="15.75" customHeight="1">
      <c r="E604" s="22"/>
      <c r="F604" s="22"/>
      <c r="G604" s="22"/>
      <c r="K604" s="22"/>
      <c r="L604" s="22"/>
      <c r="M604" s="22"/>
    </row>
    <row r="605" spans="5:13" ht="15.75" customHeight="1">
      <c r="E605" s="22"/>
      <c r="F605" s="22"/>
      <c r="G605" s="22"/>
      <c r="K605" s="22"/>
      <c r="L605" s="22"/>
      <c r="M605" s="22"/>
    </row>
    <row r="606" spans="5:13" ht="15.75" customHeight="1">
      <c r="E606" s="22"/>
      <c r="F606" s="22"/>
      <c r="G606" s="22"/>
      <c r="K606" s="22"/>
      <c r="L606" s="22"/>
      <c r="M606" s="22"/>
    </row>
    <row r="607" spans="5:13" ht="15.75" customHeight="1">
      <c r="E607" s="22"/>
      <c r="F607" s="22"/>
      <c r="G607" s="22"/>
      <c r="K607" s="22"/>
      <c r="L607" s="22"/>
      <c r="M607" s="22"/>
    </row>
    <row r="608" spans="5:13" ht="15.75" customHeight="1">
      <c r="E608" s="22"/>
      <c r="F608" s="22"/>
      <c r="G608" s="22"/>
      <c r="K608" s="22"/>
      <c r="L608" s="22"/>
      <c r="M608" s="22"/>
    </row>
    <row r="609" spans="5:13" ht="15.75" customHeight="1">
      <c r="E609" s="22"/>
      <c r="F609" s="22"/>
      <c r="G609" s="22"/>
      <c r="K609" s="22"/>
      <c r="L609" s="22"/>
      <c r="M609" s="22"/>
    </row>
    <row r="610" spans="5:13" ht="15.75" customHeight="1">
      <c r="E610" s="22"/>
      <c r="F610" s="22"/>
      <c r="G610" s="22"/>
      <c r="K610" s="22"/>
      <c r="L610" s="22"/>
      <c r="M610" s="22"/>
    </row>
    <row r="611" spans="5:13" ht="15.75" customHeight="1">
      <c r="E611" s="22"/>
      <c r="F611" s="22"/>
      <c r="G611" s="22"/>
      <c r="K611" s="22"/>
      <c r="L611" s="22"/>
      <c r="M611" s="22"/>
    </row>
    <row r="612" spans="5:13" ht="15.75" customHeight="1">
      <c r="E612" s="22"/>
      <c r="F612" s="22"/>
      <c r="G612" s="22"/>
      <c r="K612" s="22"/>
      <c r="L612" s="22"/>
      <c r="M612" s="22"/>
    </row>
    <row r="613" spans="5:13" ht="15.75" customHeight="1">
      <c r="E613" s="22"/>
      <c r="F613" s="22"/>
      <c r="G613" s="22"/>
      <c r="K613" s="22"/>
      <c r="L613" s="22"/>
      <c r="M613" s="22"/>
    </row>
    <row r="614" spans="5:13" ht="15.75" customHeight="1">
      <c r="E614" s="22"/>
      <c r="F614" s="22"/>
      <c r="G614" s="22"/>
      <c r="K614" s="22"/>
      <c r="L614" s="22"/>
      <c r="M614" s="22"/>
    </row>
    <row r="615" spans="5:13" ht="15.75" customHeight="1">
      <c r="E615" s="22"/>
      <c r="F615" s="22"/>
      <c r="G615" s="22"/>
      <c r="K615" s="22"/>
      <c r="L615" s="22"/>
      <c r="M615" s="22"/>
    </row>
    <row r="616" spans="5:13" ht="15.75" customHeight="1">
      <c r="E616" s="22"/>
      <c r="F616" s="22"/>
      <c r="G616" s="22"/>
      <c r="K616" s="22"/>
      <c r="L616" s="22"/>
      <c r="M616" s="22"/>
    </row>
    <row r="617" spans="5:13" ht="15.75" customHeight="1">
      <c r="E617" s="22"/>
      <c r="F617" s="22"/>
      <c r="G617" s="22"/>
      <c r="K617" s="22"/>
      <c r="L617" s="22"/>
      <c r="M617" s="22"/>
    </row>
    <row r="618" spans="5:13" ht="15.75" customHeight="1">
      <c r="E618" s="22"/>
      <c r="F618" s="22"/>
      <c r="G618" s="22"/>
      <c r="K618" s="22"/>
      <c r="L618" s="22"/>
      <c r="M618" s="22"/>
    </row>
    <row r="619" spans="5:13" ht="15.75" customHeight="1">
      <c r="E619" s="22"/>
      <c r="F619" s="22"/>
      <c r="G619" s="22"/>
      <c r="K619" s="22"/>
      <c r="L619" s="22"/>
      <c r="M619" s="22"/>
    </row>
    <row r="620" spans="5:13" ht="15.75" customHeight="1">
      <c r="E620" s="22"/>
      <c r="F620" s="22"/>
      <c r="G620" s="22"/>
      <c r="K620" s="22"/>
      <c r="L620" s="22"/>
      <c r="M620" s="22"/>
    </row>
    <row r="621" spans="5:13" ht="15.75" customHeight="1">
      <c r="E621" s="22"/>
      <c r="F621" s="22"/>
      <c r="G621" s="22"/>
      <c r="K621" s="22"/>
      <c r="L621" s="22"/>
      <c r="M621" s="22"/>
    </row>
    <row r="622" spans="5:13" ht="15.75" customHeight="1">
      <c r="E622" s="22"/>
      <c r="F622" s="22"/>
      <c r="G622" s="22"/>
      <c r="K622" s="22"/>
      <c r="L622" s="22"/>
      <c r="M622" s="22"/>
    </row>
    <row r="623" spans="5:13" ht="15.75" customHeight="1">
      <c r="E623" s="22"/>
      <c r="F623" s="22"/>
      <c r="G623" s="22"/>
      <c r="K623" s="22"/>
      <c r="L623" s="22"/>
      <c r="M623" s="22"/>
    </row>
    <row r="624" spans="5:13" ht="15.75" customHeight="1">
      <c r="E624" s="22"/>
      <c r="F624" s="22"/>
      <c r="G624" s="22"/>
      <c r="K624" s="22"/>
      <c r="L624" s="22"/>
      <c r="M624" s="22"/>
    </row>
    <row r="625" spans="5:13" ht="15.75" customHeight="1">
      <c r="E625" s="22"/>
      <c r="F625" s="22"/>
      <c r="G625" s="22"/>
      <c r="K625" s="22"/>
      <c r="L625" s="22"/>
      <c r="M625" s="22"/>
    </row>
    <row r="626" spans="5:13" ht="15.75" customHeight="1">
      <c r="E626" s="22"/>
      <c r="F626" s="22"/>
      <c r="G626" s="22"/>
      <c r="K626" s="22"/>
      <c r="L626" s="22"/>
      <c r="M626" s="22"/>
    </row>
    <row r="627" spans="5:13" ht="15.75" customHeight="1">
      <c r="E627" s="22"/>
      <c r="F627" s="22"/>
      <c r="G627" s="22"/>
      <c r="K627" s="22"/>
      <c r="L627" s="22"/>
      <c r="M627" s="22"/>
    </row>
    <row r="628" spans="5:13" ht="15.75" customHeight="1">
      <c r="E628" s="22"/>
      <c r="F628" s="22"/>
      <c r="G628" s="22"/>
      <c r="K628" s="22"/>
      <c r="L628" s="22"/>
      <c r="M628" s="22"/>
    </row>
    <row r="629" spans="5:13" ht="15.75" customHeight="1">
      <c r="E629" s="22"/>
      <c r="F629" s="22"/>
      <c r="G629" s="22"/>
      <c r="K629" s="22"/>
      <c r="L629" s="22"/>
      <c r="M629" s="22"/>
    </row>
    <row r="630" spans="5:13" ht="15.75" customHeight="1">
      <c r="E630" s="22"/>
      <c r="F630" s="22"/>
      <c r="G630" s="22"/>
      <c r="K630" s="22"/>
      <c r="L630" s="22"/>
      <c r="M630" s="22"/>
    </row>
    <row r="631" spans="5:13" ht="15.75" customHeight="1">
      <c r="E631" s="22"/>
      <c r="F631" s="22"/>
      <c r="G631" s="22"/>
      <c r="K631" s="22"/>
      <c r="L631" s="22"/>
      <c r="M631" s="22"/>
    </row>
    <row r="632" spans="5:13" ht="15.75" customHeight="1">
      <c r="E632" s="22"/>
      <c r="F632" s="22"/>
      <c r="G632" s="22"/>
      <c r="K632" s="22"/>
      <c r="L632" s="22"/>
      <c r="M632" s="22"/>
    </row>
    <row r="633" spans="5:13" ht="15.75" customHeight="1">
      <c r="E633" s="22"/>
      <c r="F633" s="22"/>
      <c r="G633" s="22"/>
      <c r="K633" s="22"/>
      <c r="L633" s="22"/>
      <c r="M633" s="22"/>
    </row>
    <row r="634" spans="5:13" ht="15.75" customHeight="1">
      <c r="E634" s="22"/>
      <c r="F634" s="22"/>
      <c r="G634" s="22"/>
      <c r="K634" s="22"/>
      <c r="L634" s="22"/>
      <c r="M634" s="22"/>
    </row>
    <row r="635" spans="5:13" ht="15.75" customHeight="1">
      <c r="E635" s="22"/>
      <c r="F635" s="22"/>
      <c r="G635" s="22"/>
      <c r="K635" s="22"/>
      <c r="L635" s="22"/>
      <c r="M635" s="22"/>
    </row>
    <row r="636" spans="5:13" ht="15.75" customHeight="1">
      <c r="E636" s="22"/>
      <c r="F636" s="22"/>
      <c r="G636" s="22"/>
      <c r="K636" s="22"/>
      <c r="L636" s="22"/>
      <c r="M636" s="22"/>
    </row>
    <row r="637" spans="5:13" ht="15.75" customHeight="1">
      <c r="E637" s="22"/>
      <c r="F637" s="22"/>
      <c r="G637" s="22"/>
      <c r="K637" s="22"/>
      <c r="L637" s="22"/>
      <c r="M637" s="22"/>
    </row>
    <row r="638" spans="5:13" ht="15.75" customHeight="1">
      <c r="E638" s="22"/>
      <c r="F638" s="22"/>
      <c r="G638" s="22"/>
      <c r="K638" s="22"/>
      <c r="L638" s="22"/>
      <c r="M638" s="22"/>
    </row>
    <row r="639" spans="5:13" ht="15.75" customHeight="1">
      <c r="E639" s="22"/>
      <c r="F639" s="22"/>
      <c r="G639" s="22"/>
      <c r="K639" s="22"/>
      <c r="L639" s="22"/>
      <c r="M639" s="22"/>
    </row>
    <row r="640" spans="5:13" ht="15.75" customHeight="1">
      <c r="E640" s="22"/>
      <c r="F640" s="22"/>
      <c r="G640" s="22"/>
      <c r="K640" s="22"/>
      <c r="L640" s="22"/>
      <c r="M640" s="22"/>
    </row>
    <row r="641" spans="5:13" ht="15.75" customHeight="1">
      <c r="E641" s="22"/>
      <c r="F641" s="22"/>
      <c r="G641" s="22"/>
      <c r="K641" s="22"/>
      <c r="L641" s="22"/>
      <c r="M641" s="22"/>
    </row>
    <row r="642" spans="5:13" ht="15.75" customHeight="1">
      <c r="E642" s="22"/>
      <c r="F642" s="22"/>
      <c r="G642" s="22"/>
      <c r="K642" s="22"/>
      <c r="L642" s="22"/>
      <c r="M642" s="22"/>
    </row>
    <row r="643" spans="5:13" ht="15.75" customHeight="1">
      <c r="E643" s="22"/>
      <c r="F643" s="22"/>
      <c r="G643" s="22"/>
      <c r="K643" s="22"/>
      <c r="L643" s="22"/>
      <c r="M643" s="22"/>
    </row>
    <row r="644" spans="5:13" ht="15.75" customHeight="1">
      <c r="E644" s="22"/>
      <c r="F644" s="22"/>
      <c r="G644" s="22"/>
      <c r="K644" s="22"/>
      <c r="L644" s="22"/>
      <c r="M644" s="22"/>
    </row>
    <row r="645" spans="5:13" ht="15.75" customHeight="1">
      <c r="E645" s="22"/>
      <c r="F645" s="22"/>
      <c r="G645" s="22"/>
      <c r="K645" s="22"/>
      <c r="L645" s="22"/>
      <c r="M645" s="22"/>
    </row>
    <row r="646" spans="5:13" ht="15.75" customHeight="1">
      <c r="E646" s="22"/>
      <c r="F646" s="22"/>
      <c r="G646" s="22"/>
      <c r="K646" s="22"/>
      <c r="L646" s="22"/>
      <c r="M646" s="22"/>
    </row>
    <row r="647" spans="5:13" ht="15.75" customHeight="1">
      <c r="E647" s="22"/>
      <c r="F647" s="22"/>
      <c r="G647" s="22"/>
      <c r="K647" s="22"/>
      <c r="L647" s="22"/>
      <c r="M647" s="22"/>
    </row>
    <row r="648" spans="5:13" ht="15.75" customHeight="1">
      <c r="E648" s="22"/>
      <c r="F648" s="22"/>
      <c r="G648" s="22"/>
      <c r="K648" s="22"/>
      <c r="L648" s="22"/>
      <c r="M648" s="22"/>
    </row>
    <row r="649" spans="5:13" ht="15.75" customHeight="1">
      <c r="E649" s="22"/>
      <c r="F649" s="22"/>
      <c r="G649" s="22"/>
      <c r="K649" s="22"/>
      <c r="L649" s="22"/>
      <c r="M649" s="22"/>
    </row>
    <row r="650" spans="5:13" ht="15.75" customHeight="1">
      <c r="E650" s="22"/>
      <c r="F650" s="22"/>
      <c r="G650" s="22"/>
      <c r="K650" s="22"/>
      <c r="L650" s="22"/>
      <c r="M650" s="22"/>
    </row>
    <row r="651" spans="5:13" ht="15.75" customHeight="1">
      <c r="E651" s="22"/>
      <c r="F651" s="22"/>
      <c r="G651" s="22"/>
      <c r="K651" s="22"/>
      <c r="L651" s="22"/>
      <c r="M651" s="22"/>
    </row>
    <row r="652" spans="5:13" ht="15.75" customHeight="1">
      <c r="E652" s="22"/>
      <c r="F652" s="22"/>
      <c r="G652" s="22"/>
      <c r="K652" s="22"/>
      <c r="L652" s="22"/>
      <c r="M652" s="22"/>
    </row>
    <row r="653" spans="5:13" ht="15.75" customHeight="1">
      <c r="E653" s="22"/>
      <c r="F653" s="22"/>
      <c r="G653" s="22"/>
      <c r="K653" s="22"/>
      <c r="L653" s="22"/>
      <c r="M653" s="22"/>
    </row>
    <row r="654" spans="5:13" ht="15.75" customHeight="1">
      <c r="E654" s="22"/>
      <c r="F654" s="22"/>
      <c r="G654" s="22"/>
      <c r="K654" s="22"/>
      <c r="L654" s="22"/>
      <c r="M654" s="22"/>
    </row>
    <row r="655" spans="5:13" ht="15.75" customHeight="1">
      <c r="E655" s="22"/>
      <c r="F655" s="22"/>
      <c r="G655" s="22"/>
      <c r="K655" s="22"/>
      <c r="L655" s="22"/>
      <c r="M655" s="22"/>
    </row>
    <row r="656" spans="5:13" ht="15.75" customHeight="1">
      <c r="E656" s="22"/>
      <c r="F656" s="22"/>
      <c r="G656" s="22"/>
      <c r="K656" s="22"/>
      <c r="L656" s="22"/>
      <c r="M656" s="22"/>
    </row>
    <row r="657" spans="5:13" ht="15.75" customHeight="1">
      <c r="E657" s="22"/>
      <c r="F657" s="22"/>
      <c r="G657" s="22"/>
      <c r="K657" s="22"/>
      <c r="L657" s="22"/>
      <c r="M657" s="22"/>
    </row>
    <row r="658" spans="5:13" ht="15.75" customHeight="1">
      <c r="E658" s="22"/>
      <c r="F658" s="22"/>
      <c r="G658" s="22"/>
      <c r="K658" s="22"/>
      <c r="L658" s="22"/>
      <c r="M658" s="22"/>
    </row>
    <row r="659" spans="5:13" ht="15.75" customHeight="1">
      <c r="E659" s="22"/>
      <c r="F659" s="22"/>
      <c r="G659" s="22"/>
      <c r="K659" s="22"/>
      <c r="L659" s="22"/>
      <c r="M659" s="22"/>
    </row>
    <row r="660" spans="5:13" ht="15.75" customHeight="1">
      <c r="E660" s="22"/>
      <c r="F660" s="22"/>
      <c r="G660" s="22"/>
      <c r="K660" s="22"/>
      <c r="L660" s="22"/>
      <c r="M660" s="22"/>
    </row>
    <row r="661" spans="5:13" ht="15.75" customHeight="1">
      <c r="E661" s="22"/>
      <c r="F661" s="22"/>
      <c r="G661" s="22"/>
      <c r="K661" s="22"/>
      <c r="L661" s="22"/>
      <c r="M661" s="22"/>
    </row>
    <row r="662" spans="5:13" ht="15.75" customHeight="1">
      <c r="E662" s="22"/>
      <c r="F662" s="22"/>
      <c r="G662" s="22"/>
      <c r="K662" s="22"/>
      <c r="L662" s="22"/>
      <c r="M662" s="22"/>
    </row>
    <row r="663" spans="5:13" ht="15.75" customHeight="1">
      <c r="E663" s="22"/>
      <c r="F663" s="22"/>
      <c r="G663" s="22"/>
      <c r="K663" s="22"/>
      <c r="L663" s="22"/>
      <c r="M663" s="22"/>
    </row>
    <row r="664" spans="5:13" ht="15.75" customHeight="1">
      <c r="E664" s="22"/>
      <c r="F664" s="22"/>
      <c r="G664" s="22"/>
      <c r="K664" s="22"/>
      <c r="L664" s="22"/>
      <c r="M664" s="22"/>
    </row>
    <row r="665" spans="5:13" ht="15.75" customHeight="1">
      <c r="E665" s="22"/>
      <c r="F665" s="22"/>
      <c r="G665" s="22"/>
      <c r="K665" s="22"/>
      <c r="L665" s="22"/>
      <c r="M665" s="22"/>
    </row>
    <row r="666" spans="5:13" ht="15.75" customHeight="1">
      <c r="E666" s="22"/>
      <c r="F666" s="22"/>
      <c r="G666" s="22"/>
      <c r="K666" s="22"/>
      <c r="L666" s="22"/>
      <c r="M666" s="22"/>
    </row>
    <row r="667" spans="5:13" ht="15.75" customHeight="1">
      <c r="E667" s="22"/>
      <c r="F667" s="22"/>
      <c r="G667" s="22"/>
      <c r="K667" s="22"/>
      <c r="L667" s="22"/>
      <c r="M667" s="22"/>
    </row>
    <row r="668" spans="5:13" ht="15.75" customHeight="1">
      <c r="E668" s="22"/>
      <c r="F668" s="22"/>
      <c r="G668" s="22"/>
      <c r="K668" s="22"/>
      <c r="L668" s="22"/>
      <c r="M668" s="22"/>
    </row>
    <row r="669" spans="5:13" ht="15.75" customHeight="1">
      <c r="E669" s="22"/>
      <c r="F669" s="22"/>
      <c r="G669" s="22"/>
      <c r="K669" s="22"/>
      <c r="L669" s="22"/>
      <c r="M669" s="22"/>
    </row>
    <row r="670" spans="5:13" ht="15.75" customHeight="1">
      <c r="E670" s="22"/>
      <c r="F670" s="22"/>
      <c r="G670" s="22"/>
      <c r="K670" s="22"/>
      <c r="L670" s="22"/>
      <c r="M670" s="22"/>
    </row>
    <row r="671" spans="5:13" ht="15.75" customHeight="1">
      <c r="E671" s="22"/>
      <c r="F671" s="22"/>
      <c r="G671" s="22"/>
      <c r="K671" s="22"/>
      <c r="L671" s="22"/>
      <c r="M671" s="22"/>
    </row>
    <row r="672" spans="5:13" ht="15.75" customHeight="1">
      <c r="E672" s="22"/>
      <c r="F672" s="22"/>
      <c r="G672" s="22"/>
      <c r="K672" s="22"/>
      <c r="L672" s="22"/>
      <c r="M672" s="22"/>
    </row>
    <row r="673" spans="5:13" ht="15.75" customHeight="1">
      <c r="E673" s="22"/>
      <c r="F673" s="22"/>
      <c r="G673" s="22"/>
      <c r="K673" s="22"/>
      <c r="L673" s="22"/>
      <c r="M673" s="22"/>
    </row>
    <row r="674" spans="5:13" ht="15.75" customHeight="1">
      <c r="E674" s="22"/>
      <c r="F674" s="22"/>
      <c r="G674" s="22"/>
      <c r="K674" s="22"/>
      <c r="L674" s="22"/>
      <c r="M674" s="22"/>
    </row>
    <row r="675" spans="5:13" ht="15.75" customHeight="1">
      <c r="E675" s="22"/>
      <c r="F675" s="22"/>
      <c r="G675" s="22"/>
      <c r="K675" s="22"/>
      <c r="L675" s="22"/>
      <c r="M675" s="22"/>
    </row>
    <row r="676" spans="5:13" ht="15.75" customHeight="1">
      <c r="E676" s="22"/>
      <c r="F676" s="22"/>
      <c r="G676" s="22"/>
      <c r="K676" s="22"/>
      <c r="L676" s="22"/>
      <c r="M676" s="22"/>
    </row>
    <row r="677" spans="5:13" ht="15.75" customHeight="1">
      <c r="E677" s="22"/>
      <c r="F677" s="22"/>
      <c r="G677" s="22"/>
      <c r="K677" s="22"/>
      <c r="L677" s="22"/>
      <c r="M677" s="22"/>
    </row>
    <row r="678" spans="5:13" ht="15.75" customHeight="1">
      <c r="E678" s="22"/>
      <c r="F678" s="22"/>
      <c r="G678" s="22"/>
      <c r="K678" s="22"/>
      <c r="L678" s="22"/>
      <c r="M678" s="22"/>
    </row>
    <row r="679" spans="5:13" ht="15.75" customHeight="1">
      <c r="E679" s="22"/>
      <c r="F679" s="22"/>
      <c r="G679" s="22"/>
      <c r="K679" s="22"/>
      <c r="L679" s="22"/>
      <c r="M679" s="22"/>
    </row>
    <row r="680" spans="5:13" ht="15.75" customHeight="1">
      <c r="E680" s="22"/>
      <c r="F680" s="22"/>
      <c r="G680" s="22"/>
      <c r="K680" s="22"/>
      <c r="L680" s="22"/>
      <c r="M680" s="22"/>
    </row>
    <row r="681" spans="5:13" ht="15.75" customHeight="1">
      <c r="E681" s="22"/>
      <c r="F681" s="22"/>
      <c r="G681" s="22"/>
      <c r="K681" s="22"/>
      <c r="L681" s="22"/>
      <c r="M681" s="22"/>
    </row>
    <row r="682" spans="5:13" ht="15.75" customHeight="1">
      <c r="E682" s="22"/>
      <c r="F682" s="22"/>
      <c r="G682" s="22"/>
      <c r="K682" s="22"/>
      <c r="L682" s="22"/>
      <c r="M682" s="22"/>
    </row>
    <row r="683" spans="5:13" ht="15.75" customHeight="1">
      <c r="E683" s="22"/>
      <c r="F683" s="22"/>
      <c r="G683" s="22"/>
      <c r="K683" s="22"/>
      <c r="L683" s="22"/>
      <c r="M683" s="22"/>
    </row>
    <row r="684" spans="5:13" ht="15.75" customHeight="1">
      <c r="E684" s="22"/>
      <c r="F684" s="22"/>
      <c r="G684" s="22"/>
      <c r="K684" s="22"/>
      <c r="L684" s="22"/>
      <c r="M684" s="22"/>
    </row>
    <row r="685" spans="5:13" ht="15.75" customHeight="1">
      <c r="E685" s="22"/>
      <c r="F685" s="22"/>
      <c r="G685" s="22"/>
      <c r="K685" s="22"/>
      <c r="L685" s="22"/>
      <c r="M685" s="22"/>
    </row>
    <row r="686" spans="5:13" ht="15.75" customHeight="1">
      <c r="E686" s="22"/>
      <c r="F686" s="22"/>
      <c r="G686" s="22"/>
      <c r="K686" s="22"/>
      <c r="L686" s="22"/>
      <c r="M686" s="22"/>
    </row>
    <row r="687" spans="5:13" ht="15.75" customHeight="1">
      <c r="E687" s="22"/>
      <c r="F687" s="22"/>
      <c r="G687" s="22"/>
      <c r="K687" s="22"/>
      <c r="L687" s="22"/>
      <c r="M687" s="22"/>
    </row>
    <row r="688" spans="5:13" ht="15.75" customHeight="1">
      <c r="E688" s="22"/>
      <c r="F688" s="22"/>
      <c r="G688" s="22"/>
      <c r="K688" s="22"/>
      <c r="L688" s="22"/>
      <c r="M688" s="22"/>
    </row>
    <row r="689" spans="5:13" ht="15.75" customHeight="1">
      <c r="E689" s="22"/>
      <c r="F689" s="22"/>
      <c r="G689" s="22"/>
      <c r="K689" s="22"/>
      <c r="L689" s="22"/>
      <c r="M689" s="22"/>
    </row>
    <row r="690" spans="5:13" ht="15.75" customHeight="1">
      <c r="E690" s="22"/>
      <c r="F690" s="22"/>
      <c r="G690" s="22"/>
      <c r="K690" s="22"/>
      <c r="L690" s="22"/>
      <c r="M690" s="22"/>
    </row>
    <row r="691" spans="5:13" ht="15.75" customHeight="1">
      <c r="E691" s="22"/>
      <c r="F691" s="22"/>
      <c r="G691" s="22"/>
      <c r="K691" s="22"/>
      <c r="L691" s="22"/>
      <c r="M691" s="22"/>
    </row>
    <row r="692" spans="5:13" ht="15.75" customHeight="1">
      <c r="E692" s="22"/>
      <c r="F692" s="22"/>
      <c r="G692" s="22"/>
      <c r="K692" s="22"/>
      <c r="L692" s="22"/>
      <c r="M692" s="22"/>
    </row>
    <row r="693" spans="5:13" ht="15.75" customHeight="1">
      <c r="E693" s="22"/>
      <c r="F693" s="22"/>
      <c r="G693" s="22"/>
      <c r="K693" s="22"/>
      <c r="L693" s="22"/>
      <c r="M693" s="22"/>
    </row>
    <row r="694" spans="5:13" ht="15.75" customHeight="1">
      <c r="E694" s="22"/>
      <c r="F694" s="22"/>
      <c r="G694" s="22"/>
      <c r="K694" s="22"/>
      <c r="L694" s="22"/>
      <c r="M694" s="22"/>
    </row>
    <row r="695" spans="5:13" ht="15.75" customHeight="1">
      <c r="E695" s="22"/>
      <c r="F695" s="22"/>
      <c r="G695" s="22"/>
      <c r="K695" s="22"/>
      <c r="L695" s="22"/>
      <c r="M695" s="22"/>
    </row>
    <row r="696" spans="5:13" ht="15.75" customHeight="1">
      <c r="E696" s="22"/>
      <c r="F696" s="22"/>
      <c r="G696" s="22"/>
      <c r="K696" s="22"/>
      <c r="L696" s="22"/>
      <c r="M696" s="22"/>
    </row>
    <row r="697" spans="5:13" ht="15.75" customHeight="1">
      <c r="E697" s="22"/>
      <c r="F697" s="22"/>
      <c r="G697" s="22"/>
      <c r="K697" s="22"/>
      <c r="L697" s="22"/>
      <c r="M697" s="22"/>
    </row>
    <row r="698" spans="5:13" ht="15.75" customHeight="1">
      <c r="E698" s="22"/>
      <c r="F698" s="22"/>
      <c r="G698" s="22"/>
      <c r="K698" s="22"/>
      <c r="L698" s="22"/>
      <c r="M698" s="22"/>
    </row>
    <row r="699" spans="5:13" ht="15.75" customHeight="1">
      <c r="E699" s="22"/>
      <c r="F699" s="22"/>
      <c r="G699" s="22"/>
      <c r="K699" s="22"/>
      <c r="L699" s="22"/>
      <c r="M699" s="22"/>
    </row>
    <row r="700" spans="5:13" ht="15.75" customHeight="1">
      <c r="E700" s="22"/>
      <c r="F700" s="22"/>
      <c r="G700" s="22"/>
      <c r="K700" s="22"/>
      <c r="L700" s="22"/>
      <c r="M700" s="22"/>
    </row>
    <row r="701" spans="5:13" ht="15.75" customHeight="1">
      <c r="E701" s="22"/>
      <c r="F701" s="22"/>
      <c r="G701" s="22"/>
      <c r="K701" s="22"/>
      <c r="L701" s="22"/>
      <c r="M701" s="22"/>
    </row>
    <row r="702" spans="5:13" ht="15.75" customHeight="1">
      <c r="E702" s="22"/>
      <c r="F702" s="22"/>
      <c r="G702" s="22"/>
      <c r="K702" s="22"/>
      <c r="L702" s="22"/>
      <c r="M702" s="22"/>
    </row>
    <row r="703" spans="5:13" ht="15.75" customHeight="1">
      <c r="E703" s="22"/>
      <c r="F703" s="22"/>
      <c r="G703" s="22"/>
      <c r="K703" s="22"/>
      <c r="L703" s="22"/>
      <c r="M703" s="22"/>
    </row>
    <row r="704" spans="5:13" ht="15.75" customHeight="1">
      <c r="E704" s="22"/>
      <c r="F704" s="22"/>
      <c r="G704" s="22"/>
      <c r="K704" s="22"/>
      <c r="L704" s="22"/>
      <c r="M704" s="22"/>
    </row>
    <row r="705" spans="5:13" ht="15.75" customHeight="1">
      <c r="E705" s="22"/>
      <c r="F705" s="22"/>
      <c r="G705" s="22"/>
      <c r="K705" s="22"/>
      <c r="L705" s="22"/>
      <c r="M705" s="22"/>
    </row>
    <row r="706" spans="5:13" ht="15.75" customHeight="1">
      <c r="E706" s="22"/>
      <c r="F706" s="22"/>
      <c r="G706" s="22"/>
      <c r="K706" s="22"/>
      <c r="L706" s="22"/>
      <c r="M706" s="22"/>
    </row>
    <row r="707" spans="5:13" ht="15.75" customHeight="1">
      <c r="E707" s="22"/>
      <c r="F707" s="22"/>
      <c r="G707" s="22"/>
      <c r="K707" s="22"/>
      <c r="L707" s="22"/>
      <c r="M707" s="22"/>
    </row>
    <row r="708" spans="5:13" ht="15.75" customHeight="1">
      <c r="E708" s="22"/>
      <c r="F708" s="22"/>
      <c r="G708" s="22"/>
      <c r="K708" s="22"/>
      <c r="L708" s="22"/>
      <c r="M708" s="22"/>
    </row>
    <row r="709" spans="5:13" ht="15.75" customHeight="1">
      <c r="E709" s="22"/>
      <c r="F709" s="22"/>
      <c r="G709" s="22"/>
      <c r="K709" s="22"/>
      <c r="L709" s="22"/>
      <c r="M709" s="22"/>
    </row>
    <row r="710" spans="5:13" ht="15.75" customHeight="1">
      <c r="E710" s="22"/>
      <c r="F710" s="22"/>
      <c r="G710" s="22"/>
      <c r="K710" s="22"/>
      <c r="L710" s="22"/>
      <c r="M710" s="22"/>
    </row>
    <row r="711" spans="5:13" ht="15.75" customHeight="1">
      <c r="E711" s="22"/>
      <c r="F711" s="22"/>
      <c r="G711" s="22"/>
      <c r="K711" s="22"/>
      <c r="L711" s="22"/>
      <c r="M711" s="22"/>
    </row>
    <row r="712" spans="5:13" ht="15.75" customHeight="1">
      <c r="E712" s="22"/>
      <c r="F712" s="22"/>
      <c r="G712" s="22"/>
      <c r="K712" s="22"/>
      <c r="L712" s="22"/>
      <c r="M712" s="22"/>
    </row>
    <row r="713" spans="5:13" ht="15.75" customHeight="1">
      <c r="E713" s="22"/>
      <c r="F713" s="22"/>
      <c r="G713" s="22"/>
      <c r="K713" s="22"/>
      <c r="L713" s="22"/>
      <c r="M713" s="22"/>
    </row>
    <row r="714" spans="5:13" ht="15.75" customHeight="1">
      <c r="E714" s="22"/>
      <c r="F714" s="22"/>
      <c r="G714" s="22"/>
      <c r="K714" s="22"/>
      <c r="L714" s="22"/>
      <c r="M714" s="22"/>
    </row>
    <row r="715" spans="5:13" ht="15.75" customHeight="1">
      <c r="E715" s="22"/>
      <c r="F715" s="22"/>
      <c r="G715" s="22"/>
      <c r="K715" s="22"/>
      <c r="L715" s="22"/>
      <c r="M715" s="22"/>
    </row>
    <row r="716" spans="5:13" ht="15.75" customHeight="1">
      <c r="E716" s="22"/>
      <c r="F716" s="22"/>
      <c r="G716" s="22"/>
      <c r="K716" s="22"/>
      <c r="L716" s="22"/>
      <c r="M716" s="22"/>
    </row>
    <row r="717" spans="5:13" ht="15.75" customHeight="1">
      <c r="E717" s="22"/>
      <c r="F717" s="22"/>
      <c r="G717" s="22"/>
      <c r="K717" s="22"/>
      <c r="L717" s="22"/>
      <c r="M717" s="22"/>
    </row>
    <row r="718" spans="5:13" ht="15.75" customHeight="1">
      <c r="E718" s="22"/>
      <c r="F718" s="22"/>
      <c r="G718" s="22"/>
      <c r="K718" s="22"/>
      <c r="L718" s="22"/>
      <c r="M718" s="22"/>
    </row>
    <row r="719" spans="5:13" ht="15.75" customHeight="1">
      <c r="E719" s="22"/>
      <c r="F719" s="22"/>
      <c r="G719" s="22"/>
      <c r="K719" s="22"/>
      <c r="L719" s="22"/>
      <c r="M719" s="22"/>
    </row>
    <row r="720" spans="5:13" ht="15.75" customHeight="1">
      <c r="E720" s="22"/>
      <c r="F720" s="22"/>
      <c r="G720" s="22"/>
      <c r="K720" s="22"/>
      <c r="L720" s="22"/>
      <c r="M720" s="22"/>
    </row>
    <row r="721" spans="5:13" ht="15.75" customHeight="1">
      <c r="E721" s="22"/>
      <c r="F721" s="22"/>
      <c r="G721" s="22"/>
      <c r="K721" s="22"/>
      <c r="L721" s="22"/>
      <c r="M721" s="22"/>
    </row>
    <row r="722" spans="5:13" ht="15.75" customHeight="1">
      <c r="E722" s="22"/>
      <c r="F722" s="22"/>
      <c r="G722" s="22"/>
      <c r="K722" s="22"/>
      <c r="L722" s="22"/>
      <c r="M722" s="22"/>
    </row>
    <row r="723" spans="5:13" ht="15.75" customHeight="1">
      <c r="E723" s="22"/>
      <c r="F723" s="22"/>
      <c r="G723" s="22"/>
      <c r="K723" s="22"/>
      <c r="L723" s="22"/>
      <c r="M723" s="22"/>
    </row>
    <row r="724" spans="5:13" ht="15.75" customHeight="1">
      <c r="E724" s="22"/>
      <c r="F724" s="22"/>
      <c r="G724" s="22"/>
      <c r="K724" s="22"/>
      <c r="L724" s="22"/>
      <c r="M724" s="22"/>
    </row>
    <row r="725" spans="5:13" ht="15.75" customHeight="1">
      <c r="E725" s="22"/>
      <c r="F725" s="22"/>
      <c r="G725" s="22"/>
      <c r="K725" s="22"/>
      <c r="L725" s="22"/>
      <c r="M725" s="22"/>
    </row>
    <row r="726" spans="5:13" ht="15.75" customHeight="1">
      <c r="E726" s="22"/>
      <c r="F726" s="22"/>
      <c r="G726" s="22"/>
      <c r="K726" s="22"/>
      <c r="L726" s="22"/>
      <c r="M726" s="22"/>
    </row>
    <row r="727" spans="5:13" ht="15.75" customHeight="1">
      <c r="E727" s="22"/>
      <c r="F727" s="22"/>
      <c r="G727" s="22"/>
      <c r="K727" s="22"/>
      <c r="L727" s="22"/>
      <c r="M727" s="22"/>
    </row>
    <row r="728" spans="5:13" ht="15.75" customHeight="1">
      <c r="E728" s="22"/>
      <c r="F728" s="22"/>
      <c r="G728" s="22"/>
      <c r="K728" s="22"/>
      <c r="L728" s="22"/>
      <c r="M728" s="22"/>
    </row>
    <row r="729" spans="5:13" ht="15.75" customHeight="1">
      <c r="E729" s="22"/>
      <c r="F729" s="22"/>
      <c r="G729" s="22"/>
      <c r="K729" s="22"/>
      <c r="L729" s="22"/>
      <c r="M729" s="22"/>
    </row>
    <row r="730" spans="5:13" ht="15.75" customHeight="1">
      <c r="E730" s="22"/>
      <c r="F730" s="22"/>
      <c r="G730" s="22"/>
      <c r="K730" s="22"/>
      <c r="L730" s="22"/>
      <c r="M730" s="22"/>
    </row>
    <row r="731" spans="5:13" ht="15.75" customHeight="1">
      <c r="E731" s="22"/>
      <c r="F731" s="22"/>
      <c r="G731" s="22"/>
      <c r="K731" s="22"/>
      <c r="L731" s="22"/>
      <c r="M731" s="22"/>
    </row>
    <row r="732" spans="5:13" ht="15.75" customHeight="1">
      <c r="E732" s="22"/>
      <c r="F732" s="22"/>
      <c r="G732" s="22"/>
      <c r="K732" s="22"/>
      <c r="L732" s="22"/>
      <c r="M732" s="22"/>
    </row>
    <row r="733" spans="5:13" ht="15.75" customHeight="1">
      <c r="E733" s="22"/>
      <c r="F733" s="22"/>
      <c r="G733" s="22"/>
      <c r="K733" s="22"/>
      <c r="L733" s="22"/>
      <c r="M733" s="22"/>
    </row>
    <row r="734" spans="5:13" ht="15.75" customHeight="1">
      <c r="E734" s="22"/>
      <c r="F734" s="22"/>
      <c r="G734" s="22"/>
      <c r="K734" s="22"/>
      <c r="L734" s="22"/>
      <c r="M734" s="22"/>
    </row>
    <row r="735" spans="5:13" ht="15.75" customHeight="1">
      <c r="E735" s="22"/>
      <c r="F735" s="22"/>
      <c r="G735" s="22"/>
      <c r="K735" s="22"/>
      <c r="L735" s="22"/>
      <c r="M735" s="22"/>
    </row>
    <row r="736" spans="5:13" ht="15.75" customHeight="1">
      <c r="E736" s="22"/>
      <c r="F736" s="22"/>
      <c r="G736" s="22"/>
      <c r="K736" s="22"/>
      <c r="L736" s="22"/>
      <c r="M736" s="22"/>
    </row>
    <row r="737" spans="5:13" ht="15.75" customHeight="1">
      <c r="E737" s="22"/>
      <c r="F737" s="22"/>
      <c r="G737" s="22"/>
      <c r="K737" s="22"/>
      <c r="L737" s="22"/>
      <c r="M737" s="22"/>
    </row>
    <row r="738" spans="5:13" ht="15.75" customHeight="1">
      <c r="E738" s="22"/>
      <c r="F738" s="22"/>
      <c r="G738" s="22"/>
      <c r="K738" s="22"/>
      <c r="L738" s="22"/>
      <c r="M738" s="22"/>
    </row>
    <row r="739" spans="5:13" ht="15.75" customHeight="1">
      <c r="E739" s="22"/>
      <c r="F739" s="22"/>
      <c r="G739" s="22"/>
      <c r="K739" s="22"/>
      <c r="L739" s="22"/>
      <c r="M739" s="22"/>
    </row>
    <row r="740" spans="5:13" ht="15.75" customHeight="1">
      <c r="E740" s="22"/>
      <c r="F740" s="22"/>
      <c r="G740" s="22"/>
      <c r="K740" s="22"/>
      <c r="L740" s="22"/>
      <c r="M740" s="22"/>
    </row>
    <row r="741" spans="5:13" ht="15.75" customHeight="1">
      <c r="E741" s="22"/>
      <c r="F741" s="22"/>
      <c r="G741" s="22"/>
      <c r="K741" s="22"/>
      <c r="L741" s="22"/>
      <c r="M741" s="22"/>
    </row>
    <row r="742" spans="5:13" ht="15.75" customHeight="1">
      <c r="E742" s="22"/>
      <c r="F742" s="22"/>
      <c r="G742" s="22"/>
      <c r="K742" s="22"/>
      <c r="L742" s="22"/>
      <c r="M742" s="22"/>
    </row>
    <row r="743" spans="5:13" ht="15.75" customHeight="1">
      <c r="E743" s="22"/>
      <c r="F743" s="22"/>
      <c r="G743" s="22"/>
      <c r="K743" s="22"/>
      <c r="L743" s="22"/>
      <c r="M743" s="22"/>
    </row>
    <row r="744" spans="5:13" ht="15.75" customHeight="1">
      <c r="E744" s="22"/>
      <c r="F744" s="22"/>
      <c r="G744" s="22"/>
      <c r="K744" s="22"/>
      <c r="L744" s="22"/>
      <c r="M744" s="22"/>
    </row>
    <row r="745" spans="5:13" ht="15.75" customHeight="1">
      <c r="E745" s="22"/>
      <c r="F745" s="22"/>
      <c r="G745" s="22"/>
      <c r="K745" s="22"/>
      <c r="L745" s="22"/>
      <c r="M745" s="22"/>
    </row>
    <row r="746" spans="5:13" ht="15.75" customHeight="1">
      <c r="E746" s="22"/>
      <c r="F746" s="22"/>
      <c r="G746" s="22"/>
      <c r="K746" s="22"/>
      <c r="L746" s="22"/>
      <c r="M746" s="22"/>
    </row>
    <row r="747" spans="5:13" ht="15.75" customHeight="1">
      <c r="E747" s="22"/>
      <c r="F747" s="22"/>
      <c r="G747" s="22"/>
      <c r="K747" s="22"/>
      <c r="L747" s="22"/>
      <c r="M747" s="22"/>
    </row>
    <row r="748" spans="5:13" ht="15.75" customHeight="1">
      <c r="E748" s="22"/>
      <c r="F748" s="22"/>
      <c r="G748" s="22"/>
      <c r="K748" s="22"/>
      <c r="L748" s="22"/>
      <c r="M748" s="22"/>
    </row>
    <row r="749" spans="5:13" ht="15.75" customHeight="1">
      <c r="E749" s="22"/>
      <c r="F749" s="22"/>
      <c r="G749" s="22"/>
      <c r="K749" s="22"/>
      <c r="L749" s="22"/>
      <c r="M749" s="22"/>
    </row>
    <row r="750" spans="5:13" ht="15.75" customHeight="1">
      <c r="E750" s="22"/>
      <c r="F750" s="22"/>
      <c r="G750" s="22"/>
      <c r="K750" s="22"/>
      <c r="L750" s="22"/>
      <c r="M750" s="22"/>
    </row>
    <row r="751" spans="5:13" ht="15.75" customHeight="1">
      <c r="E751" s="22"/>
      <c r="F751" s="22"/>
      <c r="G751" s="22"/>
      <c r="K751" s="22"/>
      <c r="L751" s="22"/>
      <c r="M751" s="22"/>
    </row>
    <row r="752" spans="5:13" ht="15.75" customHeight="1">
      <c r="E752" s="22"/>
      <c r="F752" s="22"/>
      <c r="G752" s="22"/>
      <c r="K752" s="22"/>
      <c r="L752" s="22"/>
      <c r="M752" s="22"/>
    </row>
    <row r="753" spans="5:13" ht="15.75" customHeight="1">
      <c r="E753" s="22"/>
      <c r="F753" s="22"/>
      <c r="G753" s="22"/>
      <c r="K753" s="22"/>
      <c r="L753" s="22"/>
      <c r="M753" s="22"/>
    </row>
    <row r="754" spans="5:13" ht="15.75" customHeight="1">
      <c r="E754" s="22"/>
      <c r="F754" s="22"/>
      <c r="G754" s="22"/>
      <c r="K754" s="22"/>
      <c r="L754" s="22"/>
      <c r="M754" s="22"/>
    </row>
    <row r="755" spans="5:13" ht="15.75" customHeight="1">
      <c r="E755" s="22"/>
      <c r="F755" s="22"/>
      <c r="G755" s="22"/>
      <c r="K755" s="22"/>
      <c r="L755" s="22"/>
      <c r="M755" s="22"/>
    </row>
    <row r="756" spans="5:13" ht="15.75" customHeight="1">
      <c r="E756" s="22"/>
      <c r="F756" s="22"/>
      <c r="G756" s="22"/>
      <c r="K756" s="22"/>
      <c r="L756" s="22"/>
      <c r="M756" s="22"/>
    </row>
    <row r="757" spans="5:13" ht="15.75" customHeight="1">
      <c r="E757" s="22"/>
      <c r="F757" s="22"/>
      <c r="G757" s="22"/>
      <c r="K757" s="22"/>
      <c r="L757" s="22"/>
      <c r="M757" s="22"/>
    </row>
    <row r="758" spans="5:13" ht="15.75" customHeight="1">
      <c r="E758" s="22"/>
      <c r="F758" s="22"/>
      <c r="G758" s="22"/>
      <c r="K758" s="22"/>
      <c r="L758" s="22"/>
      <c r="M758" s="22"/>
    </row>
    <row r="759" spans="5:13" ht="15.75" customHeight="1">
      <c r="E759" s="22"/>
      <c r="F759" s="22"/>
      <c r="G759" s="22"/>
      <c r="K759" s="22"/>
      <c r="L759" s="22"/>
      <c r="M759" s="22"/>
    </row>
    <row r="760" spans="5:13" ht="15.75" customHeight="1">
      <c r="E760" s="22"/>
      <c r="F760" s="22"/>
      <c r="G760" s="22"/>
      <c r="K760" s="22"/>
      <c r="L760" s="22"/>
      <c r="M760" s="22"/>
    </row>
    <row r="761" spans="5:13" ht="15.75" customHeight="1">
      <c r="E761" s="22"/>
      <c r="F761" s="22"/>
      <c r="G761" s="22"/>
      <c r="K761" s="22"/>
      <c r="L761" s="22"/>
      <c r="M761" s="22"/>
    </row>
    <row r="762" spans="5:13" ht="15.75" customHeight="1">
      <c r="E762" s="22"/>
      <c r="F762" s="22"/>
      <c r="G762" s="22"/>
      <c r="K762" s="22"/>
      <c r="L762" s="22"/>
      <c r="M762" s="22"/>
    </row>
    <row r="763" spans="5:13" ht="15.75" customHeight="1">
      <c r="E763" s="22"/>
      <c r="F763" s="22"/>
      <c r="G763" s="22"/>
      <c r="K763" s="22"/>
      <c r="L763" s="22"/>
      <c r="M763" s="22"/>
    </row>
    <row r="764" spans="5:13" ht="15.75" customHeight="1">
      <c r="E764" s="22"/>
      <c r="F764" s="22"/>
      <c r="G764" s="22"/>
      <c r="K764" s="22"/>
      <c r="L764" s="22"/>
      <c r="M764" s="22"/>
    </row>
    <row r="765" spans="5:13" ht="15.75" customHeight="1">
      <c r="E765" s="22"/>
      <c r="F765" s="22"/>
      <c r="G765" s="22"/>
      <c r="K765" s="22"/>
      <c r="L765" s="22"/>
      <c r="M765" s="22"/>
    </row>
    <row r="766" spans="5:13" ht="15.75" customHeight="1">
      <c r="E766" s="22"/>
      <c r="F766" s="22"/>
      <c r="G766" s="22"/>
      <c r="K766" s="22"/>
      <c r="L766" s="22"/>
      <c r="M766" s="22"/>
    </row>
    <row r="767" spans="5:13" ht="15.75" customHeight="1">
      <c r="E767" s="22"/>
      <c r="F767" s="22"/>
      <c r="G767" s="22"/>
      <c r="K767" s="22"/>
      <c r="L767" s="22"/>
      <c r="M767" s="22"/>
    </row>
    <row r="768" spans="5:13" ht="15.75" customHeight="1">
      <c r="E768" s="22"/>
      <c r="F768" s="22"/>
      <c r="G768" s="22"/>
      <c r="K768" s="22"/>
      <c r="L768" s="22"/>
      <c r="M768" s="22"/>
    </row>
    <row r="769" spans="5:13" ht="15.75" customHeight="1">
      <c r="E769" s="22"/>
      <c r="F769" s="22"/>
      <c r="G769" s="22"/>
      <c r="K769" s="22"/>
      <c r="L769" s="22"/>
      <c r="M769" s="22"/>
    </row>
    <row r="770" spans="5:13" ht="15.75" customHeight="1">
      <c r="E770" s="22"/>
      <c r="F770" s="22"/>
      <c r="G770" s="22"/>
      <c r="K770" s="22"/>
      <c r="L770" s="22"/>
      <c r="M770" s="22"/>
    </row>
    <row r="771" spans="5:13" ht="15.75" customHeight="1">
      <c r="E771" s="22"/>
      <c r="F771" s="22"/>
      <c r="G771" s="22"/>
      <c r="K771" s="22"/>
      <c r="L771" s="22"/>
      <c r="M771" s="22"/>
    </row>
    <row r="772" spans="5:13" ht="15.75" customHeight="1">
      <c r="E772" s="22"/>
      <c r="F772" s="22"/>
      <c r="G772" s="22"/>
      <c r="K772" s="22"/>
      <c r="L772" s="22"/>
      <c r="M772" s="22"/>
    </row>
    <row r="773" spans="5:13" ht="15.75" customHeight="1">
      <c r="E773" s="22"/>
      <c r="F773" s="22"/>
      <c r="G773" s="22"/>
      <c r="K773" s="22"/>
      <c r="L773" s="22"/>
      <c r="M773" s="22"/>
    </row>
    <row r="774" spans="5:13" ht="15.75" customHeight="1">
      <c r="E774" s="22"/>
      <c r="F774" s="22"/>
      <c r="G774" s="22"/>
      <c r="K774" s="22"/>
      <c r="L774" s="22"/>
      <c r="M774" s="22"/>
    </row>
    <row r="775" spans="5:13" ht="15.75" customHeight="1">
      <c r="E775" s="22"/>
      <c r="F775" s="22"/>
      <c r="G775" s="22"/>
      <c r="K775" s="22"/>
      <c r="L775" s="22"/>
      <c r="M775" s="22"/>
    </row>
    <row r="776" spans="5:13" ht="15.75" customHeight="1">
      <c r="E776" s="22"/>
      <c r="F776" s="22"/>
      <c r="G776" s="22"/>
      <c r="K776" s="22"/>
      <c r="L776" s="22"/>
      <c r="M776" s="22"/>
    </row>
    <row r="777" spans="5:13" ht="15.75" customHeight="1">
      <c r="E777" s="22"/>
      <c r="F777" s="22"/>
      <c r="G777" s="22"/>
      <c r="K777" s="22"/>
      <c r="L777" s="22"/>
      <c r="M777" s="22"/>
    </row>
    <row r="778" spans="5:13" ht="15.75" customHeight="1">
      <c r="E778" s="22"/>
      <c r="F778" s="22"/>
      <c r="G778" s="22"/>
      <c r="K778" s="22"/>
      <c r="L778" s="22"/>
      <c r="M778" s="22"/>
    </row>
    <row r="779" spans="5:13" ht="15.75" customHeight="1">
      <c r="E779" s="22"/>
      <c r="F779" s="22"/>
      <c r="G779" s="22"/>
      <c r="K779" s="22"/>
      <c r="L779" s="22"/>
      <c r="M779" s="22"/>
    </row>
    <row r="780" spans="5:13" ht="15.75" customHeight="1">
      <c r="E780" s="22"/>
      <c r="F780" s="22"/>
      <c r="G780" s="22"/>
      <c r="K780" s="22"/>
      <c r="L780" s="22"/>
      <c r="M780" s="22"/>
    </row>
    <row r="781" spans="5:13" ht="15.75" customHeight="1">
      <c r="E781" s="22"/>
      <c r="F781" s="22"/>
      <c r="G781" s="22"/>
      <c r="K781" s="22"/>
      <c r="L781" s="22"/>
      <c r="M781" s="22"/>
    </row>
    <row r="782" spans="5:13" ht="15.75" customHeight="1">
      <c r="E782" s="22"/>
      <c r="F782" s="22"/>
      <c r="G782" s="22"/>
      <c r="K782" s="22"/>
      <c r="L782" s="22"/>
      <c r="M782" s="22"/>
    </row>
    <row r="783" spans="5:13" ht="15.75" customHeight="1">
      <c r="E783" s="22"/>
      <c r="F783" s="22"/>
      <c r="G783" s="22"/>
      <c r="K783" s="22"/>
      <c r="L783" s="22"/>
      <c r="M783" s="22"/>
    </row>
    <row r="784" spans="5:13" ht="15.75" customHeight="1">
      <c r="E784" s="22"/>
      <c r="F784" s="22"/>
      <c r="G784" s="22"/>
      <c r="K784" s="22"/>
      <c r="L784" s="22"/>
      <c r="M784" s="22"/>
    </row>
    <row r="785" spans="5:13" ht="15.75" customHeight="1">
      <c r="E785" s="22"/>
      <c r="F785" s="22"/>
      <c r="G785" s="22"/>
      <c r="K785" s="22"/>
      <c r="L785" s="22"/>
      <c r="M785" s="22"/>
    </row>
    <row r="786" spans="5:13" ht="15.75" customHeight="1">
      <c r="E786" s="22"/>
      <c r="F786" s="22"/>
      <c r="G786" s="22"/>
      <c r="K786" s="22"/>
      <c r="L786" s="22"/>
      <c r="M786" s="22"/>
    </row>
    <row r="787" spans="5:13" ht="15.75" customHeight="1">
      <c r="E787" s="22"/>
      <c r="F787" s="22"/>
      <c r="G787" s="22"/>
      <c r="K787" s="22"/>
      <c r="L787" s="22"/>
      <c r="M787" s="22"/>
    </row>
    <row r="788" spans="5:13" ht="15.75" customHeight="1">
      <c r="E788" s="22"/>
      <c r="F788" s="22"/>
      <c r="G788" s="22"/>
      <c r="K788" s="22"/>
      <c r="L788" s="22"/>
      <c r="M788" s="22"/>
    </row>
    <row r="789" spans="5:13" ht="15.75" customHeight="1">
      <c r="E789" s="22"/>
      <c r="F789" s="22"/>
      <c r="G789" s="22"/>
      <c r="K789" s="22"/>
      <c r="L789" s="22"/>
      <c r="M789" s="22"/>
    </row>
    <row r="790" spans="5:13" ht="15.75" customHeight="1">
      <c r="E790" s="22"/>
      <c r="F790" s="22"/>
      <c r="G790" s="22"/>
      <c r="K790" s="22"/>
      <c r="L790" s="22"/>
      <c r="M790" s="22"/>
    </row>
    <row r="791" spans="5:13" ht="15.75" customHeight="1">
      <c r="E791" s="22"/>
      <c r="F791" s="22"/>
      <c r="G791" s="22"/>
      <c r="K791" s="22"/>
      <c r="L791" s="22"/>
      <c r="M791" s="22"/>
    </row>
    <row r="792" spans="5:13" ht="15.75" customHeight="1">
      <c r="E792" s="22"/>
      <c r="F792" s="22"/>
      <c r="G792" s="22"/>
      <c r="K792" s="22"/>
      <c r="L792" s="22"/>
      <c r="M792" s="22"/>
    </row>
    <row r="793" spans="5:13" ht="15.75" customHeight="1">
      <c r="E793" s="22"/>
      <c r="F793" s="22"/>
      <c r="G793" s="22"/>
      <c r="K793" s="22"/>
      <c r="L793" s="22"/>
      <c r="M793" s="22"/>
    </row>
    <row r="794" spans="5:13" ht="15.75" customHeight="1">
      <c r="E794" s="22"/>
      <c r="F794" s="22"/>
      <c r="G794" s="22"/>
      <c r="K794" s="22"/>
      <c r="L794" s="22"/>
      <c r="M794" s="22"/>
    </row>
    <row r="795" spans="5:13" ht="15.75" customHeight="1">
      <c r="E795" s="22"/>
      <c r="F795" s="22"/>
      <c r="G795" s="22"/>
      <c r="K795" s="22"/>
      <c r="L795" s="22"/>
      <c r="M795" s="22"/>
    </row>
    <row r="796" spans="5:13" ht="15.75" customHeight="1">
      <c r="E796" s="22"/>
      <c r="F796" s="22"/>
      <c r="G796" s="22"/>
      <c r="K796" s="22"/>
      <c r="L796" s="22"/>
      <c r="M796" s="22"/>
    </row>
    <row r="797" spans="5:13" ht="15.75" customHeight="1">
      <c r="E797" s="22"/>
      <c r="F797" s="22"/>
      <c r="G797" s="22"/>
      <c r="K797" s="22"/>
      <c r="L797" s="22"/>
      <c r="M797" s="22"/>
    </row>
    <row r="798" spans="5:13" ht="15.75" customHeight="1">
      <c r="E798" s="22"/>
      <c r="F798" s="22"/>
      <c r="G798" s="22"/>
      <c r="K798" s="22"/>
      <c r="L798" s="22"/>
      <c r="M798" s="22"/>
    </row>
    <row r="799" spans="5:13" ht="15.75" customHeight="1">
      <c r="E799" s="22"/>
      <c r="F799" s="22"/>
      <c r="G799" s="22"/>
      <c r="K799" s="22"/>
      <c r="L799" s="22"/>
      <c r="M799" s="22"/>
    </row>
    <row r="800" spans="5:13" ht="15.75" customHeight="1">
      <c r="E800" s="22"/>
      <c r="F800" s="22"/>
      <c r="G800" s="22"/>
      <c r="K800" s="22"/>
      <c r="L800" s="22"/>
      <c r="M800" s="22"/>
    </row>
    <row r="801" spans="5:13" ht="15.75" customHeight="1">
      <c r="E801" s="22"/>
      <c r="F801" s="22"/>
      <c r="G801" s="22"/>
      <c r="K801" s="22"/>
      <c r="L801" s="22"/>
      <c r="M801" s="22"/>
    </row>
    <row r="802" spans="5:13" ht="15.75" customHeight="1">
      <c r="E802" s="22"/>
      <c r="F802" s="22"/>
      <c r="G802" s="22"/>
      <c r="K802" s="22"/>
      <c r="L802" s="22"/>
      <c r="M802" s="22"/>
    </row>
    <row r="803" spans="5:13" ht="15.75" customHeight="1">
      <c r="E803" s="22"/>
      <c r="F803" s="22"/>
      <c r="G803" s="22"/>
      <c r="K803" s="22"/>
      <c r="L803" s="22"/>
      <c r="M803" s="22"/>
    </row>
    <row r="804" spans="5:13" ht="15.75" customHeight="1">
      <c r="E804" s="22"/>
      <c r="F804" s="22"/>
      <c r="G804" s="22"/>
      <c r="K804" s="22"/>
      <c r="L804" s="22"/>
      <c r="M804" s="22"/>
    </row>
    <row r="805" spans="5:13" ht="15.75" customHeight="1">
      <c r="E805" s="22"/>
      <c r="F805" s="22"/>
      <c r="G805" s="22"/>
      <c r="K805" s="22"/>
      <c r="L805" s="22"/>
      <c r="M805" s="22"/>
    </row>
    <row r="806" spans="5:13" ht="15.75" customHeight="1">
      <c r="E806" s="22"/>
      <c r="F806" s="22"/>
      <c r="G806" s="22"/>
      <c r="K806" s="22"/>
      <c r="L806" s="22"/>
      <c r="M806" s="22"/>
    </row>
    <row r="807" spans="5:13" ht="15.75" customHeight="1">
      <c r="E807" s="22"/>
      <c r="F807" s="22"/>
      <c r="G807" s="22"/>
      <c r="K807" s="22"/>
      <c r="L807" s="22"/>
      <c r="M807" s="22"/>
    </row>
    <row r="808" spans="5:13" ht="15.75" customHeight="1">
      <c r="E808" s="22"/>
      <c r="F808" s="22"/>
      <c r="G808" s="22"/>
      <c r="K808" s="22"/>
      <c r="L808" s="22"/>
      <c r="M808" s="22"/>
    </row>
    <row r="809" spans="5:13" ht="15.75" customHeight="1">
      <c r="E809" s="22"/>
      <c r="F809" s="22"/>
      <c r="G809" s="22"/>
      <c r="K809" s="22"/>
      <c r="L809" s="22"/>
      <c r="M809" s="22"/>
    </row>
    <row r="810" spans="5:13" ht="15.75" customHeight="1">
      <c r="E810" s="22"/>
      <c r="F810" s="22"/>
      <c r="G810" s="22"/>
      <c r="K810" s="22"/>
      <c r="L810" s="22"/>
      <c r="M810" s="22"/>
    </row>
    <row r="811" spans="5:13" ht="15.75" customHeight="1">
      <c r="E811" s="22"/>
      <c r="F811" s="22"/>
      <c r="G811" s="22"/>
      <c r="K811" s="22"/>
      <c r="L811" s="22"/>
      <c r="M811" s="22"/>
    </row>
    <row r="812" spans="5:13" ht="15.75" customHeight="1">
      <c r="E812" s="22"/>
      <c r="F812" s="22"/>
      <c r="G812" s="22"/>
      <c r="K812" s="22"/>
      <c r="L812" s="22"/>
      <c r="M812" s="22"/>
    </row>
    <row r="813" spans="5:13" ht="15.75" customHeight="1">
      <c r="E813" s="22"/>
      <c r="F813" s="22"/>
      <c r="G813" s="22"/>
      <c r="K813" s="22"/>
      <c r="L813" s="22"/>
      <c r="M813" s="22"/>
    </row>
    <row r="814" spans="5:13" ht="15.75" customHeight="1">
      <c r="E814" s="22"/>
      <c r="F814" s="22"/>
      <c r="G814" s="22"/>
      <c r="K814" s="22"/>
      <c r="L814" s="22"/>
      <c r="M814" s="22"/>
    </row>
    <row r="815" spans="5:13" ht="15.75" customHeight="1">
      <c r="E815" s="22"/>
      <c r="F815" s="22"/>
      <c r="G815" s="22"/>
      <c r="K815" s="22"/>
      <c r="L815" s="22"/>
      <c r="M815" s="22"/>
    </row>
    <row r="816" spans="5:13" ht="15.75" customHeight="1">
      <c r="E816" s="22"/>
      <c r="F816" s="22"/>
      <c r="G816" s="22"/>
      <c r="K816" s="22"/>
      <c r="L816" s="22"/>
      <c r="M816" s="22"/>
    </row>
    <row r="817" spans="5:13" ht="15.75" customHeight="1">
      <c r="E817" s="22"/>
      <c r="F817" s="22"/>
      <c r="G817" s="22"/>
      <c r="K817" s="22"/>
      <c r="L817" s="22"/>
      <c r="M817" s="22"/>
    </row>
    <row r="818" spans="5:13" ht="15.75" customHeight="1">
      <c r="E818" s="22"/>
      <c r="F818" s="22"/>
      <c r="G818" s="22"/>
      <c r="K818" s="22"/>
      <c r="L818" s="22"/>
      <c r="M818" s="22"/>
    </row>
    <row r="819" spans="5:13" ht="15.75" customHeight="1">
      <c r="E819" s="22"/>
      <c r="F819" s="22"/>
      <c r="G819" s="22"/>
      <c r="K819" s="22"/>
      <c r="L819" s="22"/>
      <c r="M819" s="22"/>
    </row>
    <row r="820" spans="5:13" ht="15.75" customHeight="1">
      <c r="E820" s="22"/>
      <c r="F820" s="22"/>
      <c r="G820" s="22"/>
      <c r="K820" s="22"/>
      <c r="L820" s="22"/>
      <c r="M820" s="22"/>
    </row>
    <row r="821" spans="5:13" ht="15.75" customHeight="1">
      <c r="E821" s="22"/>
      <c r="F821" s="22"/>
      <c r="G821" s="22"/>
      <c r="K821" s="22"/>
      <c r="L821" s="22"/>
      <c r="M821" s="22"/>
    </row>
    <row r="822" spans="5:13" ht="15.75" customHeight="1">
      <c r="E822" s="22"/>
      <c r="F822" s="22"/>
      <c r="G822" s="22"/>
      <c r="K822" s="22"/>
      <c r="L822" s="22"/>
      <c r="M822" s="22"/>
    </row>
    <row r="823" spans="5:13" ht="15.75" customHeight="1">
      <c r="E823" s="22"/>
      <c r="F823" s="22"/>
      <c r="G823" s="22"/>
      <c r="K823" s="22"/>
      <c r="L823" s="22"/>
      <c r="M823" s="22"/>
    </row>
    <row r="824" spans="5:13" ht="15.75" customHeight="1">
      <c r="E824" s="22"/>
      <c r="F824" s="22"/>
      <c r="G824" s="22"/>
      <c r="K824" s="22"/>
      <c r="L824" s="22"/>
      <c r="M824" s="22"/>
    </row>
    <row r="825" spans="5:13" ht="15.75" customHeight="1">
      <c r="E825" s="22"/>
      <c r="F825" s="22"/>
      <c r="G825" s="22"/>
      <c r="K825" s="22"/>
      <c r="L825" s="22"/>
      <c r="M825" s="22"/>
    </row>
    <row r="826" spans="5:13" ht="15.75" customHeight="1">
      <c r="E826" s="22"/>
      <c r="F826" s="22"/>
      <c r="G826" s="22"/>
      <c r="K826" s="22"/>
      <c r="L826" s="22"/>
      <c r="M826" s="22"/>
    </row>
    <row r="827" spans="5:13" ht="15.75" customHeight="1">
      <c r="E827" s="22"/>
      <c r="F827" s="22"/>
      <c r="G827" s="22"/>
      <c r="K827" s="22"/>
      <c r="L827" s="22"/>
      <c r="M827" s="22"/>
    </row>
    <row r="828" spans="5:13" ht="15.75" customHeight="1">
      <c r="E828" s="22"/>
      <c r="F828" s="22"/>
      <c r="G828" s="22"/>
      <c r="K828" s="22"/>
      <c r="L828" s="22"/>
      <c r="M828" s="22"/>
    </row>
    <row r="829" spans="5:13" ht="15.75" customHeight="1">
      <c r="E829" s="22"/>
      <c r="F829" s="22"/>
      <c r="G829" s="22"/>
      <c r="K829" s="22"/>
      <c r="L829" s="22"/>
      <c r="M829" s="22"/>
    </row>
    <row r="830" spans="5:13" ht="15.75" customHeight="1">
      <c r="E830" s="22"/>
      <c r="F830" s="22"/>
      <c r="G830" s="22"/>
      <c r="K830" s="22"/>
      <c r="L830" s="22"/>
      <c r="M830" s="22"/>
    </row>
    <row r="831" spans="5:13" ht="15.75" customHeight="1">
      <c r="E831" s="22"/>
      <c r="F831" s="22"/>
      <c r="G831" s="22"/>
      <c r="K831" s="22"/>
      <c r="L831" s="22"/>
      <c r="M831" s="22"/>
    </row>
    <row r="832" spans="5:13" ht="15.75" customHeight="1">
      <c r="E832" s="22"/>
      <c r="F832" s="22"/>
      <c r="G832" s="22"/>
      <c r="K832" s="22"/>
      <c r="L832" s="22"/>
      <c r="M832" s="22"/>
    </row>
    <row r="833" spans="5:13" ht="15.75" customHeight="1">
      <c r="E833" s="22"/>
      <c r="F833" s="22"/>
      <c r="G833" s="22"/>
      <c r="K833" s="22"/>
      <c r="L833" s="22"/>
      <c r="M833" s="22"/>
    </row>
    <row r="834" spans="5:13" ht="15.75" customHeight="1">
      <c r="E834" s="22"/>
      <c r="F834" s="22"/>
      <c r="G834" s="22"/>
      <c r="K834" s="22"/>
      <c r="L834" s="22"/>
      <c r="M834" s="22"/>
    </row>
    <row r="835" spans="5:13" ht="15.75" customHeight="1">
      <c r="E835" s="22"/>
      <c r="F835" s="22"/>
      <c r="G835" s="22"/>
      <c r="K835" s="22"/>
      <c r="L835" s="22"/>
      <c r="M835" s="22"/>
    </row>
    <row r="836" spans="5:13" ht="15.75" customHeight="1">
      <c r="E836" s="22"/>
      <c r="F836" s="22"/>
      <c r="G836" s="22"/>
      <c r="K836" s="22"/>
      <c r="L836" s="22"/>
      <c r="M836" s="22"/>
    </row>
    <row r="837" spans="5:13" ht="15.75" customHeight="1">
      <c r="E837" s="22"/>
      <c r="F837" s="22"/>
      <c r="G837" s="22"/>
      <c r="K837" s="22"/>
      <c r="L837" s="22"/>
      <c r="M837" s="22"/>
    </row>
    <row r="838" spans="5:13" ht="15.75" customHeight="1">
      <c r="E838" s="22"/>
      <c r="F838" s="22"/>
      <c r="G838" s="22"/>
      <c r="K838" s="22"/>
      <c r="L838" s="22"/>
      <c r="M838" s="22"/>
    </row>
    <row r="839" spans="5:13" ht="15.75" customHeight="1">
      <c r="E839" s="22"/>
      <c r="F839" s="22"/>
      <c r="G839" s="22"/>
      <c r="K839" s="22"/>
      <c r="L839" s="22"/>
      <c r="M839" s="22"/>
    </row>
    <row r="840" spans="5:13" ht="15.75" customHeight="1">
      <c r="E840" s="22"/>
      <c r="F840" s="22"/>
      <c r="G840" s="22"/>
      <c r="K840" s="22"/>
      <c r="L840" s="22"/>
      <c r="M840" s="22"/>
    </row>
    <row r="841" spans="5:13" ht="15.75" customHeight="1">
      <c r="E841" s="22"/>
      <c r="F841" s="22"/>
      <c r="G841" s="22"/>
      <c r="K841" s="22"/>
      <c r="L841" s="22"/>
      <c r="M841" s="22"/>
    </row>
    <row r="842" spans="5:13" ht="15.75" customHeight="1">
      <c r="E842" s="22"/>
      <c r="F842" s="22"/>
      <c r="G842" s="22"/>
      <c r="K842" s="22"/>
      <c r="L842" s="22"/>
      <c r="M842" s="22"/>
    </row>
    <row r="843" spans="5:13" ht="15.75" customHeight="1">
      <c r="E843" s="22"/>
      <c r="F843" s="22"/>
      <c r="G843" s="22"/>
      <c r="K843" s="22"/>
      <c r="L843" s="22"/>
      <c r="M843" s="22"/>
    </row>
    <row r="844" spans="5:13" ht="15.75" customHeight="1">
      <c r="E844" s="22"/>
      <c r="F844" s="22"/>
      <c r="G844" s="22"/>
      <c r="K844" s="22"/>
      <c r="L844" s="22"/>
      <c r="M844" s="22"/>
    </row>
    <row r="845" spans="5:13" ht="15.75" customHeight="1">
      <c r="E845" s="22"/>
      <c r="F845" s="22"/>
      <c r="G845" s="22"/>
      <c r="K845" s="22"/>
      <c r="L845" s="22"/>
      <c r="M845" s="22"/>
    </row>
    <row r="846" spans="5:13" ht="15.75" customHeight="1">
      <c r="E846" s="22"/>
      <c r="F846" s="22"/>
      <c r="G846" s="22"/>
      <c r="K846" s="22"/>
      <c r="L846" s="22"/>
      <c r="M846" s="22"/>
    </row>
    <row r="847" spans="5:13" ht="15.75" customHeight="1">
      <c r="E847" s="22"/>
      <c r="F847" s="22"/>
      <c r="G847" s="22"/>
      <c r="K847" s="22"/>
      <c r="L847" s="22"/>
      <c r="M847" s="22"/>
    </row>
    <row r="848" spans="5:13" ht="15.75" customHeight="1">
      <c r="E848" s="22"/>
      <c r="F848" s="22"/>
      <c r="G848" s="22"/>
      <c r="K848" s="22"/>
      <c r="L848" s="22"/>
      <c r="M848" s="22"/>
    </row>
    <row r="849" spans="5:13" ht="15.75" customHeight="1">
      <c r="E849" s="22"/>
      <c r="F849" s="22"/>
      <c r="G849" s="22"/>
      <c r="K849" s="22"/>
      <c r="L849" s="22"/>
      <c r="M849" s="22"/>
    </row>
    <row r="850" spans="5:13" ht="15.75" customHeight="1">
      <c r="E850" s="22"/>
      <c r="F850" s="22"/>
      <c r="G850" s="22"/>
      <c r="K850" s="22"/>
      <c r="L850" s="22"/>
      <c r="M850" s="22"/>
    </row>
    <row r="851" spans="5:13" ht="15.75" customHeight="1">
      <c r="E851" s="22"/>
      <c r="F851" s="22"/>
      <c r="G851" s="22"/>
      <c r="K851" s="22"/>
      <c r="L851" s="22"/>
      <c r="M851" s="22"/>
    </row>
    <row r="852" spans="5:13" ht="15.75" customHeight="1">
      <c r="E852" s="22"/>
      <c r="F852" s="22"/>
      <c r="G852" s="22"/>
      <c r="K852" s="22"/>
      <c r="L852" s="22"/>
      <c r="M852" s="22"/>
    </row>
    <row r="853" spans="5:13" ht="15.75" customHeight="1">
      <c r="E853" s="22"/>
      <c r="F853" s="22"/>
      <c r="G853" s="22"/>
      <c r="K853" s="22"/>
      <c r="L853" s="22"/>
      <c r="M853" s="22"/>
    </row>
    <row r="854" spans="5:13" ht="15.75" customHeight="1">
      <c r="E854" s="22"/>
      <c r="F854" s="22"/>
      <c r="G854" s="22"/>
      <c r="K854" s="22"/>
      <c r="L854" s="22"/>
      <c r="M854" s="22"/>
    </row>
    <row r="855" spans="5:13" ht="15.75" customHeight="1">
      <c r="E855" s="22"/>
      <c r="F855" s="22"/>
      <c r="G855" s="22"/>
      <c r="K855" s="22"/>
      <c r="L855" s="22"/>
      <c r="M855" s="22"/>
    </row>
    <row r="856" spans="5:13" ht="15.75" customHeight="1">
      <c r="E856" s="22"/>
      <c r="F856" s="22"/>
      <c r="G856" s="22"/>
      <c r="K856" s="22"/>
      <c r="L856" s="22"/>
      <c r="M856" s="22"/>
    </row>
    <row r="857" spans="5:13" ht="15.75" customHeight="1">
      <c r="E857" s="22"/>
      <c r="F857" s="22"/>
      <c r="G857" s="22"/>
      <c r="K857" s="22"/>
      <c r="L857" s="22"/>
      <c r="M857" s="22"/>
    </row>
    <row r="858" spans="5:13" ht="15.75" customHeight="1">
      <c r="E858" s="22"/>
      <c r="F858" s="22"/>
      <c r="G858" s="22"/>
      <c r="K858" s="22"/>
      <c r="L858" s="22"/>
      <c r="M858" s="22"/>
    </row>
    <row r="859" spans="5:13" ht="15.75" customHeight="1">
      <c r="E859" s="22"/>
      <c r="F859" s="22"/>
      <c r="G859" s="22"/>
      <c r="K859" s="22"/>
      <c r="L859" s="22"/>
      <c r="M859" s="22"/>
    </row>
    <row r="860" spans="5:13" ht="15.75" customHeight="1">
      <c r="E860" s="22"/>
      <c r="F860" s="22"/>
      <c r="G860" s="22"/>
      <c r="K860" s="22"/>
      <c r="L860" s="22"/>
      <c r="M860" s="22"/>
    </row>
    <row r="861" spans="5:13" ht="15.75" customHeight="1">
      <c r="E861" s="22"/>
      <c r="F861" s="22"/>
      <c r="G861" s="22"/>
      <c r="K861" s="22"/>
      <c r="L861" s="22"/>
      <c r="M861" s="22"/>
    </row>
    <row r="862" spans="5:13" ht="15.75" customHeight="1">
      <c r="E862" s="22"/>
      <c r="F862" s="22"/>
      <c r="G862" s="22"/>
      <c r="K862" s="22"/>
      <c r="L862" s="22"/>
      <c r="M862" s="22"/>
    </row>
    <row r="863" spans="5:13" ht="15.75" customHeight="1">
      <c r="E863" s="22"/>
      <c r="F863" s="22"/>
      <c r="G863" s="22"/>
      <c r="K863" s="22"/>
      <c r="L863" s="22"/>
      <c r="M863" s="22"/>
    </row>
    <row r="864" spans="5:13" ht="15.75" customHeight="1">
      <c r="E864" s="22"/>
      <c r="F864" s="22"/>
      <c r="G864" s="22"/>
      <c r="K864" s="22"/>
      <c r="L864" s="22"/>
      <c r="M864" s="22"/>
    </row>
    <row r="865" spans="5:13" ht="15.75" customHeight="1">
      <c r="E865" s="22"/>
      <c r="F865" s="22"/>
      <c r="G865" s="22"/>
      <c r="K865" s="22"/>
      <c r="L865" s="22"/>
      <c r="M865" s="22"/>
    </row>
    <row r="866" spans="5:13" ht="15.75" customHeight="1">
      <c r="E866" s="22"/>
      <c r="F866" s="22"/>
      <c r="G866" s="22"/>
      <c r="K866" s="22"/>
      <c r="L866" s="22"/>
      <c r="M866" s="22"/>
    </row>
    <row r="867" spans="5:13" ht="15.75" customHeight="1">
      <c r="E867" s="22"/>
      <c r="F867" s="22"/>
      <c r="G867" s="22"/>
      <c r="K867" s="22"/>
      <c r="L867" s="22"/>
      <c r="M867" s="22"/>
    </row>
    <row r="868" spans="5:13" ht="15.75" customHeight="1">
      <c r="E868" s="22"/>
      <c r="F868" s="22"/>
      <c r="G868" s="22"/>
      <c r="K868" s="22"/>
      <c r="L868" s="22"/>
      <c r="M868" s="22"/>
    </row>
    <row r="869" spans="5:13" ht="15.75" customHeight="1">
      <c r="E869" s="22"/>
      <c r="F869" s="22"/>
      <c r="G869" s="22"/>
      <c r="K869" s="22"/>
      <c r="L869" s="22"/>
      <c r="M869" s="22"/>
    </row>
    <row r="870" spans="5:13" ht="15.75" customHeight="1">
      <c r="E870" s="22"/>
      <c r="F870" s="22"/>
      <c r="G870" s="22"/>
      <c r="K870" s="22"/>
      <c r="L870" s="22"/>
      <c r="M870" s="22"/>
    </row>
    <row r="871" spans="5:13" ht="15.75" customHeight="1">
      <c r="E871" s="22"/>
      <c r="F871" s="22"/>
      <c r="G871" s="22"/>
      <c r="K871" s="22"/>
      <c r="L871" s="22"/>
      <c r="M871" s="22"/>
    </row>
    <row r="872" spans="5:13" ht="15.75" customHeight="1">
      <c r="E872" s="22"/>
      <c r="F872" s="22"/>
      <c r="G872" s="22"/>
      <c r="K872" s="22"/>
      <c r="L872" s="22"/>
      <c r="M872" s="22"/>
    </row>
    <row r="873" spans="5:13" ht="15.75" customHeight="1">
      <c r="E873" s="22"/>
      <c r="F873" s="22"/>
      <c r="G873" s="22"/>
      <c r="K873" s="22"/>
      <c r="L873" s="22"/>
      <c r="M873" s="22"/>
    </row>
    <row r="874" spans="5:13" ht="15.75" customHeight="1">
      <c r="E874" s="22"/>
      <c r="F874" s="22"/>
      <c r="G874" s="22"/>
      <c r="K874" s="22"/>
      <c r="L874" s="22"/>
      <c r="M874" s="22"/>
    </row>
    <row r="875" spans="5:13" ht="15.75" customHeight="1">
      <c r="E875" s="22"/>
      <c r="F875" s="22"/>
      <c r="G875" s="22"/>
      <c r="K875" s="22"/>
      <c r="L875" s="22"/>
      <c r="M875" s="22"/>
    </row>
    <row r="876" spans="5:13" ht="15.75" customHeight="1">
      <c r="E876" s="22"/>
      <c r="F876" s="22"/>
      <c r="G876" s="22"/>
      <c r="K876" s="22"/>
      <c r="L876" s="22"/>
      <c r="M876" s="22"/>
    </row>
    <row r="877" spans="5:13" ht="15.75" customHeight="1">
      <c r="E877" s="22"/>
      <c r="F877" s="22"/>
      <c r="G877" s="22"/>
      <c r="K877" s="22"/>
      <c r="L877" s="22"/>
      <c r="M877" s="22"/>
    </row>
    <row r="878" spans="5:13" ht="15.75" customHeight="1">
      <c r="E878" s="22"/>
      <c r="F878" s="22"/>
      <c r="G878" s="22"/>
      <c r="K878" s="22"/>
      <c r="L878" s="22"/>
      <c r="M878" s="22"/>
    </row>
    <row r="879" spans="5:13" ht="15.75" customHeight="1">
      <c r="E879" s="22"/>
      <c r="F879" s="22"/>
      <c r="G879" s="22"/>
      <c r="K879" s="22"/>
      <c r="L879" s="22"/>
      <c r="M879" s="22"/>
    </row>
    <row r="880" spans="5:13" ht="15.75" customHeight="1">
      <c r="E880" s="22"/>
      <c r="F880" s="22"/>
      <c r="G880" s="22"/>
      <c r="K880" s="22"/>
      <c r="L880" s="22"/>
      <c r="M880" s="22"/>
    </row>
    <row r="881" spans="5:13" ht="15.75" customHeight="1">
      <c r="E881" s="22"/>
      <c r="F881" s="22"/>
      <c r="G881" s="22"/>
      <c r="K881" s="22"/>
      <c r="L881" s="22"/>
      <c r="M881" s="22"/>
    </row>
    <row r="882" spans="5:13" ht="15.75" customHeight="1">
      <c r="E882" s="22"/>
      <c r="F882" s="22"/>
      <c r="G882" s="22"/>
      <c r="K882" s="22"/>
      <c r="L882" s="22"/>
      <c r="M882" s="22"/>
    </row>
    <row r="883" spans="5:13" ht="15.75" customHeight="1">
      <c r="E883" s="22"/>
      <c r="F883" s="22"/>
      <c r="G883" s="22"/>
      <c r="K883" s="22"/>
      <c r="L883" s="22"/>
      <c r="M883" s="22"/>
    </row>
    <row r="884" spans="5:13" ht="15.75" customHeight="1">
      <c r="E884" s="22"/>
      <c r="F884" s="22"/>
      <c r="G884" s="22"/>
      <c r="K884" s="22"/>
      <c r="L884" s="22"/>
      <c r="M884" s="22"/>
    </row>
    <row r="885" spans="5:13" ht="15.75" customHeight="1">
      <c r="E885" s="22"/>
      <c r="F885" s="22"/>
      <c r="G885" s="22"/>
      <c r="K885" s="22"/>
      <c r="L885" s="22"/>
      <c r="M885" s="22"/>
    </row>
    <row r="886" spans="5:13" ht="15.75" customHeight="1">
      <c r="E886" s="22"/>
      <c r="F886" s="22"/>
      <c r="G886" s="22"/>
      <c r="K886" s="22"/>
      <c r="L886" s="22"/>
      <c r="M886" s="22"/>
    </row>
    <row r="887" spans="5:13" ht="15.75" customHeight="1">
      <c r="E887" s="22"/>
      <c r="F887" s="22"/>
      <c r="G887" s="22"/>
      <c r="K887" s="22"/>
      <c r="L887" s="22"/>
      <c r="M887" s="22"/>
    </row>
    <row r="888" spans="5:13" ht="15.75" customHeight="1">
      <c r="E888" s="22"/>
      <c r="F888" s="22"/>
      <c r="G888" s="22"/>
      <c r="K888" s="22"/>
      <c r="L888" s="22"/>
      <c r="M888" s="22"/>
    </row>
    <row r="889" spans="5:13" ht="15.75" customHeight="1">
      <c r="E889" s="22"/>
      <c r="F889" s="22"/>
      <c r="G889" s="22"/>
      <c r="K889" s="22"/>
      <c r="L889" s="22"/>
      <c r="M889" s="22"/>
    </row>
    <row r="890" spans="5:13" ht="15.75" customHeight="1">
      <c r="E890" s="22"/>
      <c r="F890" s="22"/>
      <c r="G890" s="22"/>
      <c r="K890" s="22"/>
      <c r="L890" s="22"/>
      <c r="M890" s="22"/>
    </row>
    <row r="891" spans="5:13" ht="15.75" customHeight="1">
      <c r="E891" s="22"/>
      <c r="F891" s="22"/>
      <c r="G891" s="22"/>
      <c r="K891" s="22"/>
      <c r="L891" s="22"/>
      <c r="M891" s="22"/>
    </row>
    <row r="892" spans="5:13" ht="15.75" customHeight="1">
      <c r="E892" s="22"/>
      <c r="F892" s="22"/>
      <c r="G892" s="22"/>
      <c r="K892" s="22"/>
      <c r="L892" s="22"/>
      <c r="M892" s="22"/>
    </row>
    <row r="893" spans="5:13" ht="15.75" customHeight="1">
      <c r="E893" s="22"/>
      <c r="F893" s="22"/>
      <c r="G893" s="22"/>
      <c r="K893" s="22"/>
      <c r="L893" s="22"/>
      <c r="M893" s="22"/>
    </row>
    <row r="894" spans="5:13" ht="15.75" customHeight="1">
      <c r="E894" s="22"/>
      <c r="F894" s="22"/>
      <c r="G894" s="22"/>
      <c r="K894" s="22"/>
      <c r="L894" s="22"/>
      <c r="M894" s="22"/>
    </row>
    <row r="895" spans="5:13" ht="15.75" customHeight="1">
      <c r="E895" s="22"/>
      <c r="F895" s="22"/>
      <c r="G895" s="22"/>
      <c r="K895" s="22"/>
      <c r="L895" s="22"/>
      <c r="M895" s="22"/>
    </row>
    <row r="896" spans="5:13" ht="15.75" customHeight="1">
      <c r="E896" s="22"/>
      <c r="F896" s="22"/>
      <c r="G896" s="22"/>
      <c r="K896" s="22"/>
      <c r="L896" s="22"/>
      <c r="M896" s="22"/>
    </row>
    <row r="897" spans="5:13" ht="15.75" customHeight="1">
      <c r="E897" s="22"/>
      <c r="F897" s="22"/>
      <c r="G897" s="22"/>
      <c r="K897" s="22"/>
      <c r="L897" s="22"/>
      <c r="M897" s="22"/>
    </row>
    <row r="898" spans="5:13" ht="15.75" customHeight="1">
      <c r="E898" s="22"/>
      <c r="F898" s="22"/>
      <c r="G898" s="22"/>
      <c r="K898" s="22"/>
      <c r="L898" s="22"/>
      <c r="M898" s="22"/>
    </row>
    <row r="899" spans="5:13" ht="15.75" customHeight="1">
      <c r="E899" s="22"/>
      <c r="F899" s="22"/>
      <c r="G899" s="22"/>
      <c r="K899" s="22"/>
      <c r="L899" s="22"/>
      <c r="M899" s="22"/>
    </row>
    <row r="900" spans="5:13" ht="15.75" customHeight="1">
      <c r="E900" s="22"/>
      <c r="F900" s="22"/>
      <c r="G900" s="22"/>
      <c r="K900" s="22"/>
      <c r="L900" s="22"/>
      <c r="M900" s="22"/>
    </row>
    <row r="901" spans="5:13" ht="15.75" customHeight="1">
      <c r="E901" s="22"/>
      <c r="F901" s="22"/>
      <c r="G901" s="22"/>
      <c r="K901" s="22"/>
      <c r="L901" s="22"/>
      <c r="M901" s="22"/>
    </row>
    <row r="902" spans="5:13" ht="15.75" customHeight="1">
      <c r="E902" s="22"/>
      <c r="F902" s="22"/>
      <c r="G902" s="22"/>
      <c r="K902" s="22"/>
      <c r="L902" s="22"/>
      <c r="M902" s="22"/>
    </row>
    <row r="903" spans="5:13" ht="15.75" customHeight="1">
      <c r="E903" s="22"/>
      <c r="F903" s="22"/>
      <c r="G903" s="22"/>
      <c r="K903" s="22"/>
      <c r="L903" s="22"/>
      <c r="M903" s="22"/>
    </row>
    <row r="904" spans="5:13" ht="15.75" customHeight="1">
      <c r="E904" s="22"/>
      <c r="F904" s="22"/>
      <c r="G904" s="22"/>
      <c r="K904" s="22"/>
      <c r="L904" s="22"/>
      <c r="M904" s="22"/>
    </row>
    <row r="905" spans="5:13" ht="15.75" customHeight="1">
      <c r="E905" s="22"/>
      <c r="F905" s="22"/>
      <c r="G905" s="22"/>
      <c r="K905" s="22"/>
      <c r="L905" s="22"/>
      <c r="M905" s="22"/>
    </row>
    <row r="906" spans="5:13" ht="15.75" customHeight="1">
      <c r="E906" s="22"/>
      <c r="F906" s="22"/>
      <c r="G906" s="22"/>
      <c r="K906" s="22"/>
      <c r="L906" s="22"/>
      <c r="M906" s="22"/>
    </row>
    <row r="907" spans="5:13" ht="15.75" customHeight="1">
      <c r="E907" s="22"/>
      <c r="F907" s="22"/>
      <c r="G907" s="22"/>
      <c r="K907" s="22"/>
      <c r="L907" s="22"/>
      <c r="M907" s="22"/>
    </row>
    <row r="908" spans="5:13" ht="15.75" customHeight="1">
      <c r="E908" s="22"/>
      <c r="F908" s="22"/>
      <c r="G908" s="22"/>
      <c r="K908" s="22"/>
      <c r="L908" s="22"/>
      <c r="M908" s="22"/>
    </row>
    <row r="909" spans="5:13" ht="15.75" customHeight="1">
      <c r="E909" s="22"/>
      <c r="F909" s="22"/>
      <c r="G909" s="22"/>
      <c r="K909" s="22"/>
      <c r="L909" s="22"/>
      <c r="M909" s="22"/>
    </row>
    <row r="910" spans="5:13" ht="15.75" customHeight="1">
      <c r="E910" s="22"/>
      <c r="F910" s="22"/>
      <c r="G910" s="22"/>
      <c r="K910" s="22"/>
      <c r="L910" s="22"/>
      <c r="M910" s="22"/>
    </row>
    <row r="911" spans="5:13" ht="15.75" customHeight="1">
      <c r="E911" s="22"/>
      <c r="F911" s="22"/>
      <c r="G911" s="22"/>
      <c r="K911" s="22"/>
      <c r="L911" s="22"/>
      <c r="M911" s="22"/>
    </row>
    <row r="912" spans="5:13" ht="15.75" customHeight="1">
      <c r="E912" s="22"/>
      <c r="F912" s="22"/>
      <c r="G912" s="22"/>
      <c r="K912" s="22"/>
      <c r="L912" s="22"/>
      <c r="M912" s="22"/>
    </row>
    <row r="913" spans="5:13" ht="15.75" customHeight="1">
      <c r="E913" s="22"/>
      <c r="F913" s="22"/>
      <c r="G913" s="22"/>
      <c r="K913" s="22"/>
      <c r="L913" s="22"/>
      <c r="M913" s="22"/>
    </row>
    <row r="914" spans="5:13" ht="15.75" customHeight="1">
      <c r="E914" s="22"/>
      <c r="F914" s="22"/>
      <c r="G914" s="22"/>
      <c r="K914" s="22"/>
      <c r="L914" s="22"/>
      <c r="M914" s="22"/>
    </row>
    <row r="915" spans="5:13" ht="15.75" customHeight="1">
      <c r="E915" s="22"/>
      <c r="F915" s="22"/>
      <c r="G915" s="22"/>
      <c r="K915" s="22"/>
      <c r="L915" s="22"/>
      <c r="M915" s="22"/>
    </row>
    <row r="916" spans="5:13" ht="15.75" customHeight="1">
      <c r="E916" s="22"/>
      <c r="F916" s="22"/>
      <c r="G916" s="22"/>
      <c r="K916" s="22"/>
      <c r="L916" s="22"/>
      <c r="M916" s="22"/>
    </row>
    <row r="917" spans="5:13" ht="15.75" customHeight="1">
      <c r="E917" s="22"/>
      <c r="F917" s="22"/>
      <c r="G917" s="22"/>
      <c r="K917" s="22"/>
      <c r="L917" s="22"/>
      <c r="M917" s="22"/>
    </row>
    <row r="918" spans="5:13" ht="15.75" customHeight="1">
      <c r="E918" s="22"/>
      <c r="F918" s="22"/>
      <c r="G918" s="22"/>
      <c r="K918" s="22"/>
      <c r="L918" s="22"/>
      <c r="M918" s="22"/>
    </row>
    <row r="919" spans="5:13" ht="15.75" customHeight="1">
      <c r="E919" s="22"/>
      <c r="F919" s="22"/>
      <c r="G919" s="22"/>
      <c r="K919" s="22"/>
      <c r="L919" s="22"/>
      <c r="M919" s="22"/>
    </row>
    <row r="920" spans="5:13" ht="15.75" customHeight="1">
      <c r="E920" s="22"/>
      <c r="F920" s="22"/>
      <c r="G920" s="22"/>
      <c r="K920" s="22"/>
      <c r="L920" s="22"/>
      <c r="M920" s="22"/>
    </row>
    <row r="921" spans="5:13" ht="15.75" customHeight="1">
      <c r="E921" s="22"/>
      <c r="F921" s="22"/>
      <c r="G921" s="22"/>
      <c r="K921" s="22"/>
      <c r="L921" s="22"/>
      <c r="M921" s="22"/>
    </row>
    <row r="922" spans="5:13" ht="15.75" customHeight="1">
      <c r="E922" s="22"/>
      <c r="F922" s="22"/>
      <c r="G922" s="22"/>
      <c r="K922" s="22"/>
      <c r="L922" s="22"/>
      <c r="M922" s="22"/>
    </row>
    <row r="923" spans="5:13" ht="15.75" customHeight="1">
      <c r="E923" s="22"/>
      <c r="F923" s="22"/>
      <c r="G923" s="22"/>
      <c r="K923" s="22"/>
      <c r="L923" s="22"/>
      <c r="M923" s="22"/>
    </row>
    <row r="924" spans="5:13" ht="15.75" customHeight="1">
      <c r="E924" s="22"/>
      <c r="F924" s="22"/>
      <c r="G924" s="22"/>
      <c r="K924" s="22"/>
      <c r="L924" s="22"/>
      <c r="M924" s="22"/>
    </row>
    <row r="925" spans="5:13" ht="15.75" customHeight="1">
      <c r="E925" s="22"/>
      <c r="F925" s="22"/>
      <c r="G925" s="22"/>
      <c r="K925" s="22"/>
      <c r="L925" s="22"/>
      <c r="M925" s="22"/>
    </row>
    <row r="926" spans="5:13" ht="15.75" customHeight="1">
      <c r="E926" s="22"/>
      <c r="F926" s="22"/>
      <c r="G926" s="22"/>
      <c r="K926" s="22"/>
      <c r="L926" s="22"/>
      <c r="M926" s="22"/>
    </row>
    <row r="927" spans="5:13" ht="15.75" customHeight="1">
      <c r="E927" s="22"/>
      <c r="F927" s="22"/>
      <c r="G927" s="22"/>
      <c r="K927" s="22"/>
      <c r="L927" s="22"/>
      <c r="M927" s="22"/>
    </row>
    <row r="928" spans="5:13" ht="15.75" customHeight="1">
      <c r="E928" s="22"/>
      <c r="F928" s="22"/>
      <c r="G928" s="22"/>
      <c r="K928" s="22"/>
      <c r="L928" s="22"/>
      <c r="M928" s="22"/>
    </row>
    <row r="929" spans="5:13" ht="15.75" customHeight="1">
      <c r="E929" s="22"/>
      <c r="F929" s="22"/>
      <c r="G929" s="22"/>
      <c r="K929" s="22"/>
      <c r="L929" s="22"/>
      <c r="M929" s="22"/>
    </row>
    <row r="930" spans="5:13" ht="15.75" customHeight="1">
      <c r="E930" s="22"/>
      <c r="F930" s="22"/>
      <c r="G930" s="22"/>
      <c r="K930" s="22"/>
      <c r="L930" s="22"/>
      <c r="M930" s="22"/>
    </row>
    <row r="931" spans="5:13" ht="15.75" customHeight="1">
      <c r="E931" s="22"/>
      <c r="F931" s="22"/>
      <c r="G931" s="22"/>
      <c r="K931" s="22"/>
      <c r="L931" s="22"/>
      <c r="M931" s="22"/>
    </row>
    <row r="932" spans="5:13" ht="15.75" customHeight="1">
      <c r="E932" s="22"/>
      <c r="F932" s="22"/>
      <c r="G932" s="22"/>
      <c r="K932" s="22"/>
      <c r="L932" s="22"/>
      <c r="M932" s="22"/>
    </row>
    <row r="933" spans="5:13" ht="15.75" customHeight="1">
      <c r="E933" s="22"/>
      <c r="F933" s="22"/>
      <c r="G933" s="22"/>
      <c r="K933" s="22"/>
      <c r="L933" s="22"/>
      <c r="M933" s="22"/>
    </row>
    <row r="934" spans="5:13" ht="15.75" customHeight="1">
      <c r="E934" s="22"/>
      <c r="F934" s="22"/>
      <c r="G934" s="22"/>
      <c r="K934" s="22"/>
      <c r="L934" s="22"/>
      <c r="M934" s="22"/>
    </row>
    <row r="935" spans="5:13" ht="15.75" customHeight="1">
      <c r="E935" s="22"/>
      <c r="F935" s="22"/>
      <c r="G935" s="22"/>
      <c r="K935" s="22"/>
      <c r="L935" s="22"/>
      <c r="M935" s="22"/>
    </row>
    <row r="936" spans="5:13" ht="15.75" customHeight="1">
      <c r="E936" s="22"/>
      <c r="F936" s="22"/>
      <c r="G936" s="22"/>
      <c r="K936" s="22"/>
      <c r="L936" s="22"/>
      <c r="M936" s="22"/>
    </row>
    <row r="937" spans="5:13" ht="15.75" customHeight="1">
      <c r="E937" s="22"/>
      <c r="F937" s="22"/>
      <c r="G937" s="22"/>
      <c r="K937" s="22"/>
      <c r="L937" s="22"/>
      <c r="M937" s="22"/>
    </row>
    <row r="938" spans="5:13" ht="15.75" customHeight="1">
      <c r="E938" s="22"/>
      <c r="F938" s="22"/>
      <c r="G938" s="22"/>
      <c r="K938" s="22"/>
      <c r="L938" s="22"/>
      <c r="M938" s="22"/>
    </row>
    <row r="939" spans="5:13" ht="15.75" customHeight="1">
      <c r="E939" s="22"/>
      <c r="F939" s="22"/>
      <c r="G939" s="22"/>
      <c r="K939" s="22"/>
      <c r="L939" s="22"/>
      <c r="M939" s="22"/>
    </row>
    <row r="940" spans="5:13" ht="15.75" customHeight="1">
      <c r="E940" s="22"/>
      <c r="F940" s="22"/>
      <c r="G940" s="22"/>
      <c r="K940" s="22"/>
      <c r="L940" s="22"/>
      <c r="M940" s="22"/>
    </row>
    <row r="941" spans="5:13" ht="15.75" customHeight="1">
      <c r="E941" s="22"/>
      <c r="F941" s="22"/>
      <c r="G941" s="22"/>
      <c r="K941" s="22"/>
      <c r="L941" s="22"/>
      <c r="M941" s="22"/>
    </row>
    <row r="942" spans="5:13" ht="15.75" customHeight="1">
      <c r="E942" s="22"/>
      <c r="F942" s="22"/>
      <c r="G942" s="22"/>
      <c r="K942" s="22"/>
      <c r="L942" s="22"/>
      <c r="M942" s="22"/>
    </row>
    <row r="943" spans="5:13" ht="15.75" customHeight="1">
      <c r="E943" s="22"/>
      <c r="F943" s="22"/>
      <c r="G943" s="22"/>
      <c r="K943" s="22"/>
      <c r="L943" s="22"/>
      <c r="M943" s="22"/>
    </row>
    <row r="944" spans="5:13" ht="15.75" customHeight="1">
      <c r="E944" s="22"/>
      <c r="F944" s="22"/>
      <c r="G944" s="22"/>
      <c r="K944" s="22"/>
      <c r="L944" s="22"/>
      <c r="M944" s="22"/>
    </row>
    <row r="945" spans="5:13" ht="15.75" customHeight="1">
      <c r="E945" s="22"/>
      <c r="F945" s="22"/>
      <c r="G945" s="22"/>
      <c r="K945" s="22"/>
      <c r="L945" s="22"/>
      <c r="M945" s="22"/>
    </row>
    <row r="946" spans="5:13" ht="15.75" customHeight="1">
      <c r="E946" s="22"/>
      <c r="F946" s="22"/>
      <c r="G946" s="22"/>
      <c r="K946" s="22"/>
      <c r="L946" s="22"/>
      <c r="M946" s="22"/>
    </row>
    <row r="947" spans="5:13" ht="15.75" customHeight="1">
      <c r="E947" s="22"/>
      <c r="F947" s="22"/>
      <c r="G947" s="22"/>
      <c r="K947" s="22"/>
      <c r="L947" s="22"/>
      <c r="M947" s="22"/>
    </row>
    <row r="948" spans="5:13" ht="15.75" customHeight="1">
      <c r="E948" s="22"/>
      <c r="F948" s="22"/>
      <c r="G948" s="22"/>
      <c r="K948" s="22"/>
      <c r="L948" s="22"/>
      <c r="M948" s="22"/>
    </row>
    <row r="949" spans="5:13" ht="15.75" customHeight="1">
      <c r="E949" s="22"/>
      <c r="F949" s="22"/>
      <c r="G949" s="22"/>
      <c r="K949" s="22"/>
      <c r="L949" s="22"/>
      <c r="M949" s="22"/>
    </row>
    <row r="950" spans="5:13" ht="15.75" customHeight="1">
      <c r="E950" s="22"/>
      <c r="F950" s="22"/>
      <c r="G950" s="22"/>
      <c r="K950" s="22"/>
      <c r="L950" s="22"/>
      <c r="M950" s="22"/>
    </row>
    <row r="951" spans="5:13" ht="15.75" customHeight="1">
      <c r="E951" s="22"/>
      <c r="F951" s="22"/>
      <c r="G951" s="22"/>
      <c r="K951" s="22"/>
      <c r="L951" s="22"/>
      <c r="M951" s="22"/>
    </row>
    <row r="952" spans="5:13" ht="15.75" customHeight="1">
      <c r="E952" s="22"/>
      <c r="F952" s="22"/>
      <c r="G952" s="22"/>
      <c r="K952" s="22"/>
      <c r="L952" s="22"/>
      <c r="M952" s="22"/>
    </row>
    <row r="953" spans="5:13" ht="15.75" customHeight="1">
      <c r="E953" s="22"/>
      <c r="F953" s="22"/>
      <c r="G953" s="22"/>
      <c r="K953" s="22"/>
      <c r="L953" s="22"/>
      <c r="M953" s="22"/>
    </row>
    <row r="954" spans="5:13" ht="15.75" customHeight="1">
      <c r="E954" s="22"/>
      <c r="F954" s="22"/>
      <c r="G954" s="22"/>
      <c r="K954" s="22"/>
      <c r="L954" s="22"/>
      <c r="M954" s="22"/>
    </row>
    <row r="955" spans="5:13" ht="15.75" customHeight="1">
      <c r="E955" s="22"/>
      <c r="F955" s="22"/>
      <c r="G955" s="22"/>
      <c r="K955" s="22"/>
      <c r="L955" s="22"/>
      <c r="M955" s="22"/>
    </row>
    <row r="956" spans="5:13" ht="15.75" customHeight="1">
      <c r="E956" s="22"/>
      <c r="F956" s="22"/>
      <c r="G956" s="22"/>
      <c r="K956" s="22"/>
      <c r="L956" s="22"/>
      <c r="M956" s="22"/>
    </row>
    <row r="957" spans="5:13" ht="15.75" customHeight="1">
      <c r="E957" s="22"/>
      <c r="F957" s="22"/>
      <c r="G957" s="22"/>
      <c r="K957" s="22"/>
      <c r="L957" s="22"/>
      <c r="M957" s="22"/>
    </row>
    <row r="958" spans="5:13" ht="15.75" customHeight="1">
      <c r="E958" s="22"/>
      <c r="F958" s="22"/>
      <c r="G958" s="22"/>
      <c r="K958" s="22"/>
      <c r="L958" s="22"/>
      <c r="M958" s="22"/>
    </row>
    <row r="959" spans="5:13" ht="15.75" customHeight="1">
      <c r="E959" s="22"/>
      <c r="F959" s="22"/>
      <c r="G959" s="22"/>
      <c r="K959" s="22"/>
      <c r="L959" s="22"/>
      <c r="M959" s="22"/>
    </row>
    <row r="960" spans="5:13" ht="15.75" customHeight="1">
      <c r="E960" s="22"/>
      <c r="F960" s="22"/>
      <c r="G960" s="22"/>
      <c r="K960" s="22"/>
      <c r="L960" s="22"/>
      <c r="M960" s="22"/>
    </row>
    <row r="961" spans="5:13" ht="15.75" customHeight="1">
      <c r="E961" s="22"/>
      <c r="F961" s="22"/>
      <c r="G961" s="22"/>
      <c r="K961" s="22"/>
      <c r="L961" s="22"/>
      <c r="M961" s="22"/>
    </row>
    <row r="962" spans="5:13" ht="15.75" customHeight="1">
      <c r="E962" s="22"/>
      <c r="F962" s="22"/>
      <c r="G962" s="22"/>
      <c r="K962" s="22"/>
      <c r="L962" s="22"/>
      <c r="M962" s="22"/>
    </row>
    <row r="963" spans="5:13" ht="15.75" customHeight="1">
      <c r="E963" s="22"/>
      <c r="F963" s="22"/>
      <c r="G963" s="22"/>
      <c r="K963" s="22"/>
      <c r="L963" s="22"/>
      <c r="M963" s="22"/>
    </row>
    <row r="964" spans="5:13" ht="15.75" customHeight="1">
      <c r="E964" s="22"/>
      <c r="F964" s="22"/>
      <c r="G964" s="22"/>
      <c r="K964" s="22"/>
      <c r="L964" s="22"/>
      <c r="M964" s="22"/>
    </row>
    <row r="965" spans="5:13" ht="15.75" customHeight="1">
      <c r="E965" s="22"/>
      <c r="F965" s="22"/>
      <c r="G965" s="22"/>
      <c r="K965" s="22"/>
      <c r="L965" s="22"/>
      <c r="M965" s="22"/>
    </row>
    <row r="966" spans="5:13" ht="15.75" customHeight="1">
      <c r="E966" s="22"/>
      <c r="F966" s="22"/>
      <c r="G966" s="22"/>
      <c r="K966" s="22"/>
      <c r="L966" s="22"/>
      <c r="M966" s="22"/>
    </row>
    <row r="967" spans="5:13" ht="15.75" customHeight="1">
      <c r="E967" s="22"/>
      <c r="F967" s="22"/>
      <c r="G967" s="22"/>
      <c r="K967" s="22"/>
      <c r="L967" s="22"/>
      <c r="M967" s="22"/>
    </row>
    <row r="968" spans="5:13" ht="15.75" customHeight="1">
      <c r="E968" s="22"/>
      <c r="F968" s="22"/>
      <c r="G968" s="22"/>
      <c r="K968" s="22"/>
      <c r="L968" s="22"/>
      <c r="M968" s="22"/>
    </row>
    <row r="969" spans="5:13" ht="15.75" customHeight="1">
      <c r="E969" s="22"/>
      <c r="F969" s="22"/>
      <c r="G969" s="22"/>
      <c r="K969" s="22"/>
      <c r="L969" s="22"/>
      <c r="M969" s="22"/>
    </row>
    <row r="970" spans="5:13" ht="15.75" customHeight="1">
      <c r="E970" s="22"/>
      <c r="F970" s="22"/>
      <c r="G970" s="22"/>
      <c r="K970" s="22"/>
      <c r="L970" s="22"/>
      <c r="M970" s="22"/>
    </row>
    <row r="971" spans="5:13" ht="15.75" customHeight="1">
      <c r="E971" s="22"/>
      <c r="F971" s="22"/>
      <c r="G971" s="22"/>
      <c r="K971" s="22"/>
      <c r="L971" s="22"/>
      <c r="M971" s="22"/>
    </row>
    <row r="972" spans="5:13" ht="15.75" customHeight="1">
      <c r="E972" s="22"/>
      <c r="F972" s="22"/>
      <c r="G972" s="22"/>
      <c r="K972" s="22"/>
      <c r="L972" s="22"/>
      <c r="M972" s="22"/>
    </row>
    <row r="973" spans="5:13" ht="15.75" customHeight="1">
      <c r="E973" s="22"/>
      <c r="F973" s="22"/>
      <c r="G973" s="22"/>
      <c r="K973" s="22"/>
      <c r="L973" s="22"/>
      <c r="M973" s="22"/>
    </row>
    <row r="974" spans="5:13" ht="15.75" customHeight="1">
      <c r="E974" s="22"/>
      <c r="F974" s="22"/>
      <c r="G974" s="22"/>
      <c r="K974" s="22"/>
      <c r="L974" s="22"/>
      <c r="M974" s="22"/>
    </row>
    <row r="975" spans="5:13" ht="15.75" customHeight="1">
      <c r="E975" s="22"/>
      <c r="F975" s="22"/>
      <c r="G975" s="22"/>
      <c r="K975" s="22"/>
      <c r="L975" s="22"/>
      <c r="M975" s="22"/>
    </row>
    <row r="976" spans="5:13" ht="15.75" customHeight="1">
      <c r="E976" s="22"/>
      <c r="F976" s="22"/>
      <c r="G976" s="22"/>
      <c r="K976" s="22"/>
      <c r="L976" s="22"/>
      <c r="M976" s="22"/>
    </row>
    <row r="977" spans="5:13" ht="15.75" customHeight="1">
      <c r="E977" s="22"/>
      <c r="F977" s="22"/>
      <c r="G977" s="22"/>
      <c r="K977" s="22"/>
      <c r="L977" s="22"/>
      <c r="M977" s="22"/>
    </row>
    <row r="978" spans="5:13" ht="15.75" customHeight="1">
      <c r="E978" s="22"/>
      <c r="F978" s="22"/>
      <c r="G978" s="22"/>
      <c r="K978" s="22"/>
      <c r="L978" s="22"/>
      <c r="M978" s="22"/>
    </row>
    <row r="979" spans="5:13" ht="15.75" customHeight="1">
      <c r="E979" s="22"/>
      <c r="F979" s="22"/>
      <c r="G979" s="22"/>
      <c r="K979" s="22"/>
      <c r="L979" s="22"/>
      <c r="M979" s="22"/>
    </row>
    <row r="980" spans="5:13" ht="15.75" customHeight="1">
      <c r="E980" s="22"/>
      <c r="F980" s="22"/>
      <c r="G980" s="22"/>
      <c r="K980" s="22"/>
      <c r="L980" s="22"/>
      <c r="M980" s="22"/>
    </row>
    <row r="981" spans="5:13" ht="15.75" customHeight="1">
      <c r="E981" s="22"/>
      <c r="F981" s="22"/>
      <c r="G981" s="22"/>
      <c r="K981" s="22"/>
      <c r="L981" s="22"/>
      <c r="M981" s="22"/>
    </row>
    <row r="982" spans="5:13" ht="15.75" customHeight="1">
      <c r="E982" s="22"/>
      <c r="F982" s="22"/>
      <c r="G982" s="22"/>
      <c r="K982" s="22"/>
      <c r="L982" s="22"/>
      <c r="M982" s="22"/>
    </row>
    <row r="983" spans="5:13" ht="15.75" customHeight="1">
      <c r="E983" s="22"/>
      <c r="F983" s="22"/>
      <c r="G983" s="22"/>
      <c r="K983" s="22"/>
      <c r="L983" s="22"/>
      <c r="M983" s="22"/>
    </row>
    <row r="984" spans="5:13" ht="15.75" customHeight="1">
      <c r="E984" s="22"/>
      <c r="F984" s="22"/>
      <c r="G984" s="22"/>
      <c r="K984" s="22"/>
      <c r="L984" s="22"/>
      <c r="M984" s="22"/>
    </row>
    <row r="985" spans="5:13" ht="15.75" customHeight="1">
      <c r="E985" s="22"/>
      <c r="F985" s="22"/>
      <c r="G985" s="22"/>
      <c r="K985" s="22"/>
      <c r="L985" s="22"/>
      <c r="M985" s="22"/>
    </row>
    <row r="986" spans="5:13" ht="15.75" customHeight="1">
      <c r="E986" s="22"/>
      <c r="F986" s="22"/>
      <c r="G986" s="22"/>
      <c r="K986" s="22"/>
      <c r="L986" s="22"/>
      <c r="M986" s="22"/>
    </row>
    <row r="987" spans="5:13" ht="15.75" customHeight="1">
      <c r="E987" s="22"/>
      <c r="F987" s="22"/>
      <c r="G987" s="22"/>
      <c r="K987" s="22"/>
      <c r="L987" s="22"/>
      <c r="M987" s="22"/>
    </row>
    <row r="988" spans="5:13" ht="15.75" customHeight="1">
      <c r="E988" s="22"/>
      <c r="F988" s="22"/>
      <c r="G988" s="22"/>
      <c r="K988" s="22"/>
      <c r="L988" s="22"/>
      <c r="M988" s="22"/>
    </row>
    <row r="989" spans="5:13" ht="15.75" customHeight="1">
      <c r="E989" s="22"/>
      <c r="F989" s="22"/>
      <c r="G989" s="22"/>
      <c r="K989" s="22"/>
      <c r="L989" s="22"/>
      <c r="M989" s="22"/>
    </row>
    <row r="990" spans="5:13" ht="15.75" customHeight="1">
      <c r="E990" s="22"/>
      <c r="F990" s="22"/>
      <c r="G990" s="22"/>
      <c r="K990" s="22"/>
      <c r="L990" s="22"/>
      <c r="M990" s="22"/>
    </row>
    <row r="991" spans="5:13" ht="15.75" customHeight="1">
      <c r="E991" s="22"/>
      <c r="F991" s="22"/>
      <c r="G991" s="22"/>
      <c r="K991" s="22"/>
      <c r="L991" s="22"/>
      <c r="M991" s="22"/>
    </row>
    <row r="992" spans="5:13" ht="15.75" customHeight="1">
      <c r="E992" s="22"/>
      <c r="F992" s="22"/>
      <c r="G992" s="22"/>
      <c r="K992" s="22"/>
      <c r="L992" s="22"/>
      <c r="M992" s="22"/>
    </row>
    <row r="993" spans="5:13" ht="15.75" customHeight="1">
      <c r="E993" s="22"/>
      <c r="F993" s="22"/>
      <c r="G993" s="22"/>
      <c r="K993" s="22"/>
      <c r="L993" s="22"/>
      <c r="M993" s="22"/>
    </row>
    <row r="994" spans="5:13" ht="15.75" customHeight="1">
      <c r="E994" s="22"/>
      <c r="F994" s="22"/>
      <c r="G994" s="22"/>
      <c r="K994" s="22"/>
      <c r="L994" s="22"/>
      <c r="M994" s="22"/>
    </row>
    <row r="995" spans="5:13" ht="15.75" customHeight="1">
      <c r="E995" s="22"/>
      <c r="F995" s="22"/>
      <c r="G995" s="22"/>
      <c r="K995" s="22"/>
      <c r="L995" s="22"/>
      <c r="M995" s="22"/>
    </row>
    <row r="996" spans="5:13" ht="15.75" customHeight="1">
      <c r="E996" s="22"/>
      <c r="F996" s="22"/>
      <c r="G996" s="22"/>
      <c r="K996" s="22"/>
      <c r="L996" s="22"/>
      <c r="M996" s="22"/>
    </row>
    <row r="997" spans="5:13" ht="15.75" customHeight="1">
      <c r="E997" s="22"/>
      <c r="F997" s="22"/>
      <c r="G997" s="22"/>
      <c r="K997" s="22"/>
      <c r="L997" s="22"/>
      <c r="M997" s="22"/>
    </row>
    <row r="998" spans="5:13" ht="15.75" customHeight="1">
      <c r="E998" s="22"/>
      <c r="F998" s="22"/>
      <c r="G998" s="22"/>
      <c r="K998" s="22"/>
      <c r="L998" s="22"/>
      <c r="M998" s="22"/>
    </row>
    <row r="999" spans="5:13" ht="15.75" customHeight="1">
      <c r="E999" s="22"/>
      <c r="F999" s="22"/>
      <c r="G999" s="22"/>
      <c r="K999" s="22"/>
      <c r="L999" s="22"/>
      <c r="M999" s="22"/>
    </row>
    <row r="1000" spans="5:13" ht="15.75" customHeight="1">
      <c r="E1000" s="22"/>
      <c r="F1000" s="22"/>
      <c r="G1000" s="22"/>
      <c r="K1000" s="22"/>
      <c r="L1000" s="22"/>
      <c r="M1000" s="22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  <outlinePr summaryBelow="0" summaryRight="0"/>
  </sheetPr>
  <dimension ref="A1:Y1000"/>
  <sheetViews>
    <sheetView topLeftCell="A322" workbookViewId="0">
      <selection activeCell="C344" sqref="C344"/>
    </sheetView>
  </sheetViews>
  <sheetFormatPr baseColWidth="10" defaultColWidth="12.6640625" defaultRowHeight="15" customHeight="1"/>
  <cols>
    <col min="1" max="5" width="12.6640625" customWidth="1"/>
  </cols>
  <sheetData>
    <row r="1" spans="1:25" ht="57" customHeight="1">
      <c r="A1" s="26" t="s">
        <v>20</v>
      </c>
      <c r="B1" s="27" t="s">
        <v>21</v>
      </c>
      <c r="C1" s="28" t="s">
        <v>22</v>
      </c>
      <c r="D1" s="28" t="s">
        <v>23</v>
      </c>
      <c r="E1" s="17"/>
      <c r="F1" s="3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</row>
    <row r="2" spans="1:25" ht="15.75" customHeight="1">
      <c r="A2" s="8">
        <v>10101</v>
      </c>
      <c r="B2" s="29" t="s">
        <v>24</v>
      </c>
      <c r="C2" s="9">
        <v>0.9122871694504342</v>
      </c>
      <c r="D2" s="19">
        <v>1.1026431821173879</v>
      </c>
      <c r="E2" s="17"/>
      <c r="F2" s="9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</row>
    <row r="3" spans="1:25" ht="15.75" customHeight="1">
      <c r="A3" s="8">
        <v>10102</v>
      </c>
      <c r="B3" s="29" t="s">
        <v>25</v>
      </c>
      <c r="C3" s="9">
        <v>1.4771482446191735</v>
      </c>
      <c r="D3" s="19">
        <v>0.64871631901143978</v>
      </c>
      <c r="E3" s="17"/>
      <c r="F3" s="9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</row>
    <row r="4" spans="1:25" ht="15.75" customHeight="1">
      <c r="A4" s="8">
        <v>10103</v>
      </c>
      <c r="B4" s="29" t="s">
        <v>26</v>
      </c>
      <c r="C4" s="9">
        <v>1.5291022940120349</v>
      </c>
      <c r="D4" s="19">
        <v>1.6019737633928324</v>
      </c>
      <c r="E4" s="17"/>
      <c r="F4" s="9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 spans="1:25" ht="15.75" customHeight="1">
      <c r="A5" s="8">
        <v>10201</v>
      </c>
      <c r="B5" s="29" t="s">
        <v>27</v>
      </c>
      <c r="C5" s="9">
        <v>2.0531737209138403</v>
      </c>
      <c r="D5" s="19">
        <v>1.4723721840447144</v>
      </c>
      <c r="E5" s="17"/>
      <c r="F5" s="9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</row>
    <row r="6" spans="1:25" ht="15.75" customHeight="1">
      <c r="A6" s="8">
        <v>10202</v>
      </c>
      <c r="B6" s="29" t="s">
        <v>28</v>
      </c>
      <c r="C6" s="9">
        <v>1.9779824408377393</v>
      </c>
      <c r="D6" s="19">
        <v>2.4918957936978994</v>
      </c>
      <c r="E6" s="17"/>
      <c r="F6" s="9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</row>
    <row r="7" spans="1:25" ht="15.75" customHeight="1">
      <c r="A7" s="8">
        <v>10301</v>
      </c>
      <c r="B7" s="29" t="s">
        <v>29</v>
      </c>
      <c r="C7" s="9">
        <v>1.9610139994250355</v>
      </c>
      <c r="D7" s="19">
        <v>2.6319320972123119</v>
      </c>
      <c r="E7" s="17"/>
      <c r="F7" s="9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</row>
    <row r="8" spans="1:25" ht="15.75" customHeight="1">
      <c r="A8" s="8">
        <v>10302</v>
      </c>
      <c r="B8" s="29" t="s">
        <v>30</v>
      </c>
      <c r="C8" s="9">
        <v>1.9669417776842746</v>
      </c>
      <c r="D8" s="19">
        <v>3.0129045215807984</v>
      </c>
      <c r="E8" s="17"/>
      <c r="F8" s="9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</row>
    <row r="9" spans="1:25" ht="15.75" customHeight="1">
      <c r="A9" s="8">
        <v>10303</v>
      </c>
      <c r="B9" s="29" t="s">
        <v>31</v>
      </c>
      <c r="C9" s="9">
        <v>1.645821494131003</v>
      </c>
      <c r="D9" s="19">
        <v>8.7849821855207129</v>
      </c>
      <c r="E9" s="17"/>
      <c r="F9" s="9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</row>
    <row r="10" spans="1:25" ht="15.75" customHeight="1">
      <c r="A10" s="8">
        <v>10304</v>
      </c>
      <c r="B10" s="29" t="s">
        <v>32</v>
      </c>
      <c r="C10" s="9">
        <v>2.7127091793827387</v>
      </c>
      <c r="D10" s="19">
        <v>2.3166340394810456</v>
      </c>
      <c r="E10" s="17"/>
      <c r="F10" s="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</row>
    <row r="11" spans="1:25" ht="15.75" customHeight="1">
      <c r="A11" s="8">
        <v>10401</v>
      </c>
      <c r="B11" s="29" t="s">
        <v>33</v>
      </c>
      <c r="C11" s="9">
        <v>1.6534302317247929</v>
      </c>
      <c r="D11" s="19">
        <v>2.3668628660950182</v>
      </c>
      <c r="E11" s="17"/>
      <c r="F11" s="9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</row>
    <row r="12" spans="1:25" ht="15.75" customHeight="1">
      <c r="A12" s="8">
        <v>10402</v>
      </c>
      <c r="B12" s="29" t="s">
        <v>34</v>
      </c>
      <c r="C12" s="9">
        <v>2.4921907648424355</v>
      </c>
      <c r="D12" s="19">
        <v>3.2389767561514189</v>
      </c>
      <c r="E12" s="17"/>
      <c r="F12" s="9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</row>
    <row r="13" spans="1:25" ht="15.75" customHeight="1">
      <c r="A13" s="8">
        <v>10403</v>
      </c>
      <c r="B13" s="29" t="s">
        <v>35</v>
      </c>
      <c r="C13" s="9">
        <v>2.5264978867964327</v>
      </c>
      <c r="D13" s="19">
        <v>3.1603010084916208</v>
      </c>
      <c r="E13" s="17"/>
      <c r="F13" s="9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</row>
    <row r="14" spans="1:25" ht="15.75" customHeight="1">
      <c r="A14" s="8">
        <v>10404</v>
      </c>
      <c r="B14" s="29" t="s">
        <v>36</v>
      </c>
      <c r="C14" s="9">
        <v>1.5405931374877631</v>
      </c>
      <c r="D14" s="19">
        <v>2.0825122847318784</v>
      </c>
      <c r="E14" s="17"/>
      <c r="F14" s="9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</row>
    <row r="15" spans="1:25" ht="15.75" customHeight="1">
      <c r="A15" s="8">
        <v>10405</v>
      </c>
      <c r="B15" s="29" t="s">
        <v>37</v>
      </c>
      <c r="C15" s="9">
        <v>1.9914075972447243</v>
      </c>
      <c r="D15" s="19">
        <v>3.8764776028941283</v>
      </c>
      <c r="E15" s="17"/>
      <c r="F15" s="9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</row>
    <row r="16" spans="1:25" ht="15.75" customHeight="1">
      <c r="A16" s="8">
        <v>10501</v>
      </c>
      <c r="B16" s="29" t="s">
        <v>38</v>
      </c>
      <c r="C16" s="9">
        <v>1.4625053311048544</v>
      </c>
      <c r="D16" s="19">
        <v>1.8428469633865783</v>
      </c>
      <c r="E16" s="17"/>
      <c r="F16" s="9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</row>
    <row r="17" spans="1:25" ht="15.75" customHeight="1">
      <c r="A17" s="8">
        <v>10502</v>
      </c>
      <c r="B17" s="29" t="s">
        <v>39</v>
      </c>
      <c r="C17" s="9">
        <v>1.1844948414821503</v>
      </c>
      <c r="D17" s="19">
        <v>2.6166289673221068</v>
      </c>
      <c r="E17" s="17"/>
      <c r="F17" s="9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</row>
    <row r="18" spans="1:25" ht="15.75" customHeight="1">
      <c r="A18" s="8">
        <v>10601</v>
      </c>
      <c r="B18" s="29" t="s">
        <v>40</v>
      </c>
      <c r="C18" s="9">
        <v>1.8210071210390781</v>
      </c>
      <c r="D18" s="19">
        <v>1.2743770741906306</v>
      </c>
      <c r="E18" s="17"/>
      <c r="F18" s="9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</row>
    <row r="19" spans="1:25" ht="15.75" customHeight="1">
      <c r="A19" s="8">
        <v>10602</v>
      </c>
      <c r="B19" s="29" t="s">
        <v>41</v>
      </c>
      <c r="C19" s="9">
        <v>1.209977947142395</v>
      </c>
      <c r="D19" s="19">
        <v>1.5081606481163317</v>
      </c>
      <c r="E19" s="17"/>
      <c r="F19" s="9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</row>
    <row r="20" spans="1:25" ht="15.75" customHeight="1">
      <c r="A20" s="8">
        <v>10701</v>
      </c>
      <c r="B20" s="29" t="s">
        <v>42</v>
      </c>
      <c r="C20" s="9">
        <v>1.9039523560176241</v>
      </c>
      <c r="D20" s="19">
        <v>1.4956091884052356</v>
      </c>
      <c r="E20" s="17"/>
      <c r="F20" s="9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</row>
    <row r="21" spans="1:25" ht="15.75" customHeight="1">
      <c r="A21" s="8">
        <v>10702</v>
      </c>
      <c r="B21" s="29" t="s">
        <v>43</v>
      </c>
      <c r="C21" s="9">
        <v>2.0256972785886571</v>
      </c>
      <c r="D21" s="19">
        <v>1.865752899532821</v>
      </c>
      <c r="E21" s="17"/>
      <c r="F21" s="9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</row>
    <row r="22" spans="1:25" ht="15.75" customHeight="1">
      <c r="A22" s="8">
        <v>10703</v>
      </c>
      <c r="B22" s="29" t="s">
        <v>44</v>
      </c>
      <c r="C22" s="9">
        <v>1.9829406085380745</v>
      </c>
      <c r="D22" s="19">
        <v>2.7923176917403412</v>
      </c>
      <c r="E22" s="17"/>
      <c r="F22" s="9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</row>
    <row r="23" spans="1:25" ht="15.75" customHeight="1">
      <c r="A23" s="8">
        <v>10704</v>
      </c>
      <c r="B23" s="29" t="s">
        <v>45</v>
      </c>
      <c r="C23" s="9">
        <v>1.5288486666142806</v>
      </c>
      <c r="D23" s="19">
        <v>1.4661602631812571</v>
      </c>
      <c r="E23" s="17"/>
      <c r="F23" s="9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</row>
    <row r="24" spans="1:25" ht="15.75" customHeight="1">
      <c r="A24" s="8">
        <v>10801</v>
      </c>
      <c r="B24" s="29" t="s">
        <v>46</v>
      </c>
      <c r="C24" s="9">
        <v>2.9456176892858275</v>
      </c>
      <c r="D24" s="19">
        <v>2.082706194091136</v>
      </c>
      <c r="E24" s="17"/>
      <c r="F24" s="9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</row>
    <row r="25" spans="1:25" ht="15.75" customHeight="1">
      <c r="A25" s="8">
        <v>10901</v>
      </c>
      <c r="B25" s="29" t="s">
        <v>47</v>
      </c>
      <c r="C25" s="9">
        <v>1.4884010360105941</v>
      </c>
      <c r="D25" s="19">
        <v>0.8349358018944748</v>
      </c>
      <c r="E25" s="17"/>
      <c r="F25" s="9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</row>
    <row r="26" spans="1:25" ht="15.75" customHeight="1">
      <c r="A26" s="8">
        <v>10902</v>
      </c>
      <c r="B26" s="29" t="s">
        <v>48</v>
      </c>
      <c r="C26" s="9">
        <v>1.5781420744429233</v>
      </c>
      <c r="D26" s="19">
        <v>1.866312298092395</v>
      </c>
      <c r="E26" s="17"/>
      <c r="F26" s="9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</row>
    <row r="27" spans="1:25" ht="15.75" customHeight="1">
      <c r="A27" s="8">
        <v>10903</v>
      </c>
      <c r="B27" s="29" t="s">
        <v>49</v>
      </c>
      <c r="C27" s="9">
        <v>1.0926007967335505</v>
      </c>
      <c r="D27" s="19">
        <v>1.7842131345263148</v>
      </c>
      <c r="E27" s="17"/>
      <c r="F27" s="9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</row>
    <row r="28" spans="1:25" ht="15.75" customHeight="1">
      <c r="A28" s="8">
        <v>11001</v>
      </c>
      <c r="B28" s="29" t="s">
        <v>50</v>
      </c>
      <c r="C28" s="9">
        <v>1.8826979989448125</v>
      </c>
      <c r="D28" s="19">
        <v>2.2027692798834271</v>
      </c>
      <c r="E28" s="17"/>
      <c r="F28" s="9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</row>
    <row r="29" spans="1:25" ht="15.75" customHeight="1">
      <c r="A29" s="8">
        <v>11002</v>
      </c>
      <c r="B29" s="29" t="s">
        <v>51</v>
      </c>
      <c r="C29" s="9">
        <v>0.99864916062342823</v>
      </c>
      <c r="D29" s="19">
        <v>3.3105218080091521</v>
      </c>
      <c r="E29" s="17"/>
      <c r="F29" s="9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</row>
    <row r="30" spans="1:25" ht="15.75" customHeight="1">
      <c r="A30" s="8">
        <v>11003</v>
      </c>
      <c r="B30" s="29" t="s">
        <v>52</v>
      </c>
      <c r="C30" s="9">
        <v>1.2624741605978895</v>
      </c>
      <c r="D30" s="19">
        <v>0.5054144723535644</v>
      </c>
      <c r="E30" s="17"/>
      <c r="F30" s="9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</row>
    <row r="31" spans="1:25" ht="15.75" customHeight="1">
      <c r="A31" s="8">
        <v>20101</v>
      </c>
      <c r="B31" s="29" t="s">
        <v>53</v>
      </c>
      <c r="C31" s="9">
        <v>0.74866114790109484</v>
      </c>
      <c r="D31" s="19">
        <v>0.38564261557484059</v>
      </c>
      <c r="E31" s="17"/>
      <c r="F31" s="9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</row>
    <row r="32" spans="1:25" ht="15.75" customHeight="1">
      <c r="A32" s="8">
        <v>20102</v>
      </c>
      <c r="B32" s="29" t="s">
        <v>54</v>
      </c>
      <c r="C32" s="9">
        <v>1.0553285242682706</v>
      </c>
      <c r="D32" s="19">
        <v>1.2651726186389112</v>
      </c>
      <c r="E32" s="17"/>
      <c r="F32" s="9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</row>
    <row r="33" spans="1:25" ht="15.75" customHeight="1">
      <c r="A33" s="8">
        <v>20103</v>
      </c>
      <c r="B33" s="29" t="s">
        <v>55</v>
      </c>
      <c r="C33" s="9">
        <v>2.5079667218280011</v>
      </c>
      <c r="D33" s="19">
        <v>2.4945107918197604</v>
      </c>
      <c r="E33" s="17"/>
      <c r="F33" s="9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</row>
    <row r="34" spans="1:25" ht="15.75" customHeight="1">
      <c r="A34" s="8">
        <v>20104</v>
      </c>
      <c r="B34" s="29" t="s">
        <v>56</v>
      </c>
      <c r="C34" s="9">
        <v>0.78808509222787815</v>
      </c>
      <c r="D34" s="19">
        <v>0.79431771558277853</v>
      </c>
      <c r="E34" s="17"/>
      <c r="F34" s="9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</row>
    <row r="35" spans="1:25" ht="15.75" customHeight="1">
      <c r="A35" s="8">
        <v>20105</v>
      </c>
      <c r="B35" s="29" t="s">
        <v>57</v>
      </c>
      <c r="C35" s="9">
        <v>0.61281714736078785</v>
      </c>
      <c r="D35" s="19">
        <v>0.45244049774409556</v>
      </c>
      <c r="E35" s="17"/>
      <c r="F35" s="9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</row>
    <row r="36" spans="1:25" ht="15.75" customHeight="1">
      <c r="A36" s="8">
        <v>20201</v>
      </c>
      <c r="B36" s="29" t="s">
        <v>58</v>
      </c>
      <c r="C36" s="9">
        <v>1.1140337822212087</v>
      </c>
      <c r="D36" s="19">
        <v>0.90735792572697016</v>
      </c>
      <c r="E36" s="17"/>
      <c r="F36" s="9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</row>
    <row r="37" spans="1:25" ht="15.75" customHeight="1">
      <c r="A37" s="8">
        <v>20202</v>
      </c>
      <c r="B37" s="29" t="s">
        <v>59</v>
      </c>
      <c r="C37" s="9">
        <v>0.905899105251457</v>
      </c>
      <c r="D37" s="19">
        <v>0.88934781581168454</v>
      </c>
      <c r="E37" s="17"/>
      <c r="F37" s="9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</row>
    <row r="38" spans="1:25" ht="15.75" customHeight="1">
      <c r="A38" s="8">
        <v>20203</v>
      </c>
      <c r="B38" s="29" t="s">
        <v>60</v>
      </c>
      <c r="C38" s="9">
        <v>0.98482342181406934</v>
      </c>
      <c r="D38" s="19">
        <v>0.70468864482702265</v>
      </c>
      <c r="E38" s="17"/>
      <c r="F38" s="9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</row>
    <row r="39" spans="1:25" ht="15.75" customHeight="1">
      <c r="A39" s="8">
        <v>20204</v>
      </c>
      <c r="B39" s="29" t="s">
        <v>61</v>
      </c>
      <c r="C39" s="9">
        <v>0.97618177451325205</v>
      </c>
      <c r="D39" s="19">
        <v>0.98125991141828472</v>
      </c>
      <c r="E39" s="17"/>
      <c r="F39" s="9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</row>
    <row r="40" spans="1:25" ht="15.75" customHeight="1">
      <c r="A40" s="8">
        <v>20205</v>
      </c>
      <c r="B40" s="29" t="s">
        <v>62</v>
      </c>
      <c r="C40" s="9">
        <v>0.58371040903198157</v>
      </c>
      <c r="D40" s="19">
        <v>0.78108818110348655</v>
      </c>
      <c r="E40" s="17"/>
      <c r="F40" s="9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</row>
    <row r="41" spans="1:25" ht="15.75" customHeight="1">
      <c r="A41" s="8">
        <v>20206</v>
      </c>
      <c r="B41" s="29" t="s">
        <v>63</v>
      </c>
      <c r="C41" s="9">
        <v>1.4879052428762396</v>
      </c>
      <c r="D41" s="19">
        <v>0.91548523996514153</v>
      </c>
      <c r="E41" s="17"/>
      <c r="F41" s="9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</row>
    <row r="42" spans="1:25" ht="15.75" customHeight="1">
      <c r="A42" s="8">
        <v>20301</v>
      </c>
      <c r="B42" s="29" t="s">
        <v>64</v>
      </c>
      <c r="C42" s="9">
        <v>1.6528714513374574</v>
      </c>
      <c r="D42" s="19">
        <v>1.5595852764417129</v>
      </c>
      <c r="E42" s="17"/>
      <c r="F42" s="9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</row>
    <row r="43" spans="1:25" ht="15.75" customHeight="1">
      <c r="A43" s="8">
        <v>20302</v>
      </c>
      <c r="B43" s="29" t="s">
        <v>65</v>
      </c>
      <c r="C43" s="9">
        <v>1.3988731937866161</v>
      </c>
      <c r="D43" s="19">
        <v>0.98954076782341827</v>
      </c>
      <c r="E43" s="17"/>
      <c r="F43" s="9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</row>
    <row r="44" spans="1:25" ht="15.75" customHeight="1">
      <c r="A44" s="8">
        <v>20303</v>
      </c>
      <c r="B44" s="29" t="s">
        <v>66</v>
      </c>
      <c r="C44" s="9">
        <v>1.1137497489705106</v>
      </c>
      <c r="D44" s="19">
        <v>1.2750581648871704</v>
      </c>
      <c r="E44" s="17"/>
      <c r="F44" s="9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</row>
    <row r="45" spans="1:25" ht="15.75" customHeight="1">
      <c r="A45" s="8">
        <v>20304</v>
      </c>
      <c r="B45" s="29" t="s">
        <v>67</v>
      </c>
      <c r="C45" s="9">
        <v>0.92254551372940008</v>
      </c>
      <c r="D45" s="19">
        <v>0.85280238851587853</v>
      </c>
      <c r="E45" s="17"/>
      <c r="F45" s="9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</row>
    <row r="46" spans="1:25" ht="15.75" customHeight="1">
      <c r="A46" s="8">
        <v>20305</v>
      </c>
      <c r="B46" s="29" t="s">
        <v>68</v>
      </c>
      <c r="C46" s="9">
        <v>1.5401745279614629</v>
      </c>
      <c r="D46" s="19">
        <v>1.7026350666473298</v>
      </c>
      <c r="E46" s="17"/>
      <c r="F46" s="9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</row>
    <row r="47" spans="1:25" ht="15.75" customHeight="1">
      <c r="A47" s="8">
        <v>20306</v>
      </c>
      <c r="B47" s="29" t="s">
        <v>69</v>
      </c>
      <c r="C47" s="9">
        <v>1.0424667303503881</v>
      </c>
      <c r="D47" s="19">
        <v>1.3166457322563296</v>
      </c>
      <c r="E47" s="17"/>
      <c r="F47" s="9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</row>
    <row r="48" spans="1:25" ht="15.75" customHeight="1">
      <c r="A48" s="8">
        <v>20307</v>
      </c>
      <c r="B48" s="29" t="s">
        <v>70</v>
      </c>
      <c r="C48" s="9">
        <v>0.6892504031979112</v>
      </c>
      <c r="D48" s="19">
        <v>1.0286985437639964</v>
      </c>
      <c r="E48" s="17"/>
      <c r="F48" s="9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</row>
    <row r="49" spans="1:25" ht="15.75" customHeight="1">
      <c r="A49" s="8">
        <v>20308</v>
      </c>
      <c r="B49" s="29" t="s">
        <v>71</v>
      </c>
      <c r="C49" s="9">
        <v>1.1580874448628145</v>
      </c>
      <c r="D49" s="19">
        <v>0.91325891873327059</v>
      </c>
      <c r="E49" s="17"/>
      <c r="F49" s="9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</row>
    <row r="50" spans="1:25" ht="15.75" customHeight="1">
      <c r="A50" s="8">
        <v>20401</v>
      </c>
      <c r="B50" s="29" t="s">
        <v>72</v>
      </c>
      <c r="C50" s="9">
        <v>1.1762421255276312</v>
      </c>
      <c r="D50" s="19">
        <v>0.91432819296293921</v>
      </c>
      <c r="E50" s="17"/>
      <c r="F50" s="9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</row>
    <row r="51" spans="1:25" ht="15.75" customHeight="1">
      <c r="A51" s="8">
        <v>20402</v>
      </c>
      <c r="B51" s="29" t="s">
        <v>73</v>
      </c>
      <c r="C51" s="9">
        <v>1.0785976621156463</v>
      </c>
      <c r="D51" s="19">
        <v>1.2701471302370753</v>
      </c>
      <c r="E51" s="17"/>
      <c r="F51" s="9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</row>
    <row r="52" spans="1:25" ht="15.75" customHeight="1">
      <c r="A52" s="8">
        <v>20403</v>
      </c>
      <c r="B52" s="29" t="s">
        <v>74</v>
      </c>
      <c r="C52" s="9">
        <v>1.8153115079475535</v>
      </c>
      <c r="D52" s="19">
        <v>1.1219551241165171</v>
      </c>
      <c r="E52" s="17"/>
      <c r="F52" s="9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</row>
    <row r="53" spans="1:25" ht="15.75" customHeight="1">
      <c r="A53" s="8">
        <v>20404</v>
      </c>
      <c r="B53" s="29" t="s">
        <v>75</v>
      </c>
      <c r="C53" s="9">
        <v>1.1381034133740249</v>
      </c>
      <c r="D53" s="19">
        <v>0.82581625801288217</v>
      </c>
      <c r="E53" s="17"/>
      <c r="F53" s="9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</row>
    <row r="54" spans="1:25" ht="15.75" customHeight="1">
      <c r="A54" s="8">
        <v>20405</v>
      </c>
      <c r="B54" s="29" t="s">
        <v>76</v>
      </c>
      <c r="C54" s="9">
        <v>1.1065208025938684</v>
      </c>
      <c r="D54" s="19">
        <v>1.0850495840948895</v>
      </c>
      <c r="E54" s="17"/>
      <c r="F54" s="9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</row>
    <row r="55" spans="1:25" ht="15.75" customHeight="1">
      <c r="A55" s="8">
        <v>20501</v>
      </c>
      <c r="B55" s="29" t="s">
        <v>77</v>
      </c>
      <c r="C55" s="9">
        <v>1.1709563070201248</v>
      </c>
      <c r="D55" s="19">
        <v>0.99931419805170241</v>
      </c>
      <c r="E55" s="17"/>
      <c r="F55" s="9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</row>
    <row r="56" spans="1:25" ht="15.75" customHeight="1">
      <c r="A56" s="8">
        <v>20502</v>
      </c>
      <c r="B56" s="29" t="s">
        <v>78</v>
      </c>
      <c r="C56" s="9">
        <v>1.0116251620646235</v>
      </c>
      <c r="D56" s="19">
        <v>1.4594907273399431</v>
      </c>
      <c r="E56" s="17"/>
      <c r="F56" s="9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 spans="1:25" ht="15.75" customHeight="1">
      <c r="A57" s="8">
        <v>20503</v>
      </c>
      <c r="B57" s="29" t="s">
        <v>79</v>
      </c>
      <c r="C57" s="9">
        <v>1.1399453164696594</v>
      </c>
      <c r="D57" s="19">
        <v>1.4613199138102144</v>
      </c>
      <c r="E57" s="17"/>
      <c r="F57" s="9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 spans="1:25" ht="15.75" customHeight="1">
      <c r="A58" s="8">
        <v>20601</v>
      </c>
      <c r="B58" s="29" t="s">
        <v>80</v>
      </c>
      <c r="C58" s="9">
        <v>1.2661866507119364</v>
      </c>
      <c r="D58" s="19">
        <v>1.0617306968818236</v>
      </c>
      <c r="E58" s="17"/>
      <c r="F58" s="9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 spans="1:25" ht="15.75" customHeight="1">
      <c r="A59" s="8">
        <v>20602</v>
      </c>
      <c r="B59" s="29" t="s">
        <v>81</v>
      </c>
      <c r="C59" s="9">
        <v>1.0914861158903224</v>
      </c>
      <c r="D59" s="19">
        <v>1.1726968087860912</v>
      </c>
      <c r="E59" s="17"/>
      <c r="F59" s="9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 spans="1:25" ht="15.75" customHeight="1">
      <c r="A60" s="8">
        <v>20603</v>
      </c>
      <c r="B60" s="29" t="s">
        <v>82</v>
      </c>
      <c r="C60" s="9">
        <v>0.9346419167359743</v>
      </c>
      <c r="D60" s="19">
        <v>0.83996869230169635</v>
      </c>
      <c r="E60" s="17"/>
      <c r="F60" s="9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 spans="1:25" ht="15.75" customHeight="1">
      <c r="A61" s="8">
        <v>20604</v>
      </c>
      <c r="B61" s="29" t="s">
        <v>83</v>
      </c>
      <c r="C61" s="9">
        <v>1.1529831363444027</v>
      </c>
      <c r="D61" s="19">
        <v>1.230713744038235</v>
      </c>
      <c r="E61" s="17"/>
      <c r="F61" s="9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 spans="1:25" ht="15.75" customHeight="1">
      <c r="A62" s="8">
        <v>20605</v>
      </c>
      <c r="B62" s="29" t="s">
        <v>84</v>
      </c>
      <c r="C62" s="9">
        <v>0.90478994447067962</v>
      </c>
      <c r="D62" s="19">
        <v>2.1066052815023406</v>
      </c>
      <c r="E62" s="17"/>
      <c r="F62" s="9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  <row r="63" spans="1:25" ht="15.75" customHeight="1">
      <c r="A63" s="8">
        <v>20606</v>
      </c>
      <c r="B63" s="29" t="s">
        <v>85</v>
      </c>
      <c r="C63" s="9">
        <v>0.86991857854085952</v>
      </c>
      <c r="D63" s="19">
        <v>1.0351535693138074</v>
      </c>
      <c r="E63" s="17"/>
      <c r="F63" s="9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</row>
    <row r="64" spans="1:25" ht="15.75" customHeight="1">
      <c r="A64" s="8">
        <v>20607</v>
      </c>
      <c r="B64" s="29" t="s">
        <v>86</v>
      </c>
      <c r="C64" s="9">
        <v>0.92856898903772378</v>
      </c>
      <c r="D64" s="19">
        <v>0.85050953771799342</v>
      </c>
      <c r="E64" s="17"/>
      <c r="F64" s="9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</row>
    <row r="65" spans="1:25" ht="15.75" customHeight="1">
      <c r="A65" s="8">
        <v>20608</v>
      </c>
      <c r="B65" s="29" t="s">
        <v>87</v>
      </c>
      <c r="C65" s="9">
        <v>1.1251958625323952</v>
      </c>
      <c r="D65" s="19">
        <v>0.82923675367531946</v>
      </c>
      <c r="E65" s="17"/>
      <c r="F65" s="9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</row>
    <row r="66" spans="1:25" ht="15.75" customHeight="1">
      <c r="A66" s="8">
        <v>20701</v>
      </c>
      <c r="B66" s="29" t="s">
        <v>88</v>
      </c>
      <c r="C66" s="9">
        <v>1.3698374831913012</v>
      </c>
      <c r="D66" s="19">
        <v>1.1561390738910184</v>
      </c>
      <c r="E66" s="17"/>
      <c r="F66" s="9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</row>
    <row r="67" spans="1:25" ht="15.75" customHeight="1">
      <c r="A67" s="8">
        <v>20702</v>
      </c>
      <c r="B67" s="29" t="s">
        <v>89</v>
      </c>
      <c r="C67" s="9">
        <v>1.433928993630907</v>
      </c>
      <c r="D67" s="19">
        <v>0.93096442146482028</v>
      </c>
      <c r="E67" s="17"/>
      <c r="F67" s="9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</row>
    <row r="68" spans="1:25" ht="15.75" customHeight="1">
      <c r="A68" s="8">
        <v>20801</v>
      </c>
      <c r="B68" s="29" t="s">
        <v>90</v>
      </c>
      <c r="C68" s="9">
        <v>0.74749239520591615</v>
      </c>
      <c r="D68" s="19">
        <v>0.61545805121401909</v>
      </c>
      <c r="E68" s="17"/>
      <c r="F68" s="9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</row>
    <row r="69" spans="1:25" ht="15.75" customHeight="1">
      <c r="A69" s="8">
        <v>20802</v>
      </c>
      <c r="B69" s="29" t="s">
        <v>91</v>
      </c>
      <c r="C69" s="9">
        <v>1.2989108816625572</v>
      </c>
      <c r="D69" s="19">
        <v>1.5047295646478966</v>
      </c>
      <c r="E69" s="17"/>
      <c r="F69" s="9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</row>
    <row r="70" spans="1:25" ht="15.75" customHeight="1">
      <c r="A70" s="8">
        <v>20803</v>
      </c>
      <c r="B70" s="29" t="s">
        <v>92</v>
      </c>
      <c r="C70" s="9">
        <v>1.4369647183325678</v>
      </c>
      <c r="D70" s="19">
        <v>1.7650500759177385</v>
      </c>
      <c r="E70" s="17"/>
      <c r="F70" s="9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</row>
    <row r="71" spans="1:25" ht="15.75" customHeight="1">
      <c r="A71" s="8">
        <v>20804</v>
      </c>
      <c r="B71" s="29" t="s">
        <v>93</v>
      </c>
      <c r="C71" s="9">
        <v>1.2002769042777288</v>
      </c>
      <c r="D71" s="19">
        <v>0.79534294394364702</v>
      </c>
      <c r="E71" s="17"/>
      <c r="F71" s="9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</row>
    <row r="72" spans="1:25" ht="15.75" customHeight="1">
      <c r="A72" s="8">
        <v>20805</v>
      </c>
      <c r="B72" s="29" t="s">
        <v>94</v>
      </c>
      <c r="C72" s="9">
        <v>0.96892143885719539</v>
      </c>
      <c r="D72" s="19">
        <v>1.3762376233197675</v>
      </c>
      <c r="E72" s="17"/>
      <c r="F72" s="9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</row>
    <row r="73" spans="1:25" ht="15.75" customHeight="1">
      <c r="A73" s="8">
        <v>20806</v>
      </c>
      <c r="B73" s="29" t="s">
        <v>95</v>
      </c>
      <c r="C73" s="9">
        <v>0.95453461337974843</v>
      </c>
      <c r="D73" s="19">
        <v>0.95505472115768542</v>
      </c>
      <c r="E73" s="17"/>
      <c r="F73" s="9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</row>
    <row r="74" spans="1:25" ht="15.75" customHeight="1">
      <c r="A74" s="8">
        <v>20807</v>
      </c>
      <c r="B74" s="29" t="s">
        <v>96</v>
      </c>
      <c r="C74" s="9">
        <v>0.79292583821356055</v>
      </c>
      <c r="D74" s="19">
        <v>0.88196558912136513</v>
      </c>
      <c r="E74" s="17"/>
      <c r="F74" s="9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</row>
    <row r="75" spans="1:25" ht="15.75" customHeight="1">
      <c r="A75" s="8">
        <v>20901</v>
      </c>
      <c r="B75" s="29" t="s">
        <v>97</v>
      </c>
      <c r="C75" s="9">
        <v>1.4908034564663455</v>
      </c>
      <c r="D75" s="19">
        <v>1.3538116104534488</v>
      </c>
      <c r="E75" s="17"/>
      <c r="F75" s="9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</row>
    <row r="76" spans="1:25" ht="15.75" customHeight="1">
      <c r="A76" s="8">
        <v>20902</v>
      </c>
      <c r="B76" s="29" t="s">
        <v>98</v>
      </c>
      <c r="C76" s="9">
        <v>0.99026271634418295</v>
      </c>
      <c r="D76" s="19">
        <v>1.1612523109201194</v>
      </c>
      <c r="E76" s="17"/>
      <c r="F76" s="9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</row>
    <row r="77" spans="1:25" ht="15.75" customHeight="1">
      <c r="A77" s="8">
        <v>20903</v>
      </c>
      <c r="B77" s="29" t="s">
        <v>99</v>
      </c>
      <c r="C77" s="9">
        <v>1.3011235996631327</v>
      </c>
      <c r="D77" s="19">
        <v>1.698932209469497</v>
      </c>
      <c r="E77" s="17"/>
      <c r="F77" s="9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</row>
    <row r="78" spans="1:25" ht="15.75" customHeight="1">
      <c r="A78" s="8">
        <v>20904</v>
      </c>
      <c r="B78" s="29" t="s">
        <v>100</v>
      </c>
      <c r="C78" s="9">
        <v>0.9874920794508929</v>
      </c>
      <c r="D78" s="19">
        <v>0.7060805393283478</v>
      </c>
      <c r="E78" s="17"/>
      <c r="F78" s="9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</row>
    <row r="79" spans="1:25" ht="15.75" customHeight="1">
      <c r="A79" s="8">
        <v>20905</v>
      </c>
      <c r="B79" s="29" t="s">
        <v>101</v>
      </c>
      <c r="C79" s="9">
        <v>1.0624756251146694</v>
      </c>
      <c r="D79" s="19">
        <v>1.764901869515598</v>
      </c>
      <c r="E79" s="17"/>
      <c r="F79" s="9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</row>
    <row r="80" spans="1:25" ht="15.75" customHeight="1">
      <c r="A80" s="8">
        <v>21001</v>
      </c>
      <c r="B80" s="29" t="s">
        <v>102</v>
      </c>
      <c r="C80" s="9">
        <v>1.2528302562726814</v>
      </c>
      <c r="D80" s="19">
        <v>1.0426075786138502</v>
      </c>
      <c r="E80" s="17"/>
      <c r="F80" s="9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</row>
    <row r="81" spans="1:25" ht="15.75" customHeight="1">
      <c r="A81" s="8">
        <v>21002</v>
      </c>
      <c r="B81" s="29" t="s">
        <v>103</v>
      </c>
      <c r="C81" s="9">
        <v>1.7210285053269549</v>
      </c>
      <c r="D81" s="19">
        <v>1.8698900431129939</v>
      </c>
      <c r="E81" s="17"/>
      <c r="F81" s="9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</row>
    <row r="82" spans="1:25" ht="15.75" customHeight="1">
      <c r="A82" s="8">
        <v>21003</v>
      </c>
      <c r="B82" s="29" t="s">
        <v>104</v>
      </c>
      <c r="C82" s="9">
        <v>0.95157887350719994</v>
      </c>
      <c r="D82" s="19">
        <v>0.64322237880010791</v>
      </c>
      <c r="E82" s="17"/>
      <c r="F82" s="9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</row>
    <row r="83" spans="1:25" ht="15.75" customHeight="1">
      <c r="A83" s="8">
        <v>21004</v>
      </c>
      <c r="B83" s="29" t="s">
        <v>105</v>
      </c>
      <c r="C83" s="9">
        <v>1.4958066403259576</v>
      </c>
      <c r="D83" s="19">
        <v>1.1287968881282746</v>
      </c>
      <c r="E83" s="17"/>
      <c r="F83" s="9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</row>
    <row r="84" spans="1:25" ht="15.75" customHeight="1">
      <c r="A84" s="8">
        <v>21005</v>
      </c>
      <c r="B84" s="29" t="s">
        <v>106</v>
      </c>
      <c r="C84" s="9">
        <v>1.6005604683018211</v>
      </c>
      <c r="D84" s="19">
        <v>1.8434361771706598</v>
      </c>
      <c r="E84" s="17"/>
      <c r="F84" s="9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</row>
    <row r="85" spans="1:25" ht="15.75" customHeight="1">
      <c r="A85" s="8">
        <v>21006</v>
      </c>
      <c r="B85" s="29" t="s">
        <v>107</v>
      </c>
      <c r="C85" s="9">
        <v>1.8149721440067039</v>
      </c>
      <c r="D85" s="19">
        <v>3.4581149486751066</v>
      </c>
      <c r="E85" s="17"/>
      <c r="F85" s="9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</row>
    <row r="86" spans="1:25" ht="15.75" customHeight="1">
      <c r="A86" s="8">
        <v>21101</v>
      </c>
      <c r="B86" s="29" t="s">
        <v>108</v>
      </c>
      <c r="C86" s="9">
        <v>1.1044616194789796</v>
      </c>
      <c r="D86" s="19">
        <v>1.3884405686835937</v>
      </c>
      <c r="E86" s="17"/>
      <c r="F86" s="9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</row>
    <row r="87" spans="1:25" ht="15.75" customHeight="1">
      <c r="A87" s="8">
        <v>21102</v>
      </c>
      <c r="B87" s="29" t="s">
        <v>109</v>
      </c>
      <c r="C87" s="9">
        <v>1.2123018984481448</v>
      </c>
      <c r="D87" s="19">
        <v>1.7988773381904395</v>
      </c>
      <c r="E87" s="17"/>
      <c r="F87" s="9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</row>
    <row r="88" spans="1:25" ht="15.75" customHeight="1">
      <c r="A88" s="8">
        <v>21103</v>
      </c>
      <c r="B88" s="29" t="s">
        <v>110</v>
      </c>
      <c r="C88" s="9">
        <v>1.1522567986570138</v>
      </c>
      <c r="D88" s="19">
        <v>0.90981517767772324</v>
      </c>
      <c r="E88" s="17"/>
      <c r="F88" s="9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</row>
    <row r="89" spans="1:25" ht="15.75" customHeight="1">
      <c r="A89" s="8">
        <v>21104</v>
      </c>
      <c r="B89" s="29" t="s">
        <v>111</v>
      </c>
      <c r="C89" s="9">
        <v>0.87266270285577485</v>
      </c>
      <c r="D89" s="19">
        <v>0.85277768671520882</v>
      </c>
      <c r="E89" s="17"/>
      <c r="F89" s="9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</row>
    <row r="90" spans="1:25" ht="15.75" customHeight="1">
      <c r="A90" s="8">
        <v>21105</v>
      </c>
      <c r="B90" s="29" t="s">
        <v>112</v>
      </c>
      <c r="C90" s="9">
        <v>0.99768013100989383</v>
      </c>
      <c r="D90" s="19">
        <v>0.84889896673003806</v>
      </c>
      <c r="E90" s="17"/>
      <c r="F90" s="9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</row>
    <row r="91" spans="1:25" ht="15.75" customHeight="1">
      <c r="A91" s="8">
        <v>21201</v>
      </c>
      <c r="B91" s="29" t="s">
        <v>113</v>
      </c>
      <c r="C91" s="9">
        <v>1.021801241515818</v>
      </c>
      <c r="D91" s="19">
        <v>0.84278049875022942</v>
      </c>
      <c r="E91" s="17"/>
      <c r="F91" s="9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</row>
    <row r="92" spans="1:25" ht="15.75" customHeight="1">
      <c r="A92" s="8">
        <v>21202</v>
      </c>
      <c r="B92" s="29" t="s">
        <v>114</v>
      </c>
      <c r="C92" s="9">
        <v>0.87337355686948148</v>
      </c>
      <c r="D92" s="19">
        <v>1.2353817911772986</v>
      </c>
      <c r="E92" s="17"/>
      <c r="F92" s="9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</row>
    <row r="93" spans="1:25" ht="15.75" customHeight="1">
      <c r="A93" s="8">
        <v>21203</v>
      </c>
      <c r="B93" s="29" t="s">
        <v>115</v>
      </c>
      <c r="C93" s="9">
        <v>1.3095160582395406</v>
      </c>
      <c r="D93" s="19">
        <v>1.469171032788853</v>
      </c>
      <c r="E93" s="17"/>
      <c r="F93" s="9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</row>
    <row r="94" spans="1:25" ht="15.75" customHeight="1">
      <c r="A94" s="8">
        <v>21204</v>
      </c>
      <c r="B94" s="29" t="s">
        <v>116</v>
      </c>
      <c r="C94" s="9">
        <v>0.87039025962983996</v>
      </c>
      <c r="D94" s="19">
        <v>0.88340627523226201</v>
      </c>
      <c r="E94" s="17"/>
      <c r="F94" s="9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</row>
    <row r="95" spans="1:25" ht="15.75" customHeight="1">
      <c r="A95" s="8">
        <v>21301</v>
      </c>
      <c r="B95" s="29" t="s">
        <v>117</v>
      </c>
      <c r="C95" s="9">
        <v>1.1742954580875851</v>
      </c>
      <c r="D95" s="19">
        <v>1.3685393310544702</v>
      </c>
      <c r="E95" s="17"/>
      <c r="F95" s="9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</row>
    <row r="96" spans="1:25" ht="15.75" customHeight="1">
      <c r="A96" s="8">
        <v>21302</v>
      </c>
      <c r="B96" s="29" t="s">
        <v>118</v>
      </c>
      <c r="C96" s="9">
        <v>1.1107078073970067</v>
      </c>
      <c r="D96" s="19">
        <v>1.1597994783093821</v>
      </c>
      <c r="E96" s="17"/>
      <c r="F96" s="9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</row>
    <row r="97" spans="1:25" ht="15.75" customHeight="1">
      <c r="A97" s="8">
        <v>21303</v>
      </c>
      <c r="B97" s="29" t="s">
        <v>119</v>
      </c>
      <c r="C97" s="9">
        <v>1.1450487050042029</v>
      </c>
      <c r="D97" s="19">
        <v>1.0807689884320608</v>
      </c>
      <c r="E97" s="17"/>
      <c r="F97" s="9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</row>
    <row r="98" spans="1:25" ht="15.75" customHeight="1">
      <c r="A98" s="8">
        <v>21304</v>
      </c>
      <c r="B98" s="29" t="s">
        <v>120</v>
      </c>
      <c r="C98" s="9">
        <v>1.1481584563050624</v>
      </c>
      <c r="D98" s="19">
        <v>0.91645299781626244</v>
      </c>
      <c r="E98" s="17"/>
      <c r="F98" s="9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</row>
    <row r="99" spans="1:25" ht="15.75" customHeight="1">
      <c r="A99" s="8">
        <v>21305</v>
      </c>
      <c r="B99" s="29" t="s">
        <v>121</v>
      </c>
      <c r="C99" s="9">
        <v>1.1132157857944152</v>
      </c>
      <c r="D99" s="19">
        <v>1.0122457973120436</v>
      </c>
      <c r="E99" s="17"/>
      <c r="F99" s="9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</row>
    <row r="100" spans="1:25" ht="15.75" customHeight="1">
      <c r="A100" s="8">
        <v>21306</v>
      </c>
      <c r="B100" s="29" t="s">
        <v>122</v>
      </c>
      <c r="C100" s="9">
        <v>1.6027124361701666</v>
      </c>
      <c r="D100" s="19">
        <v>1.1986016992808621</v>
      </c>
      <c r="E100" s="17"/>
      <c r="F100" s="9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</row>
    <row r="101" spans="1:25" ht="15.75" customHeight="1">
      <c r="A101" s="8">
        <v>21307</v>
      </c>
      <c r="B101" s="29" t="s">
        <v>123</v>
      </c>
      <c r="C101" s="9">
        <v>1.2952843213670409</v>
      </c>
      <c r="D101" s="19">
        <v>1.2070015958496465</v>
      </c>
      <c r="E101" s="17"/>
      <c r="F101" s="9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</row>
    <row r="102" spans="1:25" ht="15.75" customHeight="1">
      <c r="A102" s="8">
        <v>21401</v>
      </c>
      <c r="B102" s="29" t="s">
        <v>124</v>
      </c>
      <c r="C102" s="9">
        <v>1.3705627689793292</v>
      </c>
      <c r="D102" s="19">
        <v>1.0270771705881163</v>
      </c>
      <c r="E102" s="17"/>
      <c r="F102" s="9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</row>
    <row r="103" spans="1:25" ht="15.75" customHeight="1">
      <c r="A103" s="8">
        <v>21402</v>
      </c>
      <c r="B103" s="29" t="s">
        <v>125</v>
      </c>
      <c r="C103" s="9">
        <v>0.77603749711042003</v>
      </c>
      <c r="D103" s="19">
        <v>0.7230334066372105</v>
      </c>
      <c r="E103" s="17"/>
      <c r="F103" s="9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</row>
    <row r="104" spans="1:25" ht="15.75" customHeight="1">
      <c r="A104" s="8">
        <v>21501</v>
      </c>
      <c r="B104" s="29" t="s">
        <v>126</v>
      </c>
      <c r="C104" s="9">
        <v>1.1085799603063171</v>
      </c>
      <c r="D104" s="19">
        <v>0.85834413294724432</v>
      </c>
      <c r="E104" s="17"/>
      <c r="F104" s="9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</row>
    <row r="105" spans="1:25" ht="15.75" customHeight="1">
      <c r="A105" s="8">
        <v>21502</v>
      </c>
      <c r="B105" s="29" t="s">
        <v>127</v>
      </c>
      <c r="C105" s="9">
        <v>1.1805594596079916</v>
      </c>
      <c r="D105" s="19">
        <v>0.72784743740617208</v>
      </c>
      <c r="E105" s="17"/>
      <c r="F105" s="9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</row>
    <row r="106" spans="1:25" ht="15.75" customHeight="1">
      <c r="A106" s="8">
        <v>21601</v>
      </c>
      <c r="B106" s="29" t="s">
        <v>128</v>
      </c>
      <c r="C106" s="9">
        <v>0.99836667281616631</v>
      </c>
      <c r="D106" s="19">
        <v>0.91365419756517019</v>
      </c>
      <c r="E106" s="17"/>
      <c r="F106" s="9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</row>
    <row r="107" spans="1:25" ht="15.75" customHeight="1">
      <c r="A107" s="8">
        <v>21602</v>
      </c>
      <c r="B107" s="29" t="s">
        <v>129</v>
      </c>
      <c r="C107" s="9">
        <v>1.1448329993103676</v>
      </c>
      <c r="D107" s="19">
        <v>1.1006805456234154</v>
      </c>
      <c r="E107" s="17"/>
      <c r="F107" s="9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</row>
    <row r="108" spans="1:25" ht="15.75" customHeight="1">
      <c r="A108" s="8">
        <v>21701</v>
      </c>
      <c r="B108" s="29" t="s">
        <v>130</v>
      </c>
      <c r="C108" s="9">
        <v>0.94894059320572866</v>
      </c>
      <c r="D108" s="19">
        <v>0.80306711647477236</v>
      </c>
      <c r="E108" s="17"/>
      <c r="F108" s="9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</row>
    <row r="109" spans="1:25" ht="15.75" customHeight="1">
      <c r="A109" s="8">
        <v>21702</v>
      </c>
      <c r="B109" s="29" t="s">
        <v>131</v>
      </c>
      <c r="C109" s="9">
        <v>0.9422154400887236</v>
      </c>
      <c r="D109" s="19">
        <v>0.85068156637810144</v>
      </c>
      <c r="E109" s="17"/>
      <c r="F109" s="9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</row>
    <row r="110" spans="1:25" ht="15.75" customHeight="1">
      <c r="A110" s="8">
        <v>21703</v>
      </c>
      <c r="B110" s="29" t="s">
        <v>132</v>
      </c>
      <c r="C110" s="9">
        <v>1.3400056061759622</v>
      </c>
      <c r="D110" s="19">
        <v>0.80710464205148902</v>
      </c>
      <c r="E110" s="17"/>
      <c r="F110" s="9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</row>
    <row r="111" spans="1:25" ht="15.75" customHeight="1">
      <c r="A111" s="8">
        <v>21801</v>
      </c>
      <c r="B111" s="29" t="s">
        <v>133</v>
      </c>
      <c r="C111" s="9">
        <v>0.93668170313239041</v>
      </c>
      <c r="D111" s="19">
        <v>0.92889632790988719</v>
      </c>
      <c r="E111" s="17"/>
      <c r="F111" s="9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</row>
    <row r="112" spans="1:25" ht="15.75" customHeight="1">
      <c r="A112" s="8">
        <v>21802</v>
      </c>
      <c r="B112" s="29" t="s">
        <v>134</v>
      </c>
      <c r="C112" s="9">
        <v>0.96331112730717183</v>
      </c>
      <c r="D112" s="19">
        <v>0.61604122544836037</v>
      </c>
      <c r="E112" s="17"/>
      <c r="F112" s="9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</row>
    <row r="113" spans="1:25" ht="15.75" customHeight="1">
      <c r="A113" s="8">
        <v>21803</v>
      </c>
      <c r="B113" s="29" t="s">
        <v>135</v>
      </c>
      <c r="C113" s="9">
        <v>1.4155901382333773</v>
      </c>
      <c r="D113" s="19">
        <v>1.21812531268893</v>
      </c>
      <c r="E113" s="17"/>
      <c r="F113" s="9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</row>
    <row r="114" spans="1:25" ht="15.75" customHeight="1">
      <c r="A114" s="8">
        <v>21901</v>
      </c>
      <c r="B114" s="29" t="s">
        <v>136</v>
      </c>
      <c r="C114" s="9">
        <v>1.0372639023024928</v>
      </c>
      <c r="D114" s="19">
        <v>2.9763196968820629</v>
      </c>
      <c r="E114" s="17"/>
      <c r="F114" s="9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</row>
    <row r="115" spans="1:25" ht="15.75" customHeight="1">
      <c r="A115" s="8">
        <v>21902</v>
      </c>
      <c r="B115" s="29" t="s">
        <v>137</v>
      </c>
      <c r="C115" s="9">
        <v>1.074796287190972</v>
      </c>
      <c r="D115" s="19">
        <v>0.96957577278493046</v>
      </c>
      <c r="E115" s="17"/>
      <c r="F115" s="9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</row>
    <row r="116" spans="1:25" ht="15.75" customHeight="1">
      <c r="A116" s="8">
        <v>22001</v>
      </c>
      <c r="B116" s="29" t="s">
        <v>138</v>
      </c>
      <c r="C116" s="9">
        <v>1.219446973565564</v>
      </c>
      <c r="D116" s="19">
        <v>0.85743655277770203</v>
      </c>
      <c r="E116" s="17"/>
      <c r="F116" s="9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</row>
    <row r="117" spans="1:25" ht="15.75" customHeight="1">
      <c r="A117" s="8">
        <v>22002</v>
      </c>
      <c r="B117" s="29" t="s">
        <v>139</v>
      </c>
      <c r="C117" s="9">
        <v>1.0219465411794766</v>
      </c>
      <c r="D117" s="19">
        <v>0.81155329648818653</v>
      </c>
      <c r="E117" s="17"/>
      <c r="F117" s="9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</row>
    <row r="118" spans="1:25" ht="15.75" customHeight="1">
      <c r="A118" s="8">
        <v>30101</v>
      </c>
      <c r="B118" s="29" t="s">
        <v>140</v>
      </c>
      <c r="C118" s="9">
        <v>0.64828076740849583</v>
      </c>
      <c r="D118" s="19">
        <v>0.62237851343498263</v>
      </c>
      <c r="E118" s="17"/>
      <c r="F118" s="9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</row>
    <row r="119" spans="1:25" ht="15.75" customHeight="1">
      <c r="A119" s="8">
        <v>30201</v>
      </c>
      <c r="B119" s="29" t="s">
        <v>141</v>
      </c>
      <c r="C119" s="9">
        <v>2.6659425480957313</v>
      </c>
      <c r="D119" s="19">
        <v>1.5722372273771041</v>
      </c>
      <c r="E119" s="17"/>
      <c r="F119" s="9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</row>
    <row r="120" spans="1:25" ht="15.75" customHeight="1">
      <c r="A120" s="8">
        <v>30202</v>
      </c>
      <c r="B120" s="29" t="s">
        <v>142</v>
      </c>
      <c r="C120" s="9">
        <v>0.75709642885281492</v>
      </c>
      <c r="D120" s="19">
        <v>1.144966599527637</v>
      </c>
      <c r="E120" s="17"/>
      <c r="F120" s="9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</row>
    <row r="121" spans="1:25" ht="15.75" customHeight="1">
      <c r="A121" s="8">
        <v>30203</v>
      </c>
      <c r="B121" s="29" t="s">
        <v>143</v>
      </c>
      <c r="C121" s="9">
        <v>1.0768425178251897</v>
      </c>
      <c r="D121" s="19">
        <v>1.8618829676396058</v>
      </c>
      <c r="E121" s="17"/>
      <c r="F121" s="9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</row>
    <row r="122" spans="1:25" ht="15.75" customHeight="1">
      <c r="A122" s="8">
        <v>30301</v>
      </c>
      <c r="B122" s="29" t="s">
        <v>144</v>
      </c>
      <c r="C122" s="9">
        <v>1.959782985952488</v>
      </c>
      <c r="D122" s="19">
        <v>1.8054023640375503</v>
      </c>
      <c r="E122" s="17"/>
      <c r="F122" s="9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</row>
    <row r="123" spans="1:25" ht="15.75" customHeight="1">
      <c r="A123" s="8">
        <v>30302</v>
      </c>
      <c r="B123" s="29" t="s">
        <v>145</v>
      </c>
      <c r="C123" s="9">
        <v>1.223817474099463</v>
      </c>
      <c r="D123" s="19">
        <v>1.1075064440401352</v>
      </c>
      <c r="E123" s="17"/>
      <c r="F123" s="9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</row>
    <row r="124" spans="1:25" ht="15.75" customHeight="1">
      <c r="A124" s="8">
        <v>30303</v>
      </c>
      <c r="B124" s="29" t="s">
        <v>146</v>
      </c>
      <c r="C124" s="9">
        <v>1.0485404193890018</v>
      </c>
      <c r="D124" s="19">
        <v>0.94995977055433234</v>
      </c>
      <c r="E124" s="17"/>
      <c r="F124" s="9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</row>
    <row r="125" spans="1:25" ht="15.75" customHeight="1">
      <c r="A125" s="8">
        <v>30401</v>
      </c>
      <c r="B125" s="29" t="s">
        <v>147</v>
      </c>
      <c r="C125" s="9">
        <v>1.5012677634765048</v>
      </c>
      <c r="D125" s="19">
        <v>0.35008624670322447</v>
      </c>
      <c r="E125" s="17"/>
      <c r="F125" s="9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</row>
    <row r="126" spans="1:25" ht="15.75" customHeight="1">
      <c r="A126" s="8">
        <v>30402</v>
      </c>
      <c r="B126" s="29" t="s">
        <v>148</v>
      </c>
      <c r="C126" s="9">
        <v>1.3015232016993878</v>
      </c>
      <c r="D126" s="19">
        <v>1.278767127372707</v>
      </c>
      <c r="E126" s="17"/>
      <c r="F126" s="9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</row>
    <row r="127" spans="1:25" ht="15.75" customHeight="1">
      <c r="A127" s="8">
        <v>30403</v>
      </c>
      <c r="B127" s="29" t="s">
        <v>149</v>
      </c>
      <c r="C127" s="9">
        <v>0.55821473060812854</v>
      </c>
      <c r="D127" s="19">
        <v>0.44640942612661194</v>
      </c>
      <c r="E127" s="17"/>
      <c r="F127" s="9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</row>
    <row r="128" spans="1:25" ht="15.75" customHeight="1">
      <c r="A128" s="8">
        <v>30404</v>
      </c>
      <c r="B128" s="29" t="s">
        <v>150</v>
      </c>
      <c r="C128" s="9">
        <v>1.43478420200096</v>
      </c>
      <c r="D128" s="19">
        <v>1.0643955851967819</v>
      </c>
      <c r="E128" s="17"/>
      <c r="F128" s="9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</row>
    <row r="129" spans="1:25" ht="15.75" customHeight="1">
      <c r="A129" s="8">
        <v>30501</v>
      </c>
      <c r="B129" s="29" t="s">
        <v>151</v>
      </c>
      <c r="C129" s="9">
        <v>0.58595834492096632</v>
      </c>
      <c r="D129" s="19">
        <v>0.75180769128592961</v>
      </c>
      <c r="E129" s="17"/>
      <c r="F129" s="9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</row>
    <row r="130" spans="1:25" ht="15.75" customHeight="1">
      <c r="A130" s="8">
        <v>30502</v>
      </c>
      <c r="B130" s="29" t="s">
        <v>152</v>
      </c>
      <c r="C130" s="9">
        <v>0.88659831795021649</v>
      </c>
      <c r="D130" s="19">
        <v>1.1411495693568359</v>
      </c>
      <c r="E130" s="17"/>
      <c r="F130" s="9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</row>
    <row r="131" spans="1:25" ht="15.75" customHeight="1">
      <c r="A131" s="8">
        <v>30601</v>
      </c>
      <c r="B131" s="29" t="s">
        <v>153</v>
      </c>
      <c r="C131" s="9">
        <v>1.9566816042592217</v>
      </c>
      <c r="D131" s="19">
        <v>1.5244276572949276</v>
      </c>
      <c r="E131" s="17"/>
      <c r="F131" s="9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</row>
    <row r="132" spans="1:25" ht="15.75" customHeight="1">
      <c r="A132" s="8">
        <v>30602</v>
      </c>
      <c r="B132" s="29" t="s">
        <v>154</v>
      </c>
      <c r="C132" s="9">
        <v>1.2305029599338435</v>
      </c>
      <c r="D132" s="19">
        <v>1.2810104851033211</v>
      </c>
      <c r="E132" s="17"/>
      <c r="F132" s="9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</row>
    <row r="133" spans="1:25" ht="15.75" customHeight="1">
      <c r="A133" s="8">
        <v>30701</v>
      </c>
      <c r="B133" s="29" t="s">
        <v>155</v>
      </c>
      <c r="C133" s="9">
        <v>0.9921410814589765</v>
      </c>
      <c r="D133" s="19">
        <v>0.8592358878180677</v>
      </c>
      <c r="E133" s="17"/>
      <c r="F133" s="9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</row>
    <row r="134" spans="1:25" ht="15.75" customHeight="1">
      <c r="A134" s="8">
        <v>30702</v>
      </c>
      <c r="B134" s="29" t="s">
        <v>156</v>
      </c>
      <c r="C134" s="9">
        <v>0.78200179381521673</v>
      </c>
      <c r="D134" s="19">
        <v>0.44957204523621741</v>
      </c>
      <c r="E134" s="17"/>
      <c r="F134" s="9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</row>
    <row r="135" spans="1:25" ht="15.75" customHeight="1">
      <c r="A135" s="8">
        <v>30703</v>
      </c>
      <c r="B135" s="29" t="s">
        <v>157</v>
      </c>
      <c r="C135" s="9">
        <v>1.045043983352048</v>
      </c>
      <c r="D135" s="19">
        <v>1.0077403814379469</v>
      </c>
      <c r="E135" s="17"/>
      <c r="F135" s="9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</row>
    <row r="136" spans="1:25" ht="15.75" customHeight="1">
      <c r="A136" s="8">
        <v>30801</v>
      </c>
      <c r="B136" s="29" t="s">
        <v>158</v>
      </c>
      <c r="C136" s="9">
        <v>0.62308310776320364</v>
      </c>
      <c r="D136" s="19">
        <v>0.20643443778957307</v>
      </c>
      <c r="E136" s="17"/>
      <c r="F136" s="9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</row>
    <row r="137" spans="1:25" ht="15.75" customHeight="1">
      <c r="A137" s="8">
        <v>30802</v>
      </c>
      <c r="B137" s="29" t="s">
        <v>159</v>
      </c>
      <c r="C137" s="9">
        <v>0.66345099652647443</v>
      </c>
      <c r="D137" s="19">
        <v>0.89191258483958591</v>
      </c>
      <c r="E137" s="17"/>
      <c r="F137" s="9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</row>
    <row r="138" spans="1:25" ht="15.75" customHeight="1">
      <c r="A138" s="8">
        <v>30803</v>
      </c>
      <c r="B138" s="29" t="s">
        <v>160</v>
      </c>
      <c r="C138" s="9">
        <v>0.77730781729105503</v>
      </c>
      <c r="D138" s="19">
        <v>0.13701804233576725</v>
      </c>
      <c r="E138" s="17"/>
      <c r="F138" s="9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</row>
    <row r="139" spans="1:25" ht="15.75" customHeight="1">
      <c r="A139" s="8">
        <v>30901</v>
      </c>
      <c r="B139" s="29" t="s">
        <v>161</v>
      </c>
      <c r="C139" s="9">
        <v>0.78207040246177773</v>
      </c>
      <c r="D139" s="19">
        <v>0.70665186748252173</v>
      </c>
      <c r="E139" s="17"/>
      <c r="F139" s="9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</row>
    <row r="140" spans="1:25" ht="15.75" customHeight="1">
      <c r="A140" s="8">
        <v>30902</v>
      </c>
      <c r="B140" s="29" t="s">
        <v>162</v>
      </c>
      <c r="C140" s="9">
        <v>0.94948259320902106</v>
      </c>
      <c r="D140" s="19">
        <v>0.83305779469204189</v>
      </c>
      <c r="E140" s="17"/>
      <c r="F140" s="9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</row>
    <row r="141" spans="1:25" ht="15.75" customHeight="1">
      <c r="A141" s="8">
        <v>30903</v>
      </c>
      <c r="B141" s="29" t="s">
        <v>163</v>
      </c>
      <c r="C141" s="9">
        <v>1.0154046985165994</v>
      </c>
      <c r="D141" s="19">
        <v>2.0264788960251403</v>
      </c>
      <c r="E141" s="17"/>
      <c r="F141" s="9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</row>
    <row r="142" spans="1:25" ht="15.75" customHeight="1">
      <c r="A142" s="8">
        <v>30904</v>
      </c>
      <c r="B142" s="29" t="s">
        <v>164</v>
      </c>
      <c r="C142" s="9">
        <v>0.83866320110394776</v>
      </c>
      <c r="D142" s="19">
        <v>0.98578068453747825</v>
      </c>
      <c r="E142" s="17"/>
      <c r="F142" s="9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</row>
    <row r="143" spans="1:25" ht="15.75" customHeight="1">
      <c r="A143" s="8">
        <v>30905</v>
      </c>
      <c r="B143" s="29" t="s">
        <v>165</v>
      </c>
      <c r="C143" s="9">
        <v>0.87658278453024341</v>
      </c>
      <c r="D143" s="19">
        <v>1.0922274183532188</v>
      </c>
      <c r="E143" s="17"/>
      <c r="F143" s="9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</row>
    <row r="144" spans="1:25" ht="15.75" customHeight="1">
      <c r="A144" s="8">
        <v>31001</v>
      </c>
      <c r="B144" s="29" t="s">
        <v>166</v>
      </c>
      <c r="C144" s="9">
        <v>0.73480961577488302</v>
      </c>
      <c r="D144" s="19">
        <v>0.66190502824262398</v>
      </c>
      <c r="E144" s="17"/>
      <c r="F144" s="9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</row>
    <row r="145" spans="1:25" ht="15.75" customHeight="1">
      <c r="A145" s="8">
        <v>31002</v>
      </c>
      <c r="B145" s="29" t="s">
        <v>167</v>
      </c>
      <c r="C145" s="9">
        <v>0.71053219692674019</v>
      </c>
      <c r="D145" s="19">
        <v>0.88171853665238709</v>
      </c>
      <c r="E145" s="17"/>
      <c r="F145" s="9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</row>
    <row r="146" spans="1:25" ht="15.75" customHeight="1">
      <c r="A146" s="8">
        <v>31003</v>
      </c>
      <c r="B146" s="29" t="s">
        <v>168</v>
      </c>
      <c r="C146" s="9">
        <v>0.96042231449062232</v>
      </c>
      <c r="D146" s="19">
        <v>1.0695006129338294</v>
      </c>
      <c r="E146" s="17"/>
      <c r="F146" s="9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</row>
    <row r="147" spans="1:25" ht="15.75" customHeight="1">
      <c r="A147" s="8">
        <v>31101</v>
      </c>
      <c r="B147" s="29" t="s">
        <v>169</v>
      </c>
      <c r="C147" s="9">
        <v>1.4467525768120071</v>
      </c>
      <c r="D147" s="19">
        <v>1.3325169987443755</v>
      </c>
      <c r="E147" s="17"/>
      <c r="F147" s="9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</row>
    <row r="148" spans="1:25" ht="15.75" customHeight="1">
      <c r="A148" s="8">
        <v>31201</v>
      </c>
      <c r="B148" s="29" t="s">
        <v>170</v>
      </c>
      <c r="C148" s="9">
        <v>2.160872564081008</v>
      </c>
      <c r="D148" s="19">
        <v>0.89861527575103428</v>
      </c>
      <c r="E148" s="17"/>
      <c r="F148" s="9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</row>
    <row r="149" spans="1:25" ht="15.75" customHeight="1">
      <c r="A149" s="8">
        <v>31202</v>
      </c>
      <c r="B149" s="29" t="s">
        <v>171</v>
      </c>
      <c r="C149" s="9">
        <v>1.0668354415475356</v>
      </c>
      <c r="D149" s="19">
        <v>1.6206132397041013</v>
      </c>
      <c r="E149" s="17"/>
      <c r="F149" s="9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</row>
    <row r="150" spans="1:25" ht="15.75" customHeight="1">
      <c r="A150" s="8">
        <v>31203</v>
      </c>
      <c r="B150" s="29" t="s">
        <v>172</v>
      </c>
      <c r="C150" s="9">
        <v>1.2392399041337927</v>
      </c>
      <c r="D150" s="19">
        <v>1.052310162604537</v>
      </c>
      <c r="E150" s="17"/>
      <c r="F150" s="9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</row>
    <row r="151" spans="1:25" ht="15.75" customHeight="1">
      <c r="A151" s="8">
        <v>31204</v>
      </c>
      <c r="B151" s="29" t="s">
        <v>173</v>
      </c>
      <c r="C151" s="9">
        <v>1.2953476768933436</v>
      </c>
      <c r="D151" s="19">
        <v>1.127744349358661</v>
      </c>
      <c r="E151" s="17"/>
      <c r="F151" s="9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</row>
    <row r="152" spans="1:25" ht="15.75" customHeight="1">
      <c r="A152" s="8">
        <v>31205</v>
      </c>
      <c r="B152" s="29" t="s">
        <v>174</v>
      </c>
      <c r="C152" s="9">
        <v>1.0277386101346275</v>
      </c>
      <c r="D152" s="19">
        <v>1.0571825225276585</v>
      </c>
      <c r="E152" s="17"/>
      <c r="F152" s="9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</row>
    <row r="153" spans="1:25" ht="15.75" customHeight="1">
      <c r="A153" s="8">
        <v>31206</v>
      </c>
      <c r="B153" s="29" t="s">
        <v>175</v>
      </c>
      <c r="C153" s="9">
        <v>1.2061066144785744</v>
      </c>
      <c r="D153" s="19">
        <v>1.1074781898247354</v>
      </c>
      <c r="E153" s="17"/>
      <c r="F153" s="9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</row>
    <row r="154" spans="1:25" ht="15.75" customHeight="1">
      <c r="A154" s="8">
        <v>31301</v>
      </c>
      <c r="B154" s="29" t="s">
        <v>176</v>
      </c>
      <c r="C154" s="9">
        <v>1.3603365146184114</v>
      </c>
      <c r="D154" s="19">
        <v>1.5045628365998653</v>
      </c>
      <c r="E154" s="17"/>
      <c r="F154" s="9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</row>
    <row r="155" spans="1:25" ht="15.75" customHeight="1">
      <c r="A155" s="8">
        <v>31302</v>
      </c>
      <c r="B155" s="29" t="s">
        <v>177</v>
      </c>
      <c r="C155" s="9">
        <v>1.5324573000243473</v>
      </c>
      <c r="D155" s="19">
        <v>2.0201146184421881</v>
      </c>
      <c r="E155" s="17"/>
      <c r="F155" s="9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</row>
    <row r="156" spans="1:25" ht="15.75" customHeight="1">
      <c r="A156" s="8">
        <v>31303</v>
      </c>
      <c r="B156" s="29" t="s">
        <v>178</v>
      </c>
      <c r="C156" s="9">
        <v>1.2801190145828936</v>
      </c>
      <c r="D156" s="19">
        <v>0.82583998840476969</v>
      </c>
      <c r="E156" s="17"/>
      <c r="F156" s="9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</row>
    <row r="157" spans="1:25" ht="15.75" customHeight="1">
      <c r="A157" s="23">
        <v>31304</v>
      </c>
      <c r="B157" s="29" t="s">
        <v>179</v>
      </c>
      <c r="C157" s="9">
        <v>1.4782010409326183</v>
      </c>
      <c r="D157" s="19">
        <v>1.7510575531705883</v>
      </c>
      <c r="E157" s="17"/>
      <c r="F157" s="9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</row>
    <row r="158" spans="1:25" ht="15.75" customHeight="1">
      <c r="A158" s="8">
        <v>31401</v>
      </c>
      <c r="B158" s="29" t="s">
        <v>180</v>
      </c>
      <c r="C158" s="9">
        <v>0.69100305212400515</v>
      </c>
      <c r="D158" s="19">
        <v>0.39781941780183705</v>
      </c>
      <c r="E158" s="17"/>
      <c r="F158" s="9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</row>
    <row r="159" spans="1:25" ht="15.75" customHeight="1">
      <c r="A159" s="8">
        <v>31402</v>
      </c>
      <c r="B159" s="29" t="s">
        <v>181</v>
      </c>
      <c r="C159" s="9">
        <v>0.77570111512469719</v>
      </c>
      <c r="D159" s="19">
        <v>0.69073176568014893</v>
      </c>
      <c r="E159" s="17"/>
      <c r="F159" s="9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</row>
    <row r="160" spans="1:25" ht="15.75" customHeight="1">
      <c r="A160" s="8">
        <v>31403</v>
      </c>
      <c r="B160" s="29" t="s">
        <v>182</v>
      </c>
      <c r="C160" s="9">
        <v>0.66234816096336335</v>
      </c>
      <c r="D160" s="19">
        <v>0.70860149892255486</v>
      </c>
      <c r="E160" s="17"/>
      <c r="F160" s="9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</row>
    <row r="161" spans="1:25" ht="15.75" customHeight="1">
      <c r="A161" s="8">
        <v>31404</v>
      </c>
      <c r="B161" s="29" t="s">
        <v>183</v>
      </c>
      <c r="C161" s="9">
        <v>0.49551784925374953</v>
      </c>
      <c r="D161" s="19">
        <v>0.93527916305892667</v>
      </c>
      <c r="E161" s="17"/>
      <c r="F161" s="9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</row>
    <row r="162" spans="1:25" ht="15.75" customHeight="1">
      <c r="A162" s="8">
        <v>31405</v>
      </c>
      <c r="B162" s="29" t="s">
        <v>184</v>
      </c>
      <c r="C162" s="9">
        <v>0.84675515819507252</v>
      </c>
      <c r="D162" s="19">
        <v>0.88244680609034265</v>
      </c>
      <c r="E162" s="17"/>
      <c r="F162" s="9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</row>
    <row r="163" spans="1:25" ht="15.75" customHeight="1">
      <c r="A163" s="8">
        <v>31501</v>
      </c>
      <c r="B163" s="29" t="s">
        <v>185</v>
      </c>
      <c r="C163" s="9">
        <v>1.6453566394906778</v>
      </c>
      <c r="D163" s="19">
        <v>1.3247509940392597</v>
      </c>
      <c r="E163" s="17"/>
      <c r="F163" s="9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</row>
    <row r="164" spans="1:25" ht="15.75" customHeight="1">
      <c r="A164" s="8">
        <v>31601</v>
      </c>
      <c r="B164" s="29" t="s">
        <v>186</v>
      </c>
      <c r="C164" s="9">
        <v>1.1193890619236648</v>
      </c>
      <c r="D164" s="19">
        <v>0.35405300968387521</v>
      </c>
      <c r="E164" s="17"/>
      <c r="F164" s="9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</row>
    <row r="165" spans="1:25" ht="15.75" customHeight="1">
      <c r="A165" s="8">
        <v>31602</v>
      </c>
      <c r="B165" s="29" t="s">
        <v>187</v>
      </c>
      <c r="C165" s="9">
        <v>1.1314510057941189</v>
      </c>
      <c r="D165" s="19">
        <v>0.97265979397278324</v>
      </c>
      <c r="E165" s="17"/>
      <c r="F165" s="9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</row>
    <row r="166" spans="1:25" ht="15.75" customHeight="1">
      <c r="A166" s="8">
        <v>40101</v>
      </c>
      <c r="B166" s="29" t="s">
        <v>188</v>
      </c>
      <c r="C166" s="9">
        <v>0.38143612462918902</v>
      </c>
      <c r="D166" s="19">
        <v>0.2594236456877767</v>
      </c>
      <c r="E166" s="17"/>
      <c r="F166" s="9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</row>
    <row r="167" spans="1:25" ht="15.75" customHeight="1">
      <c r="A167" s="8">
        <v>40102</v>
      </c>
      <c r="B167" s="29" t="s">
        <v>189</v>
      </c>
      <c r="C167" s="9">
        <v>1.0987366786370591</v>
      </c>
      <c r="D167" s="19">
        <v>1.5784831550516945</v>
      </c>
      <c r="E167" s="17"/>
      <c r="F167" s="9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</row>
    <row r="168" spans="1:25" ht="15.75" customHeight="1">
      <c r="A168" s="8">
        <v>40103</v>
      </c>
      <c r="B168" s="29" t="s">
        <v>190</v>
      </c>
      <c r="C168" s="9">
        <v>1.1124484427660706</v>
      </c>
      <c r="D168" s="19">
        <v>0.96795033782413553</v>
      </c>
      <c r="E168" s="17"/>
      <c r="F168" s="9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</row>
    <row r="169" spans="1:25" ht="15.75" customHeight="1">
      <c r="A169" s="8">
        <v>40104</v>
      </c>
      <c r="B169" s="29" t="s">
        <v>191</v>
      </c>
      <c r="C169" s="9">
        <v>1.09221856614185</v>
      </c>
      <c r="D169" s="19">
        <v>0.65636587642946465</v>
      </c>
      <c r="E169" s="17"/>
      <c r="F169" s="9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</row>
    <row r="170" spans="1:25" ht="15.75" customHeight="1">
      <c r="A170" s="8">
        <v>40201</v>
      </c>
      <c r="B170" s="29" t="s">
        <v>192</v>
      </c>
      <c r="C170" s="9">
        <v>1.295126105625428</v>
      </c>
      <c r="D170" s="19">
        <v>1.7913052190024714</v>
      </c>
      <c r="E170" s="17"/>
      <c r="F170" s="9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</row>
    <row r="171" spans="1:25" ht="15.75" customHeight="1">
      <c r="A171" s="8">
        <v>40202</v>
      </c>
      <c r="B171" s="29" t="s">
        <v>193</v>
      </c>
      <c r="C171" s="9">
        <v>1.4051274596707226</v>
      </c>
      <c r="D171" s="19">
        <v>0.71999929361198101</v>
      </c>
      <c r="E171" s="17"/>
      <c r="F171" s="9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</row>
    <row r="172" spans="1:25" ht="15.75" customHeight="1">
      <c r="A172" s="8">
        <v>40301</v>
      </c>
      <c r="B172" s="29" t="s">
        <v>194</v>
      </c>
      <c r="C172" s="9">
        <v>1.777611635759818</v>
      </c>
      <c r="D172" s="19">
        <v>1.4158316964520758</v>
      </c>
      <c r="E172" s="17"/>
      <c r="F172" s="9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</row>
    <row r="173" spans="1:25" ht="15.75" customHeight="1">
      <c r="A173" s="8">
        <v>40302</v>
      </c>
      <c r="B173" s="29" t="s">
        <v>195</v>
      </c>
      <c r="C173" s="9">
        <v>2.3324579516550932</v>
      </c>
      <c r="D173" s="19">
        <v>1.7775858287762825</v>
      </c>
      <c r="E173" s="17"/>
      <c r="F173" s="9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</row>
    <row r="174" spans="1:25" ht="15.75" customHeight="1">
      <c r="A174" s="8">
        <v>40401</v>
      </c>
      <c r="B174" s="29" t="s">
        <v>196</v>
      </c>
      <c r="C174" s="9">
        <v>1.9371960291791102</v>
      </c>
      <c r="D174" s="19">
        <v>1.7103996021407299</v>
      </c>
      <c r="E174" s="17"/>
      <c r="F174" s="9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</row>
    <row r="175" spans="1:25" ht="15.75" customHeight="1">
      <c r="A175" s="8">
        <v>40402</v>
      </c>
      <c r="B175" s="29" t="s">
        <v>197</v>
      </c>
      <c r="C175" s="9">
        <v>1.719901519334357</v>
      </c>
      <c r="D175" s="19">
        <v>2.1112404383068291</v>
      </c>
      <c r="E175" s="17"/>
      <c r="F175" s="9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</row>
    <row r="176" spans="1:25" ht="15.75" customHeight="1">
      <c r="A176" s="8">
        <v>40501</v>
      </c>
      <c r="B176" s="29" t="s">
        <v>198</v>
      </c>
      <c r="C176" s="9">
        <v>0.67917866283530659</v>
      </c>
      <c r="D176" s="19">
        <v>1.9673952149837455</v>
      </c>
      <c r="E176" s="17"/>
      <c r="F176" s="9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</row>
    <row r="177" spans="1:25" ht="15.75" customHeight="1">
      <c r="A177" s="8">
        <v>40502</v>
      </c>
      <c r="B177" s="29" t="s">
        <v>199</v>
      </c>
      <c r="C177" s="9">
        <v>0.88817015027412727</v>
      </c>
      <c r="D177" s="19">
        <v>2.2178211541764945</v>
      </c>
      <c r="E177" s="17"/>
      <c r="F177" s="9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</row>
    <row r="178" spans="1:25" ht="15.75" customHeight="1">
      <c r="A178" s="8">
        <v>40503</v>
      </c>
      <c r="B178" s="29" t="s">
        <v>200</v>
      </c>
      <c r="C178" s="9">
        <v>1.2581238223540032</v>
      </c>
      <c r="D178" s="19">
        <v>0.47911469649370353</v>
      </c>
      <c r="E178" s="17"/>
      <c r="F178" s="9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</row>
    <row r="179" spans="1:25" ht="15.75" customHeight="1">
      <c r="A179" s="8">
        <v>40504</v>
      </c>
      <c r="B179" s="29" t="s">
        <v>201</v>
      </c>
      <c r="C179" s="9">
        <v>1.5405046675468026</v>
      </c>
      <c r="D179" s="19">
        <v>2.0172413793103452</v>
      </c>
      <c r="E179" s="17"/>
      <c r="F179" s="9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</row>
    <row r="180" spans="1:25" ht="15.75" customHeight="1">
      <c r="A180" s="8">
        <v>40505</v>
      </c>
      <c r="B180" s="29" t="s">
        <v>202</v>
      </c>
      <c r="C180" s="9">
        <v>1.4746760292445866</v>
      </c>
      <c r="D180" s="19">
        <v>0.85798122887296724</v>
      </c>
      <c r="E180" s="17"/>
      <c r="F180" s="9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</row>
    <row r="181" spans="1:25" ht="15.75" customHeight="1">
      <c r="A181" s="8">
        <v>40601</v>
      </c>
      <c r="B181" s="29" t="s">
        <v>203</v>
      </c>
      <c r="C181" s="9">
        <v>0.86525827921608955</v>
      </c>
      <c r="D181" s="19">
        <v>1.0218407924666248</v>
      </c>
      <c r="E181" s="17"/>
      <c r="F181" s="9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</row>
    <row r="182" spans="1:25" ht="15.75" customHeight="1">
      <c r="A182" s="8">
        <v>40602</v>
      </c>
      <c r="B182" s="29" t="s">
        <v>204</v>
      </c>
      <c r="C182" s="9">
        <v>1.1417445466672134</v>
      </c>
      <c r="D182" s="19">
        <v>1.4150314302019618</v>
      </c>
      <c r="E182" s="17"/>
      <c r="F182" s="9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</row>
    <row r="183" spans="1:25" ht="15.75" customHeight="1">
      <c r="A183" s="8">
        <v>40603</v>
      </c>
      <c r="B183" s="29" t="s">
        <v>205</v>
      </c>
      <c r="C183" s="9">
        <v>1.5515341040038095</v>
      </c>
      <c r="D183" s="19">
        <v>0.79223016116145772</v>
      </c>
      <c r="E183" s="17"/>
      <c r="F183" s="9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</row>
    <row r="184" spans="1:25" ht="15.75" customHeight="1">
      <c r="A184" s="8">
        <v>40701</v>
      </c>
      <c r="B184" s="29" t="s">
        <v>206</v>
      </c>
      <c r="C184" s="9">
        <v>0.82088487447052327</v>
      </c>
      <c r="D184" s="19">
        <v>0.6854613721863877</v>
      </c>
      <c r="E184" s="17"/>
      <c r="F184" s="9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</row>
    <row r="185" spans="1:25" ht="15.75" customHeight="1">
      <c r="A185" s="8">
        <v>40702</v>
      </c>
      <c r="B185" s="29" t="s">
        <v>207</v>
      </c>
      <c r="C185" s="9">
        <v>0.83923560044345591</v>
      </c>
      <c r="D185" s="19">
        <v>0.54420996008738387</v>
      </c>
      <c r="E185" s="17"/>
      <c r="F185" s="9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</row>
    <row r="186" spans="1:25" ht="15.75" customHeight="1">
      <c r="A186" s="8">
        <v>40801</v>
      </c>
      <c r="B186" s="29" t="s">
        <v>208</v>
      </c>
      <c r="C186" s="9">
        <v>1.0389521363691001</v>
      </c>
      <c r="D186" s="19">
        <v>1.204408946892749</v>
      </c>
      <c r="E186" s="17"/>
      <c r="F186" s="9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</row>
    <row r="187" spans="1:25" ht="15.75" customHeight="1">
      <c r="A187" s="8">
        <v>40802</v>
      </c>
      <c r="B187" s="29" t="s">
        <v>209</v>
      </c>
      <c r="C187" s="9">
        <v>1.2866605477529511</v>
      </c>
      <c r="D187" s="19">
        <v>0.65498718595848215</v>
      </c>
      <c r="E187" s="17"/>
      <c r="F187" s="9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</row>
    <row r="188" spans="1:25" ht="15.75" customHeight="1">
      <c r="A188" s="8">
        <v>40901</v>
      </c>
      <c r="B188" s="29" t="s">
        <v>210</v>
      </c>
      <c r="C188" s="9">
        <v>1.0988134330857005</v>
      </c>
      <c r="D188" s="19">
        <v>0.94147779770717743</v>
      </c>
      <c r="E188" s="17"/>
      <c r="F188" s="9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</row>
    <row r="189" spans="1:25" ht="15.75" customHeight="1">
      <c r="A189" s="8">
        <v>40902</v>
      </c>
      <c r="B189" s="29" t="s">
        <v>211</v>
      </c>
      <c r="C189" s="9">
        <v>2.0268359902717634</v>
      </c>
      <c r="D189" s="19">
        <v>0</v>
      </c>
      <c r="E189" s="17"/>
      <c r="F189" s="9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</row>
    <row r="190" spans="1:25" ht="15.75" customHeight="1">
      <c r="A190" s="8">
        <v>40903</v>
      </c>
      <c r="B190" s="29" t="s">
        <v>212</v>
      </c>
      <c r="C190" s="9">
        <v>2.6270375617896033</v>
      </c>
      <c r="D190" s="19">
        <v>1.1488911437684968</v>
      </c>
      <c r="E190" s="17"/>
      <c r="F190" s="9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</row>
    <row r="191" spans="1:25" ht="15.75" customHeight="1">
      <c r="A191" s="8">
        <v>41001</v>
      </c>
      <c r="B191" s="29" t="s">
        <v>213</v>
      </c>
      <c r="C191" s="9">
        <v>1.1748149926602314</v>
      </c>
      <c r="D191" s="19">
        <v>1.2478347961667633</v>
      </c>
      <c r="E191" s="17"/>
      <c r="F191" s="9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</row>
    <row r="192" spans="1:25" ht="15.75" customHeight="1">
      <c r="A192" s="8">
        <v>41101</v>
      </c>
      <c r="B192" s="29" t="s">
        <v>214</v>
      </c>
      <c r="C192" s="9">
        <v>1.3484070149477705</v>
      </c>
      <c r="D192" s="19">
        <v>1.230152254247759</v>
      </c>
      <c r="E192" s="17"/>
      <c r="F192" s="9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</row>
    <row r="193" spans="1:25" ht="15.75" customHeight="1">
      <c r="A193" s="8">
        <v>41201</v>
      </c>
      <c r="B193" s="29" t="s">
        <v>215</v>
      </c>
      <c r="C193" s="9">
        <v>1.2704634707815181</v>
      </c>
      <c r="D193" s="19">
        <v>1.2360034409607896</v>
      </c>
      <c r="E193" s="17"/>
      <c r="F193" s="9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</row>
    <row r="194" spans="1:25" ht="15.75" customHeight="1">
      <c r="A194" s="8">
        <v>41202</v>
      </c>
      <c r="B194" s="29" t="s">
        <v>216</v>
      </c>
      <c r="C194" s="9">
        <v>1.4197665270482358</v>
      </c>
      <c r="D194" s="19">
        <v>2.5304331842025927</v>
      </c>
      <c r="E194" s="17"/>
      <c r="F194" s="9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</row>
    <row r="195" spans="1:25" ht="15.75" customHeight="1">
      <c r="A195" s="8">
        <v>41301</v>
      </c>
      <c r="B195" s="29" t="s">
        <v>217</v>
      </c>
      <c r="C195" s="9">
        <v>1.2065197012367594</v>
      </c>
      <c r="D195" s="19">
        <v>1.0989074485666119</v>
      </c>
      <c r="E195" s="17"/>
      <c r="F195" s="9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</row>
    <row r="196" spans="1:25" ht="15.75" customHeight="1">
      <c r="A196" s="8">
        <v>41401</v>
      </c>
      <c r="B196" s="29" t="s">
        <v>218</v>
      </c>
      <c r="C196" s="9">
        <v>2.0089213564054531</v>
      </c>
      <c r="D196" s="19">
        <v>1.0404259120630774</v>
      </c>
      <c r="E196" s="17"/>
      <c r="F196" s="9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</row>
    <row r="197" spans="1:25" ht="15.75" customHeight="1">
      <c r="A197" s="8">
        <v>41501</v>
      </c>
      <c r="B197" s="29" t="s">
        <v>219</v>
      </c>
      <c r="C197" s="9">
        <v>2.0340267221024755</v>
      </c>
      <c r="D197" s="19">
        <v>3.4308766135346729</v>
      </c>
      <c r="E197" s="17"/>
      <c r="F197" s="9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</row>
    <row r="198" spans="1:25" ht="15.75" customHeight="1">
      <c r="A198" s="8">
        <v>41502</v>
      </c>
      <c r="B198" s="29" t="s">
        <v>220</v>
      </c>
      <c r="C198" s="9">
        <v>1.837440022556305</v>
      </c>
      <c r="D198" s="19">
        <v>1.5751518087182572</v>
      </c>
      <c r="E198" s="17"/>
      <c r="F198" s="9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</row>
    <row r="199" spans="1:25" ht="15.75" customHeight="1">
      <c r="A199" s="8">
        <v>41503</v>
      </c>
      <c r="B199" s="29" t="s">
        <v>221</v>
      </c>
      <c r="C199" s="9">
        <v>0.7602869607171534</v>
      </c>
      <c r="D199" s="19">
        <v>1.6153987585774012</v>
      </c>
      <c r="E199" s="17"/>
      <c r="F199" s="9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</row>
    <row r="200" spans="1:25" ht="15.75" customHeight="1">
      <c r="A200" s="8">
        <v>41601</v>
      </c>
      <c r="B200" s="29" t="s">
        <v>222</v>
      </c>
      <c r="C200" s="9">
        <v>1.1651080388456407</v>
      </c>
      <c r="D200" s="19">
        <v>1.7625968324162535</v>
      </c>
      <c r="E200" s="17"/>
      <c r="F200" s="9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</row>
    <row r="201" spans="1:25" ht="15.75" customHeight="1">
      <c r="A201" s="8">
        <v>50101</v>
      </c>
      <c r="B201" s="29" t="s">
        <v>223</v>
      </c>
      <c r="C201" s="9">
        <v>0.66380048162136962</v>
      </c>
      <c r="D201" s="19">
        <v>0.53789231500529056</v>
      </c>
      <c r="E201" s="17"/>
      <c r="F201" s="9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</row>
    <row r="202" spans="1:25" ht="15.75" customHeight="1">
      <c r="A202" s="8">
        <v>50102</v>
      </c>
      <c r="B202" s="29" t="s">
        <v>224</v>
      </c>
      <c r="C202" s="9">
        <v>1.8352285281368201</v>
      </c>
      <c r="D202" s="19">
        <v>1.3780952231196431</v>
      </c>
      <c r="E202" s="17"/>
      <c r="F202" s="9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</row>
    <row r="203" spans="1:25" ht="15.75" customHeight="1">
      <c r="A203" s="8">
        <v>50103</v>
      </c>
      <c r="B203" s="29" t="s">
        <v>225</v>
      </c>
      <c r="C203" s="9">
        <v>1.3414844328813706</v>
      </c>
      <c r="D203" s="19">
        <v>1.1501879521749934</v>
      </c>
      <c r="E203" s="17"/>
      <c r="F203" s="9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</row>
    <row r="204" spans="1:25" ht="15.75" customHeight="1">
      <c r="A204" s="8">
        <v>50104</v>
      </c>
      <c r="B204" s="29" t="s">
        <v>226</v>
      </c>
      <c r="C204" s="9">
        <v>1.8576705765472101</v>
      </c>
      <c r="D204" s="19">
        <v>1.5895225027847593</v>
      </c>
      <c r="E204" s="17"/>
      <c r="F204" s="9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</row>
    <row r="205" spans="1:25" ht="15.75" customHeight="1">
      <c r="A205" s="8">
        <v>50201</v>
      </c>
      <c r="B205" s="29" t="s">
        <v>227</v>
      </c>
      <c r="C205" s="9">
        <v>1.3849160768607067</v>
      </c>
      <c r="D205" s="19">
        <v>1.0271716957037407</v>
      </c>
      <c r="E205" s="17"/>
      <c r="F205" s="9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</row>
    <row r="206" spans="1:25" ht="15.75" customHeight="1">
      <c r="A206" s="8">
        <v>50202</v>
      </c>
      <c r="B206" s="29" t="s">
        <v>228</v>
      </c>
      <c r="C206" s="9">
        <v>1.5351740883062335</v>
      </c>
      <c r="D206" s="19">
        <v>1.5837737275796131</v>
      </c>
      <c r="E206" s="17"/>
      <c r="F206" s="9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</row>
    <row r="207" spans="1:25" ht="15.75" customHeight="1">
      <c r="A207" s="8">
        <v>50203</v>
      </c>
      <c r="B207" s="29" t="s">
        <v>229</v>
      </c>
      <c r="C207" s="9">
        <v>0.9115661918746355</v>
      </c>
      <c r="D207" s="19">
        <v>1.0252816303520029</v>
      </c>
      <c r="E207" s="17"/>
      <c r="F207" s="9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</row>
    <row r="208" spans="1:25" ht="15.75" customHeight="1">
      <c r="A208" s="8">
        <v>50204</v>
      </c>
      <c r="B208" s="29" t="s">
        <v>230</v>
      </c>
      <c r="C208" s="9">
        <v>2.0606467056145785</v>
      </c>
      <c r="D208" s="19">
        <v>1.6895848162939158</v>
      </c>
      <c r="E208" s="17"/>
      <c r="F208" s="9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</row>
    <row r="209" spans="1:25" ht="15.75" customHeight="1">
      <c r="A209" s="8">
        <v>50301</v>
      </c>
      <c r="B209" s="29" t="s">
        <v>231</v>
      </c>
      <c r="C209" s="9">
        <v>1.481120813591311</v>
      </c>
      <c r="D209" s="19">
        <v>1.0949225872144894</v>
      </c>
      <c r="E209" s="17"/>
      <c r="F209" s="9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</row>
    <row r="210" spans="1:25" ht="15.75" customHeight="1">
      <c r="A210" s="8">
        <v>50302</v>
      </c>
      <c r="B210" s="29" t="s">
        <v>232</v>
      </c>
      <c r="C210" s="9">
        <v>1.0440942180808439</v>
      </c>
      <c r="D210" s="19">
        <v>0.84530901298422412</v>
      </c>
      <c r="E210" s="17"/>
      <c r="F210" s="9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</row>
    <row r="211" spans="1:25" ht="15.75" customHeight="1">
      <c r="A211" s="8">
        <v>50303</v>
      </c>
      <c r="B211" s="29" t="s">
        <v>233</v>
      </c>
      <c r="C211" s="9">
        <v>1.4511779124564335</v>
      </c>
      <c r="D211" s="19">
        <v>1.3493011296865689</v>
      </c>
      <c r="E211" s="17"/>
      <c r="F211" s="9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</row>
    <row r="212" spans="1:25" ht="15.75" customHeight="1">
      <c r="A212" s="8">
        <v>50401</v>
      </c>
      <c r="B212" s="29" t="s">
        <v>234</v>
      </c>
      <c r="C212" s="9">
        <v>1.8576995719778677</v>
      </c>
      <c r="D212" s="19">
        <v>1.6929284885281135</v>
      </c>
      <c r="E212" s="17"/>
      <c r="F212" s="9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</row>
    <row r="213" spans="1:25" ht="15.75" customHeight="1">
      <c r="A213" s="8">
        <v>50402</v>
      </c>
      <c r="B213" s="29" t="s">
        <v>235</v>
      </c>
      <c r="C213" s="9">
        <v>1.6060823392827654</v>
      </c>
      <c r="D213" s="19">
        <v>1.4441161531749582</v>
      </c>
      <c r="E213" s="17"/>
      <c r="F213" s="9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</row>
    <row r="214" spans="1:25" ht="15.75" customHeight="1">
      <c r="A214" s="8">
        <v>50403</v>
      </c>
      <c r="B214" s="29" t="s">
        <v>236</v>
      </c>
      <c r="C214" s="9">
        <v>1.1629977803899376</v>
      </c>
      <c r="D214" s="19">
        <v>1.1858941575323412</v>
      </c>
      <c r="E214" s="17"/>
      <c r="F214" s="9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</row>
    <row r="215" spans="1:25" ht="15.75" customHeight="1">
      <c r="A215" s="8">
        <v>50404</v>
      </c>
      <c r="B215" s="29" t="s">
        <v>237</v>
      </c>
      <c r="C215" s="9">
        <v>1.6415629475267757</v>
      </c>
      <c r="D215" s="19">
        <v>1.1304191973990465</v>
      </c>
      <c r="E215" s="17"/>
      <c r="F215" s="9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</row>
    <row r="216" spans="1:25" ht="15.75" customHeight="1">
      <c r="A216" s="23">
        <v>50405</v>
      </c>
      <c r="B216" s="29" t="s">
        <v>238</v>
      </c>
      <c r="C216" s="9">
        <v>1.2957428028082509</v>
      </c>
      <c r="D216" s="19">
        <v>1.2393065437522506</v>
      </c>
      <c r="E216" s="17"/>
      <c r="F216" s="9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</row>
    <row r="217" spans="1:25" ht="15.75" customHeight="1">
      <c r="A217" s="8">
        <v>50501</v>
      </c>
      <c r="B217" s="29" t="s">
        <v>239</v>
      </c>
      <c r="C217" s="9">
        <v>1.6115108022210038</v>
      </c>
      <c r="D217" s="19">
        <v>1.6466289786106691</v>
      </c>
      <c r="E217" s="17"/>
      <c r="F217" s="9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</row>
    <row r="218" spans="1:25" ht="15.75" customHeight="1">
      <c r="A218" s="8">
        <v>50502</v>
      </c>
      <c r="B218" s="29" t="s">
        <v>240</v>
      </c>
      <c r="C218" s="9">
        <v>1.744789211622471</v>
      </c>
      <c r="D218" s="19">
        <v>1.8087011890807161</v>
      </c>
      <c r="E218" s="17"/>
      <c r="F218" s="9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</row>
    <row r="219" spans="1:25" ht="15.75" customHeight="1">
      <c r="A219" s="8">
        <v>50601</v>
      </c>
      <c r="B219" s="29" t="s">
        <v>241</v>
      </c>
      <c r="C219" s="9">
        <v>1.4803853114535741</v>
      </c>
      <c r="D219" s="19">
        <v>1.1704756218102494</v>
      </c>
      <c r="E219" s="17"/>
      <c r="F219" s="9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</row>
    <row r="220" spans="1:25" ht="15.75" customHeight="1">
      <c r="A220" s="8">
        <v>50602</v>
      </c>
      <c r="B220" s="29" t="s">
        <v>242</v>
      </c>
      <c r="C220" s="9">
        <v>1.4664421623963559</v>
      </c>
      <c r="D220" s="19">
        <v>0.81155195028792038</v>
      </c>
      <c r="E220" s="17"/>
      <c r="F220" s="9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</row>
    <row r="221" spans="1:25" ht="15.75" customHeight="1">
      <c r="A221" s="8">
        <v>50701</v>
      </c>
      <c r="B221" s="29" t="s">
        <v>243</v>
      </c>
      <c r="C221" s="9">
        <v>1.890875516204533</v>
      </c>
      <c r="D221" s="19">
        <v>1.4943863750711774</v>
      </c>
      <c r="E221" s="17"/>
      <c r="F221" s="9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</row>
    <row r="222" spans="1:25" ht="15.75" customHeight="1">
      <c r="A222" s="8">
        <v>50702</v>
      </c>
      <c r="B222" s="29" t="s">
        <v>244</v>
      </c>
      <c r="C222" s="9">
        <v>1.346175092801994</v>
      </c>
      <c r="D222" s="19">
        <v>1.126496539308997</v>
      </c>
      <c r="E222" s="17"/>
      <c r="F222" s="9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</row>
    <row r="223" spans="1:25" ht="15.75" customHeight="1">
      <c r="A223" s="8">
        <v>50801</v>
      </c>
      <c r="B223" s="29" t="s">
        <v>245</v>
      </c>
      <c r="C223" s="9">
        <v>1.4754505782561442</v>
      </c>
      <c r="D223" s="19">
        <v>0.92885922999411397</v>
      </c>
      <c r="E223" s="17"/>
      <c r="F223" s="9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</row>
    <row r="224" spans="1:25" ht="15.75" customHeight="1">
      <c r="A224" s="8">
        <v>50802</v>
      </c>
      <c r="B224" s="29" t="s">
        <v>246</v>
      </c>
      <c r="C224" s="9">
        <v>1.1258915724308576</v>
      </c>
      <c r="D224" s="19">
        <v>0.79653129034488135</v>
      </c>
      <c r="E224" s="17"/>
      <c r="F224" s="9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</row>
    <row r="225" spans="1:25" ht="15.75" customHeight="1">
      <c r="A225" s="8">
        <v>50901</v>
      </c>
      <c r="B225" s="29" t="s">
        <v>247</v>
      </c>
      <c r="C225" s="9">
        <v>1.7964629295018237</v>
      </c>
      <c r="D225" s="19">
        <v>1.1553279866865025</v>
      </c>
      <c r="E225" s="17"/>
      <c r="F225" s="9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</row>
    <row r="226" spans="1:25" ht="15.75" customHeight="1">
      <c r="A226" s="8">
        <v>50902</v>
      </c>
      <c r="B226" s="29" t="s">
        <v>248</v>
      </c>
      <c r="C226" s="9">
        <v>1.2265357598739812</v>
      </c>
      <c r="D226" s="19">
        <v>0.69487555625610409</v>
      </c>
      <c r="E226" s="17"/>
      <c r="F226" s="9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</row>
    <row r="227" spans="1:25" ht="15.75" customHeight="1">
      <c r="A227" s="8">
        <v>51001</v>
      </c>
      <c r="B227" s="29" t="s">
        <v>249</v>
      </c>
      <c r="C227" s="9">
        <v>1.2187248453065855</v>
      </c>
      <c r="D227" s="19">
        <v>1.2830470877184688</v>
      </c>
      <c r="E227" s="17"/>
      <c r="F227" s="9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</row>
    <row r="228" spans="1:25" ht="15.75" customHeight="1">
      <c r="A228" s="8">
        <v>51002</v>
      </c>
      <c r="B228" s="29" t="s">
        <v>250</v>
      </c>
      <c r="C228" s="9">
        <v>1.2196573921305083</v>
      </c>
      <c r="D228" s="19">
        <v>0</v>
      </c>
      <c r="E228" s="17"/>
      <c r="F228" s="9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</row>
    <row r="229" spans="1:25" ht="15.75" customHeight="1">
      <c r="A229" s="8">
        <v>51003</v>
      </c>
      <c r="B229" s="29" t="s">
        <v>251</v>
      </c>
      <c r="C229" s="9">
        <v>1.4874712419902065</v>
      </c>
      <c r="D229" s="19">
        <v>2.8948219898352736</v>
      </c>
      <c r="E229" s="17"/>
      <c r="F229" s="9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</row>
    <row r="230" spans="1:25" ht="15.75" customHeight="1">
      <c r="A230" s="8">
        <v>51101</v>
      </c>
      <c r="B230" s="29" t="s">
        <v>252</v>
      </c>
      <c r="C230" s="9">
        <v>1.0170785358767016</v>
      </c>
      <c r="D230" s="19">
        <v>1.0749653688349363</v>
      </c>
      <c r="E230" s="17"/>
      <c r="F230" s="9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</row>
    <row r="231" spans="1:25" ht="15.75" customHeight="1">
      <c r="A231" s="8">
        <v>51102</v>
      </c>
      <c r="B231" s="29" t="s">
        <v>253</v>
      </c>
      <c r="C231" s="9">
        <v>1.0266234125800269</v>
      </c>
      <c r="D231" s="19">
        <v>0.93938681200066332</v>
      </c>
      <c r="E231" s="17"/>
      <c r="F231" s="9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</row>
    <row r="232" spans="1:25" ht="15.75" customHeight="1">
      <c r="A232" s="8">
        <v>51103</v>
      </c>
      <c r="B232" s="29" t="s">
        <v>254</v>
      </c>
      <c r="C232" s="9">
        <v>1.5086714845318725</v>
      </c>
      <c r="D232" s="19">
        <v>1.2804204218844069</v>
      </c>
      <c r="E232" s="17"/>
      <c r="F232" s="9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</row>
    <row r="233" spans="1:25" ht="15.75" customHeight="1">
      <c r="A233" s="8">
        <v>51201</v>
      </c>
      <c r="B233" s="29" t="s">
        <v>255</v>
      </c>
      <c r="C233" s="9">
        <v>1.2701566596418343</v>
      </c>
      <c r="D233" s="19">
        <v>0.89989665556379272</v>
      </c>
      <c r="E233" s="17"/>
      <c r="F233" s="9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</row>
    <row r="234" spans="1:25" ht="15.75" customHeight="1">
      <c r="A234" s="8">
        <v>51202</v>
      </c>
      <c r="B234" s="29" t="s">
        <v>256</v>
      </c>
      <c r="C234" s="9">
        <v>1.0259877047984804</v>
      </c>
      <c r="D234" s="19">
        <v>1.1235176218530956</v>
      </c>
      <c r="E234" s="17"/>
      <c r="F234" s="9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</row>
    <row r="235" spans="1:25" ht="15.75" customHeight="1">
      <c r="A235" s="8">
        <v>51203</v>
      </c>
      <c r="B235" s="29" t="s">
        <v>257</v>
      </c>
      <c r="C235" s="9">
        <v>1.2484314565497421</v>
      </c>
      <c r="D235" s="19">
        <v>1.2392909300486095</v>
      </c>
      <c r="E235" s="17"/>
      <c r="F235" s="9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</row>
    <row r="236" spans="1:25" ht="15.75" customHeight="1">
      <c r="A236" s="23">
        <v>51204</v>
      </c>
      <c r="B236" s="29" t="s">
        <v>258</v>
      </c>
      <c r="C236" s="9">
        <v>1.2574973548403958</v>
      </c>
      <c r="D236" s="19">
        <v>0.97741321449169072</v>
      </c>
      <c r="E236" s="17"/>
      <c r="F236" s="9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</row>
    <row r="237" spans="1:25" ht="15.75" customHeight="1">
      <c r="A237" s="8">
        <v>51301</v>
      </c>
      <c r="B237" s="29" t="s">
        <v>259</v>
      </c>
      <c r="C237" s="9">
        <v>1.5450905321224542</v>
      </c>
      <c r="D237" s="19">
        <v>1.9714024667290442</v>
      </c>
      <c r="E237" s="17"/>
      <c r="F237" s="9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</row>
    <row r="238" spans="1:25" ht="15.75" customHeight="1">
      <c r="A238" s="8">
        <v>51302</v>
      </c>
      <c r="B238" s="29" t="s">
        <v>260</v>
      </c>
      <c r="C238" s="9">
        <v>2.2506621537715406</v>
      </c>
      <c r="D238" s="19">
        <v>1.5335077427929074</v>
      </c>
      <c r="E238" s="17"/>
      <c r="F238" s="9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</row>
    <row r="239" spans="1:25" ht="15.75" customHeight="1">
      <c r="A239" s="8">
        <v>51401</v>
      </c>
      <c r="B239" s="29" t="s">
        <v>261</v>
      </c>
      <c r="C239" s="9">
        <v>1.2049911471942716</v>
      </c>
      <c r="D239" s="19">
        <v>1.2909286046444517</v>
      </c>
      <c r="E239" s="17"/>
      <c r="F239" s="9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</row>
    <row r="240" spans="1:25" ht="15.75" customHeight="1">
      <c r="A240" s="8">
        <v>51402</v>
      </c>
      <c r="B240" s="29" t="s">
        <v>262</v>
      </c>
      <c r="C240" s="9">
        <v>1.3939588726594208</v>
      </c>
      <c r="D240" s="19">
        <v>1.1656932888172507</v>
      </c>
      <c r="E240" s="17"/>
      <c r="F240" s="9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</row>
    <row r="241" spans="1:25" ht="15.75" customHeight="1">
      <c r="A241" s="8">
        <v>51501</v>
      </c>
      <c r="B241" s="29" t="s">
        <v>263</v>
      </c>
      <c r="C241" s="9">
        <v>1.1720009788263115</v>
      </c>
      <c r="D241" s="19">
        <v>1.0062647005629002</v>
      </c>
      <c r="E241" s="17"/>
      <c r="F241" s="9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</row>
    <row r="242" spans="1:25" ht="15.75" customHeight="1">
      <c r="A242" s="8">
        <v>51601</v>
      </c>
      <c r="B242" s="29" t="s">
        <v>264</v>
      </c>
      <c r="C242" s="9">
        <v>1.1119679833766793</v>
      </c>
      <c r="D242" s="19">
        <v>9.6629213112889296</v>
      </c>
      <c r="E242" s="17"/>
      <c r="F242" s="9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</row>
    <row r="243" spans="1:25" ht="15.75" customHeight="1">
      <c r="A243" s="8">
        <v>60101</v>
      </c>
      <c r="B243" s="29" t="s">
        <v>265</v>
      </c>
      <c r="C243" s="9">
        <v>0.84552808717301853</v>
      </c>
      <c r="D243" s="19">
        <v>0.86491841873812869</v>
      </c>
      <c r="E243" s="17"/>
      <c r="F243" s="9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</row>
    <row r="244" spans="1:25" ht="15.75" customHeight="1">
      <c r="A244" s="8">
        <v>60201</v>
      </c>
      <c r="B244" s="29" t="s">
        <v>266</v>
      </c>
      <c r="C244" s="9">
        <v>1.135865813086635</v>
      </c>
      <c r="D244" s="19">
        <v>1.3530577783006161</v>
      </c>
      <c r="E244" s="17"/>
      <c r="F244" s="9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</row>
    <row r="245" spans="1:25" ht="15.75" customHeight="1">
      <c r="A245" s="8">
        <v>60202</v>
      </c>
      <c r="B245" s="29" t="s">
        <v>267</v>
      </c>
      <c r="C245" s="9">
        <v>0.8008214417359335</v>
      </c>
      <c r="D245" s="19">
        <v>0.84260748010824815</v>
      </c>
      <c r="E245" s="17"/>
      <c r="F245" s="9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</row>
    <row r="246" spans="1:25" ht="15.75" customHeight="1">
      <c r="A246" s="8">
        <v>60301</v>
      </c>
      <c r="B246" s="29" t="s">
        <v>268</v>
      </c>
      <c r="C246" s="9">
        <v>0.6399400834285196</v>
      </c>
      <c r="D246" s="19">
        <v>1.0880105538472611</v>
      </c>
      <c r="E246" s="17"/>
      <c r="F246" s="9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</row>
    <row r="247" spans="1:25" ht="15.75" customHeight="1">
      <c r="A247" s="8">
        <v>60302</v>
      </c>
      <c r="B247" s="29" t="s">
        <v>269</v>
      </c>
      <c r="C247" s="9">
        <v>1.0179326943499873</v>
      </c>
      <c r="D247" s="19">
        <v>0.56490857910998848</v>
      </c>
      <c r="E247" s="17"/>
      <c r="F247" s="9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</row>
    <row r="248" spans="1:25" ht="15.75" customHeight="1">
      <c r="A248" s="8">
        <v>60303</v>
      </c>
      <c r="B248" s="29" t="s">
        <v>270</v>
      </c>
      <c r="C248" s="9">
        <v>0.92596908623449192</v>
      </c>
      <c r="D248" s="19">
        <v>1.1405334537129905</v>
      </c>
      <c r="E248" s="17"/>
      <c r="F248" s="9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</row>
    <row r="249" spans="1:25" ht="15.75" customHeight="1">
      <c r="A249" s="8">
        <v>60401</v>
      </c>
      <c r="B249" s="29" t="s">
        <v>271</v>
      </c>
      <c r="C249" s="9">
        <v>0.84288992966520138</v>
      </c>
      <c r="D249" s="19">
        <v>1.2588266845061162</v>
      </c>
      <c r="E249" s="17"/>
      <c r="F249" s="9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</row>
    <row r="250" spans="1:25" ht="15.75" customHeight="1">
      <c r="A250" s="8">
        <v>60402</v>
      </c>
      <c r="B250" s="29" t="s">
        <v>272</v>
      </c>
      <c r="C250" s="9">
        <v>0.95835333879472939</v>
      </c>
      <c r="D250" s="19">
        <v>4.5640569367116361</v>
      </c>
      <c r="E250" s="17"/>
      <c r="F250" s="9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</row>
    <row r="251" spans="1:25" ht="15.75" customHeight="1">
      <c r="A251" s="8">
        <v>60501</v>
      </c>
      <c r="B251" s="29" t="s">
        <v>273</v>
      </c>
      <c r="C251" s="9">
        <v>1.3876866249026854</v>
      </c>
      <c r="D251" s="19">
        <v>0.77319449071567037</v>
      </c>
      <c r="E251" s="17"/>
      <c r="F251" s="9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</row>
    <row r="252" spans="1:25" ht="15.75" customHeight="1">
      <c r="A252" s="8">
        <v>60502</v>
      </c>
      <c r="B252" s="29" t="s">
        <v>274</v>
      </c>
      <c r="C252" s="9">
        <v>1.3862367859612981</v>
      </c>
      <c r="D252" s="19">
        <v>0.97297803907266056</v>
      </c>
      <c r="E252" s="17"/>
      <c r="F252" s="9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</row>
    <row r="253" spans="1:25" ht="15.75" customHeight="1">
      <c r="A253" s="8">
        <v>60601</v>
      </c>
      <c r="B253" s="29" t="s">
        <v>175</v>
      </c>
      <c r="C253" s="9">
        <v>1.4595478420406216</v>
      </c>
      <c r="D253" s="19">
        <v>2.0473783793199245</v>
      </c>
      <c r="E253" s="17"/>
      <c r="F253" s="9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</row>
    <row r="254" spans="1:25" ht="15.75" customHeight="1">
      <c r="A254" s="8">
        <v>70101</v>
      </c>
      <c r="B254" s="29" t="s">
        <v>275</v>
      </c>
      <c r="C254" s="9">
        <v>0.79577043234094524</v>
      </c>
      <c r="D254" s="19">
        <v>0.70993807220853233</v>
      </c>
      <c r="E254" s="17"/>
      <c r="F254" s="9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</row>
    <row r="255" spans="1:25" ht="15.75" customHeight="1">
      <c r="A255" s="8">
        <v>70102</v>
      </c>
      <c r="B255" s="29" t="s">
        <v>276</v>
      </c>
      <c r="C255" s="9">
        <v>0.81977406613136095</v>
      </c>
      <c r="D255" s="19">
        <v>0.9038905532855015</v>
      </c>
      <c r="E255" s="17"/>
      <c r="F255" s="9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</row>
    <row r="256" spans="1:25" ht="15.75" customHeight="1">
      <c r="A256" s="8">
        <v>70103</v>
      </c>
      <c r="B256" s="29" t="s">
        <v>277</v>
      </c>
      <c r="C256" s="9">
        <v>0.99582918187211911</v>
      </c>
      <c r="D256" s="19">
        <v>1.3617686670431972</v>
      </c>
      <c r="E256" s="17"/>
      <c r="F256" s="9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</row>
    <row r="257" spans="1:25" ht="15.75" customHeight="1">
      <c r="A257" s="8">
        <v>70104</v>
      </c>
      <c r="B257" s="29" t="s">
        <v>278</v>
      </c>
      <c r="C257" s="9">
        <v>0.85155847338078205</v>
      </c>
      <c r="D257" s="19">
        <v>0.85608533943384457</v>
      </c>
      <c r="E257" s="17"/>
      <c r="F257" s="9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</row>
    <row r="258" spans="1:25" ht="15.75" customHeight="1">
      <c r="A258" s="8">
        <v>70105</v>
      </c>
      <c r="B258" s="29" t="s">
        <v>279</v>
      </c>
      <c r="C258" s="9">
        <v>0.77668887885717974</v>
      </c>
      <c r="D258" s="19">
        <v>0.95061437802052506</v>
      </c>
      <c r="E258" s="17"/>
      <c r="F258" s="9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</row>
    <row r="259" spans="1:25" ht="15.75" customHeight="1">
      <c r="A259" s="8">
        <v>70201</v>
      </c>
      <c r="B259" s="29" t="s">
        <v>280</v>
      </c>
      <c r="C259" s="9">
        <v>0.84635501682628322</v>
      </c>
      <c r="D259" s="19">
        <v>1.0012783099833888</v>
      </c>
      <c r="E259" s="17"/>
      <c r="F259" s="9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</row>
    <row r="260" spans="1:25" ht="15.75" customHeight="1">
      <c r="A260" s="8">
        <v>70202</v>
      </c>
      <c r="B260" s="29" t="s">
        <v>281</v>
      </c>
      <c r="C260" s="9">
        <v>1.0731116455183054</v>
      </c>
      <c r="D260" s="19">
        <v>1.0335498039864415</v>
      </c>
      <c r="E260" s="17"/>
      <c r="F260" s="9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</row>
    <row r="261" spans="1:25" ht="15.75" customHeight="1">
      <c r="A261" s="8">
        <v>70301</v>
      </c>
      <c r="B261" s="29" t="s">
        <v>282</v>
      </c>
      <c r="C261" s="9">
        <v>1.0077606317132166</v>
      </c>
      <c r="D261" s="19">
        <v>0.68542202450241652</v>
      </c>
      <c r="E261" s="17"/>
      <c r="F261" s="9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</row>
    <row r="262" spans="1:25" ht="15.75" customHeight="1">
      <c r="A262" s="8">
        <v>70302</v>
      </c>
      <c r="B262" s="29" t="s">
        <v>283</v>
      </c>
      <c r="C262" s="9">
        <v>0.98887220103560269</v>
      </c>
      <c r="D262" s="19">
        <v>0.57896832651178842</v>
      </c>
      <c r="E262" s="17"/>
      <c r="F262" s="9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</row>
    <row r="263" spans="1:25" ht="15.75" customHeight="1">
      <c r="A263" s="8">
        <v>70303</v>
      </c>
      <c r="B263" s="29" t="s">
        <v>284</v>
      </c>
      <c r="C263" s="9">
        <v>1.3377616588500176</v>
      </c>
      <c r="D263" s="19">
        <v>0.54058910451959119</v>
      </c>
      <c r="E263" s="17"/>
      <c r="F263" s="9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</row>
    <row r="264" spans="1:25" ht="15.75" customHeight="1">
      <c r="A264" s="8">
        <v>70401</v>
      </c>
      <c r="B264" s="29" t="s">
        <v>285</v>
      </c>
      <c r="C264" s="9">
        <v>0.95589585279844946</v>
      </c>
      <c r="D264" s="19">
        <v>1.5435466700357641</v>
      </c>
      <c r="E264" s="17"/>
      <c r="F264" s="9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</row>
    <row r="265" spans="1:25" ht="15.75" customHeight="1">
      <c r="A265" s="8">
        <v>70402</v>
      </c>
      <c r="B265" s="29" t="s">
        <v>286</v>
      </c>
      <c r="C265" s="9">
        <v>0.96216841054687696</v>
      </c>
      <c r="D265" s="19">
        <v>1.0392334571815089</v>
      </c>
      <c r="E265" s="17"/>
      <c r="F265" s="9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</row>
    <row r="266" spans="1:25" ht="15.75" customHeight="1">
      <c r="A266" s="8">
        <v>70403</v>
      </c>
      <c r="B266" s="29" t="s">
        <v>287</v>
      </c>
      <c r="C266" s="9">
        <v>0.99294572045977014</v>
      </c>
      <c r="D266" s="19">
        <v>0.62461682527801576</v>
      </c>
      <c r="E266" s="17"/>
      <c r="F266" s="9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</row>
    <row r="267" spans="1:25" ht="15.75" customHeight="1">
      <c r="A267" s="8">
        <v>70404</v>
      </c>
      <c r="B267" s="29" t="s">
        <v>288</v>
      </c>
      <c r="C267" s="9">
        <v>0.9111757243991766</v>
      </c>
      <c r="D267" s="19">
        <v>0.70324705071308047</v>
      </c>
      <c r="E267" s="17"/>
      <c r="F267" s="9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</row>
    <row r="268" spans="1:25" ht="15.75" customHeight="1">
      <c r="A268" s="8">
        <v>70501</v>
      </c>
      <c r="B268" s="29" t="s">
        <v>289</v>
      </c>
      <c r="C268" s="9">
        <v>0.94713803114915984</v>
      </c>
      <c r="D268" s="19">
        <v>0.91962123944187191</v>
      </c>
      <c r="E268" s="17"/>
      <c r="F268" s="9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</row>
    <row r="269" spans="1:25" ht="15.75" customHeight="1">
      <c r="A269" s="8">
        <v>70502</v>
      </c>
      <c r="B269" s="29" t="s">
        <v>290</v>
      </c>
      <c r="C269" s="9">
        <v>0.88925989951105988</v>
      </c>
      <c r="D269" s="19">
        <v>1.5815542642704374</v>
      </c>
      <c r="E269" s="17"/>
      <c r="F269" s="9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</row>
    <row r="270" spans="1:25" ht="15.75" customHeight="1">
      <c r="A270" s="8">
        <v>70503</v>
      </c>
      <c r="B270" s="29" t="s">
        <v>291</v>
      </c>
      <c r="C270" s="9">
        <v>0.95556545159934447</v>
      </c>
      <c r="D270" s="19">
        <v>0.90396666840495787</v>
      </c>
      <c r="E270" s="17"/>
      <c r="F270" s="9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</row>
    <row r="271" spans="1:25" ht="15.75" customHeight="1">
      <c r="A271" s="8">
        <v>70601</v>
      </c>
      <c r="B271" s="29" t="s">
        <v>292</v>
      </c>
      <c r="C271" s="9">
        <v>0.72503935965095867</v>
      </c>
      <c r="D271" s="19">
        <v>0.77132536617994951</v>
      </c>
      <c r="E271" s="17"/>
      <c r="F271" s="9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</row>
    <row r="272" spans="1:25" ht="15.75" customHeight="1">
      <c r="A272" s="8">
        <v>70602</v>
      </c>
      <c r="B272" s="29" t="s">
        <v>293</v>
      </c>
      <c r="C272" s="9">
        <v>0.88177392043570368</v>
      </c>
      <c r="D272" s="19">
        <v>0.79492088726392562</v>
      </c>
      <c r="E272" s="17"/>
      <c r="F272" s="9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</row>
    <row r="273" spans="1:25" ht="15.75" customHeight="1">
      <c r="A273" s="8">
        <v>70603</v>
      </c>
      <c r="B273" s="29" t="s">
        <v>294</v>
      </c>
      <c r="C273" s="9">
        <v>1.1152694742335847</v>
      </c>
      <c r="D273" s="19">
        <v>0.58790090128140371</v>
      </c>
      <c r="E273" s="17"/>
      <c r="F273" s="9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</row>
    <row r="274" spans="1:25" ht="15.75" customHeight="1">
      <c r="A274" s="8">
        <v>70701</v>
      </c>
      <c r="B274" s="29" t="s">
        <v>295</v>
      </c>
      <c r="C274" s="9">
        <v>1.5976468110482369</v>
      </c>
      <c r="D274" s="19">
        <v>1.3381804424075789</v>
      </c>
      <c r="E274" s="17"/>
      <c r="F274" s="9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</row>
    <row r="275" spans="1:25" ht="15.75" customHeight="1">
      <c r="A275" s="8">
        <v>70702</v>
      </c>
      <c r="B275" s="29" t="s">
        <v>296</v>
      </c>
      <c r="C275" s="9">
        <v>1.2569933535871003</v>
      </c>
      <c r="D275" s="19">
        <v>1.5904636830888521</v>
      </c>
      <c r="E275" s="17"/>
      <c r="F275" s="9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</row>
    <row r="276" spans="1:25" ht="15.75" customHeight="1">
      <c r="A276" s="8">
        <v>70703</v>
      </c>
      <c r="B276" s="29" t="s">
        <v>297</v>
      </c>
      <c r="C276" s="9">
        <v>0.77850415511100768</v>
      </c>
      <c r="D276" s="19">
        <v>1.0087430266245792</v>
      </c>
      <c r="E276" s="17"/>
      <c r="F276" s="9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</row>
    <row r="277" spans="1:25" ht="15.75" customHeight="1">
      <c r="A277" s="8">
        <v>70704</v>
      </c>
      <c r="B277" s="29" t="s">
        <v>298</v>
      </c>
      <c r="C277" s="9">
        <v>1.4457727160025466</v>
      </c>
      <c r="D277" s="19">
        <v>1.1445310703117673</v>
      </c>
      <c r="E277" s="17"/>
      <c r="F277" s="9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</row>
    <row r="278" spans="1:25" ht="15.75" customHeight="1">
      <c r="A278" s="8">
        <v>70705</v>
      </c>
      <c r="B278" s="29" t="s">
        <v>299</v>
      </c>
      <c r="C278" s="9">
        <v>1.2718139061013816</v>
      </c>
      <c r="D278" s="19">
        <v>1.4374775988139894</v>
      </c>
      <c r="E278" s="17"/>
      <c r="F278" s="9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</row>
    <row r="279" spans="1:25" ht="15.75" customHeight="1">
      <c r="A279" s="8">
        <v>70706</v>
      </c>
      <c r="B279" s="29" t="s">
        <v>300</v>
      </c>
      <c r="C279" s="9">
        <v>1.281744244002317</v>
      </c>
      <c r="D279" s="19">
        <v>0.78786771394818345</v>
      </c>
      <c r="E279" s="17"/>
      <c r="F279" s="9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</row>
    <row r="280" spans="1:25" ht="15.75" customHeight="1">
      <c r="A280" s="8">
        <v>70707</v>
      </c>
      <c r="B280" s="29" t="s">
        <v>301</v>
      </c>
      <c r="C280" s="9">
        <v>1.3055686268417885</v>
      </c>
      <c r="D280" s="19">
        <v>0.12447583341294627</v>
      </c>
      <c r="E280" s="17"/>
      <c r="F280" s="9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</row>
    <row r="281" spans="1:25" ht="15.75" customHeight="1">
      <c r="A281" s="8">
        <v>70801</v>
      </c>
      <c r="B281" s="29" t="s">
        <v>302</v>
      </c>
      <c r="C281" s="9">
        <v>1.2471051268597684</v>
      </c>
      <c r="D281" s="19">
        <v>3.2331893676076815</v>
      </c>
      <c r="E281" s="17"/>
      <c r="F281" s="9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</row>
    <row r="282" spans="1:25" ht="15.75" customHeight="1">
      <c r="A282" s="8">
        <v>70802</v>
      </c>
      <c r="B282" s="29" t="s">
        <v>303</v>
      </c>
      <c r="C282" s="9">
        <v>0.6919445750606168</v>
      </c>
      <c r="D282" s="19">
        <v>0.39501411591379121</v>
      </c>
      <c r="E282" s="17"/>
      <c r="F282" s="9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</row>
    <row r="283" spans="1:25" ht="15.75" customHeight="1">
      <c r="A283" s="8">
        <v>70803</v>
      </c>
      <c r="B283" s="29" t="s">
        <v>304</v>
      </c>
      <c r="C283" s="9">
        <v>0.85985810684425368</v>
      </c>
      <c r="D283" s="19">
        <v>0.71499477638413744</v>
      </c>
      <c r="E283" s="17"/>
      <c r="F283" s="9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</row>
    <row r="284" spans="1:25" ht="15.75" customHeight="1">
      <c r="A284" s="8">
        <v>70804</v>
      </c>
      <c r="B284" s="29" t="s">
        <v>305</v>
      </c>
      <c r="C284" s="9">
        <v>0.97627768592697883</v>
      </c>
      <c r="D284" s="19">
        <v>0.76858344882293861</v>
      </c>
      <c r="E284" s="17"/>
      <c r="F284" s="9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</row>
    <row r="285" spans="1:25" ht="15.75" customHeight="1">
      <c r="A285" s="8">
        <v>70805</v>
      </c>
      <c r="B285" s="29" t="s">
        <v>306</v>
      </c>
      <c r="C285" s="9">
        <v>0.75905734197106856</v>
      </c>
      <c r="D285" s="19">
        <v>0.45560368003798557</v>
      </c>
      <c r="E285" s="17"/>
      <c r="F285" s="9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</row>
    <row r="286" spans="1:25" ht="15.75" customHeight="1">
      <c r="A286" s="8">
        <v>70901</v>
      </c>
      <c r="B286" s="29" t="s">
        <v>307</v>
      </c>
      <c r="C286" s="9">
        <v>1.0753558585759138</v>
      </c>
      <c r="D286" s="19">
        <v>1.2153290308726037</v>
      </c>
      <c r="E286" s="17"/>
      <c r="F286" s="9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</row>
    <row r="287" spans="1:25" ht="15.75" customHeight="1">
      <c r="A287" s="8">
        <v>70902</v>
      </c>
      <c r="B287" s="29" t="s">
        <v>308</v>
      </c>
      <c r="C287" s="9">
        <v>0.63499449920431605</v>
      </c>
      <c r="D287" s="19">
        <v>0.87231452378620666</v>
      </c>
      <c r="E287" s="17"/>
      <c r="F287" s="9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</row>
    <row r="288" spans="1:25" ht="15.75" customHeight="1">
      <c r="A288" s="8">
        <v>70903</v>
      </c>
      <c r="B288" s="29" t="s">
        <v>309</v>
      </c>
      <c r="C288" s="9">
        <v>0.68853084938368081</v>
      </c>
      <c r="D288" s="19">
        <v>0.9832984106841306</v>
      </c>
      <c r="E288" s="17"/>
      <c r="F288" s="9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</row>
    <row r="289" spans="1:25" ht="15.75" customHeight="1">
      <c r="A289" s="8">
        <v>70904</v>
      </c>
      <c r="B289" s="29" t="s">
        <v>310</v>
      </c>
      <c r="C289" s="9">
        <v>1.6124988911092868</v>
      </c>
      <c r="D289" s="19">
        <v>0.6649686461623876</v>
      </c>
      <c r="E289" s="17"/>
      <c r="F289" s="9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</row>
    <row r="290" spans="1:25" ht="15.75" customHeight="1">
      <c r="A290" s="8">
        <v>71001</v>
      </c>
      <c r="B290" s="29" t="s">
        <v>311</v>
      </c>
      <c r="C290" s="9">
        <v>0.61659052760090693</v>
      </c>
      <c r="D290" s="19">
        <v>0.72428627829008829</v>
      </c>
      <c r="E290" s="17"/>
      <c r="F290" s="9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</row>
    <row r="291" spans="1:25" ht="15.75" customHeight="1">
      <c r="A291" s="8">
        <v>71002</v>
      </c>
      <c r="B291" s="29" t="s">
        <v>312</v>
      </c>
      <c r="C291" s="9">
        <v>0.64518016249594135</v>
      </c>
      <c r="D291" s="19">
        <v>0.83547182637670858</v>
      </c>
      <c r="E291" s="17"/>
      <c r="F291" s="9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</row>
    <row r="292" spans="1:25" ht="15.75" customHeight="1">
      <c r="A292" s="8">
        <v>71003</v>
      </c>
      <c r="B292" s="29" t="s">
        <v>313</v>
      </c>
      <c r="C292" s="9">
        <v>1.0009412688155284</v>
      </c>
      <c r="D292" s="19">
        <v>0.62135038761188299</v>
      </c>
      <c r="E292" s="17"/>
      <c r="F292" s="9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</row>
    <row r="293" spans="1:25" ht="15.75" customHeight="1">
      <c r="A293" s="8">
        <v>71004</v>
      </c>
      <c r="B293" s="29" t="s">
        <v>314</v>
      </c>
      <c r="C293" s="9">
        <v>0.71637943833885642</v>
      </c>
      <c r="D293" s="19">
        <v>0.53990771679105654</v>
      </c>
      <c r="E293" s="17"/>
      <c r="F293" s="9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</row>
    <row r="294" spans="1:25" ht="15.75" customHeight="1">
      <c r="A294" s="8">
        <v>71005</v>
      </c>
      <c r="B294" s="29" t="s">
        <v>315</v>
      </c>
      <c r="C294" s="9">
        <v>0.94950133482982257</v>
      </c>
      <c r="D294" s="19">
        <v>0.63668196274431499</v>
      </c>
      <c r="E294" s="17"/>
      <c r="F294" s="9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</row>
    <row r="295" spans="1:25" ht="15.75" customHeight="1">
      <c r="A295" s="8">
        <v>71101</v>
      </c>
      <c r="B295" s="29" t="s">
        <v>316</v>
      </c>
      <c r="C295" s="9">
        <v>0.85892128830208259</v>
      </c>
      <c r="D295" s="19">
        <v>1.1055005881377442</v>
      </c>
      <c r="E295" s="17"/>
      <c r="F295" s="9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</row>
    <row r="296" spans="1:25" ht="15.75" customHeight="1">
      <c r="A296" s="8">
        <v>71102</v>
      </c>
      <c r="B296" s="29" t="s">
        <v>317</v>
      </c>
      <c r="C296" s="9">
        <v>0.94690846601602763</v>
      </c>
      <c r="D296" s="19">
        <v>1.8733301798269462</v>
      </c>
      <c r="E296" s="17"/>
      <c r="F296" s="9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</row>
    <row r="297" spans="1:25" ht="15.75" customHeight="1">
      <c r="A297" s="8">
        <v>71103</v>
      </c>
      <c r="B297" s="29" t="s">
        <v>318</v>
      </c>
      <c r="C297" s="9">
        <v>1.0821733727082599</v>
      </c>
      <c r="D297" s="19">
        <v>0.88143939463457288</v>
      </c>
      <c r="E297" s="17"/>
      <c r="F297" s="9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</row>
    <row r="298" spans="1:25" ht="15.75" customHeight="1">
      <c r="A298" s="8">
        <v>71104</v>
      </c>
      <c r="B298" s="29" t="s">
        <v>319</v>
      </c>
      <c r="C298" s="9">
        <v>0.73337107816830793</v>
      </c>
      <c r="D298" s="19">
        <v>0.98401156971931214</v>
      </c>
      <c r="E298" s="17"/>
      <c r="F298" s="9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</row>
    <row r="299" spans="1:25" ht="15.75" customHeight="1">
      <c r="A299" s="8">
        <v>71105</v>
      </c>
      <c r="B299" s="29" t="s">
        <v>320</v>
      </c>
      <c r="C299" s="9">
        <v>0.76956148861515117</v>
      </c>
      <c r="D299" s="19">
        <v>0.62540460531351227</v>
      </c>
      <c r="E299" s="17"/>
      <c r="F299" s="9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</row>
    <row r="300" spans="1:25" ht="15.75" customHeight="1">
      <c r="A300" s="8">
        <v>71106</v>
      </c>
      <c r="B300" s="29" t="s">
        <v>321</v>
      </c>
      <c r="C300" s="9">
        <v>0.90086303336292295</v>
      </c>
      <c r="D300" s="19">
        <v>1.1172162043073153</v>
      </c>
      <c r="E300" s="17"/>
      <c r="F300" s="9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</row>
    <row r="301" spans="1:25" ht="15.75" customHeight="1">
      <c r="A301" s="8">
        <v>71201</v>
      </c>
      <c r="B301" s="29" t="s">
        <v>322</v>
      </c>
      <c r="C301" s="9">
        <v>1.1973163349460816</v>
      </c>
      <c r="D301" s="19">
        <v>1.6097612375590877</v>
      </c>
      <c r="E301" s="17"/>
      <c r="F301" s="9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</row>
    <row r="302" spans="1:25" ht="15.75" customHeight="1">
      <c r="A302" s="8">
        <v>71301</v>
      </c>
      <c r="B302" s="29" t="s">
        <v>323</v>
      </c>
      <c r="C302" s="9">
        <v>1.0545231663902204</v>
      </c>
      <c r="D302" s="19">
        <v>1.2058071872566456</v>
      </c>
      <c r="E302" s="17"/>
      <c r="F302" s="9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</row>
    <row r="303" spans="1:25" ht="15.75" customHeight="1">
      <c r="A303" s="8">
        <v>71302</v>
      </c>
      <c r="B303" s="29" t="s">
        <v>324</v>
      </c>
      <c r="C303" s="9">
        <v>0.89080378232694868</v>
      </c>
      <c r="D303" s="19">
        <v>1.7206340291076196</v>
      </c>
      <c r="E303" s="17"/>
      <c r="F303" s="9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</row>
    <row r="304" spans="1:25" ht="15.75" customHeight="1">
      <c r="A304" s="8">
        <v>71401</v>
      </c>
      <c r="B304" s="29" t="s">
        <v>325</v>
      </c>
      <c r="C304" s="9">
        <v>0.71703479437087936</v>
      </c>
      <c r="D304" s="19">
        <v>0.70808363894297766</v>
      </c>
      <c r="E304" s="17"/>
      <c r="F304" s="9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</row>
    <row r="305" spans="1:25" ht="15.75" customHeight="1">
      <c r="A305" s="8">
        <v>71402</v>
      </c>
      <c r="B305" s="29" t="s">
        <v>326</v>
      </c>
      <c r="C305" s="9">
        <v>1.022747797739693</v>
      </c>
      <c r="D305" s="19">
        <v>1.2761771937968263</v>
      </c>
      <c r="E305" s="17"/>
      <c r="F305" s="9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</row>
    <row r="306" spans="1:25" ht="15.75" customHeight="1">
      <c r="A306" s="8">
        <v>71403</v>
      </c>
      <c r="B306" s="29" t="s">
        <v>327</v>
      </c>
      <c r="C306" s="9">
        <v>0.92396582670290428</v>
      </c>
      <c r="D306" s="19">
        <v>1.3855605481089499</v>
      </c>
      <c r="E306" s="17"/>
      <c r="F306" s="9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</row>
    <row r="307" spans="1:25" ht="15.75" customHeight="1">
      <c r="A307" s="8">
        <v>71501</v>
      </c>
      <c r="B307" s="29" t="s">
        <v>328</v>
      </c>
      <c r="C307" s="9">
        <v>1.0271521725358062</v>
      </c>
      <c r="D307" s="19">
        <v>0.98718785410031018</v>
      </c>
      <c r="E307" s="17"/>
      <c r="F307" s="9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</row>
    <row r="308" spans="1:25" ht="15.75" customHeight="1">
      <c r="A308" s="8">
        <v>71502</v>
      </c>
      <c r="B308" s="29" t="s">
        <v>329</v>
      </c>
      <c r="C308" s="9">
        <v>1.5038750479326224</v>
      </c>
      <c r="D308" s="19">
        <v>0.90646732157496412</v>
      </c>
      <c r="E308" s="17"/>
      <c r="F308" s="9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</row>
    <row r="309" spans="1:25" ht="15.75" customHeight="1">
      <c r="A309" s="8">
        <v>71503</v>
      </c>
      <c r="B309" s="29" t="s">
        <v>274</v>
      </c>
      <c r="C309" s="9">
        <v>0.86389138813630117</v>
      </c>
      <c r="D309" s="19">
        <v>1.0470892582776881</v>
      </c>
      <c r="E309" s="17"/>
      <c r="F309" s="9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</row>
    <row r="310" spans="1:25" ht="15.75" customHeight="1">
      <c r="A310" s="8">
        <v>80101</v>
      </c>
      <c r="B310" s="29" t="s">
        <v>330</v>
      </c>
      <c r="C310" s="9">
        <v>0.94836488200197766</v>
      </c>
      <c r="D310" s="19">
        <v>0.78819291403327985</v>
      </c>
      <c r="E310" s="17"/>
      <c r="F310" s="9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</row>
    <row r="311" spans="1:25" ht="15.75" customHeight="1">
      <c r="A311" s="8">
        <v>80102</v>
      </c>
      <c r="B311" s="29" t="s">
        <v>317</v>
      </c>
      <c r="C311" s="9">
        <v>0.84159004430460727</v>
      </c>
      <c r="D311" s="19">
        <v>0.46203181346066458</v>
      </c>
      <c r="E311" s="17"/>
      <c r="F311" s="9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</row>
    <row r="312" spans="1:25" ht="15.75" customHeight="1">
      <c r="A312" s="8">
        <v>80201</v>
      </c>
      <c r="B312" s="29" t="s">
        <v>331</v>
      </c>
      <c r="C312" s="9">
        <v>0.98625064245975969</v>
      </c>
      <c r="D312" s="19">
        <v>1.0891282085081953</v>
      </c>
      <c r="E312" s="17"/>
      <c r="F312" s="9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</row>
    <row r="313" spans="1:25" ht="15.75" customHeight="1">
      <c r="A313" s="8">
        <v>80202</v>
      </c>
      <c r="B313" s="29" t="s">
        <v>332</v>
      </c>
      <c r="C313" s="9">
        <v>0.85133472559018653</v>
      </c>
      <c r="D313" s="19">
        <v>1.3076926586067679</v>
      </c>
      <c r="E313" s="17"/>
      <c r="F313" s="9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</row>
    <row r="314" spans="1:25" ht="15.75" customHeight="1">
      <c r="A314" s="8">
        <v>80301</v>
      </c>
      <c r="B314" s="29" t="s">
        <v>333</v>
      </c>
      <c r="C314" s="9">
        <v>0.94359976179304783</v>
      </c>
      <c r="D314" s="19">
        <v>1.3029918190367016</v>
      </c>
      <c r="E314" s="17"/>
      <c r="F314" s="9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</row>
    <row r="315" spans="1:25" ht="15.75" customHeight="1">
      <c r="A315" s="8">
        <v>80302</v>
      </c>
      <c r="B315" s="29" t="s">
        <v>334</v>
      </c>
      <c r="C315" s="9">
        <v>1.2629245531878928</v>
      </c>
      <c r="D315" s="19">
        <v>2.3110562248574249</v>
      </c>
      <c r="E315" s="17"/>
      <c r="F315" s="9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</row>
    <row r="316" spans="1:25" ht="15.75" customHeight="1">
      <c r="A316" s="8">
        <v>80303</v>
      </c>
      <c r="B316" s="29" t="s">
        <v>335</v>
      </c>
      <c r="C316" s="9">
        <v>0.73165744625660423</v>
      </c>
      <c r="D316" s="19">
        <v>1.1304374554329066</v>
      </c>
      <c r="E316" s="17"/>
      <c r="F316" s="9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</row>
    <row r="317" spans="1:25" ht="15.75" customHeight="1">
      <c r="A317" s="8">
        <v>80304</v>
      </c>
      <c r="B317" s="29" t="s">
        <v>336</v>
      </c>
      <c r="C317" s="9">
        <v>1.0913522632997081</v>
      </c>
      <c r="D317" s="19">
        <v>1.017814105577284</v>
      </c>
      <c r="E317" s="17"/>
      <c r="F317" s="9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</row>
    <row r="318" spans="1:25" ht="15.75" customHeight="1">
      <c r="A318" s="8">
        <v>80401</v>
      </c>
      <c r="B318" s="29" t="s">
        <v>337</v>
      </c>
      <c r="C318" s="9">
        <v>0.83763916666643379</v>
      </c>
      <c r="D318" s="19">
        <v>1.2278440643168944</v>
      </c>
      <c r="E318" s="17"/>
      <c r="F318" s="9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</row>
    <row r="319" spans="1:25" ht="15.75" customHeight="1">
      <c r="A319" s="8">
        <v>80402</v>
      </c>
      <c r="B319" s="29" t="s">
        <v>338</v>
      </c>
      <c r="C319" s="9">
        <v>1.120150299584002</v>
      </c>
      <c r="D319" s="19">
        <v>0.91058616825003746</v>
      </c>
      <c r="E319" s="17"/>
      <c r="F319" s="9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</row>
    <row r="320" spans="1:25" ht="15.75" customHeight="1">
      <c r="A320" s="8">
        <v>80501</v>
      </c>
      <c r="B320" s="29" t="s">
        <v>339</v>
      </c>
      <c r="C320" s="9">
        <v>1.0703085555398859</v>
      </c>
      <c r="D320" s="19">
        <v>1.472482817832649</v>
      </c>
      <c r="E320" s="17"/>
      <c r="F320" s="9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</row>
    <row r="321" spans="1:25" ht="15.75" customHeight="1">
      <c r="A321" s="8">
        <v>80601</v>
      </c>
      <c r="B321" s="29" t="s">
        <v>340</v>
      </c>
      <c r="C321" s="9">
        <v>1.067717295805708</v>
      </c>
      <c r="D321" s="19">
        <v>1.5291918249309284</v>
      </c>
      <c r="E321" s="17"/>
      <c r="F321" s="9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</row>
    <row r="322" spans="1:25" ht="15.75" customHeight="1">
      <c r="A322" s="8">
        <v>80602</v>
      </c>
      <c r="B322" s="29" t="s">
        <v>341</v>
      </c>
      <c r="C322" s="9">
        <v>0.89132093559206271</v>
      </c>
      <c r="D322" s="19">
        <v>1.2452418563747554</v>
      </c>
      <c r="E322" s="17"/>
      <c r="F322" s="9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</row>
    <row r="323" spans="1:25" ht="15.75" customHeight="1">
      <c r="A323" s="8">
        <v>80701</v>
      </c>
      <c r="B323" s="29" t="s">
        <v>342</v>
      </c>
      <c r="C323" s="9">
        <v>0.84533557032041795</v>
      </c>
      <c r="D323" s="19">
        <v>0.75459727382840625</v>
      </c>
      <c r="E323" s="17"/>
      <c r="F323" s="9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</row>
    <row r="324" spans="1:25" ht="15.75" customHeight="1">
      <c r="A324" s="8">
        <v>80702</v>
      </c>
      <c r="B324" s="29" t="s">
        <v>318</v>
      </c>
      <c r="C324" s="9">
        <v>0.95049774087897254</v>
      </c>
      <c r="D324" s="19">
        <v>0.52205131611761801</v>
      </c>
      <c r="E324" s="17"/>
      <c r="F324" s="9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</row>
    <row r="325" spans="1:25" ht="15.75" customHeight="1">
      <c r="A325" s="8">
        <v>80703</v>
      </c>
      <c r="B325" s="29" t="s">
        <v>343</v>
      </c>
      <c r="C325" s="9">
        <v>0.86573952747438088</v>
      </c>
      <c r="D325" s="19">
        <v>1.8253943433095161</v>
      </c>
      <c r="E325" s="17"/>
      <c r="F325" s="9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</row>
    <row r="326" spans="1:25" ht="15.75" customHeight="1">
      <c r="A326" s="8">
        <v>80801</v>
      </c>
      <c r="B326" s="29" t="s">
        <v>344</v>
      </c>
      <c r="C326" s="9">
        <v>0.95673301499911523</v>
      </c>
      <c r="D326" s="19">
        <v>1.2249498244051089</v>
      </c>
      <c r="E326" s="17"/>
      <c r="F326" s="9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</row>
    <row r="327" spans="1:25" ht="15.75" customHeight="1">
      <c r="A327" s="8">
        <v>80802</v>
      </c>
      <c r="B327" s="29" t="s">
        <v>345</v>
      </c>
      <c r="C327" s="9">
        <v>0.6949840438753907</v>
      </c>
      <c r="D327" s="19">
        <v>0.65684859549437458</v>
      </c>
      <c r="E327" s="17"/>
      <c r="F327" s="9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</row>
    <row r="328" spans="1:25" ht="15.75" customHeight="1">
      <c r="A328" s="8">
        <v>80803</v>
      </c>
      <c r="B328" s="29" t="s">
        <v>346</v>
      </c>
      <c r="C328" s="9">
        <v>0.88662715528678993</v>
      </c>
      <c r="D328" s="19">
        <v>0.61414244651615502</v>
      </c>
      <c r="E328" s="17"/>
      <c r="F328" s="9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</row>
    <row r="329" spans="1:25" ht="15.75" customHeight="1">
      <c r="A329" s="23">
        <v>80901</v>
      </c>
      <c r="B329" s="29" t="s">
        <v>347</v>
      </c>
      <c r="C329" s="9">
        <v>1.0561235561932498</v>
      </c>
      <c r="D329" s="19">
        <v>1.2609831913684511</v>
      </c>
      <c r="E329" s="17"/>
      <c r="F329" s="9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</row>
    <row r="330" spans="1:25" ht="15.75" customHeight="1">
      <c r="A330" s="8">
        <v>90101</v>
      </c>
      <c r="B330" s="29" t="s">
        <v>348</v>
      </c>
      <c r="C330" s="9">
        <v>1.0560101553847747</v>
      </c>
      <c r="D330" s="19">
        <v>1.032038880981196</v>
      </c>
      <c r="E330" s="17"/>
      <c r="F330" s="9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</row>
    <row r="331" spans="1:25" ht="15.75" customHeight="1">
      <c r="A331" s="8">
        <v>90102</v>
      </c>
      <c r="B331" s="29" t="s">
        <v>349</v>
      </c>
      <c r="C331" s="9">
        <v>1.0114470844134373</v>
      </c>
      <c r="D331" s="19">
        <v>0.67477821161405527</v>
      </c>
      <c r="E331" s="17"/>
      <c r="F331" s="9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</row>
    <row r="332" spans="1:25" ht="15.75" customHeight="1">
      <c r="A332" s="8">
        <v>90103</v>
      </c>
      <c r="B332" s="29" t="s">
        <v>350</v>
      </c>
      <c r="C332" s="9">
        <v>0.90013889417416837</v>
      </c>
      <c r="D332" s="19">
        <v>0.60557813499837343</v>
      </c>
      <c r="E332" s="17"/>
      <c r="F332" s="9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</row>
    <row r="333" spans="1:25" ht="15.75" customHeight="1">
      <c r="A333" s="8">
        <v>90104</v>
      </c>
      <c r="B333" s="29" t="s">
        <v>351</v>
      </c>
      <c r="C333" s="9">
        <v>1.4634914668681003</v>
      </c>
      <c r="D333" s="19">
        <v>1.0218890603192741</v>
      </c>
      <c r="E333" s="17"/>
      <c r="F333" s="9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</row>
    <row r="334" spans="1:25" ht="15.75" customHeight="1">
      <c r="A334" s="8">
        <v>90201</v>
      </c>
      <c r="B334" s="29" t="s">
        <v>352</v>
      </c>
      <c r="C334" s="9">
        <v>0.86566165151946517</v>
      </c>
      <c r="D334" s="19">
        <v>0.9971563353828492</v>
      </c>
      <c r="E334" s="17"/>
      <c r="F334" s="9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</row>
    <row r="335" spans="1:25" ht="15.75" customHeight="1">
      <c r="A335" s="8">
        <v>90202</v>
      </c>
      <c r="B335" s="29" t="s">
        <v>315</v>
      </c>
      <c r="C335" s="9">
        <v>1.0460080269246916</v>
      </c>
      <c r="D335" s="19">
        <v>1.1300095229408915</v>
      </c>
      <c r="E335" s="17"/>
      <c r="F335" s="9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</row>
    <row r="336" spans="1:25" ht="15.75" customHeight="1">
      <c r="A336" s="8">
        <v>90203</v>
      </c>
      <c r="B336" s="29" t="s">
        <v>353</v>
      </c>
      <c r="C336" s="9">
        <v>0.9468679378587932</v>
      </c>
      <c r="D336" s="19">
        <v>0.62803559076685733</v>
      </c>
      <c r="E336" s="17"/>
      <c r="F336" s="9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</row>
    <row r="337" spans="1:25" ht="15.75" customHeight="1">
      <c r="A337" s="8">
        <v>90301</v>
      </c>
      <c r="B337" s="29" t="s">
        <v>354</v>
      </c>
      <c r="C337" s="9">
        <v>1.2785535201928133</v>
      </c>
      <c r="D337" s="19">
        <v>0.72149065451135541</v>
      </c>
      <c r="E337" s="17"/>
      <c r="F337" s="9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</row>
    <row r="338" spans="1:25" ht="15.75" customHeight="1">
      <c r="A338" s="8">
        <v>90302</v>
      </c>
      <c r="B338" s="29" t="s">
        <v>355</v>
      </c>
      <c r="C338" s="9">
        <v>0.93059040937069804</v>
      </c>
      <c r="D338" s="19">
        <v>0.92163171676181554</v>
      </c>
      <c r="E338" s="17"/>
      <c r="F338" s="9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</row>
    <row r="339" spans="1:25" ht="15.75" customHeight="1">
      <c r="A339" s="8">
        <v>90303</v>
      </c>
      <c r="B339" s="29" t="s">
        <v>356</v>
      </c>
      <c r="C339" s="9">
        <v>0.99711460933067853</v>
      </c>
      <c r="D339" s="19">
        <v>0.96255139791804945</v>
      </c>
      <c r="E339" s="17"/>
      <c r="F339" s="9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</row>
    <row r="340" spans="1:25" ht="15.75" customHeight="1">
      <c r="A340" s="8">
        <v>90401</v>
      </c>
      <c r="B340" s="29" t="s">
        <v>357</v>
      </c>
      <c r="C340" s="9">
        <v>1.0395565846320118</v>
      </c>
      <c r="D340" s="19">
        <v>0.67586352292238783</v>
      </c>
      <c r="E340" s="17"/>
      <c r="F340" s="9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</row>
    <row r="341" spans="1:25" ht="15.75" customHeight="1">
      <c r="A341" s="8">
        <v>90402</v>
      </c>
      <c r="B341" s="29" t="s">
        <v>358</v>
      </c>
      <c r="C341" s="9">
        <v>0.7894993395481309</v>
      </c>
      <c r="D341" s="19">
        <v>0.90416089091440954</v>
      </c>
      <c r="E341" s="17"/>
      <c r="F341" s="9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</row>
    <row r="342" spans="1:25" ht="15.75" customHeight="1">
      <c r="A342" s="8">
        <v>90501</v>
      </c>
      <c r="B342" s="29" t="s">
        <v>359</v>
      </c>
      <c r="C342" s="9">
        <v>0.95842667003155158</v>
      </c>
      <c r="D342" s="19">
        <v>0.58714862614367891</v>
      </c>
      <c r="E342" s="17"/>
      <c r="F342" s="9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</row>
    <row r="343" spans="1:25" ht="15.75" customHeight="1">
      <c r="A343" s="8">
        <v>90502</v>
      </c>
      <c r="B343" s="29" t="s">
        <v>360</v>
      </c>
      <c r="C343" s="9">
        <v>0.92237640368979257</v>
      </c>
      <c r="D343" s="19">
        <v>1.1889443241390634</v>
      </c>
      <c r="E343" s="17"/>
      <c r="F343" s="9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</row>
    <row r="344" spans="1:25" ht="15.75" customHeight="1">
      <c r="A344" s="8">
        <v>90503</v>
      </c>
      <c r="B344" s="29" t="s">
        <v>361</v>
      </c>
      <c r="C344" s="9">
        <v>1.0240290789029443</v>
      </c>
      <c r="D344" s="19">
        <v>0.84189749213486531</v>
      </c>
      <c r="E344" s="17"/>
      <c r="F344" s="9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</row>
    <row r="345" spans="1:25" ht="15.75" customHeight="1">
      <c r="A345" s="14"/>
      <c r="B345" s="30"/>
      <c r="C345" s="9"/>
      <c r="D345" s="19"/>
      <c r="F345" s="9"/>
    </row>
    <row r="346" spans="1:25" ht="15.75" customHeight="1">
      <c r="A346" s="14"/>
      <c r="B346" s="30"/>
      <c r="C346" s="9"/>
      <c r="D346" s="19"/>
      <c r="F346" s="9"/>
    </row>
    <row r="347" spans="1:25" ht="15.75" customHeight="1">
      <c r="A347" s="14"/>
      <c r="B347" s="30"/>
      <c r="C347" s="31"/>
      <c r="D347" s="31"/>
      <c r="F347" s="19"/>
    </row>
    <row r="348" spans="1:25" ht="15.75" customHeight="1">
      <c r="A348" s="14"/>
      <c r="B348" s="30"/>
      <c r="C348" s="31"/>
      <c r="D348" s="31"/>
      <c r="F348" s="19"/>
    </row>
    <row r="349" spans="1:25" ht="15.75" customHeight="1">
      <c r="A349" s="14"/>
      <c r="B349" s="30"/>
      <c r="C349" s="31"/>
      <c r="D349" s="31"/>
      <c r="F349" s="19"/>
    </row>
    <row r="350" spans="1:25" ht="15.75" customHeight="1">
      <c r="A350" s="14"/>
      <c r="B350" s="30"/>
      <c r="C350" s="31"/>
      <c r="D350" s="31"/>
      <c r="F350" s="19"/>
    </row>
    <row r="351" spans="1:25" ht="15.75" customHeight="1">
      <c r="A351" s="14"/>
      <c r="B351" s="30"/>
      <c r="C351" s="31"/>
      <c r="D351" s="31"/>
      <c r="F351" s="19"/>
    </row>
    <row r="352" spans="1:25" ht="15.75" customHeight="1">
      <c r="A352" s="14"/>
      <c r="B352" s="30"/>
      <c r="C352" s="31"/>
      <c r="D352" s="31"/>
      <c r="F352" s="19"/>
    </row>
    <row r="353" spans="1:6" ht="15.75" customHeight="1">
      <c r="A353" s="14"/>
      <c r="B353" s="30"/>
      <c r="C353" s="31"/>
      <c r="D353" s="31"/>
      <c r="F353" s="19"/>
    </row>
    <row r="354" spans="1:6" ht="15.75" customHeight="1">
      <c r="A354" s="14"/>
      <c r="B354" s="30"/>
      <c r="C354" s="31"/>
      <c r="D354" s="31"/>
      <c r="F354" s="19"/>
    </row>
    <row r="355" spans="1:6" ht="15.75" customHeight="1">
      <c r="A355" s="14"/>
      <c r="B355" s="30"/>
      <c r="C355" s="31"/>
      <c r="D355" s="31"/>
      <c r="F355" s="19"/>
    </row>
    <row r="356" spans="1:6" ht="15.75" customHeight="1">
      <c r="A356" s="14"/>
      <c r="B356" s="30"/>
      <c r="C356" s="31"/>
      <c r="D356" s="31"/>
      <c r="F356" s="19"/>
    </row>
    <row r="357" spans="1:6" ht="15.75" customHeight="1">
      <c r="A357" s="14"/>
      <c r="B357" s="30"/>
      <c r="C357" s="31"/>
      <c r="D357" s="31"/>
      <c r="F357" s="19"/>
    </row>
    <row r="358" spans="1:6" ht="15.75" customHeight="1">
      <c r="A358" s="14"/>
      <c r="B358" s="30"/>
      <c r="C358" s="31"/>
      <c r="D358" s="31"/>
      <c r="F358" s="19"/>
    </row>
    <row r="359" spans="1:6" ht="15.75" customHeight="1">
      <c r="A359" s="14"/>
      <c r="B359" s="30"/>
      <c r="C359" s="31"/>
      <c r="D359" s="31"/>
      <c r="F359" s="19"/>
    </row>
    <row r="360" spans="1:6" ht="15.75" customHeight="1">
      <c r="A360" s="14"/>
      <c r="B360" s="30"/>
      <c r="C360" s="31"/>
      <c r="D360" s="31"/>
      <c r="F360" s="19"/>
    </row>
    <row r="361" spans="1:6" ht="15.75" customHeight="1">
      <c r="A361" s="14"/>
      <c r="B361" s="30"/>
      <c r="C361" s="31"/>
      <c r="D361" s="31"/>
      <c r="F361" s="19"/>
    </row>
    <row r="362" spans="1:6" ht="15.75" customHeight="1">
      <c r="A362" s="14"/>
      <c r="B362" s="30"/>
      <c r="C362" s="31"/>
      <c r="D362" s="31"/>
      <c r="F362" s="19"/>
    </row>
    <row r="363" spans="1:6" ht="15.75" customHeight="1">
      <c r="A363" s="14"/>
      <c r="B363" s="30"/>
      <c r="C363" s="31"/>
      <c r="D363" s="31"/>
      <c r="F363" s="19"/>
    </row>
    <row r="364" spans="1:6" ht="15.75" customHeight="1">
      <c r="A364" s="14"/>
      <c r="B364" s="30"/>
      <c r="C364" s="31"/>
      <c r="D364" s="31"/>
      <c r="F364" s="19"/>
    </row>
    <row r="365" spans="1:6" ht="15.75" customHeight="1">
      <c r="A365" s="14"/>
      <c r="B365" s="30"/>
      <c r="C365" s="31"/>
      <c r="D365" s="31"/>
      <c r="F365" s="19"/>
    </row>
    <row r="366" spans="1:6" ht="15.75" customHeight="1">
      <c r="A366" s="14"/>
      <c r="B366" s="30"/>
      <c r="C366" s="31"/>
      <c r="D366" s="31"/>
      <c r="F366" s="19"/>
    </row>
    <row r="367" spans="1:6" ht="15.75" customHeight="1">
      <c r="A367" s="14"/>
      <c r="B367" s="30"/>
      <c r="C367" s="31"/>
      <c r="D367" s="31"/>
      <c r="F367" s="19"/>
    </row>
    <row r="368" spans="1:6" ht="15.75" customHeight="1">
      <c r="A368" s="14"/>
      <c r="B368" s="30"/>
      <c r="C368" s="31"/>
      <c r="D368" s="31"/>
      <c r="F368" s="19"/>
    </row>
    <row r="369" spans="1:6" ht="15.75" customHeight="1">
      <c r="A369" s="14"/>
      <c r="B369" s="30"/>
      <c r="C369" s="31"/>
      <c r="D369" s="31"/>
      <c r="F369" s="19"/>
    </row>
    <row r="370" spans="1:6" ht="15.75" customHeight="1">
      <c r="A370" s="14"/>
      <c r="B370" s="30"/>
      <c r="C370" s="31"/>
      <c r="D370" s="31"/>
      <c r="F370" s="19"/>
    </row>
    <row r="371" spans="1:6" ht="15.75" customHeight="1">
      <c r="A371" s="14"/>
      <c r="B371" s="30"/>
      <c r="C371" s="31"/>
      <c r="D371" s="31"/>
      <c r="F371" s="19"/>
    </row>
    <row r="372" spans="1:6" ht="15.75" customHeight="1">
      <c r="A372" s="14"/>
      <c r="B372" s="30"/>
      <c r="C372" s="31"/>
      <c r="D372" s="31"/>
      <c r="F372" s="19"/>
    </row>
    <row r="373" spans="1:6" ht="15.75" customHeight="1">
      <c r="A373" s="14"/>
      <c r="B373" s="30"/>
      <c r="C373" s="31"/>
      <c r="D373" s="31"/>
      <c r="F373" s="19"/>
    </row>
    <row r="374" spans="1:6" ht="15.75" customHeight="1">
      <c r="A374" s="14"/>
      <c r="B374" s="30"/>
      <c r="C374" s="31"/>
      <c r="D374" s="31"/>
      <c r="F374" s="19"/>
    </row>
    <row r="375" spans="1:6" ht="15.75" customHeight="1">
      <c r="A375" s="14"/>
      <c r="B375" s="30"/>
      <c r="C375" s="31"/>
      <c r="D375" s="31"/>
      <c r="F375" s="19"/>
    </row>
    <row r="376" spans="1:6" ht="15.75" customHeight="1">
      <c r="A376" s="14"/>
      <c r="B376" s="30"/>
      <c r="C376" s="31"/>
      <c r="D376" s="31"/>
      <c r="F376" s="19"/>
    </row>
    <row r="377" spans="1:6" ht="15.75" customHeight="1">
      <c r="A377" s="14"/>
      <c r="B377" s="30"/>
      <c r="C377" s="31"/>
      <c r="D377" s="31"/>
      <c r="F377" s="19"/>
    </row>
    <row r="378" spans="1:6" ht="15.75" customHeight="1">
      <c r="A378" s="14"/>
      <c r="B378" s="30"/>
      <c r="C378" s="31"/>
      <c r="D378" s="31"/>
      <c r="F378" s="19"/>
    </row>
    <row r="379" spans="1:6" ht="15.75" customHeight="1">
      <c r="A379" s="14"/>
      <c r="B379" s="30"/>
      <c r="C379" s="31"/>
      <c r="D379" s="31"/>
      <c r="F379" s="19"/>
    </row>
    <row r="380" spans="1:6" ht="15.75" customHeight="1">
      <c r="A380" s="14"/>
      <c r="B380" s="30"/>
      <c r="C380" s="31"/>
      <c r="D380" s="31"/>
      <c r="F380" s="19"/>
    </row>
    <row r="381" spans="1:6" ht="15.75" customHeight="1">
      <c r="A381" s="14"/>
      <c r="B381" s="30"/>
      <c r="C381" s="31"/>
      <c r="D381" s="31"/>
      <c r="F381" s="19"/>
    </row>
    <row r="382" spans="1:6" ht="15.75" customHeight="1">
      <c r="A382" s="14"/>
      <c r="B382" s="30"/>
      <c r="C382" s="31"/>
      <c r="D382" s="31"/>
      <c r="F382" s="19"/>
    </row>
    <row r="383" spans="1:6" ht="15.75" customHeight="1">
      <c r="A383" s="14"/>
      <c r="B383" s="30"/>
      <c r="C383" s="31"/>
      <c r="D383" s="31"/>
      <c r="F383" s="19"/>
    </row>
    <row r="384" spans="1:6" ht="15.75" customHeight="1">
      <c r="A384" s="14"/>
      <c r="B384" s="30"/>
      <c r="C384" s="31"/>
      <c r="D384" s="31"/>
      <c r="F384" s="19"/>
    </row>
    <row r="385" spans="1:6" ht="15.75" customHeight="1">
      <c r="A385" s="14"/>
      <c r="B385" s="30"/>
      <c r="C385" s="31"/>
      <c r="D385" s="31"/>
      <c r="F385" s="19"/>
    </row>
    <row r="386" spans="1:6" ht="15.75" customHeight="1">
      <c r="A386" s="14"/>
      <c r="B386" s="30"/>
      <c r="C386" s="31"/>
      <c r="D386" s="31"/>
      <c r="F386" s="19"/>
    </row>
    <row r="387" spans="1:6" ht="15.75" customHeight="1">
      <c r="A387" s="14"/>
      <c r="B387" s="30"/>
      <c r="C387" s="31"/>
      <c r="D387" s="31"/>
      <c r="F387" s="19"/>
    </row>
    <row r="388" spans="1:6" ht="15.75" customHeight="1">
      <c r="A388" s="14"/>
      <c r="B388" s="30"/>
      <c r="C388" s="31"/>
      <c r="D388" s="31"/>
      <c r="F388" s="19"/>
    </row>
    <row r="389" spans="1:6" ht="15.75" customHeight="1">
      <c r="A389" s="14"/>
      <c r="B389" s="30"/>
      <c r="C389" s="31"/>
      <c r="D389" s="31"/>
      <c r="F389" s="19"/>
    </row>
    <row r="390" spans="1:6" ht="15.75" customHeight="1">
      <c r="A390" s="14"/>
      <c r="B390" s="30"/>
      <c r="C390" s="31"/>
      <c r="D390" s="31"/>
      <c r="F390" s="19"/>
    </row>
    <row r="391" spans="1:6" ht="15.75" customHeight="1">
      <c r="A391" s="14"/>
      <c r="B391" s="30"/>
      <c r="C391" s="31"/>
      <c r="D391" s="31"/>
      <c r="F391" s="19"/>
    </row>
    <row r="392" spans="1:6" ht="15.75" customHeight="1">
      <c r="A392" s="14"/>
      <c r="B392" s="30"/>
      <c r="C392" s="31"/>
      <c r="D392" s="31"/>
      <c r="F392" s="19"/>
    </row>
    <row r="393" spans="1:6" ht="15.75" customHeight="1">
      <c r="A393" s="14"/>
      <c r="B393" s="30"/>
      <c r="C393" s="31"/>
      <c r="D393" s="31"/>
      <c r="F393" s="19"/>
    </row>
    <row r="394" spans="1:6" ht="15.75" customHeight="1">
      <c r="A394" s="14"/>
      <c r="B394" s="30"/>
      <c r="C394" s="31"/>
      <c r="D394" s="31"/>
      <c r="F394" s="19"/>
    </row>
    <row r="395" spans="1:6" ht="15.75" customHeight="1">
      <c r="A395" s="14"/>
      <c r="B395" s="30"/>
      <c r="C395" s="31"/>
      <c r="D395" s="31"/>
      <c r="F395" s="19"/>
    </row>
    <row r="396" spans="1:6" ht="15.75" customHeight="1">
      <c r="A396" s="14"/>
      <c r="B396" s="30"/>
      <c r="C396" s="31"/>
      <c r="D396" s="31"/>
      <c r="F396" s="19"/>
    </row>
    <row r="397" spans="1:6" ht="15.75" customHeight="1">
      <c r="A397" s="14"/>
      <c r="B397" s="30"/>
      <c r="C397" s="31"/>
      <c r="D397" s="31"/>
      <c r="F397" s="19"/>
    </row>
    <row r="398" spans="1:6" ht="15.75" customHeight="1">
      <c r="A398" s="14"/>
      <c r="B398" s="30"/>
      <c r="C398" s="31"/>
      <c r="D398" s="31"/>
      <c r="F398" s="19"/>
    </row>
    <row r="399" spans="1:6" ht="15.75" customHeight="1">
      <c r="A399" s="14"/>
      <c r="B399" s="30"/>
      <c r="C399" s="31"/>
      <c r="D399" s="31"/>
      <c r="F399" s="19"/>
    </row>
    <row r="400" spans="1:6" ht="15.75" customHeight="1">
      <c r="A400" s="14"/>
      <c r="B400" s="30"/>
      <c r="C400" s="31"/>
      <c r="D400" s="31"/>
      <c r="F400" s="19"/>
    </row>
    <row r="401" spans="1:6" ht="15.75" customHeight="1">
      <c r="A401" s="14"/>
      <c r="B401" s="30"/>
      <c r="C401" s="31"/>
      <c r="D401" s="31"/>
      <c r="F401" s="19"/>
    </row>
    <row r="402" spans="1:6" ht="15.75" customHeight="1">
      <c r="A402" s="14"/>
      <c r="B402" s="30"/>
      <c r="C402" s="31"/>
      <c r="D402" s="31"/>
      <c r="F402" s="19"/>
    </row>
    <row r="403" spans="1:6" ht="15.75" customHeight="1">
      <c r="A403" s="14"/>
      <c r="B403" s="30"/>
      <c r="C403" s="31"/>
      <c r="D403" s="31"/>
      <c r="F403" s="19"/>
    </row>
    <row r="404" spans="1:6" ht="15.75" customHeight="1">
      <c r="A404" s="14"/>
      <c r="B404" s="30"/>
      <c r="C404" s="31"/>
      <c r="D404" s="31"/>
      <c r="F404" s="19"/>
    </row>
    <row r="405" spans="1:6" ht="15.75" customHeight="1">
      <c r="A405" s="14"/>
      <c r="B405" s="30"/>
      <c r="C405" s="31"/>
      <c r="D405" s="31"/>
      <c r="F405" s="19"/>
    </row>
    <row r="406" spans="1:6" ht="15.75" customHeight="1">
      <c r="A406" s="14"/>
      <c r="B406" s="30"/>
      <c r="C406" s="31"/>
      <c r="D406" s="31"/>
      <c r="F406" s="19"/>
    </row>
    <row r="407" spans="1:6" ht="15.75" customHeight="1">
      <c r="A407" s="14"/>
      <c r="B407" s="30"/>
      <c r="C407" s="31"/>
      <c r="D407" s="31"/>
      <c r="F407" s="19"/>
    </row>
    <row r="408" spans="1:6" ht="15.75" customHeight="1">
      <c r="A408" s="14"/>
      <c r="B408" s="30"/>
      <c r="C408" s="31"/>
      <c r="D408" s="31"/>
      <c r="F408" s="19"/>
    </row>
    <row r="409" spans="1:6" ht="15.75" customHeight="1">
      <c r="A409" s="14"/>
      <c r="B409" s="30"/>
      <c r="C409" s="31"/>
      <c r="D409" s="31"/>
      <c r="F409" s="19"/>
    </row>
    <row r="410" spans="1:6" ht="15.75" customHeight="1">
      <c r="A410" s="14"/>
      <c r="B410" s="30"/>
      <c r="C410" s="31"/>
      <c r="D410" s="31"/>
      <c r="F410" s="19"/>
    </row>
    <row r="411" spans="1:6" ht="15.75" customHeight="1">
      <c r="A411" s="14"/>
      <c r="B411" s="30"/>
      <c r="C411" s="31"/>
      <c r="D411" s="31"/>
      <c r="F411" s="19"/>
    </row>
    <row r="412" spans="1:6" ht="15.75" customHeight="1">
      <c r="A412" s="14"/>
      <c r="B412" s="30"/>
      <c r="C412" s="31"/>
      <c r="D412" s="31"/>
      <c r="F412" s="19"/>
    </row>
    <row r="413" spans="1:6" ht="15.75" customHeight="1">
      <c r="A413" s="14"/>
      <c r="B413" s="30"/>
      <c r="C413" s="31"/>
      <c r="D413" s="31"/>
      <c r="F413" s="19"/>
    </row>
    <row r="414" spans="1:6" ht="15.75" customHeight="1">
      <c r="A414" s="14"/>
      <c r="B414" s="30"/>
      <c r="C414" s="31"/>
      <c r="D414" s="31"/>
      <c r="F414" s="19"/>
    </row>
    <row r="415" spans="1:6" ht="15.75" customHeight="1">
      <c r="A415" s="14"/>
      <c r="B415" s="30"/>
      <c r="C415" s="31"/>
      <c r="D415" s="31"/>
      <c r="F415" s="19"/>
    </row>
    <row r="416" spans="1:6" ht="15.75" customHeight="1">
      <c r="A416" s="14"/>
      <c r="B416" s="30"/>
      <c r="C416" s="31"/>
      <c r="D416" s="31"/>
      <c r="F416" s="19"/>
    </row>
    <row r="417" spans="1:6" ht="15.75" customHeight="1">
      <c r="A417" s="14"/>
      <c r="B417" s="30"/>
      <c r="C417" s="31"/>
      <c r="D417" s="31"/>
      <c r="F417" s="19"/>
    </row>
    <row r="418" spans="1:6" ht="15.75" customHeight="1">
      <c r="A418" s="14"/>
      <c r="B418" s="30"/>
      <c r="C418" s="31"/>
      <c r="D418" s="31"/>
      <c r="F418" s="19"/>
    </row>
    <row r="419" spans="1:6" ht="15.75" customHeight="1">
      <c r="A419" s="14"/>
      <c r="B419" s="30"/>
      <c r="C419" s="31"/>
      <c r="D419" s="31"/>
      <c r="F419" s="19"/>
    </row>
    <row r="420" spans="1:6" ht="15.75" customHeight="1">
      <c r="A420" s="14"/>
      <c r="B420" s="30"/>
      <c r="C420" s="31"/>
      <c r="D420" s="31"/>
      <c r="F420" s="19"/>
    </row>
    <row r="421" spans="1:6" ht="15.75" customHeight="1">
      <c r="A421" s="14"/>
      <c r="B421" s="30"/>
      <c r="C421" s="31"/>
      <c r="D421" s="31"/>
      <c r="F421" s="19"/>
    </row>
    <row r="422" spans="1:6" ht="15.75" customHeight="1">
      <c r="A422" s="14"/>
      <c r="B422" s="30"/>
      <c r="C422" s="31"/>
      <c r="D422" s="31"/>
      <c r="F422" s="19"/>
    </row>
    <row r="423" spans="1:6" ht="15.75" customHeight="1">
      <c r="A423" s="14"/>
      <c r="B423" s="30"/>
      <c r="C423" s="31"/>
      <c r="D423" s="31"/>
      <c r="F423" s="19"/>
    </row>
    <row r="424" spans="1:6" ht="15.75" customHeight="1">
      <c r="A424" s="14"/>
      <c r="B424" s="30"/>
      <c r="C424" s="31"/>
      <c r="D424" s="31"/>
      <c r="F424" s="19"/>
    </row>
    <row r="425" spans="1:6" ht="15.75" customHeight="1">
      <c r="A425" s="14"/>
      <c r="B425" s="30"/>
      <c r="C425" s="31"/>
      <c r="D425" s="31"/>
      <c r="F425" s="19"/>
    </row>
    <row r="426" spans="1:6" ht="15.75" customHeight="1">
      <c r="A426" s="14"/>
      <c r="B426" s="30"/>
      <c r="C426" s="31"/>
      <c r="D426" s="31"/>
      <c r="F426" s="19"/>
    </row>
    <row r="427" spans="1:6" ht="15.75" customHeight="1">
      <c r="A427" s="14"/>
      <c r="B427" s="30"/>
      <c r="C427" s="31"/>
      <c r="D427" s="31"/>
      <c r="F427" s="19"/>
    </row>
    <row r="428" spans="1:6" ht="15.75" customHeight="1">
      <c r="A428" s="14"/>
      <c r="B428" s="30"/>
      <c r="C428" s="31"/>
      <c r="D428" s="31"/>
      <c r="F428" s="19"/>
    </row>
    <row r="429" spans="1:6" ht="15.75" customHeight="1">
      <c r="A429" s="14"/>
      <c r="B429" s="30"/>
      <c r="C429" s="31"/>
      <c r="D429" s="31"/>
      <c r="F429" s="19"/>
    </row>
    <row r="430" spans="1:6" ht="15.75" customHeight="1">
      <c r="A430" s="14"/>
      <c r="B430" s="30"/>
      <c r="C430" s="31"/>
      <c r="D430" s="31"/>
      <c r="F430" s="19"/>
    </row>
    <row r="431" spans="1:6" ht="15.75" customHeight="1">
      <c r="A431" s="14"/>
      <c r="B431" s="30"/>
      <c r="C431" s="31"/>
      <c r="D431" s="31"/>
      <c r="F431" s="19"/>
    </row>
    <row r="432" spans="1:6" ht="15.75" customHeight="1">
      <c r="A432" s="14"/>
      <c r="B432" s="30"/>
      <c r="C432" s="31"/>
      <c r="D432" s="31"/>
      <c r="F432" s="19"/>
    </row>
    <row r="433" spans="1:6" ht="15.75" customHeight="1">
      <c r="A433" s="14"/>
      <c r="B433" s="30"/>
      <c r="C433" s="31"/>
      <c r="D433" s="31"/>
      <c r="F433" s="19"/>
    </row>
    <row r="434" spans="1:6" ht="15.75" customHeight="1">
      <c r="A434" s="14"/>
      <c r="B434" s="30"/>
      <c r="C434" s="31"/>
      <c r="D434" s="31"/>
      <c r="F434" s="19"/>
    </row>
    <row r="435" spans="1:6" ht="15.75" customHeight="1">
      <c r="A435" s="14"/>
      <c r="B435" s="30"/>
      <c r="C435" s="31"/>
      <c r="D435" s="31"/>
      <c r="F435" s="19"/>
    </row>
    <row r="436" spans="1:6" ht="15.75" customHeight="1">
      <c r="A436" s="14"/>
      <c r="B436" s="30"/>
      <c r="C436" s="31"/>
      <c r="D436" s="31"/>
      <c r="F436" s="19"/>
    </row>
    <row r="437" spans="1:6" ht="15.75" customHeight="1">
      <c r="A437" s="14"/>
      <c r="B437" s="30"/>
      <c r="C437" s="31"/>
      <c r="D437" s="31"/>
      <c r="F437" s="19"/>
    </row>
    <row r="438" spans="1:6" ht="15.75" customHeight="1">
      <c r="A438" s="14"/>
      <c r="B438" s="30"/>
      <c r="C438" s="31"/>
      <c r="D438" s="31"/>
      <c r="F438" s="19"/>
    </row>
    <row r="439" spans="1:6" ht="15.75" customHeight="1">
      <c r="A439" s="14"/>
      <c r="B439" s="30"/>
      <c r="C439" s="31"/>
      <c r="D439" s="31"/>
      <c r="F439" s="19"/>
    </row>
    <row r="440" spans="1:6" ht="15.75" customHeight="1">
      <c r="A440" s="14"/>
      <c r="B440" s="30"/>
      <c r="C440" s="31"/>
      <c r="D440" s="31"/>
      <c r="F440" s="19"/>
    </row>
    <row r="441" spans="1:6" ht="15.75" customHeight="1">
      <c r="A441" s="14"/>
      <c r="B441" s="30"/>
      <c r="C441" s="31"/>
      <c r="D441" s="31"/>
      <c r="F441" s="19"/>
    </row>
    <row r="442" spans="1:6" ht="15.75" customHeight="1">
      <c r="A442" s="14"/>
      <c r="B442" s="30"/>
      <c r="C442" s="31"/>
      <c r="D442" s="31"/>
      <c r="F442" s="19"/>
    </row>
    <row r="443" spans="1:6" ht="15.75" customHeight="1">
      <c r="A443" s="14"/>
      <c r="B443" s="30"/>
      <c r="C443" s="31"/>
      <c r="D443" s="31"/>
      <c r="F443" s="19"/>
    </row>
    <row r="444" spans="1:6" ht="15.75" customHeight="1">
      <c r="A444" s="14"/>
      <c r="B444" s="30"/>
      <c r="C444" s="31"/>
      <c r="D444" s="31"/>
      <c r="F444" s="19"/>
    </row>
    <row r="445" spans="1:6" ht="15.75" customHeight="1">
      <c r="A445" s="14"/>
      <c r="B445" s="30"/>
      <c r="C445" s="31"/>
      <c r="D445" s="31"/>
      <c r="F445" s="19"/>
    </row>
    <row r="446" spans="1:6" ht="15.75" customHeight="1">
      <c r="A446" s="14"/>
      <c r="B446" s="30"/>
      <c r="C446" s="31"/>
      <c r="D446" s="31"/>
      <c r="F446" s="19"/>
    </row>
    <row r="447" spans="1:6" ht="15.75" customHeight="1">
      <c r="A447" s="14"/>
      <c r="B447" s="30"/>
      <c r="C447" s="31"/>
      <c r="D447" s="31"/>
      <c r="F447" s="19"/>
    </row>
    <row r="448" spans="1:6" ht="15.75" customHeight="1">
      <c r="A448" s="14"/>
      <c r="B448" s="30"/>
      <c r="C448" s="31"/>
      <c r="D448" s="31"/>
      <c r="F448" s="19"/>
    </row>
    <row r="449" spans="1:6" ht="15.75" customHeight="1">
      <c r="A449" s="14"/>
      <c r="B449" s="30"/>
      <c r="C449" s="31"/>
      <c r="D449" s="31"/>
      <c r="F449" s="19"/>
    </row>
    <row r="450" spans="1:6" ht="15.75" customHeight="1">
      <c r="A450" s="14"/>
      <c r="B450" s="30"/>
      <c r="C450" s="31"/>
      <c r="D450" s="31"/>
      <c r="F450" s="19"/>
    </row>
    <row r="451" spans="1:6" ht="15.75" customHeight="1">
      <c r="A451" s="14"/>
      <c r="B451" s="30"/>
      <c r="C451" s="31"/>
      <c r="D451" s="31"/>
      <c r="F451" s="19"/>
    </row>
    <row r="452" spans="1:6" ht="15.75" customHeight="1">
      <c r="A452" s="14"/>
      <c r="B452" s="30"/>
      <c r="C452" s="31"/>
      <c r="D452" s="31"/>
      <c r="F452" s="19"/>
    </row>
    <row r="453" spans="1:6" ht="15.75" customHeight="1">
      <c r="A453" s="14"/>
      <c r="B453" s="30"/>
      <c r="C453" s="31"/>
      <c r="D453" s="31"/>
      <c r="F453" s="19"/>
    </row>
    <row r="454" spans="1:6" ht="15.75" customHeight="1">
      <c r="A454" s="14"/>
      <c r="B454" s="30"/>
      <c r="C454" s="31"/>
      <c r="D454" s="31"/>
      <c r="F454" s="19"/>
    </row>
    <row r="455" spans="1:6" ht="15.75" customHeight="1">
      <c r="A455" s="14"/>
      <c r="B455" s="30"/>
      <c r="C455" s="31"/>
      <c r="D455" s="31"/>
      <c r="F455" s="19"/>
    </row>
    <row r="456" spans="1:6" ht="15.75" customHeight="1">
      <c r="A456" s="14"/>
      <c r="B456" s="30"/>
      <c r="C456" s="31"/>
      <c r="D456" s="31"/>
      <c r="F456" s="19"/>
    </row>
    <row r="457" spans="1:6" ht="15.75" customHeight="1">
      <c r="A457" s="14"/>
      <c r="B457" s="30"/>
      <c r="C457" s="31"/>
      <c r="D457" s="31"/>
      <c r="F457" s="19"/>
    </row>
    <row r="458" spans="1:6" ht="15.75" customHeight="1">
      <c r="A458" s="14"/>
      <c r="B458" s="30"/>
      <c r="C458" s="31"/>
      <c r="D458" s="31"/>
      <c r="F458" s="19"/>
    </row>
    <row r="459" spans="1:6" ht="15.75" customHeight="1">
      <c r="A459" s="14"/>
      <c r="B459" s="30"/>
      <c r="C459" s="31"/>
      <c r="D459" s="31"/>
      <c r="F459" s="19"/>
    </row>
    <row r="460" spans="1:6" ht="15.75" customHeight="1">
      <c r="A460" s="14"/>
      <c r="B460" s="30"/>
      <c r="C460" s="31"/>
      <c r="D460" s="31"/>
      <c r="F460" s="19"/>
    </row>
    <row r="461" spans="1:6" ht="15.75" customHeight="1">
      <c r="A461" s="14"/>
      <c r="B461" s="30"/>
      <c r="C461" s="31"/>
      <c r="D461" s="31"/>
      <c r="F461" s="19"/>
    </row>
    <row r="462" spans="1:6" ht="15.75" customHeight="1">
      <c r="A462" s="14"/>
      <c r="B462" s="30"/>
      <c r="C462" s="31"/>
      <c r="D462" s="31"/>
      <c r="F462" s="19"/>
    </row>
    <row r="463" spans="1:6" ht="15.75" customHeight="1">
      <c r="A463" s="14"/>
      <c r="B463" s="30"/>
      <c r="C463" s="31"/>
      <c r="D463" s="31"/>
      <c r="F463" s="19"/>
    </row>
    <row r="464" spans="1:6" ht="15.75" customHeight="1">
      <c r="A464" s="14"/>
      <c r="B464" s="30"/>
      <c r="C464" s="31"/>
      <c r="D464" s="31"/>
      <c r="F464" s="19"/>
    </row>
    <row r="465" spans="1:6" ht="15.75" customHeight="1">
      <c r="A465" s="14"/>
      <c r="B465" s="30"/>
      <c r="C465" s="31"/>
      <c r="D465" s="31"/>
      <c r="F465" s="19"/>
    </row>
    <row r="466" spans="1:6" ht="15.75" customHeight="1">
      <c r="A466" s="14"/>
      <c r="B466" s="30"/>
      <c r="C466" s="31"/>
      <c r="D466" s="31"/>
      <c r="F466" s="19"/>
    </row>
    <row r="467" spans="1:6" ht="15.75" customHeight="1">
      <c r="A467" s="14"/>
      <c r="B467" s="30"/>
      <c r="C467" s="31"/>
      <c r="D467" s="31"/>
      <c r="F467" s="19"/>
    </row>
    <row r="468" spans="1:6" ht="15.75" customHeight="1">
      <c r="A468" s="14"/>
      <c r="B468" s="30"/>
      <c r="C468" s="31"/>
      <c r="D468" s="31"/>
      <c r="F468" s="19"/>
    </row>
    <row r="469" spans="1:6" ht="15.75" customHeight="1">
      <c r="A469" s="14"/>
      <c r="B469" s="30"/>
      <c r="C469" s="31"/>
      <c r="D469" s="31"/>
      <c r="F469" s="19"/>
    </row>
    <row r="470" spans="1:6" ht="15.75" customHeight="1">
      <c r="A470" s="14"/>
      <c r="B470" s="30"/>
      <c r="C470" s="31"/>
      <c r="D470" s="31"/>
      <c r="F470" s="19"/>
    </row>
    <row r="471" spans="1:6" ht="15.75" customHeight="1">
      <c r="A471" s="14"/>
      <c r="B471" s="30"/>
      <c r="C471" s="31"/>
      <c r="D471" s="31"/>
      <c r="F471" s="19"/>
    </row>
    <row r="472" spans="1:6" ht="15.75" customHeight="1">
      <c r="A472" s="14"/>
      <c r="B472" s="30"/>
      <c r="C472" s="31"/>
      <c r="D472" s="31"/>
      <c r="F472" s="19"/>
    </row>
    <row r="473" spans="1:6" ht="15.75" customHeight="1">
      <c r="A473" s="14"/>
      <c r="B473" s="30"/>
      <c r="C473" s="31"/>
      <c r="D473" s="31"/>
      <c r="F473" s="19"/>
    </row>
    <row r="474" spans="1:6" ht="15.75" customHeight="1">
      <c r="A474" s="14"/>
      <c r="B474" s="30"/>
      <c r="C474" s="31"/>
      <c r="D474" s="31"/>
      <c r="F474" s="19"/>
    </row>
    <row r="475" spans="1:6" ht="15.75" customHeight="1">
      <c r="A475" s="14"/>
      <c r="B475" s="30"/>
      <c r="C475" s="31"/>
      <c r="D475" s="31"/>
      <c r="F475" s="19"/>
    </row>
    <row r="476" spans="1:6" ht="15.75" customHeight="1">
      <c r="A476" s="14"/>
      <c r="B476" s="30"/>
      <c r="C476" s="31"/>
      <c r="D476" s="31"/>
      <c r="F476" s="19"/>
    </row>
    <row r="477" spans="1:6" ht="15.75" customHeight="1">
      <c r="A477" s="14"/>
      <c r="B477" s="30"/>
      <c r="C477" s="31"/>
      <c r="D477" s="31"/>
      <c r="F477" s="19"/>
    </row>
    <row r="478" spans="1:6" ht="15.75" customHeight="1">
      <c r="A478" s="14"/>
      <c r="B478" s="30"/>
      <c r="C478" s="31"/>
      <c r="D478" s="31"/>
      <c r="F478" s="19"/>
    </row>
    <row r="479" spans="1:6" ht="15.75" customHeight="1">
      <c r="A479" s="14"/>
      <c r="B479" s="30"/>
      <c r="C479" s="31"/>
      <c r="D479" s="31"/>
      <c r="F479" s="19"/>
    </row>
    <row r="480" spans="1:6" ht="15.75" customHeight="1">
      <c r="A480" s="14"/>
      <c r="B480" s="30"/>
      <c r="C480" s="31"/>
      <c r="D480" s="31"/>
      <c r="F480" s="19"/>
    </row>
    <row r="481" spans="1:6" ht="15.75" customHeight="1">
      <c r="A481" s="14"/>
      <c r="B481" s="30"/>
      <c r="C481" s="31"/>
      <c r="D481" s="31"/>
      <c r="F481" s="19"/>
    </row>
    <row r="482" spans="1:6" ht="15.75" customHeight="1">
      <c r="A482" s="14"/>
      <c r="B482" s="30"/>
      <c r="C482" s="31"/>
      <c r="D482" s="31"/>
      <c r="F482" s="19"/>
    </row>
    <row r="483" spans="1:6" ht="15.75" customHeight="1">
      <c r="A483" s="14"/>
      <c r="B483" s="30"/>
      <c r="C483" s="31"/>
      <c r="D483" s="31"/>
      <c r="F483" s="19"/>
    </row>
    <row r="484" spans="1:6" ht="15.75" customHeight="1">
      <c r="A484" s="14"/>
      <c r="B484" s="30"/>
      <c r="C484" s="31"/>
      <c r="D484" s="31"/>
      <c r="F484" s="19"/>
    </row>
    <row r="485" spans="1:6" ht="15.75" customHeight="1">
      <c r="A485" s="14"/>
      <c r="B485" s="30"/>
      <c r="C485" s="31"/>
      <c r="D485" s="31"/>
      <c r="F485" s="19"/>
    </row>
    <row r="486" spans="1:6" ht="15.75" customHeight="1">
      <c r="A486" s="14"/>
      <c r="B486" s="30"/>
      <c r="C486" s="31"/>
      <c r="D486" s="31"/>
      <c r="F486" s="19"/>
    </row>
    <row r="487" spans="1:6" ht="15.75" customHeight="1">
      <c r="A487" s="14"/>
      <c r="B487" s="30"/>
      <c r="C487" s="31"/>
      <c r="D487" s="31"/>
      <c r="F487" s="19"/>
    </row>
    <row r="488" spans="1:6" ht="15.75" customHeight="1">
      <c r="A488" s="14"/>
      <c r="B488" s="30"/>
      <c r="C488" s="31"/>
      <c r="D488" s="31"/>
      <c r="F488" s="19"/>
    </row>
    <row r="489" spans="1:6" ht="15.75" customHeight="1">
      <c r="A489" s="14"/>
      <c r="B489" s="30"/>
      <c r="C489" s="31"/>
      <c r="D489" s="31"/>
      <c r="F489" s="19"/>
    </row>
    <row r="490" spans="1:6" ht="15.75" customHeight="1">
      <c r="A490" s="14"/>
      <c r="B490" s="30"/>
      <c r="C490" s="31"/>
      <c r="D490" s="31"/>
      <c r="F490" s="19"/>
    </row>
    <row r="491" spans="1:6" ht="15.75" customHeight="1">
      <c r="A491" s="14"/>
      <c r="B491" s="30"/>
      <c r="C491" s="31"/>
      <c r="D491" s="31"/>
      <c r="F491" s="19"/>
    </row>
    <row r="492" spans="1:6" ht="15.75" customHeight="1">
      <c r="A492" s="14"/>
      <c r="B492" s="30"/>
      <c r="C492" s="31"/>
      <c r="D492" s="31"/>
      <c r="F492" s="19"/>
    </row>
    <row r="493" spans="1:6" ht="15.75" customHeight="1">
      <c r="A493" s="14"/>
      <c r="B493" s="30"/>
      <c r="C493" s="31"/>
      <c r="D493" s="31"/>
      <c r="F493" s="19"/>
    </row>
    <row r="494" spans="1:6" ht="15.75" customHeight="1">
      <c r="A494" s="14"/>
      <c r="B494" s="30"/>
      <c r="C494" s="31"/>
      <c r="D494" s="31"/>
      <c r="F494" s="19"/>
    </row>
    <row r="495" spans="1:6" ht="15.75" customHeight="1">
      <c r="A495" s="14"/>
      <c r="B495" s="30"/>
      <c r="C495" s="31"/>
      <c r="D495" s="31"/>
      <c r="F495" s="19"/>
    </row>
    <row r="496" spans="1:6" ht="15.75" customHeight="1">
      <c r="A496" s="14"/>
      <c r="B496" s="30"/>
      <c r="C496" s="31"/>
      <c r="D496" s="31"/>
      <c r="F496" s="19"/>
    </row>
    <row r="497" spans="1:6" ht="15.75" customHeight="1">
      <c r="A497" s="14"/>
      <c r="B497" s="30"/>
      <c r="C497" s="31"/>
      <c r="D497" s="31"/>
      <c r="F497" s="19"/>
    </row>
    <row r="498" spans="1:6" ht="15.75" customHeight="1">
      <c r="A498" s="14"/>
      <c r="B498" s="30"/>
      <c r="C498" s="31"/>
      <c r="D498" s="31"/>
      <c r="F498" s="19"/>
    </row>
    <row r="499" spans="1:6" ht="15.75" customHeight="1">
      <c r="A499" s="14"/>
      <c r="B499" s="30"/>
      <c r="C499" s="31"/>
      <c r="D499" s="31"/>
      <c r="F499" s="19"/>
    </row>
    <row r="500" spans="1:6" ht="15.75" customHeight="1">
      <c r="A500" s="14"/>
      <c r="B500" s="30"/>
      <c r="C500" s="31"/>
      <c r="D500" s="31"/>
      <c r="F500" s="19"/>
    </row>
    <row r="501" spans="1:6" ht="15.75" customHeight="1">
      <c r="A501" s="14"/>
      <c r="B501" s="30"/>
      <c r="C501" s="31"/>
      <c r="D501" s="31"/>
      <c r="F501" s="19"/>
    </row>
    <row r="502" spans="1:6" ht="15.75" customHeight="1">
      <c r="A502" s="14"/>
      <c r="B502" s="30"/>
      <c r="C502" s="31"/>
      <c r="D502" s="31"/>
      <c r="F502" s="19"/>
    </row>
    <row r="503" spans="1:6" ht="15.75" customHeight="1">
      <c r="A503" s="14"/>
      <c r="B503" s="30"/>
      <c r="C503" s="31"/>
      <c r="D503" s="31"/>
      <c r="F503" s="19"/>
    </row>
    <row r="504" spans="1:6" ht="15.75" customHeight="1">
      <c r="A504" s="14"/>
      <c r="B504" s="30"/>
      <c r="C504" s="31"/>
      <c r="D504" s="31"/>
      <c r="F504" s="19"/>
    </row>
    <row r="505" spans="1:6" ht="15.75" customHeight="1">
      <c r="A505" s="14"/>
      <c r="B505" s="30"/>
      <c r="C505" s="31"/>
      <c r="D505" s="31"/>
      <c r="F505" s="19"/>
    </row>
    <row r="506" spans="1:6" ht="15.75" customHeight="1">
      <c r="A506" s="14"/>
      <c r="B506" s="30"/>
      <c r="C506" s="31"/>
      <c r="D506" s="31"/>
      <c r="F506" s="19"/>
    </row>
    <row r="507" spans="1:6" ht="15.75" customHeight="1">
      <c r="A507" s="14"/>
      <c r="B507" s="30"/>
      <c r="C507" s="31"/>
      <c r="D507" s="31"/>
      <c r="F507" s="19"/>
    </row>
    <row r="508" spans="1:6" ht="15.75" customHeight="1">
      <c r="A508" s="14"/>
      <c r="B508" s="30"/>
      <c r="C508" s="31"/>
      <c r="D508" s="31"/>
      <c r="F508" s="19"/>
    </row>
    <row r="509" spans="1:6" ht="15.75" customHeight="1">
      <c r="A509" s="14"/>
      <c r="B509" s="30"/>
      <c r="C509" s="31"/>
      <c r="D509" s="31"/>
      <c r="F509" s="19"/>
    </row>
    <row r="510" spans="1:6" ht="15.75" customHeight="1">
      <c r="A510" s="14"/>
      <c r="B510" s="30"/>
      <c r="C510" s="31"/>
      <c r="D510" s="31"/>
      <c r="F510" s="19"/>
    </row>
    <row r="511" spans="1:6" ht="15.75" customHeight="1">
      <c r="A511" s="14"/>
      <c r="B511" s="30"/>
      <c r="C511" s="31"/>
      <c r="D511" s="31"/>
      <c r="F511" s="19"/>
    </row>
    <row r="512" spans="1:6" ht="15.75" customHeight="1">
      <c r="A512" s="14"/>
      <c r="B512" s="30"/>
      <c r="C512" s="31"/>
      <c r="D512" s="31"/>
      <c r="F512" s="19"/>
    </row>
    <row r="513" spans="1:6" ht="15.75" customHeight="1">
      <c r="A513" s="14"/>
      <c r="B513" s="30"/>
      <c r="C513" s="31"/>
      <c r="D513" s="31"/>
      <c r="F513" s="19"/>
    </row>
    <row r="514" spans="1:6" ht="15.75" customHeight="1">
      <c r="A514" s="14"/>
      <c r="B514" s="30"/>
      <c r="C514" s="31"/>
      <c r="D514" s="31"/>
      <c r="F514" s="19"/>
    </row>
    <row r="515" spans="1:6" ht="15.75" customHeight="1">
      <c r="A515" s="14"/>
      <c r="B515" s="30"/>
      <c r="C515" s="31"/>
      <c r="D515" s="31"/>
      <c r="F515" s="19"/>
    </row>
    <row r="516" spans="1:6" ht="15.75" customHeight="1">
      <c r="A516" s="14"/>
      <c r="B516" s="30"/>
      <c r="C516" s="31"/>
      <c r="D516" s="31"/>
      <c r="F516" s="19"/>
    </row>
    <row r="517" spans="1:6" ht="15.75" customHeight="1">
      <c r="A517" s="14"/>
      <c r="B517" s="30"/>
      <c r="C517" s="31"/>
      <c r="D517" s="31"/>
      <c r="F517" s="19"/>
    </row>
    <row r="518" spans="1:6" ht="15.75" customHeight="1">
      <c r="A518" s="14"/>
      <c r="B518" s="30"/>
      <c r="C518" s="31"/>
      <c r="D518" s="31"/>
      <c r="F518" s="19"/>
    </row>
    <row r="519" spans="1:6" ht="15.75" customHeight="1">
      <c r="A519" s="14"/>
      <c r="B519" s="30"/>
      <c r="C519" s="31"/>
      <c r="D519" s="31"/>
      <c r="F519" s="19"/>
    </row>
    <row r="520" spans="1:6" ht="15.75" customHeight="1">
      <c r="A520" s="14"/>
      <c r="B520" s="30"/>
      <c r="C520" s="31"/>
      <c r="D520" s="31"/>
      <c r="F520" s="19"/>
    </row>
    <row r="521" spans="1:6" ht="15.75" customHeight="1">
      <c r="A521" s="14"/>
      <c r="B521" s="30"/>
      <c r="C521" s="31"/>
      <c r="D521" s="31"/>
      <c r="F521" s="19"/>
    </row>
    <row r="522" spans="1:6" ht="15.75" customHeight="1">
      <c r="A522" s="14"/>
      <c r="B522" s="30"/>
      <c r="C522" s="31"/>
      <c r="D522" s="31"/>
      <c r="F522" s="19"/>
    </row>
    <row r="523" spans="1:6" ht="15.75" customHeight="1">
      <c r="A523" s="14"/>
      <c r="B523" s="30"/>
      <c r="C523" s="31"/>
      <c r="D523" s="31"/>
      <c r="F523" s="19"/>
    </row>
    <row r="524" spans="1:6" ht="15.75" customHeight="1">
      <c r="A524" s="14"/>
      <c r="B524" s="30"/>
      <c r="C524" s="31"/>
      <c r="D524" s="31"/>
      <c r="F524" s="19"/>
    </row>
    <row r="525" spans="1:6" ht="15.75" customHeight="1">
      <c r="A525" s="14"/>
      <c r="B525" s="30"/>
      <c r="C525" s="31"/>
      <c r="D525" s="31"/>
      <c r="F525" s="19"/>
    </row>
    <row r="526" spans="1:6" ht="15.75" customHeight="1">
      <c r="A526" s="14"/>
      <c r="B526" s="30"/>
      <c r="C526" s="31"/>
      <c r="D526" s="31"/>
      <c r="F526" s="19"/>
    </row>
    <row r="527" spans="1:6" ht="15.75" customHeight="1">
      <c r="A527" s="14"/>
      <c r="B527" s="30"/>
      <c r="C527" s="31"/>
      <c r="D527" s="31"/>
      <c r="F527" s="19"/>
    </row>
    <row r="528" spans="1:6" ht="15.75" customHeight="1">
      <c r="A528" s="14"/>
      <c r="B528" s="30"/>
      <c r="C528" s="31"/>
      <c r="D528" s="31"/>
      <c r="F528" s="19"/>
    </row>
    <row r="529" spans="1:6" ht="15.75" customHeight="1">
      <c r="A529" s="14"/>
      <c r="B529" s="30"/>
      <c r="C529" s="31"/>
      <c r="D529" s="31"/>
      <c r="F529" s="19"/>
    </row>
    <row r="530" spans="1:6" ht="15.75" customHeight="1">
      <c r="A530" s="14"/>
      <c r="B530" s="30"/>
      <c r="C530" s="31"/>
      <c r="D530" s="31"/>
      <c r="F530" s="19"/>
    </row>
    <row r="531" spans="1:6" ht="15.75" customHeight="1">
      <c r="A531" s="14"/>
      <c r="B531" s="30"/>
      <c r="C531" s="31"/>
      <c r="D531" s="31"/>
      <c r="F531" s="19"/>
    </row>
    <row r="532" spans="1:6" ht="15.75" customHeight="1">
      <c r="A532" s="14"/>
      <c r="B532" s="30"/>
      <c r="C532" s="31"/>
      <c r="D532" s="31"/>
      <c r="F532" s="19"/>
    </row>
    <row r="533" spans="1:6" ht="15.75" customHeight="1">
      <c r="A533" s="14"/>
      <c r="B533" s="30"/>
      <c r="C533" s="31"/>
      <c r="D533" s="31"/>
      <c r="F533" s="19"/>
    </row>
    <row r="534" spans="1:6" ht="15.75" customHeight="1">
      <c r="A534" s="14"/>
      <c r="B534" s="30"/>
      <c r="C534" s="31"/>
      <c r="D534" s="31"/>
      <c r="F534" s="19"/>
    </row>
    <row r="535" spans="1:6" ht="15.75" customHeight="1">
      <c r="A535" s="14"/>
      <c r="B535" s="30"/>
      <c r="C535" s="31"/>
      <c r="D535" s="31"/>
      <c r="F535" s="19"/>
    </row>
    <row r="536" spans="1:6" ht="15.75" customHeight="1">
      <c r="A536" s="14"/>
      <c r="B536" s="30"/>
      <c r="C536" s="31"/>
      <c r="D536" s="31"/>
      <c r="F536" s="19"/>
    </row>
    <row r="537" spans="1:6" ht="15.75" customHeight="1">
      <c r="A537" s="14"/>
      <c r="B537" s="30"/>
      <c r="C537" s="31"/>
      <c r="D537" s="31"/>
      <c r="F537" s="19"/>
    </row>
    <row r="538" spans="1:6" ht="15.75" customHeight="1">
      <c r="A538" s="14"/>
      <c r="B538" s="30"/>
      <c r="C538" s="31"/>
      <c r="D538" s="31"/>
      <c r="F538" s="19"/>
    </row>
    <row r="539" spans="1:6" ht="15.75" customHeight="1">
      <c r="A539" s="14"/>
      <c r="B539" s="30"/>
      <c r="C539" s="31"/>
      <c r="D539" s="31"/>
      <c r="F539" s="19"/>
    </row>
    <row r="540" spans="1:6" ht="15.75" customHeight="1">
      <c r="A540" s="14"/>
      <c r="B540" s="30"/>
      <c r="C540" s="31"/>
      <c r="D540" s="31"/>
    </row>
    <row r="541" spans="1:6" ht="15.75" customHeight="1">
      <c r="A541" s="14"/>
      <c r="B541" s="30"/>
      <c r="C541" s="31"/>
      <c r="D541" s="31"/>
    </row>
    <row r="542" spans="1:6" ht="15.75" customHeight="1">
      <c r="A542" s="14"/>
      <c r="B542" s="30"/>
      <c r="C542" s="31"/>
      <c r="D542" s="31"/>
    </row>
    <row r="543" spans="1:6" ht="15.75" customHeight="1">
      <c r="A543" s="14"/>
      <c r="B543" s="30"/>
      <c r="C543" s="31"/>
      <c r="D543" s="31"/>
    </row>
    <row r="544" spans="1:6" ht="15.75" customHeight="1">
      <c r="A544" s="14"/>
      <c r="B544" s="30"/>
      <c r="C544" s="31"/>
      <c r="D544" s="31"/>
    </row>
    <row r="545" spans="1:4" ht="15.75" customHeight="1">
      <c r="A545" s="24"/>
      <c r="B545" s="32"/>
      <c r="C545" s="33"/>
      <c r="D545" s="33"/>
    </row>
    <row r="546" spans="1:4" ht="15.75" customHeight="1">
      <c r="A546" s="24"/>
      <c r="B546" s="32"/>
      <c r="C546" s="33"/>
      <c r="D546" s="33"/>
    </row>
    <row r="547" spans="1:4" ht="15.75" customHeight="1">
      <c r="A547" s="24"/>
      <c r="B547" s="32"/>
      <c r="C547" s="33"/>
      <c r="D547" s="33"/>
    </row>
    <row r="548" spans="1:4" ht="15.75" customHeight="1">
      <c r="A548" s="24"/>
      <c r="B548" s="32"/>
      <c r="C548" s="33"/>
      <c r="D548" s="33"/>
    </row>
    <row r="549" spans="1:4" ht="15.75" customHeight="1">
      <c r="A549" s="24"/>
      <c r="B549" s="32"/>
      <c r="C549" s="33"/>
      <c r="D549" s="33"/>
    </row>
    <row r="550" spans="1:4" ht="15.75" customHeight="1">
      <c r="A550" s="24"/>
      <c r="B550" s="32"/>
      <c r="C550" s="33"/>
      <c r="D550" s="33"/>
    </row>
    <row r="551" spans="1:4" ht="15.75" customHeight="1">
      <c r="A551" s="24"/>
      <c r="B551" s="32"/>
      <c r="C551" s="33"/>
      <c r="D551" s="33"/>
    </row>
    <row r="552" spans="1:4" ht="15.75" customHeight="1">
      <c r="A552" s="24"/>
      <c r="B552" s="32"/>
      <c r="C552" s="33"/>
      <c r="D552" s="33"/>
    </row>
    <row r="553" spans="1:4" ht="15.75" customHeight="1">
      <c r="A553" s="24"/>
      <c r="B553" s="32"/>
      <c r="C553" s="33"/>
      <c r="D553" s="33"/>
    </row>
    <row r="554" spans="1:4" ht="15.75" customHeight="1">
      <c r="A554" s="24"/>
      <c r="B554" s="32"/>
      <c r="C554" s="33"/>
      <c r="D554" s="33"/>
    </row>
    <row r="555" spans="1:4" ht="15.75" customHeight="1">
      <c r="A555" s="24"/>
      <c r="B555" s="32"/>
      <c r="C555" s="33"/>
      <c r="D555" s="33"/>
    </row>
    <row r="556" spans="1:4" ht="15.75" customHeight="1">
      <c r="A556" s="24"/>
      <c r="B556" s="32"/>
      <c r="C556" s="33"/>
      <c r="D556" s="33"/>
    </row>
    <row r="557" spans="1:4" ht="15.75" customHeight="1">
      <c r="A557" s="24"/>
      <c r="B557" s="32"/>
      <c r="C557" s="33"/>
      <c r="D557" s="33"/>
    </row>
    <row r="558" spans="1:4" ht="15.75" customHeight="1">
      <c r="A558" s="24"/>
      <c r="B558" s="32"/>
      <c r="C558" s="33"/>
      <c r="D558" s="33"/>
    </row>
    <row r="559" spans="1:4" ht="15.75" customHeight="1">
      <c r="A559" s="24"/>
      <c r="B559" s="32"/>
      <c r="C559" s="33"/>
      <c r="D559" s="33"/>
    </row>
    <row r="560" spans="1:4" ht="15.75" customHeight="1">
      <c r="A560" s="24"/>
      <c r="B560" s="32"/>
      <c r="C560" s="33"/>
      <c r="D560" s="33"/>
    </row>
    <row r="561" spans="1:4" ht="15.75" customHeight="1">
      <c r="A561" s="24"/>
      <c r="B561" s="32"/>
      <c r="C561" s="33"/>
      <c r="D561" s="33"/>
    </row>
    <row r="562" spans="1:4" ht="15.75" customHeight="1">
      <c r="A562" s="24"/>
      <c r="B562" s="32"/>
      <c r="C562" s="33"/>
      <c r="D562" s="33"/>
    </row>
    <row r="563" spans="1:4" ht="15.75" customHeight="1">
      <c r="A563" s="24"/>
      <c r="B563" s="32"/>
      <c r="C563" s="33"/>
      <c r="D563" s="33"/>
    </row>
    <row r="564" spans="1:4" ht="15.75" customHeight="1">
      <c r="A564" s="24"/>
      <c r="B564" s="32"/>
      <c r="C564" s="33"/>
      <c r="D564" s="33"/>
    </row>
    <row r="565" spans="1:4" ht="15.75" customHeight="1">
      <c r="A565" s="24"/>
      <c r="B565" s="32"/>
      <c r="C565" s="33"/>
      <c r="D565" s="33"/>
    </row>
    <row r="566" spans="1:4" ht="15.75" customHeight="1">
      <c r="A566" s="24"/>
      <c r="B566" s="32"/>
      <c r="C566" s="33"/>
      <c r="D566" s="33"/>
    </row>
    <row r="567" spans="1:4" ht="15.75" customHeight="1">
      <c r="A567" s="24"/>
      <c r="B567" s="32"/>
      <c r="C567" s="33"/>
      <c r="D567" s="33"/>
    </row>
    <row r="568" spans="1:4" ht="15.75" customHeight="1">
      <c r="A568" s="24"/>
      <c r="B568" s="32"/>
      <c r="C568" s="33"/>
      <c r="D568" s="33"/>
    </row>
    <row r="569" spans="1:4" ht="15.75" customHeight="1">
      <c r="A569" s="24"/>
      <c r="B569" s="32"/>
      <c r="C569" s="33"/>
      <c r="D569" s="33"/>
    </row>
    <row r="570" spans="1:4" ht="15.75" customHeight="1">
      <c r="A570" s="24"/>
      <c r="B570" s="32"/>
      <c r="C570" s="33"/>
      <c r="D570" s="33"/>
    </row>
    <row r="571" spans="1:4" ht="15.75" customHeight="1">
      <c r="A571" s="24"/>
      <c r="B571" s="32"/>
      <c r="C571" s="33"/>
      <c r="D571" s="33"/>
    </row>
    <row r="572" spans="1:4" ht="15.75" customHeight="1">
      <c r="A572" s="24"/>
      <c r="B572" s="32"/>
      <c r="C572" s="33"/>
      <c r="D572" s="33"/>
    </row>
    <row r="573" spans="1:4" ht="15.75" customHeight="1">
      <c r="A573" s="24"/>
      <c r="B573" s="32"/>
      <c r="C573" s="33"/>
      <c r="D573" s="33"/>
    </row>
    <row r="574" spans="1:4" ht="15.75" customHeight="1">
      <c r="A574" s="24"/>
      <c r="B574" s="32"/>
      <c r="C574" s="33"/>
      <c r="D574" s="33"/>
    </row>
    <row r="575" spans="1:4" ht="15.75" customHeight="1">
      <c r="A575" s="24"/>
      <c r="B575" s="32"/>
      <c r="C575" s="33"/>
      <c r="D575" s="33"/>
    </row>
    <row r="576" spans="1:4" ht="15.75" customHeight="1">
      <c r="A576" s="24"/>
      <c r="B576" s="32"/>
      <c r="C576" s="33"/>
      <c r="D576" s="33"/>
    </row>
    <row r="577" spans="1:4" ht="15.75" customHeight="1">
      <c r="A577" s="24"/>
      <c r="B577" s="32"/>
      <c r="C577" s="33"/>
      <c r="D577" s="33"/>
    </row>
    <row r="578" spans="1:4" ht="15.75" customHeight="1">
      <c r="A578" s="24"/>
      <c r="B578" s="32"/>
      <c r="C578" s="33"/>
      <c r="D578" s="33"/>
    </row>
    <row r="579" spans="1:4" ht="15.75" customHeight="1">
      <c r="A579" s="24"/>
      <c r="B579" s="32"/>
      <c r="C579" s="33"/>
      <c r="D579" s="33"/>
    </row>
    <row r="580" spans="1:4" ht="15.75" customHeight="1">
      <c r="A580" s="24"/>
      <c r="B580" s="32"/>
      <c r="C580" s="33"/>
      <c r="D580" s="33"/>
    </row>
    <row r="581" spans="1:4" ht="15.75" customHeight="1">
      <c r="A581" s="24"/>
      <c r="B581" s="32"/>
      <c r="C581" s="33"/>
      <c r="D581" s="33"/>
    </row>
    <row r="582" spans="1:4" ht="15.75" customHeight="1">
      <c r="A582" s="24"/>
      <c r="B582" s="32"/>
      <c r="C582" s="33"/>
      <c r="D582" s="33"/>
    </row>
    <row r="583" spans="1:4" ht="15.75" customHeight="1">
      <c r="A583" s="24"/>
      <c r="B583" s="32"/>
      <c r="C583" s="33"/>
      <c r="D583" s="33"/>
    </row>
    <row r="584" spans="1:4" ht="15.75" customHeight="1">
      <c r="A584" s="24"/>
      <c r="B584" s="32"/>
      <c r="C584" s="33"/>
      <c r="D584" s="33"/>
    </row>
    <row r="585" spans="1:4" ht="15.75" customHeight="1">
      <c r="A585" s="24"/>
      <c r="B585" s="32"/>
      <c r="C585" s="33"/>
      <c r="D585" s="33"/>
    </row>
    <row r="586" spans="1:4" ht="15.75" customHeight="1">
      <c r="A586" s="24"/>
      <c r="B586" s="32"/>
      <c r="C586" s="33"/>
      <c r="D586" s="33"/>
    </row>
    <row r="587" spans="1:4" ht="15.75" customHeight="1">
      <c r="A587" s="24"/>
      <c r="B587" s="32"/>
      <c r="C587" s="33"/>
      <c r="D587" s="33"/>
    </row>
    <row r="588" spans="1:4" ht="15.75" customHeight="1">
      <c r="A588" s="24"/>
      <c r="B588" s="32"/>
      <c r="C588" s="33"/>
      <c r="D588" s="33"/>
    </row>
    <row r="589" spans="1:4" ht="15.75" customHeight="1">
      <c r="A589" s="24"/>
      <c r="B589" s="32"/>
      <c r="C589" s="33"/>
      <c r="D589" s="33"/>
    </row>
    <row r="590" spans="1:4" ht="15.75" customHeight="1">
      <c r="A590" s="24"/>
      <c r="B590" s="32"/>
      <c r="C590" s="33"/>
      <c r="D590" s="33"/>
    </row>
    <row r="591" spans="1:4" ht="15.75" customHeight="1">
      <c r="A591" s="24"/>
      <c r="B591" s="32"/>
      <c r="C591" s="33"/>
      <c r="D591" s="33"/>
    </row>
    <row r="592" spans="1:4" ht="15.75" customHeight="1">
      <c r="A592" s="24"/>
      <c r="B592" s="32"/>
      <c r="C592" s="33"/>
      <c r="D592" s="33"/>
    </row>
    <row r="593" spans="1:4" ht="15.75" customHeight="1">
      <c r="A593" s="24"/>
      <c r="B593" s="32"/>
      <c r="C593" s="33"/>
      <c r="D593" s="33"/>
    </row>
    <row r="594" spans="1:4" ht="15.75" customHeight="1">
      <c r="A594" s="24"/>
      <c r="B594" s="32"/>
      <c r="C594" s="33"/>
      <c r="D594" s="33"/>
    </row>
    <row r="595" spans="1:4" ht="15.75" customHeight="1">
      <c r="A595" s="24"/>
      <c r="B595" s="32"/>
      <c r="C595" s="33"/>
      <c r="D595" s="33"/>
    </row>
    <row r="596" spans="1:4" ht="15.75" customHeight="1">
      <c r="A596" s="24"/>
      <c r="B596" s="32"/>
      <c r="C596" s="33"/>
      <c r="D596" s="33"/>
    </row>
    <row r="597" spans="1:4" ht="15.75" customHeight="1">
      <c r="A597" s="24"/>
      <c r="B597" s="32"/>
      <c r="C597" s="33"/>
      <c r="D597" s="33"/>
    </row>
    <row r="598" spans="1:4" ht="15.75" customHeight="1">
      <c r="A598" s="24"/>
      <c r="B598" s="32"/>
      <c r="C598" s="33"/>
      <c r="D598" s="33"/>
    </row>
    <row r="599" spans="1:4" ht="15.75" customHeight="1">
      <c r="A599" s="24"/>
      <c r="B599" s="32"/>
      <c r="C599" s="33"/>
      <c r="D599" s="33"/>
    </row>
    <row r="600" spans="1:4" ht="15.75" customHeight="1">
      <c r="A600" s="24"/>
      <c r="B600" s="32"/>
      <c r="C600" s="33"/>
      <c r="D600" s="33"/>
    </row>
    <row r="601" spans="1:4" ht="15.75" customHeight="1">
      <c r="A601" s="24"/>
      <c r="B601" s="32"/>
      <c r="C601" s="33"/>
      <c r="D601" s="33"/>
    </row>
    <row r="602" spans="1:4" ht="15.75" customHeight="1">
      <c r="A602" s="24"/>
      <c r="B602" s="32"/>
      <c r="C602" s="33"/>
      <c r="D602" s="33"/>
    </row>
    <row r="603" spans="1:4" ht="15.75" customHeight="1">
      <c r="A603" s="24"/>
      <c r="B603" s="32"/>
      <c r="C603" s="33"/>
      <c r="D603" s="33"/>
    </row>
    <row r="604" spans="1:4" ht="15.75" customHeight="1">
      <c r="A604" s="24"/>
      <c r="B604" s="32"/>
      <c r="C604" s="33"/>
      <c r="D604" s="33"/>
    </row>
    <row r="605" spans="1:4" ht="15.75" customHeight="1">
      <c r="A605" s="24"/>
      <c r="B605" s="32"/>
      <c r="C605" s="33"/>
      <c r="D605" s="33"/>
    </row>
    <row r="606" spans="1:4" ht="15.75" customHeight="1">
      <c r="A606" s="24"/>
      <c r="B606" s="32"/>
      <c r="C606" s="33"/>
      <c r="D606" s="33"/>
    </row>
    <row r="607" spans="1:4" ht="15.75" customHeight="1">
      <c r="A607" s="24"/>
      <c r="B607" s="32"/>
      <c r="C607" s="33"/>
      <c r="D607" s="33"/>
    </row>
    <row r="608" spans="1:4" ht="15.75" customHeight="1">
      <c r="A608" s="24"/>
      <c r="B608" s="32"/>
      <c r="C608" s="33"/>
      <c r="D608" s="33"/>
    </row>
    <row r="609" spans="1:4" ht="15.75" customHeight="1">
      <c r="A609" s="24"/>
      <c r="B609" s="32"/>
      <c r="C609" s="33"/>
      <c r="D609" s="33"/>
    </row>
    <row r="610" spans="1:4" ht="15.75" customHeight="1">
      <c r="A610" s="24"/>
      <c r="B610" s="32"/>
      <c r="C610" s="33"/>
      <c r="D610" s="33"/>
    </row>
    <row r="611" spans="1:4" ht="15.75" customHeight="1">
      <c r="A611" s="24"/>
      <c r="B611" s="32"/>
      <c r="C611" s="33"/>
      <c r="D611" s="33"/>
    </row>
    <row r="612" spans="1:4" ht="15.75" customHeight="1">
      <c r="A612" s="24"/>
      <c r="B612" s="32"/>
      <c r="C612" s="33"/>
      <c r="D612" s="33"/>
    </row>
    <row r="613" spans="1:4" ht="15.75" customHeight="1">
      <c r="A613" s="24"/>
      <c r="B613" s="32"/>
      <c r="C613" s="33"/>
      <c r="D613" s="33"/>
    </row>
    <row r="614" spans="1:4" ht="15.75" customHeight="1">
      <c r="A614" s="24"/>
      <c r="B614" s="32"/>
      <c r="C614" s="33"/>
      <c r="D614" s="33"/>
    </row>
    <row r="615" spans="1:4" ht="15.75" customHeight="1">
      <c r="A615" s="24"/>
      <c r="B615" s="32"/>
      <c r="C615" s="33"/>
      <c r="D615" s="33"/>
    </row>
    <row r="616" spans="1:4" ht="15.75" customHeight="1">
      <c r="A616" s="24"/>
      <c r="B616" s="32"/>
      <c r="C616" s="33"/>
      <c r="D616" s="33"/>
    </row>
    <row r="617" spans="1:4" ht="15.75" customHeight="1">
      <c r="A617" s="24"/>
      <c r="B617" s="32"/>
      <c r="C617" s="33"/>
      <c r="D617" s="33"/>
    </row>
    <row r="618" spans="1:4" ht="15.75" customHeight="1">
      <c r="A618" s="24"/>
      <c r="B618" s="32"/>
      <c r="C618" s="33"/>
      <c r="D618" s="33"/>
    </row>
    <row r="619" spans="1:4" ht="15.75" customHeight="1">
      <c r="A619" s="24"/>
      <c r="B619" s="32"/>
      <c r="C619" s="33"/>
      <c r="D619" s="33"/>
    </row>
    <row r="620" spans="1:4" ht="15.75" customHeight="1">
      <c r="A620" s="24"/>
      <c r="B620" s="32"/>
      <c r="C620" s="33"/>
      <c r="D620" s="33"/>
    </row>
    <row r="621" spans="1:4" ht="15.75" customHeight="1">
      <c r="A621" s="24"/>
      <c r="B621" s="32"/>
      <c r="C621" s="33"/>
      <c r="D621" s="33"/>
    </row>
    <row r="622" spans="1:4" ht="15.75" customHeight="1">
      <c r="A622" s="24"/>
      <c r="B622" s="32"/>
      <c r="C622" s="33"/>
      <c r="D622" s="33"/>
    </row>
    <row r="623" spans="1:4" ht="15.75" customHeight="1">
      <c r="A623" s="24"/>
      <c r="B623" s="32"/>
      <c r="C623" s="33"/>
      <c r="D623" s="33"/>
    </row>
    <row r="624" spans="1:4" ht="15.75" customHeight="1">
      <c r="A624" s="24"/>
      <c r="B624" s="32"/>
      <c r="C624" s="33"/>
      <c r="D624" s="33"/>
    </row>
    <row r="625" spans="1:4" ht="15.75" customHeight="1">
      <c r="A625" s="24"/>
      <c r="B625" s="32"/>
      <c r="C625" s="33"/>
      <c r="D625" s="33"/>
    </row>
    <row r="626" spans="1:4" ht="15.75" customHeight="1">
      <c r="A626" s="24"/>
      <c r="B626" s="32"/>
      <c r="C626" s="33"/>
      <c r="D626" s="33"/>
    </row>
    <row r="627" spans="1:4" ht="15.75" customHeight="1">
      <c r="A627" s="24"/>
      <c r="B627" s="32"/>
      <c r="C627" s="33"/>
      <c r="D627" s="33"/>
    </row>
    <row r="628" spans="1:4" ht="15.75" customHeight="1">
      <c r="A628" s="24"/>
      <c r="B628" s="32"/>
      <c r="C628" s="33"/>
      <c r="D628" s="33"/>
    </row>
    <row r="629" spans="1:4" ht="15.75" customHeight="1">
      <c r="A629" s="24"/>
      <c r="B629" s="32"/>
      <c r="C629" s="33"/>
      <c r="D629" s="33"/>
    </row>
    <row r="630" spans="1:4" ht="15.75" customHeight="1">
      <c r="A630" s="24"/>
      <c r="B630" s="32"/>
      <c r="C630" s="33"/>
      <c r="D630" s="33"/>
    </row>
    <row r="631" spans="1:4" ht="15.75" customHeight="1">
      <c r="A631" s="24"/>
      <c r="B631" s="32"/>
      <c r="C631" s="33"/>
      <c r="D631" s="33"/>
    </row>
    <row r="632" spans="1:4" ht="15.75" customHeight="1">
      <c r="A632" s="24"/>
      <c r="B632" s="32"/>
      <c r="C632" s="33"/>
      <c r="D632" s="33"/>
    </row>
    <row r="633" spans="1:4" ht="15.75" customHeight="1">
      <c r="A633" s="24"/>
      <c r="B633" s="32"/>
      <c r="C633" s="33"/>
      <c r="D633" s="33"/>
    </row>
    <row r="634" spans="1:4" ht="15.75" customHeight="1">
      <c r="A634" s="24"/>
      <c r="B634" s="32"/>
      <c r="C634" s="33"/>
      <c r="D634" s="33"/>
    </row>
    <row r="635" spans="1:4" ht="15.75" customHeight="1">
      <c r="A635" s="24"/>
      <c r="B635" s="32"/>
      <c r="C635" s="33"/>
      <c r="D635" s="33"/>
    </row>
    <row r="636" spans="1:4" ht="15.75" customHeight="1">
      <c r="A636" s="24"/>
      <c r="B636" s="32"/>
      <c r="C636" s="33"/>
      <c r="D636" s="33"/>
    </row>
    <row r="637" spans="1:4" ht="15.75" customHeight="1">
      <c r="A637" s="24"/>
      <c r="B637" s="32"/>
      <c r="C637" s="33"/>
      <c r="D637" s="33"/>
    </row>
    <row r="638" spans="1:4" ht="15.75" customHeight="1">
      <c r="A638" s="24"/>
      <c r="B638" s="32"/>
      <c r="C638" s="33"/>
      <c r="D638" s="33"/>
    </row>
    <row r="639" spans="1:4" ht="15.75" customHeight="1">
      <c r="A639" s="24"/>
      <c r="B639" s="32"/>
      <c r="C639" s="33"/>
      <c r="D639" s="33"/>
    </row>
    <row r="640" spans="1:4" ht="15.75" customHeight="1">
      <c r="A640" s="24"/>
      <c r="B640" s="32"/>
      <c r="C640" s="33"/>
      <c r="D640" s="33"/>
    </row>
    <row r="641" spans="1:4" ht="15.75" customHeight="1">
      <c r="A641" s="24"/>
      <c r="B641" s="32"/>
      <c r="C641" s="33"/>
      <c r="D641" s="33"/>
    </row>
    <row r="642" spans="1:4" ht="15.75" customHeight="1">
      <c r="A642" s="24"/>
      <c r="B642" s="32"/>
      <c r="C642" s="33"/>
      <c r="D642" s="33"/>
    </row>
    <row r="643" spans="1:4" ht="15.75" customHeight="1">
      <c r="A643" s="24"/>
      <c r="B643" s="32"/>
      <c r="C643" s="33"/>
      <c r="D643" s="33"/>
    </row>
    <row r="644" spans="1:4" ht="15.75" customHeight="1">
      <c r="A644" s="24"/>
      <c r="B644" s="32"/>
      <c r="C644" s="33"/>
      <c r="D644" s="33"/>
    </row>
    <row r="645" spans="1:4" ht="15.75" customHeight="1">
      <c r="A645" s="24"/>
      <c r="B645" s="32"/>
      <c r="C645" s="33"/>
      <c r="D645" s="33"/>
    </row>
    <row r="646" spans="1:4" ht="15.75" customHeight="1">
      <c r="A646" s="24"/>
      <c r="B646" s="32"/>
      <c r="C646" s="33"/>
      <c r="D646" s="33"/>
    </row>
    <row r="647" spans="1:4" ht="15.75" customHeight="1">
      <c r="A647" s="24"/>
      <c r="B647" s="32"/>
      <c r="C647" s="33"/>
      <c r="D647" s="33"/>
    </row>
    <row r="648" spans="1:4" ht="15.75" customHeight="1">
      <c r="A648" s="24"/>
      <c r="B648" s="32"/>
      <c r="C648" s="33"/>
      <c r="D648" s="33"/>
    </row>
    <row r="649" spans="1:4" ht="15.75" customHeight="1">
      <c r="A649" s="24"/>
      <c r="B649" s="32"/>
      <c r="C649" s="33"/>
      <c r="D649" s="33"/>
    </row>
    <row r="650" spans="1:4" ht="15.75" customHeight="1">
      <c r="A650" s="24"/>
      <c r="B650" s="32"/>
      <c r="C650" s="33"/>
      <c r="D650" s="33"/>
    </row>
    <row r="651" spans="1:4" ht="15.75" customHeight="1">
      <c r="A651" s="24"/>
      <c r="B651" s="32"/>
      <c r="C651" s="33"/>
      <c r="D651" s="33"/>
    </row>
    <row r="652" spans="1:4" ht="15.75" customHeight="1">
      <c r="A652" s="24"/>
      <c r="B652" s="32"/>
      <c r="C652" s="33"/>
      <c r="D652" s="33"/>
    </row>
    <row r="653" spans="1:4" ht="15.75" customHeight="1">
      <c r="A653" s="24"/>
      <c r="B653" s="32"/>
      <c r="C653" s="33"/>
      <c r="D653" s="33"/>
    </row>
    <row r="654" spans="1:4" ht="15.75" customHeight="1">
      <c r="A654" s="24"/>
      <c r="B654" s="32"/>
      <c r="C654" s="33"/>
      <c r="D654" s="33"/>
    </row>
    <row r="655" spans="1:4" ht="15.75" customHeight="1">
      <c r="A655" s="24"/>
      <c r="B655" s="32"/>
      <c r="C655" s="33"/>
      <c r="D655" s="33"/>
    </row>
    <row r="656" spans="1:4" ht="15.75" customHeight="1">
      <c r="A656" s="24"/>
      <c r="B656" s="32"/>
      <c r="C656" s="33"/>
      <c r="D656" s="33"/>
    </row>
    <row r="657" spans="1:4" ht="15.75" customHeight="1">
      <c r="A657" s="24"/>
      <c r="B657" s="32"/>
      <c r="C657" s="33"/>
      <c r="D657" s="33"/>
    </row>
    <row r="658" spans="1:4" ht="15.75" customHeight="1">
      <c r="A658" s="24"/>
      <c r="B658" s="32"/>
      <c r="C658" s="33"/>
      <c r="D658" s="33"/>
    </row>
    <row r="659" spans="1:4" ht="15.75" customHeight="1">
      <c r="A659" s="24"/>
      <c r="B659" s="32"/>
      <c r="C659" s="33"/>
      <c r="D659" s="33"/>
    </row>
    <row r="660" spans="1:4" ht="15.75" customHeight="1">
      <c r="A660" s="24"/>
      <c r="B660" s="32"/>
      <c r="C660" s="33"/>
      <c r="D660" s="33"/>
    </row>
    <row r="661" spans="1:4" ht="15.75" customHeight="1">
      <c r="A661" s="24"/>
      <c r="B661" s="32"/>
      <c r="C661" s="33"/>
      <c r="D661" s="33"/>
    </row>
    <row r="662" spans="1:4" ht="15.75" customHeight="1">
      <c r="A662" s="24"/>
      <c r="B662" s="32"/>
      <c r="C662" s="33"/>
      <c r="D662" s="33"/>
    </row>
    <row r="663" spans="1:4" ht="15.75" customHeight="1">
      <c r="A663" s="24"/>
      <c r="B663" s="32"/>
      <c r="C663" s="33"/>
      <c r="D663" s="33"/>
    </row>
    <row r="664" spans="1:4" ht="15.75" customHeight="1">
      <c r="A664" s="24"/>
      <c r="B664" s="32"/>
      <c r="C664" s="33"/>
      <c r="D664" s="33"/>
    </row>
    <row r="665" spans="1:4" ht="15.75" customHeight="1">
      <c r="A665" s="24"/>
      <c r="B665" s="32"/>
      <c r="C665" s="33"/>
      <c r="D665" s="33"/>
    </row>
    <row r="666" spans="1:4" ht="15.75" customHeight="1">
      <c r="A666" s="24"/>
      <c r="B666" s="32"/>
      <c r="C666" s="33"/>
      <c r="D666" s="33"/>
    </row>
    <row r="667" spans="1:4" ht="15.75" customHeight="1">
      <c r="A667" s="24"/>
      <c r="B667" s="32"/>
      <c r="C667" s="33"/>
      <c r="D667" s="33"/>
    </row>
    <row r="668" spans="1:4" ht="15.75" customHeight="1">
      <c r="A668" s="24"/>
      <c r="B668" s="32"/>
      <c r="C668" s="33"/>
      <c r="D668" s="33"/>
    </row>
    <row r="669" spans="1:4" ht="15.75" customHeight="1">
      <c r="A669" s="24"/>
      <c r="B669" s="32"/>
      <c r="C669" s="33"/>
      <c r="D669" s="33"/>
    </row>
    <row r="670" spans="1:4" ht="15.75" customHeight="1">
      <c r="A670" s="24"/>
      <c r="B670" s="32"/>
      <c r="C670" s="33"/>
      <c r="D670" s="33"/>
    </row>
    <row r="671" spans="1:4" ht="15.75" customHeight="1">
      <c r="A671" s="24"/>
      <c r="B671" s="32"/>
      <c r="C671" s="33"/>
      <c r="D671" s="33"/>
    </row>
    <row r="672" spans="1:4" ht="15.75" customHeight="1">
      <c r="A672" s="24"/>
      <c r="B672" s="32"/>
      <c r="C672" s="33"/>
      <c r="D672" s="33"/>
    </row>
    <row r="673" spans="1:4" ht="15.75" customHeight="1">
      <c r="A673" s="24"/>
      <c r="B673" s="32"/>
      <c r="C673" s="33"/>
      <c r="D673" s="33"/>
    </row>
    <row r="674" spans="1:4" ht="15.75" customHeight="1">
      <c r="A674" s="24"/>
      <c r="B674" s="32"/>
      <c r="C674" s="33"/>
      <c r="D674" s="33"/>
    </row>
    <row r="675" spans="1:4" ht="15.75" customHeight="1">
      <c r="A675" s="24"/>
      <c r="B675" s="32"/>
      <c r="C675" s="33"/>
      <c r="D675" s="33"/>
    </row>
    <row r="676" spans="1:4" ht="15.75" customHeight="1">
      <c r="A676" s="24"/>
      <c r="B676" s="32"/>
      <c r="C676" s="33"/>
      <c r="D676" s="33"/>
    </row>
    <row r="677" spans="1:4" ht="15.75" customHeight="1">
      <c r="A677" s="24"/>
      <c r="B677" s="32"/>
      <c r="C677" s="33"/>
      <c r="D677" s="33"/>
    </row>
    <row r="678" spans="1:4" ht="15.75" customHeight="1">
      <c r="A678" s="24"/>
      <c r="B678" s="32"/>
      <c r="C678" s="33"/>
      <c r="D678" s="33"/>
    </row>
    <row r="679" spans="1:4" ht="15.75" customHeight="1">
      <c r="A679" s="24"/>
      <c r="B679" s="32"/>
      <c r="C679" s="33"/>
      <c r="D679" s="33"/>
    </row>
    <row r="680" spans="1:4" ht="15.75" customHeight="1">
      <c r="A680" s="24"/>
      <c r="B680" s="32"/>
      <c r="C680" s="33"/>
      <c r="D680" s="33"/>
    </row>
    <row r="681" spans="1:4" ht="15.75" customHeight="1">
      <c r="A681" s="24"/>
      <c r="B681" s="32"/>
      <c r="C681" s="33"/>
      <c r="D681" s="33"/>
    </row>
    <row r="682" spans="1:4" ht="15.75" customHeight="1">
      <c r="A682" s="24"/>
      <c r="B682" s="32"/>
      <c r="C682" s="33"/>
      <c r="D682" s="33"/>
    </row>
    <row r="683" spans="1:4" ht="15.75" customHeight="1">
      <c r="A683" s="24"/>
      <c r="B683" s="32"/>
      <c r="C683" s="33"/>
      <c r="D683" s="33"/>
    </row>
    <row r="684" spans="1:4" ht="15.75" customHeight="1">
      <c r="A684" s="24"/>
      <c r="B684" s="32"/>
      <c r="C684" s="33"/>
      <c r="D684" s="33"/>
    </row>
    <row r="685" spans="1:4" ht="15.75" customHeight="1">
      <c r="A685" s="24"/>
      <c r="B685" s="32"/>
      <c r="C685" s="33"/>
      <c r="D685" s="33"/>
    </row>
    <row r="686" spans="1:4" ht="15.75" customHeight="1">
      <c r="A686" s="24"/>
      <c r="B686" s="32"/>
      <c r="C686" s="33"/>
      <c r="D686" s="33"/>
    </row>
    <row r="687" spans="1:4" ht="15.75" customHeight="1">
      <c r="A687" s="24"/>
      <c r="B687" s="32"/>
      <c r="C687" s="33"/>
      <c r="D687" s="33"/>
    </row>
    <row r="688" spans="1:4" ht="15.75" customHeight="1">
      <c r="A688" s="24"/>
      <c r="B688" s="32"/>
      <c r="C688" s="33"/>
      <c r="D688" s="33"/>
    </row>
    <row r="689" spans="1:4" ht="15.75" customHeight="1">
      <c r="A689" s="24"/>
      <c r="B689" s="32"/>
      <c r="C689" s="33"/>
      <c r="D689" s="33"/>
    </row>
    <row r="690" spans="1:4" ht="15.75" customHeight="1">
      <c r="A690" s="24"/>
      <c r="B690" s="32"/>
      <c r="C690" s="33"/>
      <c r="D690" s="33"/>
    </row>
    <row r="691" spans="1:4" ht="15.75" customHeight="1">
      <c r="A691" s="24"/>
      <c r="B691" s="32"/>
      <c r="C691" s="33"/>
      <c r="D691" s="33"/>
    </row>
    <row r="692" spans="1:4" ht="15.75" customHeight="1">
      <c r="A692" s="24"/>
      <c r="B692" s="32"/>
      <c r="C692" s="33"/>
      <c r="D692" s="33"/>
    </row>
    <row r="693" spans="1:4" ht="15.75" customHeight="1">
      <c r="A693" s="24"/>
      <c r="B693" s="32"/>
      <c r="C693" s="33"/>
      <c r="D693" s="33"/>
    </row>
    <row r="694" spans="1:4" ht="15.75" customHeight="1">
      <c r="A694" s="24"/>
      <c r="B694" s="32"/>
      <c r="C694" s="33"/>
      <c r="D694" s="33"/>
    </row>
    <row r="695" spans="1:4" ht="15.75" customHeight="1">
      <c r="A695" s="24"/>
      <c r="B695" s="32"/>
      <c r="C695" s="33"/>
      <c r="D695" s="33"/>
    </row>
    <row r="696" spans="1:4" ht="15.75" customHeight="1">
      <c r="A696" s="24"/>
      <c r="B696" s="32"/>
      <c r="C696" s="33"/>
      <c r="D696" s="33"/>
    </row>
    <row r="697" spans="1:4" ht="15.75" customHeight="1">
      <c r="A697" s="24"/>
      <c r="B697" s="32"/>
      <c r="C697" s="33"/>
      <c r="D697" s="33"/>
    </row>
    <row r="698" spans="1:4" ht="15.75" customHeight="1">
      <c r="A698" s="24"/>
      <c r="B698" s="32"/>
      <c r="C698" s="33"/>
      <c r="D698" s="33"/>
    </row>
    <row r="699" spans="1:4" ht="15.75" customHeight="1">
      <c r="A699" s="24"/>
      <c r="B699" s="32"/>
      <c r="C699" s="33"/>
      <c r="D699" s="33"/>
    </row>
    <row r="700" spans="1:4" ht="15.75" customHeight="1">
      <c r="A700" s="24"/>
      <c r="B700" s="32"/>
      <c r="C700" s="33"/>
      <c r="D700" s="33"/>
    </row>
    <row r="701" spans="1:4" ht="15.75" customHeight="1">
      <c r="A701" s="24"/>
      <c r="B701" s="32"/>
      <c r="C701" s="33"/>
      <c r="D701" s="33"/>
    </row>
    <row r="702" spans="1:4" ht="15.75" customHeight="1">
      <c r="A702" s="24"/>
      <c r="B702" s="32"/>
      <c r="C702" s="33"/>
      <c r="D702" s="33"/>
    </row>
    <row r="703" spans="1:4" ht="15.75" customHeight="1">
      <c r="A703" s="24"/>
      <c r="B703" s="32"/>
      <c r="C703" s="33"/>
      <c r="D703" s="33"/>
    </row>
    <row r="704" spans="1:4" ht="15.75" customHeight="1">
      <c r="A704" s="24"/>
      <c r="B704" s="32"/>
      <c r="C704" s="33"/>
      <c r="D704" s="33"/>
    </row>
    <row r="705" spans="1:4" ht="15.75" customHeight="1">
      <c r="A705" s="24"/>
      <c r="B705" s="32"/>
      <c r="C705" s="33"/>
      <c r="D705" s="33"/>
    </row>
    <row r="706" spans="1:4" ht="15.75" customHeight="1">
      <c r="A706" s="24"/>
      <c r="B706" s="32"/>
      <c r="C706" s="33"/>
      <c r="D706" s="33"/>
    </row>
    <row r="707" spans="1:4" ht="15.75" customHeight="1">
      <c r="A707" s="24"/>
      <c r="B707" s="32"/>
      <c r="C707" s="33"/>
      <c r="D707" s="33"/>
    </row>
    <row r="708" spans="1:4" ht="15.75" customHeight="1">
      <c r="A708" s="24"/>
      <c r="B708" s="32"/>
      <c r="C708" s="33"/>
      <c r="D708" s="33"/>
    </row>
    <row r="709" spans="1:4" ht="15.75" customHeight="1">
      <c r="A709" s="24"/>
      <c r="B709" s="32"/>
      <c r="C709" s="33"/>
      <c r="D709" s="33"/>
    </row>
    <row r="710" spans="1:4" ht="15.75" customHeight="1">
      <c r="A710" s="24"/>
      <c r="B710" s="32"/>
      <c r="C710" s="33"/>
      <c r="D710" s="33"/>
    </row>
    <row r="711" spans="1:4" ht="15.75" customHeight="1">
      <c r="A711" s="24"/>
      <c r="B711" s="32"/>
      <c r="C711" s="33"/>
      <c r="D711" s="33"/>
    </row>
    <row r="712" spans="1:4" ht="15.75" customHeight="1">
      <c r="A712" s="24"/>
      <c r="B712" s="32"/>
      <c r="C712" s="33"/>
      <c r="D712" s="33"/>
    </row>
    <row r="713" spans="1:4" ht="15.75" customHeight="1">
      <c r="A713" s="24"/>
      <c r="B713" s="32"/>
      <c r="C713" s="33"/>
      <c r="D713" s="33"/>
    </row>
    <row r="714" spans="1:4" ht="15.75" customHeight="1">
      <c r="A714" s="24"/>
      <c r="B714" s="32"/>
      <c r="C714" s="33"/>
      <c r="D714" s="33"/>
    </row>
    <row r="715" spans="1:4" ht="15.75" customHeight="1">
      <c r="A715" s="24"/>
      <c r="B715" s="32"/>
      <c r="C715" s="33"/>
      <c r="D715" s="33"/>
    </row>
    <row r="716" spans="1:4" ht="15.75" customHeight="1">
      <c r="A716" s="24"/>
      <c r="B716" s="32"/>
      <c r="C716" s="33"/>
      <c r="D716" s="33"/>
    </row>
    <row r="717" spans="1:4" ht="15.75" customHeight="1">
      <c r="A717" s="24"/>
      <c r="B717" s="32"/>
      <c r="C717" s="33"/>
      <c r="D717" s="33"/>
    </row>
    <row r="718" spans="1:4" ht="15.75" customHeight="1">
      <c r="A718" s="24"/>
      <c r="B718" s="32"/>
      <c r="C718" s="33"/>
      <c r="D718" s="33"/>
    </row>
    <row r="719" spans="1:4" ht="15.75" customHeight="1">
      <c r="A719" s="24"/>
      <c r="B719" s="32"/>
      <c r="C719" s="33"/>
      <c r="D719" s="33"/>
    </row>
    <row r="720" spans="1:4" ht="15.75" customHeight="1">
      <c r="A720" s="24"/>
      <c r="B720" s="32"/>
      <c r="C720" s="33"/>
      <c r="D720" s="33"/>
    </row>
    <row r="721" spans="1:4" ht="15.75" customHeight="1">
      <c r="A721" s="24"/>
      <c r="B721" s="32"/>
      <c r="C721" s="33"/>
      <c r="D721" s="33"/>
    </row>
    <row r="722" spans="1:4" ht="15.75" customHeight="1">
      <c r="A722" s="24"/>
      <c r="B722" s="32"/>
      <c r="C722" s="33"/>
      <c r="D722" s="33"/>
    </row>
    <row r="723" spans="1:4" ht="15.75" customHeight="1">
      <c r="A723" s="24"/>
      <c r="B723" s="32"/>
      <c r="C723" s="33"/>
      <c r="D723" s="33"/>
    </row>
    <row r="724" spans="1:4" ht="15.75" customHeight="1">
      <c r="A724" s="24"/>
      <c r="B724" s="32"/>
      <c r="C724" s="33"/>
      <c r="D724" s="33"/>
    </row>
    <row r="725" spans="1:4" ht="15.75" customHeight="1">
      <c r="A725" s="24"/>
      <c r="B725" s="32"/>
      <c r="C725" s="33"/>
      <c r="D725" s="33"/>
    </row>
    <row r="726" spans="1:4" ht="15.75" customHeight="1">
      <c r="A726" s="24"/>
      <c r="B726" s="32"/>
      <c r="C726" s="33"/>
      <c r="D726" s="33"/>
    </row>
    <row r="727" spans="1:4" ht="15.75" customHeight="1">
      <c r="A727" s="24"/>
      <c r="B727" s="32"/>
      <c r="C727" s="33"/>
      <c r="D727" s="33"/>
    </row>
    <row r="728" spans="1:4" ht="15.75" customHeight="1">
      <c r="A728" s="24"/>
      <c r="B728" s="32"/>
      <c r="C728" s="33"/>
      <c r="D728" s="33"/>
    </row>
    <row r="729" spans="1:4" ht="15.75" customHeight="1">
      <c r="A729" s="24"/>
      <c r="B729" s="32"/>
      <c r="C729" s="33"/>
      <c r="D729" s="33"/>
    </row>
    <row r="730" spans="1:4" ht="15.75" customHeight="1">
      <c r="A730" s="24"/>
      <c r="B730" s="32"/>
      <c r="C730" s="33"/>
      <c r="D730" s="33"/>
    </row>
    <row r="731" spans="1:4" ht="15.75" customHeight="1">
      <c r="A731" s="24"/>
      <c r="B731" s="32"/>
      <c r="C731" s="33"/>
      <c r="D731" s="33"/>
    </row>
    <row r="732" spans="1:4" ht="15.75" customHeight="1">
      <c r="A732" s="24"/>
      <c r="B732" s="32"/>
      <c r="C732" s="33"/>
      <c r="D732" s="33"/>
    </row>
    <row r="733" spans="1:4" ht="15.75" customHeight="1">
      <c r="A733" s="24"/>
      <c r="B733" s="32"/>
      <c r="C733" s="33"/>
      <c r="D733" s="33"/>
    </row>
    <row r="734" spans="1:4" ht="15.75" customHeight="1">
      <c r="A734" s="24"/>
      <c r="B734" s="32"/>
      <c r="C734" s="33"/>
      <c r="D734" s="33"/>
    </row>
    <row r="735" spans="1:4" ht="15.75" customHeight="1">
      <c r="A735" s="24"/>
      <c r="B735" s="32"/>
      <c r="C735" s="33"/>
      <c r="D735" s="33"/>
    </row>
    <row r="736" spans="1:4" ht="15.75" customHeight="1">
      <c r="A736" s="24"/>
      <c r="B736" s="32"/>
      <c r="C736" s="33"/>
      <c r="D736" s="33"/>
    </row>
    <row r="737" spans="1:4" ht="15.75" customHeight="1">
      <c r="A737" s="24"/>
      <c r="B737" s="32"/>
      <c r="C737" s="33"/>
      <c r="D737" s="33"/>
    </row>
    <row r="738" spans="1:4" ht="15.75" customHeight="1">
      <c r="A738" s="24"/>
      <c r="B738" s="32"/>
      <c r="C738" s="33"/>
      <c r="D738" s="33"/>
    </row>
    <row r="739" spans="1:4" ht="15.75" customHeight="1">
      <c r="A739" s="24"/>
      <c r="B739" s="32"/>
      <c r="C739" s="33"/>
      <c r="D739" s="33"/>
    </row>
    <row r="740" spans="1:4" ht="15.75" customHeight="1">
      <c r="A740" s="24"/>
      <c r="B740" s="32"/>
      <c r="C740" s="33"/>
      <c r="D740" s="33"/>
    </row>
    <row r="741" spans="1:4" ht="15.75" customHeight="1">
      <c r="A741" s="24"/>
      <c r="B741" s="32"/>
      <c r="C741" s="33"/>
      <c r="D741" s="33"/>
    </row>
    <row r="742" spans="1:4" ht="15.75" customHeight="1">
      <c r="A742" s="24"/>
      <c r="B742" s="32"/>
      <c r="C742" s="33"/>
      <c r="D742" s="33"/>
    </row>
    <row r="743" spans="1:4" ht="15.75" customHeight="1">
      <c r="A743" s="24"/>
      <c r="B743" s="32"/>
      <c r="C743" s="33"/>
      <c r="D743" s="33"/>
    </row>
    <row r="744" spans="1:4" ht="15.75" customHeight="1">
      <c r="A744" s="24"/>
      <c r="B744" s="32"/>
      <c r="C744" s="33"/>
      <c r="D744" s="33"/>
    </row>
    <row r="745" spans="1:4" ht="15.75" customHeight="1">
      <c r="A745" s="24"/>
      <c r="B745" s="32"/>
      <c r="C745" s="33"/>
      <c r="D745" s="33"/>
    </row>
    <row r="746" spans="1:4" ht="15.75" customHeight="1">
      <c r="A746" s="24"/>
      <c r="B746" s="32"/>
      <c r="C746" s="33"/>
      <c r="D746" s="33"/>
    </row>
    <row r="747" spans="1:4" ht="15.75" customHeight="1">
      <c r="A747" s="24"/>
      <c r="B747" s="32"/>
      <c r="C747" s="33"/>
      <c r="D747" s="33"/>
    </row>
    <row r="748" spans="1:4" ht="15.75" customHeight="1">
      <c r="A748" s="24"/>
      <c r="B748" s="32"/>
      <c r="C748" s="33"/>
      <c r="D748" s="33"/>
    </row>
    <row r="749" spans="1:4" ht="15.75" customHeight="1">
      <c r="A749" s="24"/>
      <c r="B749" s="32"/>
      <c r="C749" s="33"/>
      <c r="D749" s="33"/>
    </row>
    <row r="750" spans="1:4" ht="15.75" customHeight="1">
      <c r="A750" s="24"/>
      <c r="B750" s="32"/>
      <c r="C750" s="33"/>
      <c r="D750" s="33"/>
    </row>
    <row r="751" spans="1:4" ht="15.75" customHeight="1">
      <c r="A751" s="24"/>
      <c r="B751" s="32"/>
      <c r="C751" s="33"/>
      <c r="D751" s="33"/>
    </row>
    <row r="752" spans="1:4" ht="15.75" customHeight="1">
      <c r="A752" s="24"/>
      <c r="B752" s="32"/>
      <c r="C752" s="33"/>
      <c r="D752" s="33"/>
    </row>
    <row r="753" spans="1:4" ht="15.75" customHeight="1">
      <c r="A753" s="24"/>
      <c r="B753" s="32"/>
      <c r="C753" s="33"/>
      <c r="D753" s="33"/>
    </row>
    <row r="754" spans="1:4" ht="15.75" customHeight="1">
      <c r="A754" s="24"/>
      <c r="B754" s="32"/>
      <c r="C754" s="33"/>
      <c r="D754" s="33"/>
    </row>
    <row r="755" spans="1:4" ht="15.75" customHeight="1">
      <c r="A755" s="24"/>
      <c r="B755" s="32"/>
      <c r="C755" s="33"/>
      <c r="D755" s="33"/>
    </row>
    <row r="756" spans="1:4" ht="15.75" customHeight="1">
      <c r="A756" s="24"/>
      <c r="B756" s="32"/>
      <c r="C756" s="33"/>
      <c r="D756" s="33"/>
    </row>
    <row r="757" spans="1:4" ht="15.75" customHeight="1">
      <c r="A757" s="24"/>
      <c r="B757" s="32"/>
      <c r="C757" s="33"/>
      <c r="D757" s="33"/>
    </row>
    <row r="758" spans="1:4" ht="15.75" customHeight="1">
      <c r="A758" s="24"/>
      <c r="B758" s="32"/>
      <c r="C758" s="33"/>
      <c r="D758" s="33"/>
    </row>
    <row r="759" spans="1:4" ht="15.75" customHeight="1">
      <c r="A759" s="24"/>
      <c r="B759" s="32"/>
      <c r="C759" s="33"/>
      <c r="D759" s="33"/>
    </row>
    <row r="760" spans="1:4" ht="15.75" customHeight="1">
      <c r="A760" s="24"/>
      <c r="B760" s="32"/>
      <c r="C760" s="33"/>
      <c r="D760" s="33"/>
    </row>
    <row r="761" spans="1:4" ht="15.75" customHeight="1">
      <c r="A761" s="24"/>
      <c r="B761" s="32"/>
      <c r="C761" s="33"/>
      <c r="D761" s="33"/>
    </row>
    <row r="762" spans="1:4" ht="15.75" customHeight="1">
      <c r="A762" s="24"/>
      <c r="B762" s="32"/>
      <c r="C762" s="33"/>
      <c r="D762" s="33"/>
    </row>
    <row r="763" spans="1:4" ht="15.75" customHeight="1">
      <c r="A763" s="24"/>
      <c r="B763" s="32"/>
      <c r="C763" s="33"/>
      <c r="D763" s="33"/>
    </row>
    <row r="764" spans="1:4" ht="15.75" customHeight="1">
      <c r="A764" s="24"/>
      <c r="B764" s="32"/>
      <c r="C764" s="33"/>
      <c r="D764" s="33"/>
    </row>
    <row r="765" spans="1:4" ht="15.75" customHeight="1">
      <c r="A765" s="24"/>
      <c r="B765" s="32"/>
      <c r="C765" s="33"/>
      <c r="D765" s="33"/>
    </row>
    <row r="766" spans="1:4" ht="15.75" customHeight="1">
      <c r="A766" s="24"/>
      <c r="B766" s="32"/>
      <c r="C766" s="33"/>
      <c r="D766" s="33"/>
    </row>
    <row r="767" spans="1:4" ht="15.75" customHeight="1">
      <c r="A767" s="24"/>
      <c r="B767" s="32"/>
      <c r="C767" s="33"/>
      <c r="D767" s="33"/>
    </row>
    <row r="768" spans="1:4" ht="15.75" customHeight="1">
      <c r="A768" s="24"/>
      <c r="B768" s="32"/>
      <c r="C768" s="33"/>
      <c r="D768" s="33"/>
    </row>
    <row r="769" spans="1:4" ht="15.75" customHeight="1">
      <c r="A769" s="24"/>
      <c r="B769" s="32"/>
      <c r="C769" s="33"/>
      <c r="D769" s="33"/>
    </row>
    <row r="770" spans="1:4" ht="15.75" customHeight="1">
      <c r="A770" s="24"/>
      <c r="B770" s="32"/>
      <c r="C770" s="33"/>
      <c r="D770" s="33"/>
    </row>
    <row r="771" spans="1:4" ht="15.75" customHeight="1">
      <c r="A771" s="24"/>
      <c r="B771" s="32"/>
      <c r="C771" s="33"/>
      <c r="D771" s="33"/>
    </row>
    <row r="772" spans="1:4" ht="15.75" customHeight="1">
      <c r="A772" s="24"/>
      <c r="B772" s="32"/>
      <c r="C772" s="33"/>
      <c r="D772" s="33"/>
    </row>
    <row r="773" spans="1:4" ht="15.75" customHeight="1">
      <c r="A773" s="24"/>
      <c r="B773" s="32"/>
      <c r="C773" s="33"/>
      <c r="D773" s="33"/>
    </row>
    <row r="774" spans="1:4" ht="15.75" customHeight="1">
      <c r="A774" s="24"/>
      <c r="B774" s="32"/>
      <c r="C774" s="33"/>
      <c r="D774" s="33"/>
    </row>
    <row r="775" spans="1:4" ht="15.75" customHeight="1">
      <c r="A775" s="24"/>
      <c r="B775" s="32"/>
      <c r="C775" s="33"/>
      <c r="D775" s="33"/>
    </row>
    <row r="776" spans="1:4" ht="15.75" customHeight="1">
      <c r="A776" s="24"/>
      <c r="B776" s="32"/>
      <c r="C776" s="33"/>
      <c r="D776" s="33"/>
    </row>
    <row r="777" spans="1:4" ht="15.75" customHeight="1">
      <c r="A777" s="24"/>
      <c r="B777" s="32"/>
      <c r="C777" s="33"/>
      <c r="D777" s="33"/>
    </row>
    <row r="778" spans="1:4" ht="15.75" customHeight="1">
      <c r="A778" s="24"/>
      <c r="B778" s="32"/>
      <c r="C778" s="33"/>
      <c r="D778" s="33"/>
    </row>
    <row r="779" spans="1:4" ht="15.75" customHeight="1">
      <c r="A779" s="24"/>
      <c r="B779" s="32"/>
      <c r="C779" s="33"/>
      <c r="D779" s="33"/>
    </row>
    <row r="780" spans="1:4" ht="15.75" customHeight="1">
      <c r="A780" s="24"/>
      <c r="B780" s="32"/>
      <c r="C780" s="33"/>
      <c r="D780" s="33"/>
    </row>
    <row r="781" spans="1:4" ht="15.75" customHeight="1">
      <c r="A781" s="24"/>
      <c r="B781" s="32"/>
      <c r="C781" s="33"/>
      <c r="D781" s="33"/>
    </row>
    <row r="782" spans="1:4" ht="15.75" customHeight="1">
      <c r="A782" s="24"/>
      <c r="B782" s="32"/>
      <c r="C782" s="33"/>
      <c r="D782" s="33"/>
    </row>
    <row r="783" spans="1:4" ht="15.75" customHeight="1">
      <c r="A783" s="24"/>
      <c r="B783" s="32"/>
      <c r="C783" s="33"/>
      <c r="D783" s="33"/>
    </row>
    <row r="784" spans="1:4" ht="15.75" customHeight="1">
      <c r="A784" s="24"/>
      <c r="B784" s="32"/>
      <c r="C784" s="33"/>
      <c r="D784" s="33"/>
    </row>
    <row r="785" spans="1:4" ht="15.75" customHeight="1">
      <c r="A785" s="24"/>
      <c r="B785" s="32"/>
      <c r="C785" s="33"/>
      <c r="D785" s="33"/>
    </row>
    <row r="786" spans="1:4" ht="15.75" customHeight="1">
      <c r="A786" s="24"/>
      <c r="B786" s="32"/>
      <c r="C786" s="33"/>
      <c r="D786" s="33"/>
    </row>
    <row r="787" spans="1:4" ht="15.75" customHeight="1">
      <c r="A787" s="24"/>
      <c r="B787" s="32"/>
      <c r="C787" s="33"/>
      <c r="D787" s="33"/>
    </row>
    <row r="788" spans="1:4" ht="15.75" customHeight="1">
      <c r="A788" s="24"/>
      <c r="B788" s="32"/>
      <c r="C788" s="33"/>
      <c r="D788" s="33"/>
    </row>
    <row r="789" spans="1:4" ht="15.75" customHeight="1">
      <c r="A789" s="24"/>
      <c r="B789" s="32"/>
      <c r="C789" s="33"/>
      <c r="D789" s="33"/>
    </row>
    <row r="790" spans="1:4" ht="15.75" customHeight="1">
      <c r="A790" s="24"/>
      <c r="B790" s="32"/>
      <c r="C790" s="33"/>
      <c r="D790" s="33"/>
    </row>
    <row r="791" spans="1:4" ht="15.75" customHeight="1">
      <c r="A791" s="24"/>
      <c r="B791" s="32"/>
      <c r="C791" s="33"/>
      <c r="D791" s="33"/>
    </row>
    <row r="792" spans="1:4" ht="15.75" customHeight="1">
      <c r="A792" s="24"/>
      <c r="B792" s="32"/>
      <c r="C792" s="33"/>
      <c r="D792" s="33"/>
    </row>
    <row r="793" spans="1:4" ht="15.75" customHeight="1">
      <c r="A793" s="24"/>
      <c r="B793" s="32"/>
      <c r="C793" s="33"/>
      <c r="D793" s="33"/>
    </row>
    <row r="794" spans="1:4" ht="15.75" customHeight="1">
      <c r="A794" s="24"/>
      <c r="B794" s="32"/>
      <c r="C794" s="33"/>
      <c r="D794" s="33"/>
    </row>
    <row r="795" spans="1:4" ht="15.75" customHeight="1">
      <c r="A795" s="24"/>
      <c r="B795" s="32"/>
      <c r="C795" s="33"/>
      <c r="D795" s="33"/>
    </row>
    <row r="796" spans="1:4" ht="15.75" customHeight="1">
      <c r="A796" s="24"/>
      <c r="B796" s="32"/>
      <c r="C796" s="33"/>
      <c r="D796" s="33"/>
    </row>
    <row r="797" spans="1:4" ht="15.75" customHeight="1">
      <c r="A797" s="24"/>
      <c r="B797" s="32"/>
      <c r="C797" s="33"/>
      <c r="D797" s="33"/>
    </row>
    <row r="798" spans="1:4" ht="15.75" customHeight="1">
      <c r="A798" s="24"/>
      <c r="B798" s="32"/>
      <c r="C798" s="33"/>
      <c r="D798" s="33"/>
    </row>
    <row r="799" spans="1:4" ht="15.75" customHeight="1">
      <c r="A799" s="24"/>
      <c r="B799" s="32"/>
      <c r="C799" s="33"/>
      <c r="D799" s="33"/>
    </row>
    <row r="800" spans="1:4" ht="15.75" customHeight="1">
      <c r="A800" s="24"/>
      <c r="B800" s="32"/>
      <c r="C800" s="33"/>
      <c r="D800" s="33"/>
    </row>
    <row r="801" spans="1:4" ht="15.75" customHeight="1">
      <c r="A801" s="24"/>
      <c r="B801" s="32"/>
      <c r="C801" s="33"/>
      <c r="D801" s="33"/>
    </row>
    <row r="802" spans="1:4" ht="15.75" customHeight="1">
      <c r="A802" s="24"/>
      <c r="B802" s="32"/>
      <c r="C802" s="33"/>
      <c r="D802" s="33"/>
    </row>
    <row r="803" spans="1:4" ht="15.75" customHeight="1">
      <c r="A803" s="24"/>
      <c r="B803" s="32"/>
      <c r="C803" s="33"/>
      <c r="D803" s="33"/>
    </row>
    <row r="804" spans="1:4" ht="15.75" customHeight="1">
      <c r="A804" s="24"/>
      <c r="B804" s="32"/>
      <c r="C804" s="33"/>
      <c r="D804" s="33"/>
    </row>
    <row r="805" spans="1:4" ht="15.75" customHeight="1">
      <c r="A805" s="24"/>
      <c r="B805" s="32"/>
      <c r="C805" s="33"/>
      <c r="D805" s="33"/>
    </row>
    <row r="806" spans="1:4" ht="15.75" customHeight="1">
      <c r="A806" s="24"/>
      <c r="B806" s="32"/>
      <c r="C806" s="33"/>
      <c r="D806" s="33"/>
    </row>
    <row r="807" spans="1:4" ht="15.75" customHeight="1">
      <c r="A807" s="24"/>
      <c r="B807" s="32"/>
      <c r="C807" s="33"/>
      <c r="D807" s="33"/>
    </row>
    <row r="808" spans="1:4" ht="15.75" customHeight="1">
      <c r="A808" s="24"/>
      <c r="B808" s="32"/>
      <c r="C808" s="33"/>
      <c r="D808" s="33"/>
    </row>
    <row r="809" spans="1:4" ht="15.75" customHeight="1">
      <c r="A809" s="24"/>
      <c r="B809" s="32"/>
      <c r="C809" s="33"/>
      <c r="D809" s="33"/>
    </row>
    <row r="810" spans="1:4" ht="15.75" customHeight="1">
      <c r="A810" s="24"/>
      <c r="B810" s="32"/>
      <c r="C810" s="33"/>
      <c r="D810" s="33"/>
    </row>
    <row r="811" spans="1:4" ht="15.75" customHeight="1">
      <c r="A811" s="24"/>
      <c r="B811" s="32"/>
      <c r="C811" s="33"/>
      <c r="D811" s="33"/>
    </row>
    <row r="812" spans="1:4" ht="15.75" customHeight="1">
      <c r="A812" s="24"/>
      <c r="B812" s="32"/>
      <c r="C812" s="33"/>
      <c r="D812" s="33"/>
    </row>
    <row r="813" spans="1:4" ht="15.75" customHeight="1">
      <c r="A813" s="24"/>
      <c r="B813" s="32"/>
      <c r="C813" s="33"/>
      <c r="D813" s="33"/>
    </row>
    <row r="814" spans="1:4" ht="15.75" customHeight="1">
      <c r="A814" s="24"/>
      <c r="B814" s="32"/>
      <c r="C814" s="33"/>
      <c r="D814" s="33"/>
    </row>
    <row r="815" spans="1:4" ht="15.75" customHeight="1">
      <c r="A815" s="24"/>
      <c r="B815" s="32"/>
      <c r="C815" s="33"/>
      <c r="D815" s="33"/>
    </row>
    <row r="816" spans="1:4" ht="15.75" customHeight="1">
      <c r="A816" s="24"/>
      <c r="B816" s="32"/>
      <c r="C816" s="33"/>
      <c r="D816" s="33"/>
    </row>
    <row r="817" spans="1:4" ht="15.75" customHeight="1">
      <c r="A817" s="24"/>
      <c r="B817" s="32"/>
      <c r="C817" s="33"/>
      <c r="D817" s="33"/>
    </row>
    <row r="818" spans="1:4" ht="15.75" customHeight="1">
      <c r="A818" s="24"/>
      <c r="B818" s="32"/>
      <c r="C818" s="33"/>
      <c r="D818" s="33"/>
    </row>
    <row r="819" spans="1:4" ht="15.75" customHeight="1">
      <c r="A819" s="24"/>
      <c r="B819" s="32"/>
      <c r="C819" s="33"/>
      <c r="D819" s="33"/>
    </row>
    <row r="820" spans="1:4" ht="15.75" customHeight="1">
      <c r="A820" s="24"/>
      <c r="B820" s="32"/>
      <c r="C820" s="33"/>
      <c r="D820" s="33"/>
    </row>
    <row r="821" spans="1:4" ht="15.75" customHeight="1">
      <c r="A821" s="24"/>
      <c r="B821" s="32"/>
      <c r="C821" s="33"/>
      <c r="D821" s="33"/>
    </row>
    <row r="822" spans="1:4" ht="15.75" customHeight="1">
      <c r="A822" s="24"/>
      <c r="B822" s="32"/>
      <c r="C822" s="33"/>
      <c r="D822" s="33"/>
    </row>
    <row r="823" spans="1:4" ht="15.75" customHeight="1">
      <c r="A823" s="24"/>
      <c r="B823" s="32"/>
      <c r="C823" s="33"/>
      <c r="D823" s="33"/>
    </row>
    <row r="824" spans="1:4" ht="15.75" customHeight="1">
      <c r="A824" s="24"/>
      <c r="B824" s="32"/>
      <c r="C824" s="33"/>
      <c r="D824" s="33"/>
    </row>
    <row r="825" spans="1:4" ht="15.75" customHeight="1">
      <c r="A825" s="24"/>
      <c r="B825" s="32"/>
      <c r="C825" s="33"/>
      <c r="D825" s="33"/>
    </row>
    <row r="826" spans="1:4" ht="15.75" customHeight="1">
      <c r="A826" s="24"/>
      <c r="B826" s="32"/>
      <c r="C826" s="33"/>
      <c r="D826" s="33"/>
    </row>
    <row r="827" spans="1:4" ht="15.75" customHeight="1">
      <c r="A827" s="24"/>
      <c r="B827" s="32"/>
      <c r="C827" s="33"/>
      <c r="D827" s="33"/>
    </row>
    <row r="828" spans="1:4" ht="15.75" customHeight="1">
      <c r="A828" s="24"/>
      <c r="B828" s="32"/>
      <c r="C828" s="33"/>
      <c r="D828" s="33"/>
    </row>
    <row r="829" spans="1:4" ht="15.75" customHeight="1">
      <c r="A829" s="24"/>
      <c r="B829" s="32"/>
      <c r="C829" s="33"/>
      <c r="D829" s="33"/>
    </row>
    <row r="830" spans="1:4" ht="15.75" customHeight="1">
      <c r="A830" s="24"/>
      <c r="B830" s="32"/>
      <c r="C830" s="33"/>
      <c r="D830" s="33"/>
    </row>
    <row r="831" spans="1:4" ht="15.75" customHeight="1">
      <c r="A831" s="24"/>
      <c r="B831" s="32"/>
      <c r="C831" s="33"/>
      <c r="D831" s="33"/>
    </row>
    <row r="832" spans="1:4" ht="15.75" customHeight="1">
      <c r="A832" s="24"/>
      <c r="B832" s="32"/>
      <c r="C832" s="33"/>
      <c r="D832" s="33"/>
    </row>
    <row r="833" spans="1:4" ht="15.75" customHeight="1">
      <c r="A833" s="24"/>
      <c r="B833" s="32"/>
      <c r="C833" s="33"/>
      <c r="D833" s="33"/>
    </row>
    <row r="834" spans="1:4" ht="15.75" customHeight="1">
      <c r="A834" s="24"/>
      <c r="B834" s="32"/>
      <c r="C834" s="33"/>
      <c r="D834" s="33"/>
    </row>
    <row r="835" spans="1:4" ht="15.75" customHeight="1">
      <c r="A835" s="24"/>
      <c r="B835" s="32"/>
      <c r="C835" s="33"/>
      <c r="D835" s="33"/>
    </row>
    <row r="836" spans="1:4" ht="15.75" customHeight="1">
      <c r="A836" s="24"/>
      <c r="B836" s="32"/>
      <c r="C836" s="33"/>
      <c r="D836" s="33"/>
    </row>
    <row r="837" spans="1:4" ht="15.75" customHeight="1">
      <c r="A837" s="24"/>
      <c r="B837" s="32"/>
      <c r="C837" s="33"/>
      <c r="D837" s="33"/>
    </row>
    <row r="838" spans="1:4" ht="15.75" customHeight="1">
      <c r="A838" s="24"/>
      <c r="B838" s="32"/>
      <c r="C838" s="33"/>
      <c r="D838" s="33"/>
    </row>
    <row r="839" spans="1:4" ht="15.75" customHeight="1">
      <c r="A839" s="24"/>
      <c r="B839" s="32"/>
      <c r="C839" s="33"/>
      <c r="D839" s="33"/>
    </row>
    <row r="840" spans="1:4" ht="15.75" customHeight="1">
      <c r="A840" s="24"/>
      <c r="B840" s="32"/>
      <c r="C840" s="33"/>
      <c r="D840" s="33"/>
    </row>
    <row r="841" spans="1:4" ht="15.75" customHeight="1">
      <c r="A841" s="24"/>
      <c r="B841" s="32"/>
      <c r="C841" s="33"/>
      <c r="D841" s="33"/>
    </row>
    <row r="842" spans="1:4" ht="15.75" customHeight="1">
      <c r="A842" s="24"/>
      <c r="B842" s="32"/>
      <c r="C842" s="33"/>
      <c r="D842" s="33"/>
    </row>
    <row r="843" spans="1:4" ht="15.75" customHeight="1">
      <c r="A843" s="24"/>
      <c r="B843" s="32"/>
      <c r="C843" s="33"/>
      <c r="D843" s="33"/>
    </row>
    <row r="844" spans="1:4" ht="15.75" customHeight="1">
      <c r="A844" s="24"/>
      <c r="B844" s="32"/>
      <c r="C844" s="33"/>
      <c r="D844" s="33"/>
    </row>
    <row r="845" spans="1:4" ht="15.75" customHeight="1">
      <c r="A845" s="24"/>
      <c r="B845" s="32"/>
      <c r="C845" s="33"/>
      <c r="D845" s="33"/>
    </row>
    <row r="846" spans="1:4" ht="15.75" customHeight="1">
      <c r="A846" s="24"/>
      <c r="B846" s="32"/>
      <c r="C846" s="33"/>
      <c r="D846" s="33"/>
    </row>
    <row r="847" spans="1:4" ht="15.75" customHeight="1">
      <c r="A847" s="24"/>
      <c r="B847" s="32"/>
      <c r="C847" s="33"/>
      <c r="D847" s="33"/>
    </row>
    <row r="848" spans="1:4" ht="15.75" customHeight="1">
      <c r="A848" s="24"/>
      <c r="B848" s="32"/>
      <c r="C848" s="33"/>
      <c r="D848" s="33"/>
    </row>
    <row r="849" spans="1:4" ht="15.75" customHeight="1">
      <c r="A849" s="24"/>
      <c r="B849" s="32"/>
      <c r="C849" s="33"/>
      <c r="D849" s="33"/>
    </row>
    <row r="850" spans="1:4" ht="15.75" customHeight="1">
      <c r="A850" s="24"/>
      <c r="B850" s="32"/>
      <c r="C850" s="33"/>
      <c r="D850" s="33"/>
    </row>
    <row r="851" spans="1:4" ht="15.75" customHeight="1">
      <c r="A851" s="24"/>
      <c r="B851" s="32"/>
      <c r="C851" s="33"/>
      <c r="D851" s="33"/>
    </row>
    <row r="852" spans="1:4" ht="15.75" customHeight="1">
      <c r="A852" s="24"/>
      <c r="B852" s="32"/>
      <c r="C852" s="33"/>
      <c r="D852" s="33"/>
    </row>
    <row r="853" spans="1:4" ht="15.75" customHeight="1">
      <c r="A853" s="24"/>
      <c r="B853" s="32"/>
      <c r="C853" s="33"/>
      <c r="D853" s="33"/>
    </row>
    <row r="854" spans="1:4" ht="15.75" customHeight="1">
      <c r="A854" s="24"/>
      <c r="B854" s="32"/>
      <c r="C854" s="33"/>
      <c r="D854" s="33"/>
    </row>
    <row r="855" spans="1:4" ht="15.75" customHeight="1">
      <c r="A855" s="24"/>
      <c r="B855" s="32"/>
      <c r="C855" s="33"/>
      <c r="D855" s="33"/>
    </row>
    <row r="856" spans="1:4" ht="15.75" customHeight="1">
      <c r="A856" s="24"/>
      <c r="B856" s="32"/>
      <c r="C856" s="33"/>
      <c r="D856" s="33"/>
    </row>
    <row r="857" spans="1:4" ht="15.75" customHeight="1">
      <c r="A857" s="24"/>
      <c r="B857" s="32"/>
      <c r="C857" s="33"/>
      <c r="D857" s="33"/>
    </row>
    <row r="858" spans="1:4" ht="15.75" customHeight="1">
      <c r="A858" s="24"/>
      <c r="B858" s="32"/>
      <c r="C858" s="33"/>
      <c r="D858" s="33"/>
    </row>
    <row r="859" spans="1:4" ht="15.75" customHeight="1">
      <c r="A859" s="24"/>
      <c r="B859" s="32"/>
      <c r="C859" s="33"/>
      <c r="D859" s="33"/>
    </row>
    <row r="860" spans="1:4" ht="15.75" customHeight="1">
      <c r="A860" s="24"/>
      <c r="B860" s="32"/>
      <c r="C860" s="33"/>
      <c r="D860" s="33"/>
    </row>
    <row r="861" spans="1:4" ht="15.75" customHeight="1">
      <c r="A861" s="24"/>
      <c r="B861" s="32"/>
      <c r="C861" s="33"/>
      <c r="D861" s="33"/>
    </row>
    <row r="862" spans="1:4" ht="15.75" customHeight="1">
      <c r="A862" s="24"/>
      <c r="B862" s="32"/>
      <c r="C862" s="33"/>
      <c r="D862" s="33"/>
    </row>
    <row r="863" spans="1:4" ht="15.75" customHeight="1">
      <c r="A863" s="24"/>
      <c r="B863" s="32"/>
      <c r="C863" s="33"/>
      <c r="D863" s="33"/>
    </row>
    <row r="864" spans="1:4" ht="15.75" customHeight="1">
      <c r="A864" s="24"/>
      <c r="B864" s="32"/>
      <c r="C864" s="33"/>
      <c r="D864" s="33"/>
    </row>
    <row r="865" spans="1:4" ht="15.75" customHeight="1">
      <c r="A865" s="24"/>
      <c r="B865" s="32"/>
      <c r="C865" s="33"/>
      <c r="D865" s="33"/>
    </row>
    <row r="866" spans="1:4" ht="15.75" customHeight="1">
      <c r="A866" s="24"/>
      <c r="B866" s="32"/>
      <c r="C866" s="33"/>
      <c r="D866" s="33"/>
    </row>
    <row r="867" spans="1:4" ht="15.75" customHeight="1">
      <c r="A867" s="24"/>
      <c r="B867" s="32"/>
      <c r="C867" s="33"/>
      <c r="D867" s="33"/>
    </row>
    <row r="868" spans="1:4" ht="15.75" customHeight="1">
      <c r="A868" s="24"/>
      <c r="B868" s="32"/>
      <c r="C868" s="33"/>
      <c r="D868" s="33"/>
    </row>
    <row r="869" spans="1:4" ht="15.75" customHeight="1">
      <c r="A869" s="24"/>
      <c r="B869" s="32"/>
      <c r="C869" s="33"/>
      <c r="D869" s="33"/>
    </row>
    <row r="870" spans="1:4" ht="15.75" customHeight="1">
      <c r="A870" s="24"/>
      <c r="B870" s="32"/>
      <c r="C870" s="33"/>
      <c r="D870" s="33"/>
    </row>
    <row r="871" spans="1:4" ht="15.75" customHeight="1">
      <c r="A871" s="24"/>
      <c r="B871" s="32"/>
      <c r="C871" s="33"/>
      <c r="D871" s="33"/>
    </row>
    <row r="872" spans="1:4" ht="15.75" customHeight="1">
      <c r="A872" s="24"/>
      <c r="B872" s="32"/>
      <c r="C872" s="33"/>
      <c r="D872" s="33"/>
    </row>
    <row r="873" spans="1:4" ht="15.75" customHeight="1">
      <c r="A873" s="24"/>
      <c r="B873" s="32"/>
      <c r="C873" s="33"/>
      <c r="D873" s="33"/>
    </row>
    <row r="874" spans="1:4" ht="15.75" customHeight="1">
      <c r="A874" s="24"/>
      <c r="B874" s="32"/>
      <c r="C874" s="33"/>
      <c r="D874" s="33"/>
    </row>
    <row r="875" spans="1:4" ht="15.75" customHeight="1">
      <c r="A875" s="24"/>
      <c r="B875" s="32"/>
      <c r="C875" s="33"/>
      <c r="D875" s="33"/>
    </row>
    <row r="876" spans="1:4" ht="15.75" customHeight="1">
      <c r="A876" s="24"/>
      <c r="B876" s="32"/>
      <c r="C876" s="33"/>
      <c r="D876" s="33"/>
    </row>
    <row r="877" spans="1:4" ht="15.75" customHeight="1">
      <c r="A877" s="24"/>
      <c r="B877" s="32"/>
      <c r="C877" s="33"/>
      <c r="D877" s="33"/>
    </row>
    <row r="878" spans="1:4" ht="15.75" customHeight="1">
      <c r="A878" s="24"/>
      <c r="B878" s="32"/>
      <c r="C878" s="33"/>
      <c r="D878" s="33"/>
    </row>
    <row r="879" spans="1:4" ht="15.75" customHeight="1">
      <c r="A879" s="24"/>
      <c r="B879" s="32"/>
      <c r="C879" s="33"/>
      <c r="D879" s="33"/>
    </row>
    <row r="880" spans="1:4" ht="15.75" customHeight="1">
      <c r="A880" s="24"/>
      <c r="B880" s="32"/>
      <c r="C880" s="33"/>
      <c r="D880" s="33"/>
    </row>
    <row r="881" spans="1:4" ht="15.75" customHeight="1">
      <c r="A881" s="24"/>
      <c r="B881" s="32"/>
      <c r="C881" s="33"/>
      <c r="D881" s="33"/>
    </row>
    <row r="882" spans="1:4" ht="15.75" customHeight="1">
      <c r="A882" s="24"/>
      <c r="B882" s="32"/>
      <c r="C882" s="33"/>
      <c r="D882" s="33"/>
    </row>
    <row r="883" spans="1:4" ht="15.75" customHeight="1">
      <c r="A883" s="24"/>
      <c r="B883" s="32"/>
      <c r="C883" s="33"/>
      <c r="D883" s="33"/>
    </row>
    <row r="884" spans="1:4" ht="15.75" customHeight="1">
      <c r="A884" s="24"/>
      <c r="B884" s="32"/>
      <c r="C884" s="33"/>
      <c r="D884" s="33"/>
    </row>
    <row r="885" spans="1:4" ht="15.75" customHeight="1">
      <c r="A885" s="24"/>
      <c r="B885" s="32"/>
      <c r="C885" s="33"/>
      <c r="D885" s="33"/>
    </row>
    <row r="886" spans="1:4" ht="15.75" customHeight="1">
      <c r="A886" s="24"/>
      <c r="B886" s="32"/>
      <c r="C886" s="33"/>
      <c r="D886" s="33"/>
    </row>
    <row r="887" spans="1:4" ht="15.75" customHeight="1">
      <c r="A887" s="24"/>
      <c r="B887" s="32"/>
      <c r="C887" s="33"/>
      <c r="D887" s="33"/>
    </row>
    <row r="888" spans="1:4" ht="15.75" customHeight="1">
      <c r="A888" s="24"/>
      <c r="B888" s="32"/>
      <c r="C888" s="33"/>
      <c r="D888" s="33"/>
    </row>
    <row r="889" spans="1:4" ht="15.75" customHeight="1">
      <c r="A889" s="24"/>
      <c r="B889" s="32"/>
      <c r="C889" s="33"/>
      <c r="D889" s="33"/>
    </row>
    <row r="890" spans="1:4" ht="15.75" customHeight="1">
      <c r="A890" s="24"/>
      <c r="B890" s="32"/>
      <c r="C890" s="33"/>
      <c r="D890" s="33"/>
    </row>
    <row r="891" spans="1:4" ht="15.75" customHeight="1">
      <c r="A891" s="24"/>
      <c r="B891" s="32"/>
      <c r="C891" s="33"/>
      <c r="D891" s="33"/>
    </row>
    <row r="892" spans="1:4" ht="15.75" customHeight="1">
      <c r="A892" s="24"/>
      <c r="B892" s="32"/>
      <c r="C892" s="33"/>
      <c r="D892" s="33"/>
    </row>
    <row r="893" spans="1:4" ht="15.75" customHeight="1">
      <c r="A893" s="24"/>
      <c r="B893" s="32"/>
      <c r="C893" s="33"/>
      <c r="D893" s="33"/>
    </row>
    <row r="894" spans="1:4" ht="15.75" customHeight="1">
      <c r="A894" s="24"/>
      <c r="B894" s="32"/>
      <c r="C894" s="33"/>
      <c r="D894" s="33"/>
    </row>
    <row r="895" spans="1:4" ht="15.75" customHeight="1">
      <c r="A895" s="24"/>
      <c r="B895" s="32"/>
      <c r="C895" s="33"/>
      <c r="D895" s="33"/>
    </row>
    <row r="896" spans="1:4" ht="15.75" customHeight="1">
      <c r="A896" s="24"/>
      <c r="B896" s="32"/>
      <c r="C896" s="33"/>
      <c r="D896" s="33"/>
    </row>
    <row r="897" spans="1:4" ht="15.75" customHeight="1">
      <c r="A897" s="24"/>
      <c r="B897" s="32"/>
      <c r="C897" s="33"/>
      <c r="D897" s="33"/>
    </row>
    <row r="898" spans="1:4" ht="15.75" customHeight="1">
      <c r="A898" s="24"/>
      <c r="B898" s="32"/>
      <c r="C898" s="33"/>
      <c r="D898" s="33"/>
    </row>
    <row r="899" spans="1:4" ht="15.75" customHeight="1">
      <c r="A899" s="24"/>
      <c r="B899" s="32"/>
      <c r="C899" s="33"/>
      <c r="D899" s="33"/>
    </row>
    <row r="900" spans="1:4" ht="15.75" customHeight="1">
      <c r="A900" s="24"/>
      <c r="B900" s="32"/>
      <c r="C900" s="33"/>
      <c r="D900" s="33"/>
    </row>
    <row r="901" spans="1:4" ht="15.75" customHeight="1">
      <c r="A901" s="24"/>
      <c r="B901" s="32"/>
      <c r="C901" s="33"/>
      <c r="D901" s="33"/>
    </row>
    <row r="902" spans="1:4" ht="15.75" customHeight="1">
      <c r="A902" s="24"/>
      <c r="B902" s="32"/>
      <c r="C902" s="33"/>
      <c r="D902" s="33"/>
    </row>
    <row r="903" spans="1:4" ht="15.75" customHeight="1">
      <c r="A903" s="24"/>
      <c r="B903" s="32"/>
      <c r="C903" s="33"/>
      <c r="D903" s="33"/>
    </row>
    <row r="904" spans="1:4" ht="15.75" customHeight="1">
      <c r="A904" s="24"/>
      <c r="B904" s="32"/>
      <c r="C904" s="33"/>
      <c r="D904" s="33"/>
    </row>
    <row r="905" spans="1:4" ht="15.75" customHeight="1">
      <c r="A905" s="24"/>
      <c r="B905" s="32"/>
      <c r="C905" s="33"/>
      <c r="D905" s="33"/>
    </row>
    <row r="906" spans="1:4" ht="15.75" customHeight="1">
      <c r="A906" s="24"/>
      <c r="B906" s="32"/>
      <c r="C906" s="33"/>
      <c r="D906" s="33"/>
    </row>
    <row r="907" spans="1:4" ht="15.75" customHeight="1">
      <c r="A907" s="24"/>
      <c r="B907" s="32"/>
      <c r="C907" s="33"/>
      <c r="D907" s="33"/>
    </row>
    <row r="908" spans="1:4" ht="15.75" customHeight="1">
      <c r="A908" s="24"/>
      <c r="B908" s="32"/>
      <c r="C908" s="33"/>
      <c r="D908" s="33"/>
    </row>
    <row r="909" spans="1:4" ht="15.75" customHeight="1">
      <c r="A909" s="24"/>
      <c r="B909" s="32"/>
      <c r="C909" s="33"/>
      <c r="D909" s="33"/>
    </row>
    <row r="910" spans="1:4" ht="15.75" customHeight="1">
      <c r="A910" s="24"/>
      <c r="B910" s="32"/>
      <c r="C910" s="33"/>
      <c r="D910" s="33"/>
    </row>
    <row r="911" spans="1:4" ht="15.75" customHeight="1">
      <c r="A911" s="24"/>
      <c r="B911" s="32"/>
      <c r="C911" s="33"/>
      <c r="D911" s="33"/>
    </row>
    <row r="912" spans="1:4" ht="15.75" customHeight="1">
      <c r="A912" s="24"/>
      <c r="B912" s="32"/>
      <c r="C912" s="33"/>
      <c r="D912" s="33"/>
    </row>
    <row r="913" spans="1:4" ht="15.75" customHeight="1">
      <c r="A913" s="24"/>
      <c r="B913" s="32"/>
      <c r="C913" s="33"/>
      <c r="D913" s="33"/>
    </row>
    <row r="914" spans="1:4" ht="15.75" customHeight="1">
      <c r="A914" s="24"/>
      <c r="B914" s="32"/>
      <c r="C914" s="33"/>
      <c r="D914" s="33"/>
    </row>
    <row r="915" spans="1:4" ht="15.75" customHeight="1">
      <c r="A915" s="24"/>
      <c r="B915" s="32"/>
      <c r="C915" s="33"/>
      <c r="D915" s="33"/>
    </row>
    <row r="916" spans="1:4" ht="15.75" customHeight="1">
      <c r="A916" s="24"/>
      <c r="B916" s="32"/>
      <c r="C916" s="33"/>
      <c r="D916" s="33"/>
    </row>
    <row r="917" spans="1:4" ht="15.75" customHeight="1">
      <c r="A917" s="24"/>
      <c r="B917" s="32"/>
      <c r="C917" s="33"/>
      <c r="D917" s="33"/>
    </row>
    <row r="918" spans="1:4" ht="15.75" customHeight="1">
      <c r="A918" s="24"/>
      <c r="B918" s="32"/>
      <c r="C918" s="33"/>
      <c r="D918" s="33"/>
    </row>
    <row r="919" spans="1:4" ht="15.75" customHeight="1">
      <c r="A919" s="24"/>
      <c r="B919" s="32"/>
      <c r="C919" s="33"/>
      <c r="D919" s="33"/>
    </row>
    <row r="920" spans="1:4" ht="15.75" customHeight="1">
      <c r="A920" s="24"/>
      <c r="B920" s="32"/>
      <c r="C920" s="33"/>
      <c r="D920" s="33"/>
    </row>
    <row r="921" spans="1:4" ht="15.75" customHeight="1">
      <c r="A921" s="24"/>
      <c r="B921" s="32"/>
      <c r="C921" s="33"/>
      <c r="D921" s="33"/>
    </row>
    <row r="922" spans="1:4" ht="15.75" customHeight="1">
      <c r="A922" s="24"/>
      <c r="B922" s="32"/>
      <c r="C922" s="33"/>
      <c r="D922" s="33"/>
    </row>
    <row r="923" spans="1:4" ht="15.75" customHeight="1">
      <c r="A923" s="24"/>
      <c r="B923" s="32"/>
      <c r="C923" s="33"/>
      <c r="D923" s="33"/>
    </row>
    <row r="924" spans="1:4" ht="15.75" customHeight="1">
      <c r="A924" s="24"/>
      <c r="B924" s="32"/>
      <c r="C924" s="33"/>
      <c r="D924" s="33"/>
    </row>
    <row r="925" spans="1:4" ht="15.75" customHeight="1">
      <c r="A925" s="24"/>
      <c r="B925" s="32"/>
      <c r="C925" s="33"/>
      <c r="D925" s="33"/>
    </row>
    <row r="926" spans="1:4" ht="15.75" customHeight="1">
      <c r="A926" s="24"/>
      <c r="B926" s="32"/>
      <c r="C926" s="33"/>
      <c r="D926" s="33"/>
    </row>
    <row r="927" spans="1:4" ht="15.75" customHeight="1">
      <c r="A927" s="24"/>
      <c r="B927" s="32"/>
      <c r="C927" s="33"/>
      <c r="D927" s="33"/>
    </row>
    <row r="928" spans="1:4" ht="15.75" customHeight="1">
      <c r="A928" s="24"/>
      <c r="B928" s="32"/>
      <c r="C928" s="33"/>
      <c r="D928" s="33"/>
    </row>
    <row r="929" spans="1:4" ht="15.75" customHeight="1">
      <c r="A929" s="24"/>
      <c r="B929" s="32"/>
      <c r="C929" s="33"/>
      <c r="D929" s="33"/>
    </row>
    <row r="930" spans="1:4" ht="15.75" customHeight="1">
      <c r="A930" s="24"/>
      <c r="B930" s="32"/>
      <c r="C930" s="33"/>
      <c r="D930" s="33"/>
    </row>
    <row r="931" spans="1:4" ht="15.75" customHeight="1">
      <c r="A931" s="24"/>
      <c r="B931" s="32"/>
      <c r="C931" s="33"/>
      <c r="D931" s="33"/>
    </row>
    <row r="932" spans="1:4" ht="15.75" customHeight="1">
      <c r="A932" s="24"/>
      <c r="B932" s="32"/>
      <c r="C932" s="33"/>
      <c r="D932" s="33"/>
    </row>
    <row r="933" spans="1:4" ht="15.75" customHeight="1">
      <c r="A933" s="24"/>
      <c r="B933" s="32"/>
      <c r="C933" s="33"/>
      <c r="D933" s="33"/>
    </row>
    <row r="934" spans="1:4" ht="15.75" customHeight="1">
      <c r="A934" s="24"/>
      <c r="B934" s="32"/>
      <c r="C934" s="33"/>
      <c r="D934" s="33"/>
    </row>
    <row r="935" spans="1:4" ht="15.75" customHeight="1">
      <c r="A935" s="24"/>
      <c r="B935" s="32"/>
      <c r="C935" s="33"/>
      <c r="D935" s="33"/>
    </row>
    <row r="936" spans="1:4" ht="15.75" customHeight="1">
      <c r="A936" s="24"/>
      <c r="B936" s="32"/>
      <c r="C936" s="33"/>
      <c r="D936" s="33"/>
    </row>
    <row r="937" spans="1:4" ht="15.75" customHeight="1">
      <c r="A937" s="24"/>
      <c r="B937" s="32"/>
      <c r="C937" s="33"/>
      <c r="D937" s="33"/>
    </row>
    <row r="938" spans="1:4" ht="15.75" customHeight="1">
      <c r="A938" s="24"/>
      <c r="B938" s="32"/>
      <c r="C938" s="33"/>
      <c r="D938" s="33"/>
    </row>
    <row r="939" spans="1:4" ht="15.75" customHeight="1">
      <c r="A939" s="24"/>
      <c r="B939" s="32"/>
      <c r="C939" s="33"/>
      <c r="D939" s="33"/>
    </row>
    <row r="940" spans="1:4" ht="15.75" customHeight="1">
      <c r="A940" s="24"/>
      <c r="B940" s="32"/>
      <c r="C940" s="33"/>
      <c r="D940" s="33"/>
    </row>
    <row r="941" spans="1:4" ht="15.75" customHeight="1">
      <c r="A941" s="24"/>
      <c r="B941" s="32"/>
      <c r="C941" s="33"/>
      <c r="D941" s="33"/>
    </row>
    <row r="942" spans="1:4" ht="15.75" customHeight="1">
      <c r="A942" s="24"/>
      <c r="B942" s="32"/>
      <c r="C942" s="33"/>
      <c r="D942" s="33"/>
    </row>
    <row r="943" spans="1:4" ht="15.75" customHeight="1">
      <c r="A943" s="24"/>
      <c r="B943" s="32"/>
      <c r="C943" s="33"/>
      <c r="D943" s="33"/>
    </row>
    <row r="944" spans="1:4" ht="15.75" customHeight="1">
      <c r="A944" s="24"/>
      <c r="B944" s="32"/>
      <c r="C944" s="33"/>
      <c r="D944" s="33"/>
    </row>
    <row r="945" spans="1:4" ht="15.75" customHeight="1">
      <c r="A945" s="24"/>
      <c r="B945" s="32"/>
      <c r="C945" s="33"/>
      <c r="D945" s="33"/>
    </row>
    <row r="946" spans="1:4" ht="15.75" customHeight="1">
      <c r="A946" s="24"/>
      <c r="B946" s="32"/>
      <c r="C946" s="33"/>
      <c r="D946" s="33"/>
    </row>
    <row r="947" spans="1:4" ht="15.75" customHeight="1">
      <c r="A947" s="24"/>
      <c r="B947" s="32"/>
      <c r="C947" s="33"/>
      <c r="D947" s="33"/>
    </row>
    <row r="948" spans="1:4" ht="15.75" customHeight="1">
      <c r="A948" s="24"/>
      <c r="B948" s="32"/>
      <c r="C948" s="33"/>
      <c r="D948" s="33"/>
    </row>
    <row r="949" spans="1:4" ht="15.75" customHeight="1">
      <c r="A949" s="24"/>
      <c r="B949" s="32"/>
      <c r="C949" s="33"/>
      <c r="D949" s="33"/>
    </row>
    <row r="950" spans="1:4" ht="15.75" customHeight="1">
      <c r="A950" s="24"/>
      <c r="B950" s="32"/>
      <c r="C950" s="33"/>
      <c r="D950" s="33"/>
    </row>
    <row r="951" spans="1:4" ht="15.75" customHeight="1">
      <c r="A951" s="24"/>
      <c r="B951" s="32"/>
      <c r="C951" s="33"/>
      <c r="D951" s="33"/>
    </row>
    <row r="952" spans="1:4" ht="15.75" customHeight="1">
      <c r="A952" s="24"/>
      <c r="B952" s="32"/>
      <c r="C952" s="33"/>
      <c r="D952" s="33"/>
    </row>
    <row r="953" spans="1:4" ht="15.75" customHeight="1">
      <c r="A953" s="24"/>
      <c r="B953" s="32"/>
      <c r="C953" s="33"/>
      <c r="D953" s="33"/>
    </row>
    <row r="954" spans="1:4" ht="15.75" customHeight="1">
      <c r="A954" s="24"/>
      <c r="B954" s="32"/>
      <c r="C954" s="33"/>
      <c r="D954" s="33"/>
    </row>
    <row r="955" spans="1:4" ht="15.75" customHeight="1">
      <c r="A955" s="24"/>
      <c r="B955" s="32"/>
      <c r="C955" s="33"/>
      <c r="D955" s="33"/>
    </row>
    <row r="956" spans="1:4" ht="15.75" customHeight="1">
      <c r="A956" s="24"/>
      <c r="B956" s="32"/>
      <c r="C956" s="33"/>
      <c r="D956" s="33"/>
    </row>
    <row r="957" spans="1:4" ht="15.75" customHeight="1">
      <c r="A957" s="24"/>
      <c r="B957" s="32"/>
      <c r="C957" s="33"/>
      <c r="D957" s="33"/>
    </row>
    <row r="958" spans="1:4" ht="15.75" customHeight="1">
      <c r="A958" s="24"/>
      <c r="B958" s="32"/>
      <c r="C958" s="33"/>
      <c r="D958" s="33"/>
    </row>
    <row r="959" spans="1:4" ht="15.75" customHeight="1">
      <c r="A959" s="24"/>
      <c r="B959" s="32"/>
      <c r="C959" s="33"/>
      <c r="D959" s="33"/>
    </row>
    <row r="960" spans="1:4" ht="15.75" customHeight="1">
      <c r="A960" s="24"/>
      <c r="B960" s="32"/>
      <c r="C960" s="33"/>
      <c r="D960" s="33"/>
    </row>
    <row r="961" spans="1:4" ht="15.75" customHeight="1">
      <c r="A961" s="24"/>
      <c r="B961" s="32"/>
      <c r="C961" s="33"/>
      <c r="D961" s="33"/>
    </row>
    <row r="962" spans="1:4" ht="15.75" customHeight="1">
      <c r="A962" s="24"/>
      <c r="B962" s="32"/>
      <c r="C962" s="33"/>
      <c r="D962" s="33"/>
    </row>
    <row r="963" spans="1:4" ht="15.75" customHeight="1">
      <c r="A963" s="24"/>
      <c r="B963" s="32"/>
      <c r="C963" s="33"/>
      <c r="D963" s="33"/>
    </row>
    <row r="964" spans="1:4" ht="15.75" customHeight="1">
      <c r="A964" s="24"/>
      <c r="B964" s="32"/>
      <c r="C964" s="33"/>
      <c r="D964" s="33"/>
    </row>
    <row r="965" spans="1:4" ht="15.75" customHeight="1">
      <c r="A965" s="24"/>
      <c r="B965" s="32"/>
      <c r="C965" s="33"/>
      <c r="D965" s="33"/>
    </row>
    <row r="966" spans="1:4" ht="15.75" customHeight="1">
      <c r="A966" s="24"/>
      <c r="B966" s="32"/>
      <c r="C966" s="33"/>
      <c r="D966" s="33"/>
    </row>
    <row r="967" spans="1:4" ht="15.75" customHeight="1">
      <c r="A967" s="24"/>
      <c r="B967" s="32"/>
      <c r="C967" s="33"/>
      <c r="D967" s="33"/>
    </row>
    <row r="968" spans="1:4" ht="15.75" customHeight="1">
      <c r="A968" s="24"/>
      <c r="B968" s="32"/>
      <c r="C968" s="33"/>
      <c r="D968" s="33"/>
    </row>
    <row r="969" spans="1:4" ht="15.75" customHeight="1">
      <c r="A969" s="24"/>
      <c r="B969" s="32"/>
      <c r="C969" s="33"/>
      <c r="D969" s="33"/>
    </row>
    <row r="970" spans="1:4" ht="15.75" customHeight="1">
      <c r="A970" s="24"/>
      <c r="B970" s="32"/>
      <c r="C970" s="33"/>
      <c r="D970" s="33"/>
    </row>
    <row r="971" spans="1:4" ht="15.75" customHeight="1">
      <c r="A971" s="24"/>
      <c r="B971" s="32"/>
      <c r="C971" s="33"/>
      <c r="D971" s="33"/>
    </row>
    <row r="972" spans="1:4" ht="15.75" customHeight="1">
      <c r="A972" s="24"/>
      <c r="B972" s="32"/>
      <c r="C972" s="33"/>
      <c r="D972" s="33"/>
    </row>
    <row r="973" spans="1:4" ht="15.75" customHeight="1">
      <c r="A973" s="24"/>
      <c r="B973" s="32"/>
      <c r="C973" s="33"/>
      <c r="D973" s="33"/>
    </row>
    <row r="974" spans="1:4" ht="15.75" customHeight="1">
      <c r="A974" s="24"/>
      <c r="B974" s="32"/>
      <c r="C974" s="33"/>
      <c r="D974" s="33"/>
    </row>
    <row r="975" spans="1:4" ht="15.75" customHeight="1">
      <c r="A975" s="24"/>
      <c r="B975" s="32"/>
      <c r="C975" s="33"/>
      <c r="D975" s="33"/>
    </row>
    <row r="976" spans="1:4" ht="15.75" customHeight="1">
      <c r="A976" s="24"/>
      <c r="B976" s="32"/>
      <c r="C976" s="33"/>
      <c r="D976" s="33"/>
    </row>
    <row r="977" spans="1:4" ht="15.75" customHeight="1">
      <c r="A977" s="24"/>
      <c r="B977" s="32"/>
      <c r="C977" s="33"/>
      <c r="D977" s="33"/>
    </row>
    <row r="978" spans="1:4" ht="15.75" customHeight="1">
      <c r="A978" s="24"/>
      <c r="B978" s="32"/>
      <c r="C978" s="33"/>
      <c r="D978" s="33"/>
    </row>
    <row r="979" spans="1:4" ht="15.75" customHeight="1">
      <c r="A979" s="24"/>
      <c r="B979" s="32"/>
      <c r="C979" s="33"/>
      <c r="D979" s="33"/>
    </row>
    <row r="980" spans="1:4" ht="15.75" customHeight="1">
      <c r="A980" s="24"/>
      <c r="B980" s="32"/>
      <c r="C980" s="33"/>
      <c r="D980" s="33"/>
    </row>
    <row r="981" spans="1:4" ht="15.75" customHeight="1">
      <c r="A981" s="24"/>
      <c r="B981" s="32"/>
      <c r="C981" s="33"/>
      <c r="D981" s="33"/>
    </row>
    <row r="982" spans="1:4" ht="15.75" customHeight="1">
      <c r="A982" s="24"/>
      <c r="B982" s="32"/>
      <c r="C982" s="33"/>
      <c r="D982" s="33"/>
    </row>
    <row r="983" spans="1:4" ht="15.75" customHeight="1">
      <c r="A983" s="24"/>
      <c r="B983" s="32"/>
      <c r="C983" s="33"/>
      <c r="D983" s="33"/>
    </row>
    <row r="984" spans="1:4" ht="15.75" customHeight="1">
      <c r="A984" s="24"/>
      <c r="B984" s="32"/>
      <c r="C984" s="33"/>
      <c r="D984" s="33"/>
    </row>
    <row r="985" spans="1:4" ht="15.75" customHeight="1">
      <c r="A985" s="24"/>
      <c r="B985" s="32"/>
      <c r="C985" s="33"/>
      <c r="D985" s="33"/>
    </row>
    <row r="986" spans="1:4" ht="15.75" customHeight="1">
      <c r="A986" s="24"/>
      <c r="B986" s="32"/>
      <c r="C986" s="33"/>
      <c r="D986" s="33"/>
    </row>
    <row r="987" spans="1:4" ht="15.75" customHeight="1">
      <c r="A987" s="24"/>
      <c r="B987" s="32"/>
      <c r="C987" s="33"/>
      <c r="D987" s="33"/>
    </row>
    <row r="988" spans="1:4" ht="15.75" customHeight="1">
      <c r="A988" s="24"/>
      <c r="B988" s="32"/>
      <c r="C988" s="33"/>
      <c r="D988" s="33"/>
    </row>
    <row r="989" spans="1:4" ht="15.75" customHeight="1">
      <c r="A989" s="24"/>
      <c r="B989" s="32"/>
      <c r="C989" s="33"/>
      <c r="D989" s="33"/>
    </row>
    <row r="990" spans="1:4" ht="15.75" customHeight="1">
      <c r="A990" s="24"/>
      <c r="B990" s="32"/>
      <c r="C990" s="33"/>
      <c r="D990" s="33"/>
    </row>
    <row r="991" spans="1:4" ht="15.75" customHeight="1">
      <c r="A991" s="24"/>
      <c r="B991" s="32"/>
      <c r="C991" s="33"/>
      <c r="D991" s="33"/>
    </row>
    <row r="992" spans="1:4" ht="15.75" customHeight="1">
      <c r="A992" s="24"/>
      <c r="B992" s="32"/>
      <c r="C992" s="33"/>
      <c r="D992" s="33"/>
    </row>
    <row r="993" spans="1:4" ht="15.75" customHeight="1">
      <c r="A993" s="24"/>
      <c r="B993" s="32"/>
      <c r="C993" s="33"/>
      <c r="D993" s="33"/>
    </row>
    <row r="994" spans="1:4" ht="15.75" customHeight="1">
      <c r="A994" s="24"/>
      <c r="B994" s="32"/>
      <c r="C994" s="33"/>
      <c r="D994" s="33"/>
    </row>
    <row r="995" spans="1:4" ht="15.75" customHeight="1">
      <c r="A995" s="24"/>
      <c r="B995" s="32"/>
      <c r="C995" s="33"/>
      <c r="D995" s="33"/>
    </row>
    <row r="996" spans="1:4" ht="15.75" customHeight="1">
      <c r="A996" s="24"/>
      <c r="B996" s="32"/>
      <c r="C996" s="33"/>
      <c r="D996" s="33"/>
    </row>
    <row r="997" spans="1:4" ht="15.75" customHeight="1">
      <c r="A997" s="24"/>
      <c r="B997" s="32"/>
      <c r="C997" s="33"/>
      <c r="D997" s="33"/>
    </row>
    <row r="998" spans="1:4" ht="15.75" customHeight="1">
      <c r="A998" s="24"/>
      <c r="B998" s="32"/>
      <c r="C998" s="33"/>
      <c r="D998" s="33"/>
    </row>
    <row r="999" spans="1:4" ht="15.75" customHeight="1">
      <c r="A999" s="24"/>
      <c r="B999" s="32"/>
      <c r="C999" s="33"/>
      <c r="D999" s="33"/>
    </row>
    <row r="1000" spans="1:4" ht="15.75" customHeight="1">
      <c r="A1000" s="24"/>
      <c r="B1000" s="32"/>
      <c r="C1000" s="33"/>
      <c r="D1000" s="33"/>
    </row>
  </sheetData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outlinePr summaryBelow="0" summaryRight="0"/>
  </sheetPr>
  <dimension ref="A1:Z1000"/>
  <sheetViews>
    <sheetView workbookViewId="0">
      <selection sqref="A1:A1048576"/>
    </sheetView>
  </sheetViews>
  <sheetFormatPr baseColWidth="10" defaultColWidth="12.6640625" defaultRowHeight="15" customHeight="1"/>
  <cols>
    <col min="1" max="1" width="12.6640625" style="51" customWidth="1"/>
    <col min="2" max="6" width="12.6640625" customWidth="1"/>
  </cols>
  <sheetData>
    <row r="1" spans="1:26" ht="15.75" customHeight="1">
      <c r="A1" s="26" t="s">
        <v>20</v>
      </c>
      <c r="B1" s="27" t="s">
        <v>21</v>
      </c>
      <c r="C1" s="28" t="s">
        <v>22</v>
      </c>
      <c r="D1" s="28" t="s">
        <v>23</v>
      </c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spans="1:26" ht="15.75" customHeight="1">
      <c r="A2" s="8">
        <v>10101</v>
      </c>
      <c r="B2" s="29" t="s">
        <v>24</v>
      </c>
      <c r="C2" s="31"/>
      <c r="D2" s="31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spans="1:26" ht="15.75" customHeight="1">
      <c r="A3" s="8">
        <v>10102</v>
      </c>
      <c r="B3" s="29" t="s">
        <v>25</v>
      </c>
      <c r="C3" s="31"/>
      <c r="D3" s="31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spans="1:26" ht="15.75" customHeight="1">
      <c r="A4" s="8">
        <v>10103</v>
      </c>
      <c r="B4" s="29" t="s">
        <v>26</v>
      </c>
      <c r="C4" s="31"/>
      <c r="D4" s="31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 ht="15.75" customHeight="1">
      <c r="A5" s="8">
        <v>10201</v>
      </c>
      <c r="B5" s="29" t="s">
        <v>27</v>
      </c>
      <c r="C5" s="31"/>
      <c r="D5" s="31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spans="1:26" ht="15.75" customHeight="1">
      <c r="A6" s="8">
        <v>10202</v>
      </c>
      <c r="B6" s="29" t="s">
        <v>28</v>
      </c>
      <c r="C6" s="31"/>
      <c r="D6" s="31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spans="1:26" ht="15.75" customHeight="1">
      <c r="A7" s="8">
        <v>10301</v>
      </c>
      <c r="B7" s="29" t="s">
        <v>29</v>
      </c>
      <c r="C7" s="31"/>
      <c r="D7" s="31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spans="1:26" ht="15.75" customHeight="1">
      <c r="A8" s="8">
        <v>10302</v>
      </c>
      <c r="B8" s="29" t="s">
        <v>30</v>
      </c>
      <c r="C8" s="31"/>
      <c r="D8" s="31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spans="1:26" ht="15.75" customHeight="1">
      <c r="A9" s="8">
        <v>10303</v>
      </c>
      <c r="B9" s="29" t="s">
        <v>31</v>
      </c>
      <c r="C9" s="31"/>
      <c r="D9" s="31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spans="1:26" ht="15.75" customHeight="1">
      <c r="A10" s="8">
        <v>10304</v>
      </c>
      <c r="B10" s="29" t="s">
        <v>32</v>
      </c>
      <c r="C10" s="31"/>
      <c r="D10" s="31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spans="1:26" ht="15.75" customHeight="1">
      <c r="A11" s="8">
        <v>10401</v>
      </c>
      <c r="B11" s="29" t="s">
        <v>33</v>
      </c>
      <c r="C11" s="31"/>
      <c r="D11" s="31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spans="1:26" ht="15.75" customHeight="1">
      <c r="A12" s="8">
        <v>10402</v>
      </c>
      <c r="B12" s="29" t="s">
        <v>34</v>
      </c>
      <c r="C12" s="31"/>
      <c r="D12" s="31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spans="1:26" ht="15.75" customHeight="1">
      <c r="A13" s="8">
        <v>10403</v>
      </c>
      <c r="B13" s="29" t="s">
        <v>35</v>
      </c>
      <c r="C13" s="31"/>
      <c r="D13" s="31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spans="1:26" ht="15.75" customHeight="1">
      <c r="A14" s="8">
        <v>10404</v>
      </c>
      <c r="B14" s="29" t="s">
        <v>362</v>
      </c>
      <c r="C14" s="31"/>
      <c r="D14" s="31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spans="1:26" ht="15.75" customHeight="1">
      <c r="A15" s="8">
        <v>10405</v>
      </c>
      <c r="B15" s="29" t="s">
        <v>37</v>
      </c>
      <c r="C15" s="31"/>
      <c r="D15" s="31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spans="1:26" ht="15.75" customHeight="1">
      <c r="A16" s="8">
        <v>10501</v>
      </c>
      <c r="B16" s="29" t="s">
        <v>38</v>
      </c>
      <c r="C16" s="31"/>
      <c r="D16" s="31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spans="1:26" ht="15.75" customHeight="1">
      <c r="A17" s="8">
        <v>10502</v>
      </c>
      <c r="B17" s="29" t="s">
        <v>39</v>
      </c>
      <c r="C17" s="31"/>
      <c r="D17" s="31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spans="1:26" ht="15.75" customHeight="1">
      <c r="A18" s="8">
        <v>10601</v>
      </c>
      <c r="B18" s="29" t="s">
        <v>40</v>
      </c>
      <c r="C18" s="31"/>
      <c r="D18" s="31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spans="1:26" ht="15.75" customHeight="1">
      <c r="A19" s="8">
        <v>10602</v>
      </c>
      <c r="B19" s="29" t="s">
        <v>41</v>
      </c>
      <c r="C19" s="31"/>
      <c r="D19" s="31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spans="1:26" ht="15.75" customHeight="1">
      <c r="A20" s="8">
        <v>10701</v>
      </c>
      <c r="B20" s="29" t="s">
        <v>42</v>
      </c>
      <c r="C20" s="31"/>
      <c r="D20" s="31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6" ht="15.75" customHeight="1">
      <c r="A21" s="8">
        <v>10702</v>
      </c>
      <c r="B21" s="29" t="s">
        <v>43</v>
      </c>
      <c r="C21" s="31"/>
      <c r="D21" s="31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6" ht="15.75" customHeight="1">
      <c r="A22" s="8">
        <v>10703</v>
      </c>
      <c r="B22" s="29" t="s">
        <v>44</v>
      </c>
      <c r="C22" s="31"/>
      <c r="D22" s="31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6" ht="15.75" customHeight="1">
      <c r="A23" s="8">
        <v>10704</v>
      </c>
      <c r="B23" s="29" t="s">
        <v>45</v>
      </c>
      <c r="C23" s="31"/>
      <c r="D23" s="31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6" ht="15.75" customHeight="1">
      <c r="A24" s="8">
        <v>10801</v>
      </c>
      <c r="B24" s="29" t="s">
        <v>46</v>
      </c>
      <c r="C24" s="31"/>
      <c r="D24" s="31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6" ht="15.75" customHeight="1">
      <c r="A25" s="8">
        <v>10901</v>
      </c>
      <c r="B25" s="29" t="s">
        <v>363</v>
      </c>
      <c r="C25" s="31"/>
      <c r="D25" s="31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6" ht="15.75" customHeight="1">
      <c r="A26" s="8">
        <v>10902</v>
      </c>
      <c r="B26" s="29" t="s">
        <v>48</v>
      </c>
      <c r="C26" s="31"/>
      <c r="D26" s="31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6" ht="15.75" customHeight="1">
      <c r="A27" s="8">
        <v>10903</v>
      </c>
      <c r="B27" s="29" t="s">
        <v>49</v>
      </c>
      <c r="C27" s="31"/>
      <c r="D27" s="31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spans="1:26" ht="15.75" customHeight="1">
      <c r="A28" s="8">
        <v>11001</v>
      </c>
      <c r="B28" s="29" t="s">
        <v>364</v>
      </c>
      <c r="C28" s="31"/>
      <c r="D28" s="31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spans="1:26" ht="15.75" customHeight="1">
      <c r="A29" s="8">
        <v>11002</v>
      </c>
      <c r="B29" s="29" t="s">
        <v>365</v>
      </c>
      <c r="C29" s="31"/>
      <c r="D29" s="31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1:26" ht="15.75" customHeight="1">
      <c r="A30" s="8">
        <v>11003</v>
      </c>
      <c r="B30" s="29" t="s">
        <v>366</v>
      </c>
      <c r="C30" s="31"/>
      <c r="D30" s="31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spans="1:26" ht="15.75" customHeight="1">
      <c r="A31" s="8">
        <v>20101</v>
      </c>
      <c r="B31" s="29" t="s">
        <v>367</v>
      </c>
      <c r="C31" s="31"/>
      <c r="D31" s="31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spans="1:26" ht="15.75" customHeight="1">
      <c r="A32" s="8">
        <v>20102</v>
      </c>
      <c r="B32" s="29" t="s">
        <v>54</v>
      </c>
      <c r="C32" s="31"/>
      <c r="D32" s="31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6" ht="15.75" customHeight="1">
      <c r="A33" s="8">
        <v>20103</v>
      </c>
      <c r="B33" s="29" t="s">
        <v>55</v>
      </c>
      <c r="C33" s="31"/>
      <c r="D33" s="31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spans="1:26" ht="15.75" customHeight="1">
      <c r="A34" s="8">
        <v>20104</v>
      </c>
      <c r="B34" s="29" t="s">
        <v>56</v>
      </c>
      <c r="C34" s="31"/>
      <c r="D34" s="31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spans="1:26" ht="15.75" customHeight="1">
      <c r="A35" s="8">
        <v>20105</v>
      </c>
      <c r="B35" s="29" t="s">
        <v>57</v>
      </c>
      <c r="C35" s="31"/>
      <c r="D35" s="31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spans="1:26" ht="15.75" customHeight="1">
      <c r="A36" s="8">
        <v>20201</v>
      </c>
      <c r="B36" s="29" t="s">
        <v>58</v>
      </c>
      <c r="C36" s="31"/>
      <c r="D36" s="31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spans="1:26" ht="15.75" customHeight="1">
      <c r="A37" s="8">
        <v>20202</v>
      </c>
      <c r="B37" s="29" t="s">
        <v>368</v>
      </c>
      <c r="C37" s="31"/>
      <c r="D37" s="31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spans="1:26" ht="15.75" customHeight="1">
      <c r="A38" s="8">
        <v>20203</v>
      </c>
      <c r="B38" s="29" t="s">
        <v>60</v>
      </c>
      <c r="C38" s="31"/>
      <c r="D38" s="31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 spans="1:26" ht="15.75" customHeight="1">
      <c r="A39" s="8">
        <v>20204</v>
      </c>
      <c r="B39" s="29" t="s">
        <v>61</v>
      </c>
      <c r="C39" s="31"/>
      <c r="D39" s="31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 spans="1:26" ht="15.75" customHeight="1">
      <c r="A40" s="8">
        <v>20205</v>
      </c>
      <c r="B40" s="29" t="s">
        <v>62</v>
      </c>
      <c r="C40" s="31"/>
      <c r="D40" s="31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 spans="1:26" ht="15.75" customHeight="1">
      <c r="A41" s="8">
        <v>20206</v>
      </c>
      <c r="B41" s="29" t="s">
        <v>63</v>
      </c>
      <c r="C41" s="31"/>
      <c r="D41" s="31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 spans="1:26" ht="15.75" customHeight="1">
      <c r="A42" s="8">
        <v>20301</v>
      </c>
      <c r="B42" s="29" t="s">
        <v>64</v>
      </c>
      <c r="C42" s="31"/>
      <c r="D42" s="31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 spans="1:26" ht="15.75" customHeight="1">
      <c r="A43" s="8">
        <v>20302</v>
      </c>
      <c r="B43" s="29" t="s">
        <v>65</v>
      </c>
      <c r="C43" s="31"/>
      <c r="D43" s="31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 spans="1:26" ht="15.75" customHeight="1">
      <c r="A44" s="8">
        <v>20303</v>
      </c>
      <c r="B44" s="29" t="s">
        <v>66</v>
      </c>
      <c r="C44" s="31"/>
      <c r="D44" s="31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 spans="1:26" ht="15.75" customHeight="1">
      <c r="A45" s="8">
        <v>20304</v>
      </c>
      <c r="B45" s="29" t="s">
        <v>67</v>
      </c>
      <c r="C45" s="31"/>
      <c r="D45" s="31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spans="1:26" ht="15.75" customHeight="1">
      <c r="A46" s="8">
        <v>20305</v>
      </c>
      <c r="B46" s="29" t="s">
        <v>68</v>
      </c>
      <c r="C46" s="31"/>
      <c r="D46" s="31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 spans="1:26" ht="15.75" customHeight="1">
      <c r="A47" s="8">
        <v>20306</v>
      </c>
      <c r="B47" s="29" t="s">
        <v>69</v>
      </c>
      <c r="C47" s="31"/>
      <c r="D47" s="31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 spans="1:26" ht="15.75" customHeight="1">
      <c r="A48" s="8">
        <v>20307</v>
      </c>
      <c r="B48" s="29" t="s">
        <v>70</v>
      </c>
      <c r="C48" s="31"/>
      <c r="D48" s="31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 spans="1:26" ht="15.75" customHeight="1">
      <c r="A49" s="8">
        <v>20308</v>
      </c>
      <c r="B49" s="29" t="s">
        <v>369</v>
      </c>
      <c r="C49" s="31"/>
      <c r="D49" s="31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 spans="1:26" ht="15.75" customHeight="1">
      <c r="A50" s="8">
        <v>20401</v>
      </c>
      <c r="B50" s="29" t="s">
        <v>72</v>
      </c>
      <c r="C50" s="31"/>
      <c r="D50" s="31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 spans="1:26" ht="15.75" customHeight="1">
      <c r="A51" s="8">
        <v>20402</v>
      </c>
      <c r="B51" s="29" t="s">
        <v>73</v>
      </c>
      <c r="C51" s="31"/>
      <c r="D51" s="31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 spans="1:26" ht="15.75" customHeight="1">
      <c r="A52" s="8">
        <v>20403</v>
      </c>
      <c r="B52" s="29" t="s">
        <v>370</v>
      </c>
      <c r="C52" s="31"/>
      <c r="D52" s="31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 spans="1:26" ht="15.75" customHeight="1">
      <c r="A53" s="8">
        <v>20404</v>
      </c>
      <c r="B53" s="29" t="s">
        <v>75</v>
      </c>
      <c r="C53" s="31"/>
      <c r="D53" s="31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 spans="1:26" ht="15.75" customHeight="1">
      <c r="A54" s="8">
        <v>20405</v>
      </c>
      <c r="B54" s="29" t="s">
        <v>76</v>
      </c>
      <c r="C54" s="31"/>
      <c r="D54" s="31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 spans="1:26" ht="15.75" customHeight="1">
      <c r="A55" s="8">
        <v>20501</v>
      </c>
      <c r="B55" s="29" t="s">
        <v>77</v>
      </c>
      <c r="C55" s="31"/>
      <c r="D55" s="31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 spans="1:26" ht="15.75" customHeight="1">
      <c r="A56" s="8">
        <v>20502</v>
      </c>
      <c r="B56" s="29" t="s">
        <v>78</v>
      </c>
      <c r="C56" s="31"/>
      <c r="D56" s="31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 spans="1:26" ht="15.75" customHeight="1">
      <c r="A57" s="8">
        <v>20503</v>
      </c>
      <c r="B57" s="29" t="s">
        <v>79</v>
      </c>
      <c r="C57" s="31"/>
      <c r="D57" s="31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 spans="1:26" ht="15.75" customHeight="1">
      <c r="A58" s="8">
        <v>20601</v>
      </c>
      <c r="B58" s="29" t="s">
        <v>80</v>
      </c>
      <c r="C58" s="31"/>
      <c r="D58" s="31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 spans="1:26" ht="15.75" customHeight="1">
      <c r="A59" s="8">
        <v>20602</v>
      </c>
      <c r="B59" s="29" t="s">
        <v>81</v>
      </c>
      <c r="C59" s="31"/>
      <c r="D59" s="31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 spans="1:26" ht="15.75" customHeight="1">
      <c r="A60" s="8">
        <v>20603</v>
      </c>
      <c r="B60" s="29" t="s">
        <v>82</v>
      </c>
      <c r="C60" s="31"/>
      <c r="D60" s="31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 spans="1:26" ht="15.75" customHeight="1">
      <c r="A61" s="8">
        <v>20604</v>
      </c>
      <c r="B61" s="29" t="s">
        <v>83</v>
      </c>
      <c r="C61" s="31"/>
      <c r="D61" s="31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 spans="1:26" ht="15.75" customHeight="1">
      <c r="A62" s="8">
        <v>20605</v>
      </c>
      <c r="B62" s="29" t="s">
        <v>84</v>
      </c>
      <c r="C62" s="31"/>
      <c r="D62" s="31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 spans="1:26" ht="15.75" customHeight="1">
      <c r="A63" s="8">
        <v>20606</v>
      </c>
      <c r="B63" s="29" t="s">
        <v>85</v>
      </c>
      <c r="C63" s="31"/>
      <c r="D63" s="31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 spans="1:26" ht="15.75" customHeight="1">
      <c r="A64" s="8">
        <v>20607</v>
      </c>
      <c r="B64" s="29" t="s">
        <v>86</v>
      </c>
      <c r="C64" s="31"/>
      <c r="D64" s="31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 spans="1:26" ht="15.75" customHeight="1">
      <c r="A65" s="8">
        <v>20608</v>
      </c>
      <c r="B65" s="29" t="s">
        <v>87</v>
      </c>
      <c r="C65" s="31"/>
      <c r="D65" s="31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 spans="1:26" ht="15.75" customHeight="1">
      <c r="A66" s="8">
        <v>20701</v>
      </c>
      <c r="B66" s="29" t="s">
        <v>88</v>
      </c>
      <c r="C66" s="31"/>
      <c r="D66" s="31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 spans="1:26" ht="15.75" customHeight="1">
      <c r="A67" s="8">
        <v>20702</v>
      </c>
      <c r="B67" s="29" t="s">
        <v>89</v>
      </c>
      <c r="C67" s="31"/>
      <c r="D67" s="31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 spans="1:26" ht="15.75" customHeight="1">
      <c r="A68" s="8">
        <v>20801</v>
      </c>
      <c r="B68" s="29" t="s">
        <v>90</v>
      </c>
      <c r="C68" s="31"/>
      <c r="D68" s="31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 spans="1:26" ht="15.75" customHeight="1">
      <c r="A69" s="8">
        <v>20802</v>
      </c>
      <c r="B69" s="29" t="s">
        <v>371</v>
      </c>
      <c r="C69" s="31"/>
      <c r="D69" s="31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 spans="1:26" ht="15.75" customHeight="1">
      <c r="A70" s="8">
        <v>20803</v>
      </c>
      <c r="B70" s="29" t="s">
        <v>372</v>
      </c>
      <c r="C70" s="31"/>
      <c r="D70" s="31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 spans="1:26" ht="15.75" customHeight="1">
      <c r="A71" s="8">
        <v>20804</v>
      </c>
      <c r="B71" s="29" t="s">
        <v>93</v>
      </c>
      <c r="C71" s="31"/>
      <c r="D71" s="31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 spans="1:26" ht="15.75" customHeight="1">
      <c r="A72" s="8">
        <v>20805</v>
      </c>
      <c r="B72" s="29" t="s">
        <v>373</v>
      </c>
      <c r="C72" s="31"/>
      <c r="D72" s="31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 spans="1:26" ht="15.75" customHeight="1">
      <c r="A73" s="8">
        <v>20806</v>
      </c>
      <c r="B73" s="29" t="s">
        <v>374</v>
      </c>
      <c r="C73" s="31"/>
      <c r="D73" s="31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 spans="1:26" ht="15.75" customHeight="1">
      <c r="A74" s="8">
        <v>20807</v>
      </c>
      <c r="B74" s="29" t="s">
        <v>96</v>
      </c>
      <c r="C74" s="31"/>
      <c r="D74" s="31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 spans="1:26" ht="15.75" customHeight="1">
      <c r="A75" s="8">
        <v>20901</v>
      </c>
      <c r="B75" s="29" t="s">
        <v>97</v>
      </c>
      <c r="C75" s="31"/>
      <c r="D75" s="31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 spans="1:26" ht="15.75" customHeight="1">
      <c r="A76" s="8">
        <v>20902</v>
      </c>
      <c r="B76" s="29" t="s">
        <v>98</v>
      </c>
      <c r="C76" s="31"/>
      <c r="D76" s="31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 spans="1:26" ht="15.75" customHeight="1">
      <c r="A77" s="8">
        <v>20903</v>
      </c>
      <c r="B77" s="29" t="s">
        <v>99</v>
      </c>
      <c r="C77" s="31"/>
      <c r="D77" s="31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 spans="1:26" ht="15.75" customHeight="1">
      <c r="A78" s="8">
        <v>20904</v>
      </c>
      <c r="B78" s="29" t="s">
        <v>100</v>
      </c>
      <c r="C78" s="31"/>
      <c r="D78" s="31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 spans="1:26" ht="15.75" customHeight="1">
      <c r="A79" s="8">
        <v>20905</v>
      </c>
      <c r="B79" s="29" t="s">
        <v>101</v>
      </c>
      <c r="C79" s="31"/>
      <c r="D79" s="31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 spans="1:26" ht="15.75" customHeight="1">
      <c r="A80" s="8">
        <v>21001</v>
      </c>
      <c r="B80" s="29" t="s">
        <v>102</v>
      </c>
      <c r="C80" s="31"/>
      <c r="D80" s="31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 spans="1:26" ht="15.75" customHeight="1">
      <c r="A81" s="8">
        <v>21002</v>
      </c>
      <c r="B81" s="29" t="s">
        <v>103</v>
      </c>
      <c r="C81" s="31"/>
      <c r="D81" s="31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 spans="1:26" ht="15.75" customHeight="1">
      <c r="A82" s="8">
        <v>21003</v>
      </c>
      <c r="B82" s="29" t="s">
        <v>104</v>
      </c>
      <c r="C82" s="31"/>
      <c r="D82" s="31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 spans="1:26" ht="15.75" customHeight="1">
      <c r="A83" s="8">
        <v>21004</v>
      </c>
      <c r="B83" s="29" t="s">
        <v>105</v>
      </c>
      <c r="C83" s="31"/>
      <c r="D83" s="31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 spans="1:26" ht="15.75" customHeight="1">
      <c r="A84" s="8">
        <v>21005</v>
      </c>
      <c r="B84" s="29" t="s">
        <v>106</v>
      </c>
      <c r="C84" s="31"/>
      <c r="D84" s="31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 spans="1:26" ht="15.75" customHeight="1">
      <c r="A85" s="8">
        <v>21006</v>
      </c>
      <c r="B85" s="29" t="s">
        <v>107</v>
      </c>
      <c r="C85" s="31"/>
      <c r="D85" s="31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 spans="1:26" ht="15.75" customHeight="1">
      <c r="A86" s="8">
        <v>21101</v>
      </c>
      <c r="B86" s="29" t="s">
        <v>108</v>
      </c>
      <c r="C86" s="31"/>
      <c r="D86" s="31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 spans="1:26" ht="15.75" customHeight="1">
      <c r="A87" s="8">
        <v>21102</v>
      </c>
      <c r="B87" s="29" t="s">
        <v>109</v>
      </c>
      <c r="C87" s="31"/>
      <c r="D87" s="31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 spans="1:26" ht="15.75" customHeight="1">
      <c r="A88" s="8">
        <v>21103</v>
      </c>
      <c r="B88" s="29" t="s">
        <v>110</v>
      </c>
      <c r="C88" s="31"/>
      <c r="D88" s="31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 spans="1:26" ht="15.75" customHeight="1">
      <c r="A89" s="8">
        <v>21104</v>
      </c>
      <c r="B89" s="29" t="s">
        <v>111</v>
      </c>
      <c r="C89" s="31"/>
      <c r="D89" s="31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 spans="1:26" ht="15.75" customHeight="1">
      <c r="A90" s="8">
        <v>21105</v>
      </c>
      <c r="B90" s="29" t="s">
        <v>112</v>
      </c>
      <c r="C90" s="31"/>
      <c r="D90" s="31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 spans="1:26" ht="15.75" customHeight="1">
      <c r="A91" s="8">
        <v>21201</v>
      </c>
      <c r="B91" s="29" t="s">
        <v>113</v>
      </c>
      <c r="C91" s="31"/>
      <c r="D91" s="31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 spans="1:26" ht="15.75" customHeight="1">
      <c r="A92" s="8">
        <v>21202</v>
      </c>
      <c r="B92" s="29" t="s">
        <v>114</v>
      </c>
      <c r="C92" s="31"/>
      <c r="D92" s="31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 spans="1:26" ht="15.75" customHeight="1">
      <c r="A93" s="8">
        <v>21203</v>
      </c>
      <c r="B93" s="29" t="s">
        <v>115</v>
      </c>
      <c r="C93" s="31"/>
      <c r="D93" s="31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 spans="1:26" ht="15.75" customHeight="1">
      <c r="A94" s="8">
        <v>21204</v>
      </c>
      <c r="B94" s="29" t="s">
        <v>116</v>
      </c>
      <c r="C94" s="31"/>
      <c r="D94" s="31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 spans="1:26" ht="15.75" customHeight="1">
      <c r="A95" s="8">
        <v>21301</v>
      </c>
      <c r="B95" s="29" t="s">
        <v>375</v>
      </c>
      <c r="C95" s="31"/>
      <c r="D95" s="31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 spans="1:26" ht="15.75" customHeight="1">
      <c r="A96" s="8">
        <v>21302</v>
      </c>
      <c r="B96" s="29" t="s">
        <v>118</v>
      </c>
      <c r="C96" s="31"/>
      <c r="D96" s="31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 spans="1:26" ht="15.75" customHeight="1">
      <c r="A97" s="8">
        <v>21303</v>
      </c>
      <c r="B97" s="29" t="s">
        <v>119</v>
      </c>
      <c r="C97" s="31"/>
      <c r="D97" s="31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 spans="1:26" ht="15.75" customHeight="1">
      <c r="A98" s="8">
        <v>21304</v>
      </c>
      <c r="B98" s="29" t="s">
        <v>120</v>
      </c>
      <c r="C98" s="31"/>
      <c r="D98" s="31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 spans="1:26" ht="15.75" customHeight="1">
      <c r="A99" s="8">
        <v>21305</v>
      </c>
      <c r="B99" s="29" t="s">
        <v>121</v>
      </c>
      <c r="C99" s="31"/>
      <c r="D99" s="31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 spans="1:26" ht="15.75" customHeight="1">
      <c r="A100" s="8">
        <v>21306</v>
      </c>
      <c r="B100" s="29" t="s">
        <v>122</v>
      </c>
      <c r="C100" s="31"/>
      <c r="D100" s="31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 spans="1:26" ht="15.75" customHeight="1">
      <c r="A101" s="8">
        <v>21307</v>
      </c>
      <c r="B101" s="29" t="s">
        <v>123</v>
      </c>
      <c r="C101" s="31"/>
      <c r="D101" s="31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 spans="1:26" ht="15.75" customHeight="1">
      <c r="A102" s="8">
        <v>21401</v>
      </c>
      <c r="B102" s="29" t="s">
        <v>124</v>
      </c>
      <c r="C102" s="31"/>
      <c r="D102" s="31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 spans="1:26" ht="15.75" customHeight="1">
      <c r="A103" s="8">
        <v>21402</v>
      </c>
      <c r="B103" s="29" t="s">
        <v>125</v>
      </c>
      <c r="C103" s="31"/>
      <c r="D103" s="31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 spans="1:26" ht="15.75" customHeight="1">
      <c r="A104" s="8">
        <v>21501</v>
      </c>
      <c r="B104" s="29" t="s">
        <v>376</v>
      </c>
      <c r="C104" s="31"/>
      <c r="D104" s="31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 spans="1:26" ht="15.75" customHeight="1">
      <c r="A105" s="8">
        <v>21502</v>
      </c>
      <c r="B105" s="29" t="s">
        <v>127</v>
      </c>
      <c r="C105" s="31"/>
      <c r="D105" s="31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 spans="1:26" ht="15.75" customHeight="1">
      <c r="A106" s="8">
        <v>21601</v>
      </c>
      <c r="B106" s="29" t="s">
        <v>128</v>
      </c>
      <c r="C106" s="31"/>
      <c r="D106" s="31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 spans="1:26" ht="15.75" customHeight="1">
      <c r="A107" s="8">
        <v>21602</v>
      </c>
      <c r="B107" s="29" t="s">
        <v>129</v>
      </c>
      <c r="C107" s="31"/>
      <c r="D107" s="31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 spans="1:26" ht="15.75" customHeight="1">
      <c r="A108" s="8">
        <v>21701</v>
      </c>
      <c r="B108" s="29" t="s">
        <v>130</v>
      </c>
      <c r="C108" s="31"/>
      <c r="D108" s="31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 spans="1:26" ht="15.75" customHeight="1">
      <c r="A109" s="8">
        <v>21702</v>
      </c>
      <c r="B109" s="29" t="s">
        <v>131</v>
      </c>
      <c r="C109" s="31"/>
      <c r="D109" s="31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 spans="1:26" ht="15.75" customHeight="1">
      <c r="A110" s="8">
        <v>21703</v>
      </c>
      <c r="B110" s="29" t="s">
        <v>132</v>
      </c>
      <c r="C110" s="31"/>
      <c r="D110" s="31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 spans="1:26" ht="15.75" customHeight="1">
      <c r="A111" s="8">
        <v>21801</v>
      </c>
      <c r="B111" s="29" t="s">
        <v>133</v>
      </c>
      <c r="C111" s="31"/>
      <c r="D111" s="31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 spans="1:26" ht="15.75" customHeight="1">
      <c r="A112" s="8">
        <v>21802</v>
      </c>
      <c r="B112" s="29" t="s">
        <v>134</v>
      </c>
      <c r="C112" s="31"/>
      <c r="D112" s="31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 spans="1:26" ht="15.75" customHeight="1">
      <c r="A113" s="8">
        <v>21803</v>
      </c>
      <c r="B113" s="29" t="s">
        <v>135</v>
      </c>
      <c r="C113" s="31"/>
      <c r="D113" s="31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 spans="1:26" ht="15.75" customHeight="1">
      <c r="A114" s="8">
        <v>21901</v>
      </c>
      <c r="B114" s="29" t="s">
        <v>136</v>
      </c>
      <c r="C114" s="31"/>
      <c r="D114" s="31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 spans="1:26" ht="15.75" customHeight="1">
      <c r="A115" s="8">
        <v>21902</v>
      </c>
      <c r="B115" s="29" t="s">
        <v>137</v>
      </c>
      <c r="C115" s="31"/>
      <c r="D115" s="31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 spans="1:26" ht="15.75" customHeight="1">
      <c r="A116" s="8">
        <v>22001</v>
      </c>
      <c r="B116" s="29" t="s">
        <v>138</v>
      </c>
      <c r="C116" s="31"/>
      <c r="D116" s="31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 spans="1:26" ht="15.75" customHeight="1">
      <c r="A117" s="8">
        <v>22002</v>
      </c>
      <c r="B117" s="29" t="s">
        <v>139</v>
      </c>
      <c r="C117" s="31"/>
      <c r="D117" s="31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 spans="1:26" ht="15.75" customHeight="1">
      <c r="A118" s="8">
        <v>30101</v>
      </c>
      <c r="B118" s="29" t="s">
        <v>377</v>
      </c>
      <c r="C118" s="31"/>
      <c r="D118" s="31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 spans="1:26" ht="15.75" customHeight="1">
      <c r="A119" s="8">
        <v>30201</v>
      </c>
      <c r="B119" s="29" t="s">
        <v>141</v>
      </c>
      <c r="C119" s="31"/>
      <c r="D119" s="31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 spans="1:26" ht="15.75" customHeight="1">
      <c r="A120" s="8">
        <v>30202</v>
      </c>
      <c r="B120" s="29" t="s">
        <v>142</v>
      </c>
      <c r="C120" s="31"/>
      <c r="D120" s="31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 spans="1:26" ht="15.75" customHeight="1">
      <c r="A121" s="8">
        <v>30203</v>
      </c>
      <c r="B121" s="29" t="s">
        <v>143</v>
      </c>
      <c r="C121" s="31"/>
      <c r="D121" s="31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 spans="1:26" ht="15.75" customHeight="1">
      <c r="A122" s="8">
        <v>30301</v>
      </c>
      <c r="B122" s="29" t="s">
        <v>378</v>
      </c>
      <c r="C122" s="31"/>
      <c r="D122" s="31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 spans="1:26" ht="15.75" customHeight="1">
      <c r="A123" s="8">
        <v>30302</v>
      </c>
      <c r="B123" s="29" t="s">
        <v>145</v>
      </c>
      <c r="C123" s="31"/>
      <c r="D123" s="31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 spans="1:26" ht="15.75" customHeight="1">
      <c r="A124" s="8">
        <v>30303</v>
      </c>
      <c r="B124" s="29" t="s">
        <v>146</v>
      </c>
      <c r="C124" s="31"/>
      <c r="D124" s="31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 spans="1:26" ht="15.75" customHeight="1">
      <c r="A125" s="8">
        <v>30401</v>
      </c>
      <c r="B125" s="29" t="s">
        <v>379</v>
      </c>
      <c r="C125" s="31"/>
      <c r="D125" s="31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 spans="1:26" ht="15.75" customHeight="1">
      <c r="A126" s="8">
        <v>30402</v>
      </c>
      <c r="B126" s="29" t="s">
        <v>148</v>
      </c>
      <c r="C126" s="31"/>
      <c r="D126" s="31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 spans="1:26" ht="15.75" customHeight="1">
      <c r="A127" s="8">
        <v>30403</v>
      </c>
      <c r="B127" s="29" t="s">
        <v>149</v>
      </c>
      <c r="C127" s="31"/>
      <c r="D127" s="31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 spans="1:26" ht="15.75" customHeight="1">
      <c r="A128" s="8">
        <v>30404</v>
      </c>
      <c r="B128" s="29" t="s">
        <v>150</v>
      </c>
      <c r="C128" s="31"/>
      <c r="D128" s="31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 spans="1:26" ht="15.75" customHeight="1">
      <c r="A129" s="8">
        <v>30501</v>
      </c>
      <c r="B129" s="29" t="s">
        <v>151</v>
      </c>
      <c r="C129" s="31"/>
      <c r="D129" s="31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 spans="1:26" ht="15.75" customHeight="1">
      <c r="A130" s="8">
        <v>30502</v>
      </c>
      <c r="B130" s="29" t="s">
        <v>152</v>
      </c>
      <c r="C130" s="31"/>
      <c r="D130" s="31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 spans="1:26" ht="15.75" customHeight="1">
      <c r="A131" s="8">
        <v>30601</v>
      </c>
      <c r="B131" s="29" t="s">
        <v>380</v>
      </c>
      <c r="C131" s="31"/>
      <c r="D131" s="31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 spans="1:26" ht="15.75" customHeight="1">
      <c r="A132" s="8">
        <v>30602</v>
      </c>
      <c r="B132" s="29" t="s">
        <v>154</v>
      </c>
      <c r="C132" s="31"/>
      <c r="D132" s="31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 spans="1:26" ht="15.75" customHeight="1">
      <c r="A133" s="8">
        <v>30701</v>
      </c>
      <c r="B133" s="29" t="s">
        <v>155</v>
      </c>
      <c r="C133" s="31"/>
      <c r="D133" s="31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 spans="1:26" ht="15.75" customHeight="1">
      <c r="A134" s="8">
        <v>30702</v>
      </c>
      <c r="B134" s="29" t="s">
        <v>381</v>
      </c>
      <c r="C134" s="31"/>
      <c r="D134" s="31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 spans="1:26" ht="15.75" customHeight="1">
      <c r="A135" s="8">
        <v>30703</v>
      </c>
      <c r="B135" s="29" t="s">
        <v>157</v>
      </c>
      <c r="C135" s="31"/>
      <c r="D135" s="31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 spans="1:26" ht="15.75" customHeight="1">
      <c r="A136" s="8">
        <v>30801</v>
      </c>
      <c r="B136" s="29" t="s">
        <v>158</v>
      </c>
      <c r="C136" s="31"/>
      <c r="D136" s="31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 spans="1:26" ht="15.75" customHeight="1">
      <c r="A137" s="8">
        <v>30802</v>
      </c>
      <c r="B137" s="29" t="s">
        <v>382</v>
      </c>
      <c r="C137" s="31"/>
      <c r="D137" s="31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 spans="1:26" ht="15.75" customHeight="1">
      <c r="A138" s="8">
        <v>30803</v>
      </c>
      <c r="B138" s="29" t="s">
        <v>160</v>
      </c>
      <c r="C138" s="31"/>
      <c r="D138" s="31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 spans="1:26" ht="15.75" customHeight="1">
      <c r="A139" s="8">
        <v>30901</v>
      </c>
      <c r="B139" s="29" t="s">
        <v>161</v>
      </c>
      <c r="C139" s="31"/>
      <c r="D139" s="31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 spans="1:26" ht="15.75" customHeight="1">
      <c r="A140" s="8">
        <v>30902</v>
      </c>
      <c r="B140" s="29" t="s">
        <v>162</v>
      </c>
      <c r="C140" s="31"/>
      <c r="D140" s="31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 spans="1:26" ht="15.75" customHeight="1">
      <c r="A141" s="8">
        <v>30903</v>
      </c>
      <c r="B141" s="29" t="s">
        <v>163</v>
      </c>
      <c r="C141" s="31"/>
      <c r="D141" s="31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 spans="1:26" ht="15.75" customHeight="1">
      <c r="A142" s="8">
        <v>30904</v>
      </c>
      <c r="B142" s="29" t="s">
        <v>383</v>
      </c>
      <c r="C142" s="31"/>
      <c r="D142" s="31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 spans="1:26" ht="15.75" customHeight="1">
      <c r="A143" s="8">
        <v>30905</v>
      </c>
      <c r="B143" s="29" t="s">
        <v>165</v>
      </c>
      <c r="C143" s="31"/>
      <c r="D143" s="31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 spans="1:26" ht="15.75" customHeight="1">
      <c r="A144" s="8">
        <v>31001</v>
      </c>
      <c r="B144" s="29" t="s">
        <v>166</v>
      </c>
      <c r="C144" s="31"/>
      <c r="D144" s="31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 spans="1:26" ht="15.75" customHeight="1">
      <c r="A145" s="8">
        <v>31002</v>
      </c>
      <c r="B145" s="29" t="s">
        <v>167</v>
      </c>
      <c r="C145" s="31"/>
      <c r="D145" s="31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 spans="1:26" ht="15.75" customHeight="1">
      <c r="A146" s="8">
        <v>31003</v>
      </c>
      <c r="B146" s="29" t="s">
        <v>168</v>
      </c>
      <c r="C146" s="31"/>
      <c r="D146" s="31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 spans="1:26" ht="15.75" customHeight="1">
      <c r="A147" s="8">
        <v>31101</v>
      </c>
      <c r="B147" s="29" t="s">
        <v>169</v>
      </c>
      <c r="C147" s="31"/>
      <c r="D147" s="31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 spans="1:26" ht="15.75" customHeight="1">
      <c r="A148" s="8">
        <v>31201</v>
      </c>
      <c r="B148" s="29" t="s">
        <v>384</v>
      </c>
      <c r="C148" s="31"/>
      <c r="D148" s="31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 spans="1:26" ht="15.75" customHeight="1">
      <c r="A149" s="8">
        <v>31202</v>
      </c>
      <c r="B149" s="29" t="s">
        <v>171</v>
      </c>
      <c r="C149" s="31"/>
      <c r="D149" s="31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 spans="1:26" ht="15.75" customHeight="1">
      <c r="A150" s="8">
        <v>31203</v>
      </c>
      <c r="B150" s="29" t="s">
        <v>172</v>
      </c>
      <c r="C150" s="31"/>
      <c r="D150" s="31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 spans="1:26" ht="15.75" customHeight="1">
      <c r="A151" s="8">
        <v>31204</v>
      </c>
      <c r="B151" s="29" t="s">
        <v>173</v>
      </c>
      <c r="C151" s="31"/>
      <c r="D151" s="31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 spans="1:26" ht="15.75" customHeight="1">
      <c r="A152" s="8">
        <v>31205</v>
      </c>
      <c r="B152" s="29" t="s">
        <v>174</v>
      </c>
      <c r="C152" s="31"/>
      <c r="D152" s="31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 spans="1:26" ht="15.75" customHeight="1">
      <c r="A153" s="8">
        <v>31206</v>
      </c>
      <c r="B153" s="29" t="s">
        <v>175</v>
      </c>
      <c r="C153" s="31"/>
      <c r="D153" s="31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 spans="1:26" ht="15.75" customHeight="1">
      <c r="A154" s="8">
        <v>31301</v>
      </c>
      <c r="B154" s="29" t="s">
        <v>176</v>
      </c>
      <c r="C154" s="31"/>
      <c r="D154" s="31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 spans="1:26" ht="15.75" customHeight="1">
      <c r="A155" s="8">
        <v>31302</v>
      </c>
      <c r="B155" s="29" t="s">
        <v>177</v>
      </c>
      <c r="C155" s="31"/>
      <c r="D155" s="31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 spans="1:26" ht="15.75" customHeight="1">
      <c r="A156" s="8">
        <v>31303</v>
      </c>
      <c r="B156" s="29" t="s">
        <v>178</v>
      </c>
      <c r="C156" s="31"/>
      <c r="D156" s="31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 spans="1:26" ht="15.75" customHeight="1">
      <c r="A157" s="23">
        <v>31304</v>
      </c>
      <c r="B157" s="29" t="s">
        <v>179</v>
      </c>
      <c r="C157" s="31"/>
      <c r="D157" s="31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 spans="1:26" ht="15.75" customHeight="1">
      <c r="A158" s="8">
        <v>31401</v>
      </c>
      <c r="B158" s="29" t="s">
        <v>180</v>
      </c>
      <c r="C158" s="31"/>
      <c r="D158" s="31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 spans="1:26" ht="15.75" customHeight="1">
      <c r="A159" s="8">
        <v>31402</v>
      </c>
      <c r="B159" s="29" t="s">
        <v>181</v>
      </c>
      <c r="C159" s="31"/>
      <c r="D159" s="31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 spans="1:26" ht="15.75" customHeight="1">
      <c r="A160" s="8">
        <v>31403</v>
      </c>
      <c r="B160" s="29" t="s">
        <v>182</v>
      </c>
      <c r="C160" s="31"/>
      <c r="D160" s="31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 spans="1:26" ht="15.75" customHeight="1">
      <c r="A161" s="8">
        <v>31404</v>
      </c>
      <c r="B161" s="29" t="s">
        <v>183</v>
      </c>
      <c r="C161" s="31"/>
      <c r="D161" s="31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 spans="1:26" ht="15.75" customHeight="1">
      <c r="A162" s="8">
        <v>31405</v>
      </c>
      <c r="B162" s="29" t="s">
        <v>385</v>
      </c>
      <c r="C162" s="31"/>
      <c r="D162" s="31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 spans="1:26" ht="15.75" customHeight="1">
      <c r="A163" s="8">
        <v>31501</v>
      </c>
      <c r="B163" s="29" t="s">
        <v>386</v>
      </c>
      <c r="C163" s="31"/>
      <c r="D163" s="31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 spans="1:26" ht="15.75" customHeight="1">
      <c r="A164" s="8">
        <v>31601</v>
      </c>
      <c r="B164" s="29" t="s">
        <v>186</v>
      </c>
      <c r="C164" s="31"/>
      <c r="D164" s="31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 spans="1:26" ht="15.75" customHeight="1">
      <c r="A165" s="8">
        <v>31602</v>
      </c>
      <c r="B165" s="29" t="s">
        <v>187</v>
      </c>
      <c r="C165" s="31"/>
      <c r="D165" s="31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 spans="1:26" ht="15.75" customHeight="1">
      <c r="A166" s="8">
        <v>40101</v>
      </c>
      <c r="B166" s="29" t="s">
        <v>188</v>
      </c>
      <c r="C166" s="31"/>
      <c r="D166" s="31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 spans="1:26" ht="15.75" customHeight="1">
      <c r="A167" s="8">
        <v>40102</v>
      </c>
      <c r="B167" s="29" t="s">
        <v>189</v>
      </c>
      <c r="C167" s="31"/>
      <c r="D167" s="31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 spans="1:26" ht="15.75" customHeight="1">
      <c r="A168" s="8">
        <v>40103</v>
      </c>
      <c r="B168" s="29" t="s">
        <v>190</v>
      </c>
      <c r="C168" s="31"/>
      <c r="D168" s="31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 spans="1:26" ht="15.75" customHeight="1">
      <c r="A169" s="8">
        <v>40104</v>
      </c>
      <c r="B169" s="29" t="s">
        <v>387</v>
      </c>
      <c r="C169" s="31"/>
      <c r="D169" s="31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 spans="1:26" ht="15.75" customHeight="1">
      <c r="A170" s="8">
        <v>40201</v>
      </c>
      <c r="B170" s="29" t="s">
        <v>192</v>
      </c>
      <c r="C170" s="31"/>
      <c r="D170" s="31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 spans="1:26" ht="15.75" customHeight="1">
      <c r="A171" s="8">
        <v>40202</v>
      </c>
      <c r="B171" s="29" t="s">
        <v>388</v>
      </c>
      <c r="C171" s="31"/>
      <c r="D171" s="31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 spans="1:26" ht="15.75" customHeight="1">
      <c r="A172" s="8">
        <v>40301</v>
      </c>
      <c r="B172" s="29" t="s">
        <v>194</v>
      </c>
      <c r="C172" s="31"/>
      <c r="D172" s="31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 spans="1:26" ht="15.75" customHeight="1">
      <c r="A173" s="8">
        <v>40302</v>
      </c>
      <c r="B173" s="29" t="s">
        <v>389</v>
      </c>
      <c r="C173" s="31"/>
      <c r="D173" s="31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 spans="1:26" ht="15.75" customHeight="1">
      <c r="A174" s="8">
        <v>40401</v>
      </c>
      <c r="B174" s="29" t="s">
        <v>196</v>
      </c>
      <c r="C174" s="31"/>
      <c r="D174" s="31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 spans="1:26" ht="15.75" customHeight="1">
      <c r="A175" s="8">
        <v>40402</v>
      </c>
      <c r="B175" s="29" t="s">
        <v>197</v>
      </c>
      <c r="C175" s="31"/>
      <c r="D175" s="31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 spans="1:26" ht="15.75" customHeight="1">
      <c r="A176" s="8">
        <v>40501</v>
      </c>
      <c r="B176" s="29" t="s">
        <v>198</v>
      </c>
      <c r="C176" s="31"/>
      <c r="D176" s="31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 spans="1:26" ht="15.75" customHeight="1">
      <c r="A177" s="8">
        <v>40502</v>
      </c>
      <c r="B177" s="29" t="s">
        <v>199</v>
      </c>
      <c r="C177" s="31"/>
      <c r="D177" s="31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 spans="1:26" ht="15.75" customHeight="1">
      <c r="A178" s="8">
        <v>40503</v>
      </c>
      <c r="B178" s="29" t="s">
        <v>200</v>
      </c>
      <c r="C178" s="31"/>
      <c r="D178" s="31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 spans="1:26" ht="15.75" customHeight="1">
      <c r="A179" s="8">
        <v>40504</v>
      </c>
      <c r="B179" s="29" t="s">
        <v>390</v>
      </c>
      <c r="C179" s="31"/>
      <c r="D179" s="31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 spans="1:26" ht="15.75" customHeight="1">
      <c r="A180" s="8">
        <v>40505</v>
      </c>
      <c r="B180" s="29" t="s">
        <v>202</v>
      </c>
      <c r="C180" s="31"/>
      <c r="D180" s="31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 spans="1:26" ht="15.75" customHeight="1">
      <c r="A181" s="8">
        <v>40601</v>
      </c>
      <c r="B181" s="29" t="s">
        <v>203</v>
      </c>
      <c r="C181" s="31"/>
      <c r="D181" s="31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 spans="1:26" ht="15.75" customHeight="1">
      <c r="A182" s="8">
        <v>40602</v>
      </c>
      <c r="B182" s="29" t="s">
        <v>204</v>
      </c>
      <c r="C182" s="31"/>
      <c r="D182" s="31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 spans="1:26" ht="15.75" customHeight="1">
      <c r="A183" s="8">
        <v>40603</v>
      </c>
      <c r="B183" s="29" t="s">
        <v>205</v>
      </c>
      <c r="C183" s="31"/>
      <c r="D183" s="31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 spans="1:26" ht="15.75" customHeight="1">
      <c r="A184" s="8">
        <v>40701</v>
      </c>
      <c r="B184" s="29" t="s">
        <v>206</v>
      </c>
      <c r="C184" s="31"/>
      <c r="D184" s="31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 spans="1:26" ht="15.75" customHeight="1">
      <c r="A185" s="8">
        <v>40702</v>
      </c>
      <c r="B185" s="29" t="s">
        <v>207</v>
      </c>
      <c r="C185" s="31"/>
      <c r="D185" s="31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 spans="1:26" ht="15.75" customHeight="1">
      <c r="A186" s="8">
        <v>40801</v>
      </c>
      <c r="B186" s="29" t="s">
        <v>391</v>
      </c>
      <c r="C186" s="31"/>
      <c r="D186" s="31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 spans="1:26" ht="15.75" customHeight="1">
      <c r="A187" s="8">
        <v>40802</v>
      </c>
      <c r="B187" s="29" t="s">
        <v>209</v>
      </c>
      <c r="C187" s="31"/>
      <c r="D187" s="31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 spans="1:26" ht="15.75" customHeight="1">
      <c r="A188" s="8">
        <v>40901</v>
      </c>
      <c r="B188" s="29" t="s">
        <v>210</v>
      </c>
      <c r="C188" s="31"/>
      <c r="D188" s="31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 spans="1:26" ht="15.75" customHeight="1">
      <c r="A189" s="8">
        <v>40902</v>
      </c>
      <c r="B189" s="29" t="s">
        <v>211</v>
      </c>
      <c r="C189" s="31"/>
      <c r="D189" s="31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 spans="1:26" ht="15.75" customHeight="1">
      <c r="A190" s="8">
        <v>40903</v>
      </c>
      <c r="B190" s="29" t="s">
        <v>392</v>
      </c>
      <c r="C190" s="31"/>
      <c r="D190" s="31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 spans="1:26" ht="15.75" customHeight="1">
      <c r="A191" s="8">
        <v>41001</v>
      </c>
      <c r="B191" s="29" t="s">
        <v>213</v>
      </c>
      <c r="C191" s="31"/>
      <c r="D191" s="31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 spans="1:26" ht="15.75" customHeight="1">
      <c r="A192" s="8">
        <v>41101</v>
      </c>
      <c r="B192" s="29" t="s">
        <v>214</v>
      </c>
      <c r="C192" s="31"/>
      <c r="D192" s="31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 spans="1:26" ht="15.75" customHeight="1">
      <c r="A193" s="8">
        <v>41201</v>
      </c>
      <c r="B193" s="29" t="s">
        <v>393</v>
      </c>
      <c r="C193" s="31"/>
      <c r="D193" s="31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 spans="1:26" ht="15.75" customHeight="1">
      <c r="A194" s="8">
        <v>41202</v>
      </c>
      <c r="B194" s="29" t="s">
        <v>216</v>
      </c>
      <c r="C194" s="31"/>
      <c r="D194" s="31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 spans="1:26" ht="15.75" customHeight="1">
      <c r="A195" s="8">
        <v>41301</v>
      </c>
      <c r="B195" s="29" t="s">
        <v>384</v>
      </c>
      <c r="C195" s="31"/>
      <c r="D195" s="31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 spans="1:26" ht="15.75" customHeight="1">
      <c r="A196" s="8">
        <v>41401</v>
      </c>
      <c r="B196" s="29" t="s">
        <v>394</v>
      </c>
      <c r="C196" s="31"/>
      <c r="D196" s="31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 spans="1:26" ht="15.75" customHeight="1">
      <c r="A197" s="8">
        <v>41501</v>
      </c>
      <c r="B197" s="29" t="s">
        <v>219</v>
      </c>
      <c r="C197" s="31"/>
      <c r="D197" s="31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 spans="1:26" ht="15.75" customHeight="1">
      <c r="A198" s="8">
        <v>41502</v>
      </c>
      <c r="B198" s="29" t="s">
        <v>220</v>
      </c>
      <c r="C198" s="31"/>
      <c r="D198" s="31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 spans="1:26" ht="15.75" customHeight="1">
      <c r="A199" s="8">
        <v>41503</v>
      </c>
      <c r="B199" s="29" t="s">
        <v>221</v>
      </c>
      <c r="C199" s="31"/>
      <c r="D199" s="31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 spans="1:26" ht="15.75" customHeight="1">
      <c r="A200" s="8">
        <v>41601</v>
      </c>
      <c r="B200" s="29" t="s">
        <v>395</v>
      </c>
      <c r="C200" s="31"/>
      <c r="D200" s="31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 spans="1:26" ht="15.75" customHeight="1">
      <c r="A201" s="8">
        <v>50101</v>
      </c>
      <c r="B201" s="29" t="s">
        <v>223</v>
      </c>
      <c r="C201" s="31"/>
      <c r="D201" s="31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 spans="1:26" ht="15.75" customHeight="1">
      <c r="A202" s="8">
        <v>50102</v>
      </c>
      <c r="B202" s="29" t="s">
        <v>224</v>
      </c>
      <c r="C202" s="31"/>
      <c r="D202" s="31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 spans="1:26" ht="15.75" customHeight="1">
      <c r="A203" s="8">
        <v>50103</v>
      </c>
      <c r="B203" s="29" t="s">
        <v>225</v>
      </c>
      <c r="C203" s="31"/>
      <c r="D203" s="31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 spans="1:26" ht="15.75" customHeight="1">
      <c r="A204" s="8">
        <v>50104</v>
      </c>
      <c r="B204" s="29" t="s">
        <v>226</v>
      </c>
      <c r="C204" s="31"/>
      <c r="D204" s="31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 spans="1:26" ht="15.75" customHeight="1">
      <c r="A205" s="8">
        <v>50201</v>
      </c>
      <c r="B205" s="29" t="s">
        <v>396</v>
      </c>
      <c r="C205" s="31"/>
      <c r="D205" s="31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 spans="1:26" ht="15.75" customHeight="1">
      <c r="A206" s="8">
        <v>50202</v>
      </c>
      <c r="B206" s="29" t="s">
        <v>228</v>
      </c>
      <c r="C206" s="31"/>
      <c r="D206" s="31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 spans="1:26" ht="15.75" customHeight="1">
      <c r="A207" s="8">
        <v>50203</v>
      </c>
      <c r="B207" s="29" t="s">
        <v>229</v>
      </c>
      <c r="C207" s="31"/>
      <c r="D207" s="31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 spans="1:26" ht="15.75" customHeight="1">
      <c r="A208" s="8">
        <v>50204</v>
      </c>
      <c r="B208" s="29" t="s">
        <v>397</v>
      </c>
      <c r="C208" s="31"/>
      <c r="D208" s="31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 spans="1:26" ht="15.75" customHeight="1">
      <c r="A209" s="8">
        <v>50301</v>
      </c>
      <c r="B209" s="29" t="s">
        <v>231</v>
      </c>
      <c r="C209" s="31"/>
      <c r="D209" s="31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 spans="1:26" ht="15.75" customHeight="1">
      <c r="A210" s="8">
        <v>50302</v>
      </c>
      <c r="B210" s="29" t="s">
        <v>232</v>
      </c>
      <c r="C210" s="31"/>
      <c r="D210" s="31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 spans="1:26" ht="15.75" customHeight="1">
      <c r="A211" s="8">
        <v>50303</v>
      </c>
      <c r="B211" s="29" t="s">
        <v>233</v>
      </c>
      <c r="C211" s="31"/>
      <c r="D211" s="31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 spans="1:26" ht="15.75" customHeight="1">
      <c r="A212" s="8">
        <v>50401</v>
      </c>
      <c r="B212" s="29" t="s">
        <v>234</v>
      </c>
      <c r="C212" s="31"/>
      <c r="D212" s="31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 spans="1:26" ht="15.75" customHeight="1">
      <c r="A213" s="8">
        <v>50402</v>
      </c>
      <c r="B213" s="29" t="s">
        <v>235</v>
      </c>
      <c r="C213" s="31"/>
      <c r="D213" s="31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 spans="1:26" ht="15.75" customHeight="1">
      <c r="A214" s="8">
        <v>50403</v>
      </c>
      <c r="B214" s="29" t="s">
        <v>236</v>
      </c>
      <c r="C214" s="31"/>
      <c r="D214" s="31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 spans="1:26" ht="15.75" customHeight="1">
      <c r="A215" s="8">
        <v>50404</v>
      </c>
      <c r="B215" s="29" t="s">
        <v>237</v>
      </c>
      <c r="C215" s="31"/>
      <c r="D215" s="31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 spans="1:26" ht="15.75" customHeight="1">
      <c r="A216" s="23">
        <v>50405</v>
      </c>
      <c r="B216" s="29" t="s">
        <v>238</v>
      </c>
      <c r="C216" s="31"/>
      <c r="D216" s="31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 spans="1:26" ht="15.75" customHeight="1">
      <c r="A217" s="8">
        <v>50501</v>
      </c>
      <c r="B217" s="29" t="s">
        <v>315</v>
      </c>
      <c r="C217" s="31"/>
      <c r="D217" s="31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 spans="1:26" ht="15.75" customHeight="1">
      <c r="A218" s="8">
        <v>50502</v>
      </c>
      <c r="B218" s="29" t="s">
        <v>240</v>
      </c>
      <c r="C218" s="31"/>
      <c r="D218" s="31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 spans="1:26" ht="15.75" customHeight="1">
      <c r="A219" s="8">
        <v>50601</v>
      </c>
      <c r="B219" s="29" t="s">
        <v>241</v>
      </c>
      <c r="C219" s="31"/>
      <c r="D219" s="31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 spans="1:26" ht="15.75" customHeight="1">
      <c r="A220" s="8">
        <v>50602</v>
      </c>
      <c r="B220" s="29" t="s">
        <v>242</v>
      </c>
      <c r="C220" s="31"/>
      <c r="D220" s="31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 spans="1:26" ht="15.75" customHeight="1">
      <c r="A221" s="8">
        <v>50701</v>
      </c>
      <c r="B221" s="29" t="s">
        <v>398</v>
      </c>
      <c r="C221" s="31"/>
      <c r="D221" s="31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 spans="1:26" ht="15.75" customHeight="1">
      <c r="A222" s="8">
        <v>50702</v>
      </c>
      <c r="B222" s="29" t="s">
        <v>244</v>
      </c>
      <c r="C222" s="31"/>
      <c r="D222" s="31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 spans="1:26" ht="15.75" customHeight="1">
      <c r="A223" s="8">
        <v>50801</v>
      </c>
      <c r="B223" s="29" t="s">
        <v>245</v>
      </c>
      <c r="C223" s="31"/>
      <c r="D223" s="31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 spans="1:26" ht="15.75" customHeight="1">
      <c r="A224" s="8">
        <v>50802</v>
      </c>
      <c r="B224" s="29" t="s">
        <v>246</v>
      </c>
      <c r="C224" s="31"/>
      <c r="D224" s="31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 spans="1:26" ht="15.75" customHeight="1">
      <c r="A225" s="8">
        <v>50901</v>
      </c>
      <c r="B225" s="29" t="s">
        <v>247</v>
      </c>
      <c r="C225" s="31"/>
      <c r="D225" s="31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 spans="1:26" ht="15.75" customHeight="1">
      <c r="A226" s="8">
        <v>50902</v>
      </c>
      <c r="B226" s="29" t="s">
        <v>248</v>
      </c>
      <c r="C226" s="31"/>
      <c r="D226" s="31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 spans="1:26" ht="15.75" customHeight="1">
      <c r="A227" s="8">
        <v>51001</v>
      </c>
      <c r="B227" s="29" t="s">
        <v>399</v>
      </c>
      <c r="C227" s="31"/>
      <c r="D227" s="31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 spans="1:26" ht="15.75" customHeight="1">
      <c r="A228" s="8">
        <v>51002</v>
      </c>
      <c r="B228" s="29" t="s">
        <v>250</v>
      </c>
      <c r="C228" s="31"/>
      <c r="D228" s="31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 spans="1:26" ht="15.75" customHeight="1">
      <c r="A229" s="8">
        <v>51003</v>
      </c>
      <c r="B229" s="29" t="s">
        <v>251</v>
      </c>
      <c r="C229" s="31"/>
      <c r="D229" s="31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 spans="1:26" ht="15.75" customHeight="1">
      <c r="A230" s="8">
        <v>51101</v>
      </c>
      <c r="B230" s="29" t="s">
        <v>252</v>
      </c>
      <c r="C230" s="31"/>
      <c r="D230" s="31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 spans="1:26" ht="15.75" customHeight="1">
      <c r="A231" s="8">
        <v>51102</v>
      </c>
      <c r="B231" s="29" t="s">
        <v>253</v>
      </c>
      <c r="C231" s="31"/>
      <c r="D231" s="31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 spans="1:26" ht="15.75" customHeight="1">
      <c r="A232" s="8">
        <v>51103</v>
      </c>
      <c r="B232" s="29" t="s">
        <v>254</v>
      </c>
      <c r="C232" s="31"/>
      <c r="D232" s="31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 spans="1:26" ht="15.75" customHeight="1">
      <c r="A233" s="8">
        <v>51201</v>
      </c>
      <c r="B233" s="29" t="s">
        <v>255</v>
      </c>
      <c r="C233" s="31"/>
      <c r="D233" s="31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 spans="1:26" ht="15.75" customHeight="1">
      <c r="A234" s="8">
        <v>51202</v>
      </c>
      <c r="B234" s="29" t="s">
        <v>256</v>
      </c>
      <c r="C234" s="31"/>
      <c r="D234" s="31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 spans="1:26" ht="15.75" customHeight="1">
      <c r="A235" s="8">
        <v>51203</v>
      </c>
      <c r="B235" s="29" t="s">
        <v>257</v>
      </c>
      <c r="C235" s="31"/>
      <c r="D235" s="31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 spans="1:26" ht="15.75" customHeight="1">
      <c r="A236" s="23">
        <v>51204</v>
      </c>
      <c r="B236" s="29" t="s">
        <v>258</v>
      </c>
      <c r="C236" s="31"/>
      <c r="D236" s="31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 spans="1:26" ht="15.75" customHeight="1">
      <c r="A237" s="8">
        <v>51301</v>
      </c>
      <c r="B237" s="29" t="s">
        <v>259</v>
      </c>
      <c r="C237" s="31"/>
      <c r="D237" s="31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 spans="1:26" ht="15.75" customHeight="1">
      <c r="A238" s="8">
        <v>51302</v>
      </c>
      <c r="B238" s="29" t="s">
        <v>260</v>
      </c>
      <c r="C238" s="31"/>
      <c r="D238" s="31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 spans="1:26" ht="15.75" customHeight="1">
      <c r="A239" s="8">
        <v>51401</v>
      </c>
      <c r="B239" s="29" t="s">
        <v>261</v>
      </c>
      <c r="C239" s="31"/>
      <c r="D239" s="31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 spans="1:26" ht="15.75" customHeight="1">
      <c r="A240" s="8">
        <v>51402</v>
      </c>
      <c r="B240" s="29" t="s">
        <v>262</v>
      </c>
      <c r="C240" s="31"/>
      <c r="D240" s="31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 spans="1:26" ht="15.75" customHeight="1">
      <c r="A241" s="8">
        <v>51501</v>
      </c>
      <c r="B241" s="29" t="s">
        <v>263</v>
      </c>
      <c r="C241" s="31"/>
      <c r="D241" s="31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 spans="1:26" ht="15.75" customHeight="1">
      <c r="A242" s="8">
        <v>51601</v>
      </c>
      <c r="B242" s="29" t="s">
        <v>264</v>
      </c>
      <c r="C242" s="31"/>
      <c r="D242" s="31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 spans="1:26" ht="15.75" customHeight="1">
      <c r="A243" s="8">
        <v>60101</v>
      </c>
      <c r="B243" s="29" t="s">
        <v>265</v>
      </c>
      <c r="C243" s="31"/>
      <c r="D243" s="31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 spans="1:26" ht="15.75" customHeight="1">
      <c r="A244" s="8">
        <v>60201</v>
      </c>
      <c r="B244" s="29" t="s">
        <v>266</v>
      </c>
      <c r="C244" s="31"/>
      <c r="D244" s="31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 spans="1:26" ht="15.75" customHeight="1">
      <c r="A245" s="8">
        <v>60202</v>
      </c>
      <c r="B245" s="29" t="s">
        <v>267</v>
      </c>
      <c r="C245" s="31"/>
      <c r="D245" s="31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 spans="1:26" ht="15.75" customHeight="1">
      <c r="A246" s="8">
        <v>60301</v>
      </c>
      <c r="B246" s="29" t="s">
        <v>268</v>
      </c>
      <c r="C246" s="31"/>
      <c r="D246" s="31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 spans="1:26" ht="15.75" customHeight="1">
      <c r="A247" s="8">
        <v>60302</v>
      </c>
      <c r="B247" s="29" t="s">
        <v>269</v>
      </c>
      <c r="C247" s="31"/>
      <c r="D247" s="31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 spans="1:26" ht="15.75" customHeight="1">
      <c r="A248" s="8">
        <v>60303</v>
      </c>
      <c r="B248" s="29" t="s">
        <v>400</v>
      </c>
      <c r="C248" s="31"/>
      <c r="D248" s="31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 spans="1:26" ht="15.75" customHeight="1">
      <c r="A249" s="8">
        <v>60401</v>
      </c>
      <c r="B249" s="29" t="s">
        <v>271</v>
      </c>
      <c r="C249" s="31"/>
      <c r="D249" s="31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 spans="1:26" ht="15.75" customHeight="1">
      <c r="A250" s="8">
        <v>60402</v>
      </c>
      <c r="B250" s="29" t="s">
        <v>272</v>
      </c>
      <c r="C250" s="31"/>
      <c r="D250" s="31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 spans="1:26" ht="15.75" customHeight="1">
      <c r="A251" s="8">
        <v>60501</v>
      </c>
      <c r="B251" s="29" t="s">
        <v>355</v>
      </c>
      <c r="C251" s="31"/>
      <c r="D251" s="31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 spans="1:26" ht="15.75" customHeight="1">
      <c r="A252" s="8">
        <v>60502</v>
      </c>
      <c r="B252" s="29" t="s">
        <v>274</v>
      </c>
      <c r="C252" s="31"/>
      <c r="D252" s="31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 spans="1:26" ht="15.75" customHeight="1">
      <c r="A253" s="8">
        <v>60601</v>
      </c>
      <c r="B253" s="29" t="s">
        <v>175</v>
      </c>
      <c r="C253" s="31"/>
      <c r="D253" s="31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 spans="1:26" ht="15.75" customHeight="1">
      <c r="A254" s="8">
        <v>70101</v>
      </c>
      <c r="B254" s="29" t="s">
        <v>275</v>
      </c>
      <c r="C254" s="31"/>
      <c r="D254" s="31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 spans="1:26" ht="15.75" customHeight="1">
      <c r="A255" s="8">
        <v>70102</v>
      </c>
      <c r="B255" s="29" t="s">
        <v>276</v>
      </c>
      <c r="C255" s="31"/>
      <c r="D255" s="31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 spans="1:26" ht="15.75" customHeight="1">
      <c r="A256" s="8">
        <v>70103</v>
      </c>
      <c r="B256" s="29" t="s">
        <v>277</v>
      </c>
      <c r="C256" s="31"/>
      <c r="D256" s="31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 spans="1:26" ht="15.75" customHeight="1">
      <c r="A257" s="8">
        <v>70104</v>
      </c>
      <c r="B257" s="29" t="s">
        <v>278</v>
      </c>
      <c r="C257" s="31"/>
      <c r="D257" s="31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 spans="1:26" ht="15.75" customHeight="1">
      <c r="A258" s="8">
        <v>70105</v>
      </c>
      <c r="B258" s="29" t="s">
        <v>279</v>
      </c>
      <c r="C258" s="31"/>
      <c r="D258" s="31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 spans="1:26" ht="15.75" customHeight="1">
      <c r="A259" s="8">
        <v>70201</v>
      </c>
      <c r="B259" s="29" t="s">
        <v>280</v>
      </c>
      <c r="C259" s="31"/>
      <c r="D259" s="31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 spans="1:26" ht="15.75" customHeight="1">
      <c r="A260" s="8">
        <v>70202</v>
      </c>
      <c r="B260" s="29" t="s">
        <v>281</v>
      </c>
      <c r="C260" s="31"/>
      <c r="D260" s="31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 spans="1:26" ht="15.75" customHeight="1">
      <c r="A261" s="8">
        <v>70301</v>
      </c>
      <c r="B261" s="29" t="s">
        <v>339</v>
      </c>
      <c r="C261" s="31"/>
      <c r="D261" s="31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 spans="1:26" ht="15.75" customHeight="1">
      <c r="A262" s="8">
        <v>70302</v>
      </c>
      <c r="B262" s="29" t="s">
        <v>401</v>
      </c>
      <c r="C262" s="31"/>
      <c r="D262" s="31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 spans="1:26" ht="15.75" customHeight="1">
      <c r="A263" s="8">
        <v>70303</v>
      </c>
      <c r="B263" s="29" t="s">
        <v>284</v>
      </c>
      <c r="C263" s="31"/>
      <c r="D263" s="31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 spans="1:26" ht="15.75" customHeight="1">
      <c r="A264" s="8">
        <v>70401</v>
      </c>
      <c r="B264" s="29" t="s">
        <v>285</v>
      </c>
      <c r="C264" s="31"/>
      <c r="D264" s="31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 spans="1:26" ht="15.75" customHeight="1">
      <c r="A265" s="8">
        <v>70402</v>
      </c>
      <c r="B265" s="29" t="s">
        <v>286</v>
      </c>
      <c r="C265" s="31"/>
      <c r="D265" s="31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 spans="1:26" ht="15.75" customHeight="1">
      <c r="A266" s="8">
        <v>70403</v>
      </c>
      <c r="B266" s="29" t="s">
        <v>287</v>
      </c>
      <c r="C266" s="31"/>
      <c r="D266" s="31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 spans="1:26" ht="15.75" customHeight="1">
      <c r="A267" s="8">
        <v>70404</v>
      </c>
      <c r="B267" s="29" t="s">
        <v>402</v>
      </c>
      <c r="C267" s="31"/>
      <c r="D267" s="31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 spans="1:26" ht="15.75" customHeight="1">
      <c r="A268" s="8">
        <v>70501</v>
      </c>
      <c r="B268" s="29" t="s">
        <v>403</v>
      </c>
      <c r="C268" s="31"/>
      <c r="D268" s="31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 spans="1:26" ht="15.75" customHeight="1">
      <c r="A269" s="8">
        <v>70502</v>
      </c>
      <c r="B269" s="29" t="s">
        <v>290</v>
      </c>
      <c r="C269" s="31"/>
      <c r="D269" s="31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 spans="1:26" ht="15.75" customHeight="1">
      <c r="A270" s="8">
        <v>70503</v>
      </c>
      <c r="B270" s="29" t="s">
        <v>291</v>
      </c>
      <c r="C270" s="31"/>
      <c r="D270" s="31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 spans="1:26" ht="15.75" customHeight="1">
      <c r="A271" s="8">
        <v>70601</v>
      </c>
      <c r="B271" s="29" t="s">
        <v>292</v>
      </c>
      <c r="C271" s="31"/>
      <c r="D271" s="31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 spans="1:26" ht="15.75" customHeight="1">
      <c r="A272" s="8">
        <v>70602</v>
      </c>
      <c r="B272" s="29" t="s">
        <v>335</v>
      </c>
      <c r="C272" s="31"/>
      <c r="D272" s="31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 spans="1:26" ht="15.75" customHeight="1">
      <c r="A273" s="8">
        <v>70603</v>
      </c>
      <c r="B273" s="29" t="s">
        <v>404</v>
      </c>
      <c r="C273" s="31"/>
      <c r="D273" s="31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 spans="1:26" ht="15.75" customHeight="1">
      <c r="A274" s="8">
        <v>70701</v>
      </c>
      <c r="B274" s="29" t="s">
        <v>295</v>
      </c>
      <c r="C274" s="31"/>
      <c r="D274" s="31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 spans="1:26" ht="15.75" customHeight="1">
      <c r="A275" s="8">
        <v>70702</v>
      </c>
      <c r="B275" s="29" t="s">
        <v>405</v>
      </c>
      <c r="C275" s="31"/>
      <c r="D275" s="31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 spans="1:26" ht="15.75" customHeight="1">
      <c r="A276" s="8">
        <v>70703</v>
      </c>
      <c r="B276" s="29" t="s">
        <v>297</v>
      </c>
      <c r="C276" s="31"/>
      <c r="D276" s="31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 spans="1:26" ht="15.75" customHeight="1">
      <c r="A277" s="8">
        <v>70704</v>
      </c>
      <c r="B277" s="29" t="s">
        <v>406</v>
      </c>
      <c r="C277" s="31"/>
      <c r="D277" s="31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 spans="1:26" ht="15.75" customHeight="1">
      <c r="A278" s="8">
        <v>70705</v>
      </c>
      <c r="B278" s="29" t="s">
        <v>407</v>
      </c>
      <c r="C278" s="31"/>
      <c r="D278" s="31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 spans="1:26" ht="15.75" customHeight="1">
      <c r="A279" s="8">
        <v>70706</v>
      </c>
      <c r="B279" s="29" t="s">
        <v>300</v>
      </c>
      <c r="C279" s="31"/>
      <c r="D279" s="31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 spans="1:26" ht="15.75" customHeight="1">
      <c r="A280" s="8">
        <v>70707</v>
      </c>
      <c r="B280" s="29" t="s">
        <v>301</v>
      </c>
      <c r="C280" s="31"/>
      <c r="D280" s="31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 spans="1:26" ht="15.75" customHeight="1">
      <c r="A281" s="8">
        <v>70801</v>
      </c>
      <c r="B281" s="29" t="s">
        <v>302</v>
      </c>
      <c r="C281" s="31"/>
      <c r="D281" s="31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 spans="1:26" ht="15.75" customHeight="1">
      <c r="A282" s="8">
        <v>70802</v>
      </c>
      <c r="B282" s="29" t="s">
        <v>408</v>
      </c>
      <c r="C282" s="31"/>
      <c r="D282" s="31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 spans="1:26" ht="15.75" customHeight="1">
      <c r="A283" s="8">
        <v>70803</v>
      </c>
      <c r="B283" s="29" t="s">
        <v>409</v>
      </c>
      <c r="C283" s="31"/>
      <c r="D283" s="31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</row>
    <row r="284" spans="1:26" ht="15.75" customHeight="1">
      <c r="A284" s="8">
        <v>70804</v>
      </c>
      <c r="B284" s="29" t="s">
        <v>410</v>
      </c>
      <c r="C284" s="31"/>
      <c r="D284" s="31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 spans="1:26" ht="15.75" customHeight="1">
      <c r="A285" s="8">
        <v>70805</v>
      </c>
      <c r="B285" s="29" t="s">
        <v>306</v>
      </c>
      <c r="C285" s="31"/>
      <c r="D285" s="31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 spans="1:26" ht="15.75" customHeight="1">
      <c r="A286" s="8">
        <v>70901</v>
      </c>
      <c r="B286" s="29" t="s">
        <v>307</v>
      </c>
      <c r="C286" s="31"/>
      <c r="D286" s="31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 spans="1:26" ht="15.75" customHeight="1">
      <c r="A287" s="8">
        <v>70902</v>
      </c>
      <c r="B287" s="29" t="s">
        <v>411</v>
      </c>
      <c r="C287" s="31"/>
      <c r="D287" s="31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 spans="1:26" ht="15.75" customHeight="1">
      <c r="A288" s="8">
        <v>70903</v>
      </c>
      <c r="B288" s="29" t="s">
        <v>309</v>
      </c>
      <c r="C288" s="31"/>
      <c r="D288" s="31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 spans="1:26" ht="15.75" customHeight="1">
      <c r="A289" s="8">
        <v>70904</v>
      </c>
      <c r="B289" s="29" t="s">
        <v>310</v>
      </c>
      <c r="C289" s="31"/>
      <c r="D289" s="31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 spans="1:26" ht="15.75" customHeight="1">
      <c r="A290" s="8">
        <v>71001</v>
      </c>
      <c r="B290" s="29" t="s">
        <v>311</v>
      </c>
      <c r="C290" s="31"/>
      <c r="D290" s="31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</row>
    <row r="291" spans="1:26" ht="15.75" customHeight="1">
      <c r="A291" s="8">
        <v>71002</v>
      </c>
      <c r="B291" s="29" t="s">
        <v>412</v>
      </c>
      <c r="C291" s="31"/>
      <c r="D291" s="31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 spans="1:26" ht="15.75" customHeight="1">
      <c r="A292" s="8">
        <v>71003</v>
      </c>
      <c r="B292" s="29" t="s">
        <v>313</v>
      </c>
      <c r="C292" s="31"/>
      <c r="D292" s="31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</row>
    <row r="293" spans="1:26" ht="15.75" customHeight="1">
      <c r="A293" s="8">
        <v>71004</v>
      </c>
      <c r="B293" s="29" t="s">
        <v>413</v>
      </c>
      <c r="C293" s="31"/>
      <c r="D293" s="31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 spans="1:26" ht="15.75" customHeight="1">
      <c r="A294" s="8">
        <v>71005</v>
      </c>
      <c r="B294" s="29" t="s">
        <v>315</v>
      </c>
      <c r="C294" s="31"/>
      <c r="D294" s="31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 spans="1:26" ht="15.75" customHeight="1">
      <c r="A295" s="8">
        <v>71101</v>
      </c>
      <c r="B295" s="29" t="s">
        <v>316</v>
      </c>
      <c r="C295" s="31"/>
      <c r="D295" s="31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 spans="1:26" ht="15.75" customHeight="1">
      <c r="A296" s="8">
        <v>71102</v>
      </c>
      <c r="B296" s="29" t="s">
        <v>317</v>
      </c>
      <c r="C296" s="31"/>
      <c r="D296" s="31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 spans="1:26" ht="15.75" customHeight="1">
      <c r="A297" s="8">
        <v>71103</v>
      </c>
      <c r="B297" s="29" t="s">
        <v>318</v>
      </c>
      <c r="C297" s="31"/>
      <c r="D297" s="31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 spans="1:26" ht="15.75" customHeight="1">
      <c r="A298" s="8">
        <v>71104</v>
      </c>
      <c r="B298" s="29" t="s">
        <v>319</v>
      </c>
      <c r="C298" s="31"/>
      <c r="D298" s="31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 spans="1:26" ht="15.75" customHeight="1">
      <c r="A299" s="8">
        <v>71105</v>
      </c>
      <c r="B299" s="29" t="s">
        <v>414</v>
      </c>
      <c r="C299" s="31"/>
      <c r="D299" s="31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 spans="1:26" ht="15.75" customHeight="1">
      <c r="A300" s="8">
        <v>71106</v>
      </c>
      <c r="B300" s="29" t="s">
        <v>321</v>
      </c>
      <c r="C300" s="31"/>
      <c r="D300" s="31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 spans="1:26" ht="15.75" customHeight="1">
      <c r="A301" s="8">
        <v>71201</v>
      </c>
      <c r="B301" s="29" t="s">
        <v>322</v>
      </c>
      <c r="C301" s="31"/>
      <c r="D301" s="31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 spans="1:26" ht="15.75" customHeight="1">
      <c r="A302" s="8">
        <v>71301</v>
      </c>
      <c r="B302" s="29" t="s">
        <v>323</v>
      </c>
      <c r="C302" s="31"/>
      <c r="D302" s="31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 spans="1:26" ht="15.75" customHeight="1">
      <c r="A303" s="8">
        <v>71302</v>
      </c>
      <c r="B303" s="29" t="s">
        <v>324</v>
      </c>
      <c r="C303" s="31"/>
      <c r="D303" s="31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 spans="1:26" ht="15.75" customHeight="1">
      <c r="A304" s="8">
        <v>71401</v>
      </c>
      <c r="B304" s="29" t="s">
        <v>325</v>
      </c>
      <c r="C304" s="31"/>
      <c r="D304" s="31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 spans="1:26" ht="15.75" customHeight="1">
      <c r="A305" s="8">
        <v>71402</v>
      </c>
      <c r="B305" s="29" t="s">
        <v>326</v>
      </c>
      <c r="C305" s="31"/>
      <c r="D305" s="31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 spans="1:26" ht="15.75" customHeight="1">
      <c r="A306" s="8">
        <v>71403</v>
      </c>
      <c r="B306" s="29" t="s">
        <v>415</v>
      </c>
      <c r="C306" s="31"/>
      <c r="D306" s="31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 spans="1:26" ht="15.75" customHeight="1">
      <c r="A307" s="8">
        <v>71501</v>
      </c>
      <c r="B307" s="29" t="s">
        <v>416</v>
      </c>
      <c r="C307" s="31"/>
      <c r="D307" s="31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 spans="1:26" ht="15.75" customHeight="1">
      <c r="A308" s="8">
        <v>71502</v>
      </c>
      <c r="B308" s="29" t="s">
        <v>329</v>
      </c>
      <c r="C308" s="31"/>
      <c r="D308" s="31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 spans="1:26" ht="15.75" customHeight="1">
      <c r="A309" s="8">
        <v>71503</v>
      </c>
      <c r="B309" s="29" t="s">
        <v>274</v>
      </c>
      <c r="C309" s="31"/>
      <c r="D309" s="31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</row>
    <row r="310" spans="1:26" ht="15.75" customHeight="1">
      <c r="A310" s="8">
        <v>80101</v>
      </c>
      <c r="B310" s="29" t="s">
        <v>330</v>
      </c>
      <c r="C310" s="31"/>
      <c r="D310" s="31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 spans="1:26" ht="15.75" customHeight="1">
      <c r="A311" s="8">
        <v>80102</v>
      </c>
      <c r="B311" s="29" t="s">
        <v>317</v>
      </c>
      <c r="C311" s="31"/>
      <c r="D311" s="31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 spans="1:26" ht="15.75" customHeight="1">
      <c r="A312" s="8">
        <v>80201</v>
      </c>
      <c r="B312" s="29" t="s">
        <v>331</v>
      </c>
      <c r="C312" s="31"/>
      <c r="D312" s="31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 spans="1:26" ht="15.75" customHeight="1">
      <c r="A313" s="8">
        <v>80202</v>
      </c>
      <c r="B313" s="29" t="s">
        <v>332</v>
      </c>
      <c r="C313" s="31"/>
      <c r="D313" s="31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 spans="1:26" ht="15.75" customHeight="1">
      <c r="A314" s="8">
        <v>80301</v>
      </c>
      <c r="B314" s="29" t="s">
        <v>333</v>
      </c>
      <c r="C314" s="31"/>
      <c r="D314" s="31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 spans="1:26" ht="15.75" customHeight="1">
      <c r="A315" s="8">
        <v>80302</v>
      </c>
      <c r="B315" s="29" t="s">
        <v>334</v>
      </c>
      <c r="C315" s="31"/>
      <c r="D315" s="31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</row>
    <row r="316" spans="1:26" ht="15.75" customHeight="1">
      <c r="A316" s="8">
        <v>80303</v>
      </c>
      <c r="B316" s="29" t="s">
        <v>335</v>
      </c>
      <c r="C316" s="31"/>
      <c r="D316" s="31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</row>
    <row r="317" spans="1:26" ht="15.75" customHeight="1">
      <c r="A317" s="8">
        <v>80304</v>
      </c>
      <c r="B317" s="29" t="s">
        <v>417</v>
      </c>
      <c r="C317" s="31"/>
      <c r="D317" s="31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</row>
    <row r="318" spans="1:26" ht="15.75" customHeight="1">
      <c r="A318" s="8">
        <v>80401</v>
      </c>
      <c r="B318" s="29" t="s">
        <v>418</v>
      </c>
      <c r="C318" s="31"/>
      <c r="D318" s="31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</row>
    <row r="319" spans="1:26" ht="15.75" customHeight="1">
      <c r="A319" s="8">
        <v>80402</v>
      </c>
      <c r="B319" s="29" t="s">
        <v>338</v>
      </c>
      <c r="C319" s="31"/>
      <c r="D319" s="31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</row>
    <row r="320" spans="1:26" ht="15.75" customHeight="1">
      <c r="A320" s="8">
        <v>80501</v>
      </c>
      <c r="B320" s="29" t="s">
        <v>339</v>
      </c>
      <c r="C320" s="31"/>
      <c r="D320" s="31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</row>
    <row r="321" spans="1:26" ht="15.75" customHeight="1">
      <c r="A321" s="8">
        <v>80601</v>
      </c>
      <c r="B321" s="29" t="s">
        <v>340</v>
      </c>
      <c r="C321" s="31"/>
      <c r="D321" s="31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</row>
    <row r="322" spans="1:26" ht="15.75" customHeight="1">
      <c r="A322" s="8">
        <v>80602</v>
      </c>
      <c r="B322" s="29" t="s">
        <v>341</v>
      </c>
      <c r="C322" s="31"/>
      <c r="D322" s="31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</row>
    <row r="323" spans="1:26" ht="15.75" customHeight="1">
      <c r="A323" s="8">
        <v>80701</v>
      </c>
      <c r="B323" s="29" t="s">
        <v>342</v>
      </c>
      <c r="C323" s="31"/>
      <c r="D323" s="31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</row>
    <row r="324" spans="1:26" ht="15.75" customHeight="1">
      <c r="A324" s="8">
        <v>80702</v>
      </c>
      <c r="B324" s="29" t="s">
        <v>318</v>
      </c>
      <c r="C324" s="31"/>
      <c r="D324" s="31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</row>
    <row r="325" spans="1:26" ht="15.75" customHeight="1">
      <c r="A325" s="8">
        <v>80703</v>
      </c>
      <c r="B325" s="29" t="s">
        <v>343</v>
      </c>
      <c r="C325" s="31"/>
      <c r="D325" s="31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</row>
    <row r="326" spans="1:26" ht="15.75" customHeight="1">
      <c r="A326" s="8">
        <v>80801</v>
      </c>
      <c r="B326" s="29" t="s">
        <v>344</v>
      </c>
      <c r="C326" s="31"/>
      <c r="D326" s="31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</row>
    <row r="327" spans="1:26" ht="15.75" customHeight="1">
      <c r="A327" s="8">
        <v>80802</v>
      </c>
      <c r="B327" s="29" t="s">
        <v>345</v>
      </c>
      <c r="C327" s="31"/>
      <c r="D327" s="31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</row>
    <row r="328" spans="1:26" ht="15.75" customHeight="1">
      <c r="A328" s="8">
        <v>80803</v>
      </c>
      <c r="B328" s="29" t="s">
        <v>346</v>
      </c>
      <c r="C328" s="31"/>
      <c r="D328" s="31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</row>
    <row r="329" spans="1:26" ht="15.75" customHeight="1">
      <c r="A329" s="23">
        <v>80901</v>
      </c>
      <c r="B329" s="29" t="s">
        <v>347</v>
      </c>
      <c r="C329" s="31"/>
      <c r="D329" s="31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</row>
    <row r="330" spans="1:26" ht="15.75" customHeight="1">
      <c r="A330" s="8">
        <v>90101</v>
      </c>
      <c r="B330" s="29" t="s">
        <v>419</v>
      </c>
      <c r="C330" s="31"/>
      <c r="D330" s="31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</row>
    <row r="331" spans="1:26" ht="15.75" customHeight="1">
      <c r="A331" s="8">
        <v>90102</v>
      </c>
      <c r="B331" s="29" t="s">
        <v>349</v>
      </c>
      <c r="C331" s="31"/>
      <c r="D331" s="31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</row>
    <row r="332" spans="1:26" ht="15.75" customHeight="1">
      <c r="A332" s="8">
        <v>90103</v>
      </c>
      <c r="B332" s="29" t="s">
        <v>350</v>
      </c>
      <c r="C332" s="31"/>
      <c r="D332" s="31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</row>
    <row r="333" spans="1:26" ht="15.75" customHeight="1">
      <c r="A333" s="8">
        <v>90104</v>
      </c>
      <c r="B333" s="29" t="s">
        <v>351</v>
      </c>
      <c r="C333" s="31"/>
      <c r="D333" s="31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 spans="1:26" ht="15.75" customHeight="1">
      <c r="A334" s="8">
        <v>90201</v>
      </c>
      <c r="B334" s="29" t="s">
        <v>420</v>
      </c>
      <c r="C334" s="31"/>
      <c r="D334" s="31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 spans="1:26" ht="15.75" customHeight="1">
      <c r="A335" s="8">
        <v>90202</v>
      </c>
      <c r="B335" s="29" t="s">
        <v>315</v>
      </c>
      <c r="C335" s="31"/>
      <c r="D335" s="31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</row>
    <row r="336" spans="1:26" ht="15.75" customHeight="1">
      <c r="A336" s="8">
        <v>90203</v>
      </c>
      <c r="B336" s="29" t="s">
        <v>353</v>
      </c>
      <c r="C336" s="31"/>
      <c r="D336" s="31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</row>
    <row r="337" spans="1:26" ht="15.75" customHeight="1">
      <c r="A337" s="8">
        <v>90301</v>
      </c>
      <c r="B337" s="29" t="s">
        <v>421</v>
      </c>
      <c r="C337" s="31"/>
      <c r="D337" s="31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</row>
    <row r="338" spans="1:26" ht="15.75" customHeight="1">
      <c r="A338" s="8">
        <v>90302</v>
      </c>
      <c r="B338" s="29" t="s">
        <v>355</v>
      </c>
      <c r="C338" s="31"/>
      <c r="D338" s="31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</row>
    <row r="339" spans="1:26" ht="15.75" customHeight="1">
      <c r="A339" s="8">
        <v>90303</v>
      </c>
      <c r="B339" s="29" t="s">
        <v>356</v>
      </c>
      <c r="C339" s="31"/>
      <c r="D339" s="31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 spans="1:26" ht="15.75" customHeight="1">
      <c r="A340" s="8">
        <v>90401</v>
      </c>
      <c r="B340" s="29" t="s">
        <v>335</v>
      </c>
      <c r="C340" s="31"/>
      <c r="D340" s="31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</row>
    <row r="341" spans="1:26" ht="15.75" customHeight="1">
      <c r="A341" s="8">
        <v>90402</v>
      </c>
      <c r="B341" s="29" t="s">
        <v>358</v>
      </c>
      <c r="C341" s="31"/>
      <c r="D341" s="31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</row>
    <row r="342" spans="1:26" ht="15.75" customHeight="1">
      <c r="A342" s="8">
        <v>90501</v>
      </c>
      <c r="B342" s="29" t="s">
        <v>359</v>
      </c>
      <c r="C342" s="31"/>
      <c r="D342" s="31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</row>
    <row r="343" spans="1:26" ht="15.75" customHeight="1">
      <c r="A343" s="8">
        <v>90502</v>
      </c>
      <c r="B343" s="29" t="s">
        <v>422</v>
      </c>
      <c r="C343" s="31"/>
      <c r="D343" s="31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</row>
    <row r="344" spans="1:26" ht="15.75" customHeight="1">
      <c r="A344" s="8">
        <v>90503</v>
      </c>
      <c r="B344" s="29" t="s">
        <v>361</v>
      </c>
      <c r="C344" s="31"/>
      <c r="D344" s="31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</row>
    <row r="345" spans="1:26" ht="15.75" customHeight="1">
      <c r="A345" s="14"/>
      <c r="B345" s="30"/>
      <c r="C345" s="31"/>
      <c r="D345" s="31"/>
    </row>
    <row r="346" spans="1:26" ht="15.75" customHeight="1">
      <c r="A346" s="14"/>
      <c r="B346" s="30"/>
      <c r="C346" s="31"/>
      <c r="D346" s="31"/>
    </row>
    <row r="347" spans="1:26" ht="15.75" customHeight="1">
      <c r="A347" s="14"/>
      <c r="B347" s="30"/>
      <c r="C347" s="31"/>
      <c r="D347" s="31"/>
    </row>
    <row r="348" spans="1:26" ht="15.75" customHeight="1">
      <c r="A348" s="14"/>
      <c r="B348" s="30"/>
      <c r="C348" s="31"/>
      <c r="D348" s="31"/>
    </row>
    <row r="349" spans="1:26" ht="15.75" customHeight="1">
      <c r="A349" s="14"/>
      <c r="B349" s="30"/>
      <c r="C349" s="31"/>
      <c r="D349" s="31"/>
    </row>
    <row r="350" spans="1:26" ht="15.75" customHeight="1">
      <c r="A350" s="14"/>
      <c r="B350" s="30"/>
      <c r="C350" s="31"/>
      <c r="D350" s="31"/>
    </row>
    <row r="351" spans="1:26" ht="15.75" customHeight="1">
      <c r="A351" s="14"/>
      <c r="B351" s="30"/>
      <c r="C351" s="31"/>
      <c r="D351" s="31"/>
    </row>
    <row r="352" spans="1:26" ht="15.75" customHeight="1">
      <c r="A352" s="14"/>
      <c r="B352" s="30"/>
      <c r="C352" s="31"/>
      <c r="D352" s="31"/>
    </row>
    <row r="353" spans="1:4" ht="15.75" customHeight="1">
      <c r="A353" s="14"/>
      <c r="B353" s="30"/>
      <c r="C353" s="31"/>
      <c r="D353" s="31"/>
    </row>
    <row r="354" spans="1:4" ht="15.75" customHeight="1">
      <c r="A354" s="14"/>
      <c r="B354" s="30"/>
      <c r="C354" s="31"/>
      <c r="D354" s="31"/>
    </row>
    <row r="355" spans="1:4" ht="15.75" customHeight="1">
      <c r="A355" s="14"/>
      <c r="B355" s="30"/>
      <c r="C355" s="31"/>
      <c r="D355" s="31"/>
    </row>
    <row r="356" spans="1:4" ht="15.75" customHeight="1">
      <c r="A356" s="14"/>
      <c r="B356" s="30"/>
      <c r="C356" s="31"/>
      <c r="D356" s="31"/>
    </row>
    <row r="357" spans="1:4" ht="15.75" customHeight="1">
      <c r="A357" s="14"/>
      <c r="B357" s="30"/>
      <c r="C357" s="31"/>
      <c r="D357" s="31"/>
    </row>
    <row r="358" spans="1:4" ht="15.75" customHeight="1">
      <c r="A358" s="14"/>
      <c r="B358" s="30"/>
      <c r="C358" s="31"/>
      <c r="D358" s="31"/>
    </row>
    <row r="359" spans="1:4" ht="15.75" customHeight="1">
      <c r="A359" s="14"/>
      <c r="B359" s="30"/>
      <c r="C359" s="31"/>
      <c r="D359" s="31"/>
    </row>
    <row r="360" spans="1:4" ht="15.75" customHeight="1">
      <c r="A360" s="14"/>
      <c r="B360" s="30"/>
      <c r="C360" s="31"/>
      <c r="D360" s="31"/>
    </row>
    <row r="361" spans="1:4" ht="15.75" customHeight="1">
      <c r="A361" s="14"/>
      <c r="B361" s="30"/>
      <c r="C361" s="31"/>
      <c r="D361" s="31"/>
    </row>
    <row r="362" spans="1:4" ht="15.75" customHeight="1">
      <c r="A362" s="14"/>
      <c r="B362" s="30"/>
      <c r="C362" s="31"/>
      <c r="D362" s="31"/>
    </row>
    <row r="363" spans="1:4" ht="15.75" customHeight="1">
      <c r="A363" s="14"/>
      <c r="B363" s="30"/>
      <c r="C363" s="31"/>
      <c r="D363" s="31"/>
    </row>
    <row r="364" spans="1:4" ht="15.75" customHeight="1">
      <c r="A364" s="14"/>
      <c r="B364" s="30"/>
      <c r="C364" s="31"/>
      <c r="D364" s="31"/>
    </row>
    <row r="365" spans="1:4" ht="15.75" customHeight="1">
      <c r="A365" s="14"/>
      <c r="B365" s="30"/>
      <c r="C365" s="31"/>
      <c r="D365" s="31"/>
    </row>
    <row r="366" spans="1:4" ht="15.75" customHeight="1">
      <c r="A366" s="14"/>
      <c r="B366" s="30"/>
      <c r="C366" s="31"/>
      <c r="D366" s="31"/>
    </row>
    <row r="367" spans="1:4" ht="15.75" customHeight="1">
      <c r="A367" s="14"/>
      <c r="B367" s="30"/>
      <c r="C367" s="31"/>
      <c r="D367" s="31"/>
    </row>
    <row r="368" spans="1:4" ht="15.75" customHeight="1">
      <c r="A368" s="14"/>
      <c r="B368" s="30"/>
      <c r="C368" s="31"/>
      <c r="D368" s="31"/>
    </row>
    <row r="369" spans="1:4" ht="15.75" customHeight="1">
      <c r="A369" s="14"/>
      <c r="B369" s="30"/>
      <c r="C369" s="31"/>
      <c r="D369" s="31"/>
    </row>
    <row r="370" spans="1:4" ht="15.75" customHeight="1">
      <c r="A370" s="14"/>
      <c r="B370" s="30"/>
      <c r="C370" s="31"/>
      <c r="D370" s="31"/>
    </row>
    <row r="371" spans="1:4" ht="15.75" customHeight="1">
      <c r="A371" s="14"/>
      <c r="B371" s="30"/>
      <c r="C371" s="31"/>
      <c r="D371" s="31"/>
    </row>
    <row r="372" spans="1:4" ht="15.75" customHeight="1">
      <c r="A372" s="14"/>
      <c r="B372" s="30"/>
      <c r="C372" s="31"/>
      <c r="D372" s="31"/>
    </row>
    <row r="373" spans="1:4" ht="15.75" customHeight="1">
      <c r="A373" s="14"/>
      <c r="B373" s="30"/>
      <c r="C373" s="31"/>
      <c r="D373" s="31"/>
    </row>
    <row r="374" spans="1:4" ht="15.75" customHeight="1">
      <c r="A374" s="14"/>
      <c r="B374" s="30"/>
      <c r="C374" s="31"/>
      <c r="D374" s="31"/>
    </row>
    <row r="375" spans="1:4" ht="15.75" customHeight="1">
      <c r="A375" s="14"/>
      <c r="B375" s="30"/>
      <c r="C375" s="31"/>
      <c r="D375" s="31"/>
    </row>
    <row r="376" spans="1:4" ht="15.75" customHeight="1">
      <c r="A376" s="14"/>
      <c r="B376" s="30"/>
      <c r="C376" s="31"/>
      <c r="D376" s="31"/>
    </row>
    <row r="377" spans="1:4" ht="15.75" customHeight="1">
      <c r="A377" s="14"/>
      <c r="B377" s="30"/>
      <c r="C377" s="31"/>
      <c r="D377" s="31"/>
    </row>
    <row r="378" spans="1:4" ht="15.75" customHeight="1">
      <c r="A378" s="14"/>
      <c r="B378" s="30"/>
      <c r="C378" s="31"/>
      <c r="D378" s="31"/>
    </row>
    <row r="379" spans="1:4" ht="15.75" customHeight="1">
      <c r="A379" s="14"/>
      <c r="B379" s="30"/>
      <c r="C379" s="31"/>
      <c r="D379" s="31"/>
    </row>
    <row r="380" spans="1:4" ht="15.75" customHeight="1">
      <c r="A380" s="14"/>
      <c r="B380" s="30"/>
      <c r="C380" s="31"/>
      <c r="D380" s="31"/>
    </row>
    <row r="381" spans="1:4" ht="15.75" customHeight="1">
      <c r="A381" s="14"/>
      <c r="B381" s="30"/>
      <c r="C381" s="31"/>
      <c r="D381" s="31"/>
    </row>
    <row r="382" spans="1:4" ht="15.75" customHeight="1">
      <c r="A382" s="14"/>
      <c r="B382" s="30"/>
      <c r="C382" s="31"/>
      <c r="D382" s="31"/>
    </row>
    <row r="383" spans="1:4" ht="15.75" customHeight="1">
      <c r="A383" s="14"/>
      <c r="B383" s="30"/>
      <c r="C383" s="31"/>
      <c r="D383" s="31"/>
    </row>
    <row r="384" spans="1:4" ht="15.75" customHeight="1">
      <c r="A384" s="14"/>
      <c r="B384" s="30"/>
      <c r="C384" s="31"/>
      <c r="D384" s="31"/>
    </row>
    <row r="385" spans="1:4" ht="15.75" customHeight="1">
      <c r="A385" s="14"/>
      <c r="B385" s="30"/>
      <c r="C385" s="31"/>
      <c r="D385" s="31"/>
    </row>
    <row r="386" spans="1:4" ht="15.75" customHeight="1">
      <c r="A386" s="14"/>
      <c r="B386" s="30"/>
      <c r="C386" s="31"/>
      <c r="D386" s="31"/>
    </row>
    <row r="387" spans="1:4" ht="15.75" customHeight="1">
      <c r="A387" s="14"/>
      <c r="B387" s="30"/>
      <c r="C387" s="31"/>
      <c r="D387" s="31"/>
    </row>
    <row r="388" spans="1:4" ht="15.75" customHeight="1">
      <c r="A388" s="14"/>
      <c r="B388" s="30"/>
      <c r="C388" s="31"/>
      <c r="D388" s="31"/>
    </row>
    <row r="389" spans="1:4" ht="15.75" customHeight="1">
      <c r="A389" s="14"/>
      <c r="B389" s="30"/>
      <c r="C389" s="31"/>
      <c r="D389" s="31"/>
    </row>
    <row r="390" spans="1:4" ht="15.75" customHeight="1">
      <c r="A390" s="14"/>
      <c r="B390" s="30"/>
      <c r="C390" s="31"/>
      <c r="D390" s="31"/>
    </row>
    <row r="391" spans="1:4" ht="15.75" customHeight="1">
      <c r="A391" s="14"/>
      <c r="B391" s="30"/>
      <c r="C391" s="31"/>
      <c r="D391" s="31"/>
    </row>
    <row r="392" spans="1:4" ht="15.75" customHeight="1">
      <c r="A392" s="14"/>
      <c r="B392" s="30"/>
      <c r="C392" s="31"/>
      <c r="D392" s="31"/>
    </row>
    <row r="393" spans="1:4" ht="15.75" customHeight="1">
      <c r="A393" s="14"/>
      <c r="B393" s="30"/>
      <c r="C393" s="31"/>
      <c r="D393" s="31"/>
    </row>
    <row r="394" spans="1:4" ht="15.75" customHeight="1">
      <c r="A394" s="14"/>
      <c r="B394" s="30"/>
      <c r="C394" s="31"/>
      <c r="D394" s="31"/>
    </row>
    <row r="395" spans="1:4" ht="15.75" customHeight="1">
      <c r="A395" s="14"/>
      <c r="B395" s="30"/>
      <c r="C395" s="31"/>
      <c r="D395" s="31"/>
    </row>
    <row r="396" spans="1:4" ht="15.75" customHeight="1">
      <c r="A396" s="14"/>
      <c r="B396" s="30"/>
      <c r="C396" s="31"/>
      <c r="D396" s="31"/>
    </row>
    <row r="397" spans="1:4" ht="15.75" customHeight="1">
      <c r="A397" s="14"/>
      <c r="B397" s="30"/>
      <c r="C397" s="31"/>
      <c r="D397" s="31"/>
    </row>
    <row r="398" spans="1:4" ht="15.75" customHeight="1">
      <c r="A398" s="14"/>
      <c r="B398" s="30"/>
      <c r="C398" s="31"/>
      <c r="D398" s="31"/>
    </row>
    <row r="399" spans="1:4" ht="15.75" customHeight="1">
      <c r="A399" s="14"/>
      <c r="B399" s="30"/>
      <c r="C399" s="31"/>
      <c r="D399" s="31"/>
    </row>
    <row r="400" spans="1:4" ht="15.75" customHeight="1">
      <c r="A400" s="14"/>
      <c r="B400" s="30"/>
      <c r="C400" s="31"/>
      <c r="D400" s="31"/>
    </row>
    <row r="401" spans="1:4" ht="15.75" customHeight="1">
      <c r="A401" s="14"/>
      <c r="B401" s="30"/>
      <c r="C401" s="31"/>
      <c r="D401" s="31"/>
    </row>
    <row r="402" spans="1:4" ht="15.75" customHeight="1">
      <c r="A402" s="14"/>
      <c r="B402" s="30"/>
      <c r="C402" s="31"/>
      <c r="D402" s="31"/>
    </row>
    <row r="403" spans="1:4" ht="15.75" customHeight="1">
      <c r="A403" s="14"/>
      <c r="B403" s="30"/>
      <c r="C403" s="31"/>
      <c r="D403" s="31"/>
    </row>
    <row r="404" spans="1:4" ht="15.75" customHeight="1">
      <c r="A404" s="14"/>
      <c r="B404" s="30"/>
      <c r="C404" s="31"/>
      <c r="D404" s="31"/>
    </row>
    <row r="405" spans="1:4" ht="15.75" customHeight="1">
      <c r="A405" s="14"/>
      <c r="B405" s="30"/>
      <c r="C405" s="31"/>
      <c r="D405" s="31"/>
    </row>
    <row r="406" spans="1:4" ht="15.75" customHeight="1">
      <c r="A406" s="14"/>
      <c r="B406" s="30"/>
      <c r="C406" s="31"/>
      <c r="D406" s="31"/>
    </row>
    <row r="407" spans="1:4" ht="15.75" customHeight="1">
      <c r="A407" s="14"/>
      <c r="B407" s="30"/>
      <c r="C407" s="31"/>
      <c r="D407" s="31"/>
    </row>
    <row r="408" spans="1:4" ht="15.75" customHeight="1">
      <c r="A408" s="14"/>
      <c r="B408" s="30"/>
      <c r="C408" s="31"/>
      <c r="D408" s="31"/>
    </row>
    <row r="409" spans="1:4" ht="15.75" customHeight="1">
      <c r="A409" s="14"/>
      <c r="B409" s="30"/>
      <c r="C409" s="31"/>
      <c r="D409" s="31"/>
    </row>
    <row r="410" spans="1:4" ht="15.75" customHeight="1">
      <c r="A410" s="14"/>
      <c r="B410" s="30"/>
      <c r="C410" s="31"/>
      <c r="D410" s="31"/>
    </row>
    <row r="411" spans="1:4" ht="15.75" customHeight="1">
      <c r="A411" s="14"/>
      <c r="B411" s="30"/>
      <c r="C411" s="31"/>
      <c r="D411" s="31"/>
    </row>
    <row r="412" spans="1:4" ht="15.75" customHeight="1">
      <c r="A412" s="14"/>
      <c r="B412" s="30"/>
      <c r="C412" s="31"/>
      <c r="D412" s="31"/>
    </row>
    <row r="413" spans="1:4" ht="15.75" customHeight="1">
      <c r="A413" s="14"/>
      <c r="B413" s="30"/>
      <c r="C413" s="31"/>
      <c r="D413" s="31"/>
    </row>
    <row r="414" spans="1:4" ht="15.75" customHeight="1">
      <c r="A414" s="14"/>
      <c r="B414" s="30"/>
      <c r="C414" s="31"/>
      <c r="D414" s="31"/>
    </row>
    <row r="415" spans="1:4" ht="15.75" customHeight="1">
      <c r="A415" s="14"/>
      <c r="B415" s="30"/>
      <c r="C415" s="31"/>
      <c r="D415" s="31"/>
    </row>
    <row r="416" spans="1:4" ht="15.75" customHeight="1">
      <c r="A416" s="14"/>
      <c r="B416" s="30"/>
      <c r="C416" s="31"/>
      <c r="D416" s="31"/>
    </row>
    <row r="417" spans="1:4" ht="15.75" customHeight="1">
      <c r="A417" s="14"/>
      <c r="B417" s="30"/>
      <c r="C417" s="31"/>
      <c r="D417" s="31"/>
    </row>
    <row r="418" spans="1:4" ht="15.75" customHeight="1">
      <c r="A418" s="14"/>
      <c r="B418" s="30"/>
      <c r="C418" s="31"/>
      <c r="D418" s="31"/>
    </row>
    <row r="419" spans="1:4" ht="15.75" customHeight="1">
      <c r="A419" s="14"/>
      <c r="B419" s="30"/>
      <c r="C419" s="31"/>
      <c r="D419" s="31"/>
    </row>
    <row r="420" spans="1:4" ht="15.75" customHeight="1">
      <c r="A420" s="14"/>
      <c r="B420" s="30"/>
      <c r="C420" s="31"/>
      <c r="D420" s="31"/>
    </row>
    <row r="421" spans="1:4" ht="15.75" customHeight="1">
      <c r="A421" s="14"/>
      <c r="B421" s="30"/>
      <c r="C421" s="31"/>
      <c r="D421" s="31"/>
    </row>
    <row r="422" spans="1:4" ht="15.75" customHeight="1">
      <c r="A422" s="14"/>
      <c r="B422" s="30"/>
      <c r="C422" s="31"/>
      <c r="D422" s="31"/>
    </row>
    <row r="423" spans="1:4" ht="15.75" customHeight="1">
      <c r="A423" s="14"/>
      <c r="B423" s="30"/>
      <c r="C423" s="31"/>
      <c r="D423" s="31"/>
    </row>
    <row r="424" spans="1:4" ht="15.75" customHeight="1">
      <c r="A424" s="14"/>
      <c r="B424" s="30"/>
      <c r="C424" s="31"/>
      <c r="D424" s="31"/>
    </row>
    <row r="425" spans="1:4" ht="15.75" customHeight="1">
      <c r="A425" s="14"/>
      <c r="B425" s="30"/>
      <c r="C425" s="31"/>
      <c r="D425" s="31"/>
    </row>
    <row r="426" spans="1:4" ht="15.75" customHeight="1">
      <c r="A426" s="14"/>
      <c r="B426" s="30"/>
      <c r="C426" s="31"/>
      <c r="D426" s="31"/>
    </row>
    <row r="427" spans="1:4" ht="15.75" customHeight="1">
      <c r="A427" s="14"/>
      <c r="B427" s="30"/>
      <c r="C427" s="31"/>
      <c r="D427" s="31"/>
    </row>
    <row r="428" spans="1:4" ht="15.75" customHeight="1">
      <c r="A428" s="14"/>
      <c r="B428" s="30"/>
      <c r="C428" s="31"/>
      <c r="D428" s="31"/>
    </row>
    <row r="429" spans="1:4" ht="15.75" customHeight="1">
      <c r="A429" s="14"/>
      <c r="B429" s="30"/>
      <c r="C429" s="31"/>
      <c r="D429" s="31"/>
    </row>
    <row r="430" spans="1:4" ht="15.75" customHeight="1">
      <c r="A430" s="14"/>
      <c r="B430" s="30"/>
      <c r="C430" s="31"/>
      <c r="D430" s="31"/>
    </row>
    <row r="431" spans="1:4" ht="15.75" customHeight="1">
      <c r="A431" s="14"/>
      <c r="B431" s="30"/>
      <c r="C431" s="31"/>
      <c r="D431" s="31"/>
    </row>
    <row r="432" spans="1:4" ht="15.75" customHeight="1">
      <c r="A432" s="14"/>
      <c r="B432" s="30"/>
      <c r="C432" s="31"/>
      <c r="D432" s="31"/>
    </row>
    <row r="433" spans="1:4" ht="15.75" customHeight="1">
      <c r="A433" s="14"/>
      <c r="B433" s="30"/>
      <c r="C433" s="31"/>
      <c r="D433" s="31"/>
    </row>
    <row r="434" spans="1:4" ht="15.75" customHeight="1">
      <c r="A434" s="14"/>
      <c r="B434" s="30"/>
      <c r="C434" s="31"/>
      <c r="D434" s="31"/>
    </row>
    <row r="435" spans="1:4" ht="15.75" customHeight="1">
      <c r="A435" s="14"/>
      <c r="B435" s="30"/>
      <c r="C435" s="31"/>
      <c r="D435" s="31"/>
    </row>
    <row r="436" spans="1:4" ht="15.75" customHeight="1">
      <c r="A436" s="14"/>
      <c r="B436" s="30"/>
      <c r="C436" s="31"/>
      <c r="D436" s="31"/>
    </row>
    <row r="437" spans="1:4" ht="15.75" customHeight="1">
      <c r="A437" s="14"/>
      <c r="B437" s="30"/>
      <c r="C437" s="31"/>
      <c r="D437" s="31"/>
    </row>
    <row r="438" spans="1:4" ht="15.75" customHeight="1">
      <c r="A438" s="14"/>
      <c r="B438" s="30"/>
      <c r="C438" s="31"/>
      <c r="D438" s="31"/>
    </row>
    <row r="439" spans="1:4" ht="15.75" customHeight="1">
      <c r="A439" s="14"/>
      <c r="B439" s="30"/>
      <c r="C439" s="31"/>
      <c r="D439" s="31"/>
    </row>
    <row r="440" spans="1:4" ht="15.75" customHeight="1">
      <c r="A440" s="14"/>
      <c r="B440" s="30"/>
      <c r="C440" s="31"/>
      <c r="D440" s="31"/>
    </row>
    <row r="441" spans="1:4" ht="15.75" customHeight="1">
      <c r="A441" s="14"/>
      <c r="B441" s="30"/>
      <c r="C441" s="31"/>
      <c r="D441" s="31"/>
    </row>
    <row r="442" spans="1:4" ht="15.75" customHeight="1">
      <c r="A442" s="14"/>
      <c r="B442" s="30"/>
      <c r="C442" s="31"/>
      <c r="D442" s="31"/>
    </row>
    <row r="443" spans="1:4" ht="15.75" customHeight="1">
      <c r="A443" s="14"/>
      <c r="B443" s="30"/>
      <c r="C443" s="31"/>
      <c r="D443" s="31"/>
    </row>
    <row r="444" spans="1:4" ht="15.75" customHeight="1">
      <c r="A444" s="14"/>
      <c r="B444" s="30"/>
      <c r="C444" s="31"/>
      <c r="D444" s="31"/>
    </row>
    <row r="445" spans="1:4" ht="15.75" customHeight="1">
      <c r="A445" s="14"/>
      <c r="B445" s="30"/>
      <c r="C445" s="31"/>
      <c r="D445" s="31"/>
    </row>
    <row r="446" spans="1:4" ht="15.75" customHeight="1">
      <c r="A446" s="14"/>
      <c r="B446" s="30"/>
      <c r="C446" s="31"/>
      <c r="D446" s="31"/>
    </row>
    <row r="447" spans="1:4" ht="15.75" customHeight="1">
      <c r="A447" s="14"/>
      <c r="B447" s="30"/>
      <c r="C447" s="31"/>
      <c r="D447" s="31"/>
    </row>
    <row r="448" spans="1:4" ht="15.75" customHeight="1">
      <c r="A448" s="14"/>
      <c r="B448" s="30"/>
      <c r="C448" s="31"/>
      <c r="D448" s="31"/>
    </row>
    <row r="449" spans="1:4" ht="15.75" customHeight="1">
      <c r="A449" s="14"/>
      <c r="B449" s="30"/>
      <c r="C449" s="31"/>
      <c r="D449" s="31"/>
    </row>
    <row r="450" spans="1:4" ht="15.75" customHeight="1">
      <c r="A450" s="14"/>
      <c r="B450" s="30"/>
      <c r="C450" s="31"/>
      <c r="D450" s="31"/>
    </row>
    <row r="451" spans="1:4" ht="15.75" customHeight="1">
      <c r="A451" s="14"/>
      <c r="B451" s="30"/>
      <c r="C451" s="31"/>
      <c r="D451" s="31"/>
    </row>
    <row r="452" spans="1:4" ht="15.75" customHeight="1">
      <c r="A452" s="14"/>
      <c r="B452" s="30"/>
      <c r="C452" s="31"/>
      <c r="D452" s="31"/>
    </row>
    <row r="453" spans="1:4" ht="15.75" customHeight="1">
      <c r="A453" s="14"/>
      <c r="B453" s="30"/>
      <c r="C453" s="31"/>
      <c r="D453" s="31"/>
    </row>
    <row r="454" spans="1:4" ht="15.75" customHeight="1">
      <c r="A454" s="14"/>
      <c r="B454" s="30"/>
      <c r="C454" s="31"/>
      <c r="D454" s="31"/>
    </row>
    <row r="455" spans="1:4" ht="15.75" customHeight="1">
      <c r="A455" s="14"/>
      <c r="B455" s="30"/>
      <c r="C455" s="31"/>
      <c r="D455" s="31"/>
    </row>
    <row r="456" spans="1:4" ht="15.75" customHeight="1">
      <c r="A456" s="14"/>
      <c r="B456" s="30"/>
      <c r="C456" s="31"/>
      <c r="D456" s="31"/>
    </row>
    <row r="457" spans="1:4" ht="15.75" customHeight="1">
      <c r="A457" s="14"/>
      <c r="B457" s="30"/>
      <c r="C457" s="31"/>
      <c r="D457" s="31"/>
    </row>
    <row r="458" spans="1:4" ht="15.75" customHeight="1">
      <c r="A458" s="14"/>
      <c r="B458" s="30"/>
      <c r="C458" s="31"/>
      <c r="D458" s="31"/>
    </row>
    <row r="459" spans="1:4" ht="15.75" customHeight="1">
      <c r="A459" s="14"/>
      <c r="B459" s="30"/>
      <c r="C459" s="31"/>
      <c r="D459" s="31"/>
    </row>
    <row r="460" spans="1:4" ht="15.75" customHeight="1">
      <c r="A460" s="14"/>
      <c r="B460" s="30"/>
      <c r="C460" s="31"/>
      <c r="D460" s="31"/>
    </row>
    <row r="461" spans="1:4" ht="15.75" customHeight="1">
      <c r="A461" s="14"/>
      <c r="B461" s="30"/>
      <c r="C461" s="31"/>
      <c r="D461" s="31"/>
    </row>
    <row r="462" spans="1:4" ht="15.75" customHeight="1">
      <c r="A462" s="14"/>
      <c r="B462" s="30"/>
      <c r="C462" s="31"/>
      <c r="D462" s="31"/>
    </row>
    <row r="463" spans="1:4" ht="15.75" customHeight="1">
      <c r="A463" s="14"/>
      <c r="B463" s="30"/>
      <c r="C463" s="31"/>
      <c r="D463" s="31"/>
    </row>
    <row r="464" spans="1:4" ht="15.75" customHeight="1">
      <c r="A464" s="14"/>
      <c r="B464" s="30"/>
      <c r="C464" s="31"/>
      <c r="D464" s="31"/>
    </row>
    <row r="465" spans="1:4" ht="15.75" customHeight="1">
      <c r="A465" s="14"/>
      <c r="B465" s="30"/>
      <c r="C465" s="31"/>
      <c r="D465" s="31"/>
    </row>
    <row r="466" spans="1:4" ht="15.75" customHeight="1">
      <c r="A466" s="14"/>
      <c r="B466" s="30"/>
      <c r="C466" s="31"/>
      <c r="D466" s="31"/>
    </row>
    <row r="467" spans="1:4" ht="15.75" customHeight="1">
      <c r="A467" s="14"/>
      <c r="B467" s="30"/>
      <c r="C467" s="31"/>
      <c r="D467" s="31"/>
    </row>
    <row r="468" spans="1:4" ht="15.75" customHeight="1">
      <c r="A468" s="14"/>
      <c r="B468" s="30"/>
      <c r="C468" s="31"/>
      <c r="D468" s="31"/>
    </row>
    <row r="469" spans="1:4" ht="15.75" customHeight="1">
      <c r="A469" s="14"/>
      <c r="B469" s="30"/>
      <c r="C469" s="31"/>
      <c r="D469" s="31"/>
    </row>
    <row r="470" spans="1:4" ht="15.75" customHeight="1">
      <c r="A470" s="14"/>
      <c r="B470" s="30"/>
      <c r="C470" s="31"/>
      <c r="D470" s="31"/>
    </row>
    <row r="471" spans="1:4" ht="15.75" customHeight="1">
      <c r="A471" s="14"/>
      <c r="B471" s="30"/>
      <c r="C471" s="31"/>
      <c r="D471" s="31"/>
    </row>
    <row r="472" spans="1:4" ht="15.75" customHeight="1">
      <c r="A472" s="14"/>
      <c r="B472" s="30"/>
      <c r="C472" s="31"/>
      <c r="D472" s="31"/>
    </row>
    <row r="473" spans="1:4" ht="15.75" customHeight="1">
      <c r="A473" s="14"/>
      <c r="B473" s="30"/>
      <c r="C473" s="31"/>
      <c r="D473" s="31"/>
    </row>
    <row r="474" spans="1:4" ht="15.75" customHeight="1">
      <c r="A474" s="14"/>
      <c r="B474" s="30"/>
      <c r="C474" s="31"/>
      <c r="D474" s="31"/>
    </row>
    <row r="475" spans="1:4" ht="15.75" customHeight="1">
      <c r="A475" s="14"/>
      <c r="B475" s="30"/>
      <c r="C475" s="31"/>
      <c r="D475" s="31"/>
    </row>
    <row r="476" spans="1:4" ht="15.75" customHeight="1">
      <c r="A476" s="14"/>
      <c r="B476" s="30"/>
      <c r="C476" s="31"/>
      <c r="D476" s="31"/>
    </row>
    <row r="477" spans="1:4" ht="15.75" customHeight="1">
      <c r="A477" s="14"/>
      <c r="B477" s="30"/>
      <c r="C477" s="31"/>
      <c r="D477" s="31"/>
    </row>
    <row r="478" spans="1:4" ht="15.75" customHeight="1">
      <c r="A478" s="14"/>
      <c r="B478" s="30"/>
      <c r="C478" s="31"/>
      <c r="D478" s="31"/>
    </row>
    <row r="479" spans="1:4" ht="15.75" customHeight="1">
      <c r="A479" s="14"/>
      <c r="B479" s="30"/>
      <c r="C479" s="31"/>
      <c r="D479" s="31"/>
    </row>
    <row r="480" spans="1:4" ht="15.75" customHeight="1">
      <c r="A480" s="14"/>
      <c r="B480" s="30"/>
      <c r="C480" s="31"/>
      <c r="D480" s="31"/>
    </row>
    <row r="481" spans="1:4" ht="15.75" customHeight="1">
      <c r="A481" s="14"/>
      <c r="B481" s="30"/>
      <c r="C481" s="31"/>
      <c r="D481" s="31"/>
    </row>
    <row r="482" spans="1:4" ht="15.75" customHeight="1">
      <c r="A482" s="14"/>
      <c r="B482" s="30"/>
      <c r="C482" s="31"/>
      <c r="D482" s="31"/>
    </row>
    <row r="483" spans="1:4" ht="15.75" customHeight="1">
      <c r="A483" s="14"/>
      <c r="B483" s="30"/>
      <c r="C483" s="31"/>
      <c r="D483" s="31"/>
    </row>
    <row r="484" spans="1:4" ht="15.75" customHeight="1">
      <c r="A484" s="14"/>
      <c r="B484" s="30"/>
      <c r="C484" s="31"/>
      <c r="D484" s="31"/>
    </row>
    <row r="485" spans="1:4" ht="15.75" customHeight="1">
      <c r="A485" s="14"/>
      <c r="B485" s="30"/>
      <c r="C485" s="31"/>
      <c r="D485" s="31"/>
    </row>
    <row r="486" spans="1:4" ht="15.75" customHeight="1">
      <c r="A486" s="14"/>
      <c r="B486" s="30"/>
      <c r="C486" s="31"/>
      <c r="D486" s="31"/>
    </row>
    <row r="487" spans="1:4" ht="15.75" customHeight="1">
      <c r="A487" s="14"/>
      <c r="B487" s="30"/>
      <c r="C487" s="31"/>
      <c r="D487" s="31"/>
    </row>
    <row r="488" spans="1:4" ht="15.75" customHeight="1">
      <c r="A488" s="14"/>
      <c r="B488" s="30"/>
      <c r="C488" s="31"/>
      <c r="D488" s="31"/>
    </row>
    <row r="489" spans="1:4" ht="15.75" customHeight="1">
      <c r="A489" s="14"/>
      <c r="B489" s="30"/>
      <c r="C489" s="31"/>
      <c r="D489" s="31"/>
    </row>
    <row r="490" spans="1:4" ht="15.75" customHeight="1">
      <c r="A490" s="14"/>
      <c r="B490" s="30"/>
      <c r="C490" s="31"/>
      <c r="D490" s="31"/>
    </row>
    <row r="491" spans="1:4" ht="15.75" customHeight="1">
      <c r="A491" s="14"/>
      <c r="B491" s="30"/>
      <c r="C491" s="31"/>
      <c r="D491" s="31"/>
    </row>
    <row r="492" spans="1:4" ht="15.75" customHeight="1">
      <c r="A492" s="14"/>
      <c r="B492" s="30"/>
      <c r="C492" s="31"/>
      <c r="D492" s="31"/>
    </row>
    <row r="493" spans="1:4" ht="15.75" customHeight="1">
      <c r="A493" s="14"/>
      <c r="B493" s="30"/>
      <c r="C493" s="31"/>
      <c r="D493" s="31"/>
    </row>
    <row r="494" spans="1:4" ht="15.75" customHeight="1">
      <c r="A494" s="14"/>
      <c r="B494" s="30"/>
      <c r="C494" s="31"/>
      <c r="D494" s="31"/>
    </row>
    <row r="495" spans="1:4" ht="15.75" customHeight="1">
      <c r="A495" s="14"/>
      <c r="B495" s="30"/>
      <c r="C495" s="31"/>
      <c r="D495" s="31"/>
    </row>
    <row r="496" spans="1:4" ht="15.75" customHeight="1">
      <c r="A496" s="14"/>
      <c r="B496" s="30"/>
      <c r="C496" s="31"/>
      <c r="D496" s="31"/>
    </row>
    <row r="497" spans="1:4" ht="15.75" customHeight="1">
      <c r="A497" s="14"/>
      <c r="B497" s="30"/>
      <c r="C497" s="31"/>
      <c r="D497" s="31"/>
    </row>
    <row r="498" spans="1:4" ht="15.75" customHeight="1">
      <c r="A498" s="14"/>
      <c r="B498" s="30"/>
      <c r="C498" s="31"/>
      <c r="D498" s="31"/>
    </row>
    <row r="499" spans="1:4" ht="15.75" customHeight="1">
      <c r="A499" s="14"/>
      <c r="B499" s="30"/>
      <c r="C499" s="31"/>
      <c r="D499" s="31"/>
    </row>
    <row r="500" spans="1:4" ht="15.75" customHeight="1">
      <c r="A500" s="14"/>
      <c r="B500" s="30"/>
      <c r="C500" s="31"/>
      <c r="D500" s="31"/>
    </row>
    <row r="501" spans="1:4" ht="15.75" customHeight="1">
      <c r="A501" s="14"/>
      <c r="B501" s="30"/>
      <c r="C501" s="31"/>
      <c r="D501" s="31"/>
    </row>
    <row r="502" spans="1:4" ht="15.75" customHeight="1">
      <c r="A502" s="14"/>
      <c r="B502" s="30"/>
      <c r="C502" s="31"/>
      <c r="D502" s="31"/>
    </row>
    <row r="503" spans="1:4" ht="15.75" customHeight="1">
      <c r="A503" s="14"/>
      <c r="B503" s="30"/>
      <c r="C503" s="31"/>
      <c r="D503" s="31"/>
    </row>
    <row r="504" spans="1:4" ht="15.75" customHeight="1">
      <c r="A504" s="14"/>
      <c r="B504" s="30"/>
      <c r="C504" s="31"/>
      <c r="D504" s="31"/>
    </row>
    <row r="505" spans="1:4" ht="15.75" customHeight="1">
      <c r="A505" s="14"/>
      <c r="B505" s="30"/>
      <c r="C505" s="31"/>
      <c r="D505" s="31"/>
    </row>
    <row r="506" spans="1:4" ht="15.75" customHeight="1">
      <c r="A506" s="14"/>
      <c r="B506" s="30"/>
      <c r="C506" s="31"/>
      <c r="D506" s="31"/>
    </row>
    <row r="507" spans="1:4" ht="15.75" customHeight="1">
      <c r="A507" s="14"/>
      <c r="B507" s="30"/>
      <c r="C507" s="31"/>
      <c r="D507" s="31"/>
    </row>
    <row r="508" spans="1:4" ht="15.75" customHeight="1">
      <c r="A508" s="14"/>
      <c r="B508" s="30"/>
      <c r="C508" s="31"/>
      <c r="D508" s="31"/>
    </row>
    <row r="509" spans="1:4" ht="15.75" customHeight="1">
      <c r="A509" s="14"/>
      <c r="B509" s="30"/>
      <c r="C509" s="31"/>
      <c r="D509" s="31"/>
    </row>
    <row r="510" spans="1:4" ht="15.75" customHeight="1">
      <c r="A510" s="14"/>
      <c r="B510" s="30"/>
      <c r="C510" s="31"/>
      <c r="D510" s="31"/>
    </row>
    <row r="511" spans="1:4" ht="15.75" customHeight="1">
      <c r="A511" s="14"/>
      <c r="B511" s="30"/>
      <c r="C511" s="31"/>
      <c r="D511" s="31"/>
    </row>
    <row r="512" spans="1:4" ht="15.75" customHeight="1">
      <c r="A512" s="14"/>
      <c r="B512" s="30"/>
      <c r="C512" s="31"/>
      <c r="D512" s="31"/>
    </row>
    <row r="513" spans="1:4" ht="15.75" customHeight="1">
      <c r="A513" s="14"/>
      <c r="B513" s="30"/>
      <c r="C513" s="31"/>
      <c r="D513" s="31"/>
    </row>
    <row r="514" spans="1:4" ht="15.75" customHeight="1">
      <c r="A514" s="14"/>
      <c r="B514" s="30"/>
      <c r="C514" s="31"/>
      <c r="D514" s="31"/>
    </row>
    <row r="515" spans="1:4" ht="15.75" customHeight="1">
      <c r="A515" s="14"/>
      <c r="B515" s="30"/>
      <c r="C515" s="31"/>
      <c r="D515" s="31"/>
    </row>
    <row r="516" spans="1:4" ht="15.75" customHeight="1">
      <c r="A516" s="14"/>
      <c r="B516" s="30"/>
      <c r="C516" s="31"/>
      <c r="D516" s="31"/>
    </row>
    <row r="517" spans="1:4" ht="15.75" customHeight="1">
      <c r="A517" s="14"/>
      <c r="B517" s="30"/>
      <c r="C517" s="31"/>
      <c r="D517" s="31"/>
    </row>
    <row r="518" spans="1:4" ht="15.75" customHeight="1">
      <c r="A518" s="14"/>
      <c r="B518" s="30"/>
      <c r="C518" s="31"/>
      <c r="D518" s="31"/>
    </row>
    <row r="519" spans="1:4" ht="15.75" customHeight="1">
      <c r="A519" s="14"/>
      <c r="B519" s="30"/>
      <c r="C519" s="31"/>
      <c r="D519" s="31"/>
    </row>
    <row r="520" spans="1:4" ht="15.75" customHeight="1">
      <c r="A520" s="14"/>
      <c r="B520" s="30"/>
      <c r="C520" s="31"/>
      <c r="D520" s="31"/>
    </row>
    <row r="521" spans="1:4" ht="15.75" customHeight="1">
      <c r="A521" s="14"/>
      <c r="B521" s="30"/>
      <c r="C521" s="31"/>
      <c r="D521" s="31"/>
    </row>
    <row r="522" spans="1:4" ht="15.75" customHeight="1">
      <c r="A522" s="14"/>
      <c r="B522" s="30"/>
      <c r="C522" s="31"/>
      <c r="D522" s="31"/>
    </row>
    <row r="523" spans="1:4" ht="15.75" customHeight="1">
      <c r="A523" s="14"/>
      <c r="B523" s="30"/>
      <c r="C523" s="31"/>
      <c r="D523" s="31"/>
    </row>
    <row r="524" spans="1:4" ht="15.75" customHeight="1">
      <c r="A524" s="14"/>
      <c r="B524" s="30"/>
      <c r="C524" s="31"/>
      <c r="D524" s="31"/>
    </row>
    <row r="525" spans="1:4" ht="15.75" customHeight="1">
      <c r="A525" s="14"/>
      <c r="B525" s="30"/>
      <c r="C525" s="31"/>
      <c r="D525" s="31"/>
    </row>
    <row r="526" spans="1:4" ht="15.75" customHeight="1">
      <c r="A526" s="14"/>
      <c r="B526" s="30"/>
      <c r="C526" s="31"/>
      <c r="D526" s="31"/>
    </row>
    <row r="527" spans="1:4" ht="15.75" customHeight="1">
      <c r="A527" s="14"/>
      <c r="B527" s="30"/>
      <c r="C527" s="31"/>
      <c r="D527" s="31"/>
    </row>
    <row r="528" spans="1:4" ht="15.75" customHeight="1">
      <c r="A528" s="14"/>
      <c r="B528" s="30"/>
      <c r="C528" s="31"/>
      <c r="D528" s="31"/>
    </row>
    <row r="529" spans="1:4" ht="15.75" customHeight="1">
      <c r="A529" s="14"/>
      <c r="B529" s="30"/>
      <c r="C529" s="31"/>
      <c r="D529" s="31"/>
    </row>
    <row r="530" spans="1:4" ht="15.75" customHeight="1">
      <c r="A530" s="14"/>
      <c r="B530" s="30"/>
      <c r="C530" s="31"/>
      <c r="D530" s="31"/>
    </row>
    <row r="531" spans="1:4" ht="15.75" customHeight="1">
      <c r="A531" s="14"/>
      <c r="B531" s="30"/>
      <c r="C531" s="31"/>
      <c r="D531" s="31"/>
    </row>
    <row r="532" spans="1:4" ht="15.75" customHeight="1">
      <c r="A532" s="14"/>
      <c r="B532" s="30"/>
      <c r="C532" s="31"/>
      <c r="D532" s="31"/>
    </row>
    <row r="533" spans="1:4" ht="15.75" customHeight="1">
      <c r="A533" s="14"/>
      <c r="B533" s="30"/>
      <c r="C533" s="31"/>
      <c r="D533" s="31"/>
    </row>
    <row r="534" spans="1:4" ht="15.75" customHeight="1">
      <c r="A534" s="14"/>
      <c r="B534" s="30"/>
      <c r="C534" s="31"/>
      <c r="D534" s="31"/>
    </row>
    <row r="535" spans="1:4" ht="15.75" customHeight="1">
      <c r="A535" s="14"/>
      <c r="B535" s="30"/>
      <c r="C535" s="31"/>
      <c r="D535" s="31"/>
    </row>
    <row r="536" spans="1:4" ht="15.75" customHeight="1">
      <c r="A536" s="14"/>
      <c r="B536" s="30"/>
      <c r="C536" s="31"/>
      <c r="D536" s="31"/>
    </row>
    <row r="537" spans="1:4" ht="15.75" customHeight="1">
      <c r="A537" s="14"/>
      <c r="B537" s="30"/>
      <c r="C537" s="31"/>
      <c r="D537" s="31"/>
    </row>
    <row r="538" spans="1:4" ht="15.75" customHeight="1">
      <c r="A538" s="14"/>
      <c r="B538" s="30"/>
      <c r="C538" s="31"/>
      <c r="D538" s="31"/>
    </row>
    <row r="539" spans="1:4" ht="15.75" customHeight="1">
      <c r="A539" s="14"/>
      <c r="B539" s="30"/>
      <c r="C539" s="31"/>
      <c r="D539" s="31"/>
    </row>
    <row r="540" spans="1:4" ht="15.75" customHeight="1">
      <c r="A540" s="14"/>
      <c r="B540" s="30"/>
      <c r="C540" s="31"/>
      <c r="D540" s="31"/>
    </row>
    <row r="541" spans="1:4" ht="15.75" customHeight="1">
      <c r="A541" s="14"/>
      <c r="B541" s="30"/>
      <c r="C541" s="31"/>
      <c r="D541" s="31"/>
    </row>
    <row r="542" spans="1:4" ht="15.75" customHeight="1">
      <c r="A542" s="14"/>
      <c r="B542" s="30"/>
      <c r="C542" s="31"/>
      <c r="D542" s="31"/>
    </row>
    <row r="543" spans="1:4" ht="15.75" customHeight="1">
      <c r="A543" s="14"/>
      <c r="B543" s="30"/>
      <c r="C543" s="31"/>
      <c r="D543" s="31"/>
    </row>
    <row r="544" spans="1:4" ht="15.75" customHeight="1">
      <c r="A544" s="14"/>
      <c r="B544" s="30"/>
      <c r="C544" s="31"/>
      <c r="D544" s="31"/>
    </row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  <outlinePr summaryBelow="0" summaryRight="0"/>
  </sheetPr>
  <dimension ref="A1:Z1000"/>
  <sheetViews>
    <sheetView tabSelected="1" workbookViewId="0">
      <selection activeCell="C17" sqref="C17"/>
    </sheetView>
  </sheetViews>
  <sheetFormatPr baseColWidth="10" defaultColWidth="12.6640625" defaultRowHeight="15" customHeight="1"/>
  <cols>
    <col min="1" max="6" width="12.6640625" customWidth="1"/>
  </cols>
  <sheetData>
    <row r="1" spans="1:26" ht="15.75" customHeight="1">
      <c r="A1" s="35" t="s">
        <v>423</v>
      </c>
      <c r="B1" s="36" t="s">
        <v>424</v>
      </c>
      <c r="C1" s="28" t="s">
        <v>22</v>
      </c>
      <c r="D1" s="28" t="s">
        <v>23</v>
      </c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spans="1:26" ht="15.75" customHeight="1">
      <c r="A2" s="37">
        <v>1</v>
      </c>
      <c r="B2" s="29" t="s">
        <v>425</v>
      </c>
      <c r="C2" s="10">
        <v>1.9074124041045488</v>
      </c>
      <c r="D2" s="10">
        <v>2.0382446931979055</v>
      </c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spans="1:26" ht="15.75" customHeight="1">
      <c r="A3" s="37">
        <v>2</v>
      </c>
      <c r="B3" s="29" t="s">
        <v>53</v>
      </c>
      <c r="C3" s="10">
        <v>0.88845761637445997</v>
      </c>
      <c r="D3" s="10">
        <v>0.78425349150629386</v>
      </c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spans="1:26" ht="15.75" customHeight="1">
      <c r="A4" s="37">
        <v>3</v>
      </c>
      <c r="B4" s="29" t="s">
        <v>377</v>
      </c>
      <c r="C4" s="10">
        <v>0.97286511333112458</v>
      </c>
      <c r="D4" s="10">
        <v>0.84799527500643734</v>
      </c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 ht="15.75" customHeight="1">
      <c r="A5" s="37">
        <v>4</v>
      </c>
      <c r="B5" s="29" t="s">
        <v>188</v>
      </c>
      <c r="C5" s="10">
        <v>0.96348768736556178</v>
      </c>
      <c r="D5" s="10">
        <v>0.87802650973101215</v>
      </c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spans="1:26" ht="15.75" customHeight="1">
      <c r="A6" s="37">
        <v>5</v>
      </c>
      <c r="B6" s="29" t="s">
        <v>223</v>
      </c>
      <c r="C6" s="10">
        <v>1.6157496142821774</v>
      </c>
      <c r="D6" s="10">
        <v>1.2286716124379236</v>
      </c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spans="1:26" ht="15.75" customHeight="1">
      <c r="A7" s="37">
        <v>6</v>
      </c>
      <c r="B7" s="29" t="s">
        <v>265</v>
      </c>
      <c r="C7" s="10">
        <v>0.92887998887724932</v>
      </c>
      <c r="D7" s="10">
        <v>0.97102671110953542</v>
      </c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spans="1:26" ht="15.75" customHeight="1">
      <c r="A8" s="37">
        <v>7</v>
      </c>
      <c r="B8" s="29" t="s">
        <v>426</v>
      </c>
      <c r="C8" s="10">
        <v>0.76839004789157062</v>
      </c>
      <c r="D8" s="10">
        <v>0.69743393237652707</v>
      </c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spans="1:26" ht="15.75" customHeight="1">
      <c r="A9" s="37">
        <v>8</v>
      </c>
      <c r="B9" s="29" t="s">
        <v>427</v>
      </c>
      <c r="C9" s="10">
        <v>0.97537187154680749</v>
      </c>
      <c r="D9" s="10">
        <v>1.1145081297530024</v>
      </c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spans="1:26" ht="15.75" customHeight="1">
      <c r="A10" s="37">
        <v>9</v>
      </c>
      <c r="B10" s="29" t="s">
        <v>428</v>
      </c>
      <c r="C10" s="10">
        <v>0.96971183676896588</v>
      </c>
      <c r="D10" s="10">
        <v>0.75335386649493075</v>
      </c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spans="1:26" ht="15.75" customHeight="1">
      <c r="A11" s="38">
        <v>10</v>
      </c>
      <c r="B11" s="30" t="s">
        <v>429</v>
      </c>
      <c r="C11" s="9">
        <v>0.75359822897245576</v>
      </c>
      <c r="D11" s="10">
        <v>1.0073907015279213</v>
      </c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spans="1:26" ht="15.75" customHeight="1">
      <c r="A12" s="38">
        <v>11</v>
      </c>
      <c r="B12" s="30" t="s">
        <v>430</v>
      </c>
      <c r="C12" s="9">
        <v>0.97229928580309144</v>
      </c>
      <c r="D12" s="10">
        <v>0.90626932805479399</v>
      </c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spans="1:26" ht="15.75" customHeight="1">
      <c r="A13" s="34"/>
      <c r="B13" s="30"/>
      <c r="C13" s="31"/>
      <c r="D13" s="31"/>
    </row>
    <row r="14" spans="1:26" ht="15.75" customHeight="1">
      <c r="A14" s="34"/>
      <c r="B14" s="30"/>
      <c r="C14" s="31"/>
      <c r="D14" s="31"/>
    </row>
    <row r="15" spans="1:26" ht="15.75" customHeight="1">
      <c r="A15" s="34"/>
      <c r="B15" s="30"/>
      <c r="C15" s="31"/>
      <c r="D15" s="31"/>
    </row>
    <row r="16" spans="1:26" ht="15.75" customHeight="1">
      <c r="A16" s="34"/>
      <c r="B16" s="30"/>
      <c r="C16" s="31"/>
      <c r="D16" s="31"/>
    </row>
    <row r="17" spans="1:4" ht="15.75" customHeight="1">
      <c r="A17" s="34"/>
      <c r="B17" s="30"/>
      <c r="C17" s="31"/>
      <c r="D17" s="31"/>
    </row>
    <row r="18" spans="1:4" ht="15.75" customHeight="1">
      <c r="A18" s="34"/>
      <c r="B18" s="30"/>
      <c r="C18" s="31"/>
      <c r="D18" s="31"/>
    </row>
    <row r="19" spans="1:4" ht="15.75" customHeight="1">
      <c r="A19" s="34"/>
      <c r="B19" s="30"/>
      <c r="C19" s="31"/>
      <c r="D19" s="31"/>
    </row>
    <row r="20" spans="1:4" ht="15.75" customHeight="1">
      <c r="A20" s="34"/>
      <c r="B20" s="30"/>
      <c r="C20" s="31"/>
      <c r="D20" s="31"/>
    </row>
    <row r="21" spans="1:4" ht="15.75" customHeight="1">
      <c r="A21" s="34"/>
      <c r="B21" s="30"/>
      <c r="C21" s="31"/>
      <c r="D21" s="31"/>
    </row>
    <row r="22" spans="1:4" ht="15.75" customHeight="1">
      <c r="A22" s="34"/>
      <c r="B22" s="30"/>
      <c r="C22" s="31"/>
      <c r="D22" s="31"/>
    </row>
    <row r="23" spans="1:4" ht="15.75" customHeight="1">
      <c r="A23" s="34"/>
      <c r="B23" s="30"/>
      <c r="C23" s="31"/>
      <c r="D23" s="31"/>
    </row>
    <row r="24" spans="1:4" ht="15.75" customHeight="1">
      <c r="A24" s="34"/>
      <c r="B24" s="30"/>
      <c r="C24" s="31"/>
      <c r="D24" s="31"/>
    </row>
    <row r="25" spans="1:4" ht="15.75" customHeight="1">
      <c r="A25" s="34"/>
      <c r="B25" s="30"/>
      <c r="C25" s="31"/>
      <c r="D25" s="31"/>
    </row>
    <row r="26" spans="1:4" ht="15.75" customHeight="1">
      <c r="A26" s="34"/>
      <c r="B26" s="30"/>
      <c r="C26" s="31"/>
      <c r="D26" s="31"/>
    </row>
    <row r="27" spans="1:4" ht="15.75" customHeight="1">
      <c r="A27" s="34"/>
      <c r="B27" s="30"/>
      <c r="C27" s="31"/>
      <c r="D27" s="31"/>
    </row>
    <row r="28" spans="1:4" ht="15.75" customHeight="1">
      <c r="A28" s="34"/>
      <c r="B28" s="30"/>
      <c r="C28" s="31"/>
      <c r="D28" s="31"/>
    </row>
    <row r="29" spans="1:4" ht="15.75" customHeight="1">
      <c r="A29" s="34"/>
      <c r="B29" s="30"/>
      <c r="C29" s="31"/>
      <c r="D29" s="31"/>
    </row>
    <row r="30" spans="1:4" ht="15.75" customHeight="1">
      <c r="A30" s="34"/>
      <c r="B30" s="30"/>
      <c r="C30" s="31"/>
      <c r="D30" s="31"/>
    </row>
    <row r="31" spans="1:4" ht="15.75" customHeight="1">
      <c r="A31" s="34"/>
      <c r="B31" s="30"/>
      <c r="C31" s="31"/>
      <c r="D31" s="31"/>
    </row>
    <row r="32" spans="1:4" ht="15.75" customHeight="1">
      <c r="A32" s="34"/>
      <c r="B32" s="30"/>
      <c r="C32" s="31"/>
      <c r="D32" s="31"/>
    </row>
    <row r="33" spans="1:4" ht="15.75" customHeight="1">
      <c r="A33" s="34"/>
      <c r="B33" s="30"/>
      <c r="C33" s="31"/>
      <c r="D33" s="31"/>
    </row>
    <row r="34" spans="1:4" ht="15.75" customHeight="1">
      <c r="A34" s="34"/>
      <c r="B34" s="30"/>
      <c r="C34" s="31"/>
      <c r="D34" s="31"/>
    </row>
    <row r="35" spans="1:4" ht="15.75" customHeight="1">
      <c r="A35" s="34"/>
      <c r="B35" s="30"/>
      <c r="C35" s="31"/>
      <c r="D35" s="31"/>
    </row>
    <row r="36" spans="1:4" ht="15.75" customHeight="1">
      <c r="A36" s="34"/>
      <c r="B36" s="30"/>
      <c r="C36" s="31"/>
      <c r="D36" s="31"/>
    </row>
    <row r="37" spans="1:4" ht="15.75" customHeight="1">
      <c r="A37" s="34"/>
      <c r="B37" s="30"/>
      <c r="C37" s="31"/>
      <c r="D37" s="31"/>
    </row>
    <row r="38" spans="1:4" ht="15.75" customHeight="1">
      <c r="A38" s="34"/>
      <c r="B38" s="30"/>
      <c r="C38" s="31"/>
      <c r="D38" s="31"/>
    </row>
    <row r="39" spans="1:4" ht="15.75" customHeight="1">
      <c r="A39" s="34"/>
      <c r="B39" s="30"/>
      <c r="C39" s="31"/>
      <c r="D39" s="31"/>
    </row>
    <row r="40" spans="1:4" ht="15.75" customHeight="1">
      <c r="A40" s="34"/>
      <c r="B40" s="30"/>
      <c r="C40" s="31"/>
      <c r="D40" s="31"/>
    </row>
    <row r="41" spans="1:4" ht="15.75" customHeight="1">
      <c r="A41" s="34"/>
      <c r="B41" s="30"/>
      <c r="C41" s="31"/>
      <c r="D41" s="31"/>
    </row>
    <row r="42" spans="1:4" ht="15.75" customHeight="1">
      <c r="A42" s="34"/>
      <c r="B42" s="30"/>
      <c r="C42" s="31"/>
      <c r="D42" s="31"/>
    </row>
    <row r="43" spans="1:4" ht="15.75" customHeight="1">
      <c r="A43" s="34"/>
      <c r="B43" s="30"/>
      <c r="C43" s="31"/>
      <c r="D43" s="31"/>
    </row>
    <row r="44" spans="1:4" ht="15.75" customHeight="1">
      <c r="A44" s="34"/>
      <c r="B44" s="30"/>
      <c r="C44" s="31"/>
      <c r="D44" s="31"/>
    </row>
    <row r="45" spans="1:4" ht="15.75" customHeight="1">
      <c r="A45" s="34"/>
      <c r="B45" s="30"/>
      <c r="C45" s="31"/>
      <c r="D45" s="31"/>
    </row>
    <row r="46" spans="1:4" ht="15.75" customHeight="1">
      <c r="A46" s="34"/>
      <c r="B46" s="30"/>
      <c r="C46" s="31"/>
      <c r="D46" s="31"/>
    </row>
    <row r="47" spans="1:4" ht="15.75" customHeight="1">
      <c r="A47" s="34"/>
      <c r="B47" s="30"/>
      <c r="C47" s="31"/>
      <c r="D47" s="31"/>
    </row>
    <row r="48" spans="1:4" ht="15.75" customHeight="1">
      <c r="A48" s="34"/>
      <c r="B48" s="30"/>
      <c r="C48" s="31"/>
      <c r="D48" s="31"/>
    </row>
    <row r="49" spans="1:4" ht="15.75" customHeight="1">
      <c r="A49" s="34"/>
      <c r="B49" s="30"/>
      <c r="C49" s="31"/>
      <c r="D49" s="31"/>
    </row>
    <row r="50" spans="1:4" ht="15.75" customHeight="1">
      <c r="A50" s="34"/>
      <c r="B50" s="30"/>
      <c r="C50" s="31"/>
      <c r="D50" s="31"/>
    </row>
    <row r="51" spans="1:4" ht="15.75" customHeight="1">
      <c r="A51" s="34"/>
      <c r="B51" s="30"/>
      <c r="C51" s="31"/>
      <c r="D51" s="31"/>
    </row>
    <row r="52" spans="1:4" ht="15.75" customHeight="1">
      <c r="A52" s="34"/>
      <c r="B52" s="30"/>
      <c r="C52" s="31"/>
      <c r="D52" s="31"/>
    </row>
    <row r="53" spans="1:4" ht="15.75" customHeight="1">
      <c r="A53" s="34"/>
      <c r="B53" s="30"/>
      <c r="C53" s="31"/>
      <c r="D53" s="31"/>
    </row>
    <row r="54" spans="1:4" ht="15.75" customHeight="1">
      <c r="A54" s="34"/>
      <c r="B54" s="30"/>
      <c r="C54" s="31"/>
      <c r="D54" s="31"/>
    </row>
    <row r="55" spans="1:4" ht="15.75" customHeight="1">
      <c r="A55" s="34"/>
      <c r="B55" s="30"/>
      <c r="C55" s="31"/>
      <c r="D55" s="31"/>
    </row>
    <row r="56" spans="1:4" ht="15.75" customHeight="1">
      <c r="A56" s="34"/>
      <c r="B56" s="30"/>
      <c r="C56" s="31"/>
      <c r="D56" s="31"/>
    </row>
    <row r="57" spans="1:4" ht="15.75" customHeight="1">
      <c r="A57" s="34"/>
      <c r="B57" s="30"/>
      <c r="C57" s="31"/>
      <c r="D57" s="31"/>
    </row>
    <row r="58" spans="1:4" ht="15.75" customHeight="1">
      <c r="A58" s="34"/>
      <c r="B58" s="30"/>
      <c r="C58" s="31"/>
      <c r="D58" s="31"/>
    </row>
    <row r="59" spans="1:4" ht="15.75" customHeight="1">
      <c r="A59" s="34"/>
      <c r="B59" s="30"/>
      <c r="C59" s="31"/>
      <c r="D59" s="31"/>
    </row>
    <row r="60" spans="1:4" ht="15.75" customHeight="1">
      <c r="A60" s="34"/>
      <c r="B60" s="30"/>
      <c r="C60" s="31"/>
      <c r="D60" s="31"/>
    </row>
    <row r="61" spans="1:4" ht="15.75" customHeight="1">
      <c r="A61" s="34"/>
      <c r="B61" s="30"/>
      <c r="C61" s="31"/>
      <c r="D61" s="31"/>
    </row>
    <row r="62" spans="1:4" ht="15.75" customHeight="1">
      <c r="A62" s="34"/>
      <c r="B62" s="30"/>
      <c r="C62" s="31"/>
      <c r="D62" s="31"/>
    </row>
    <row r="63" spans="1:4" ht="15.75" customHeight="1">
      <c r="A63" s="34"/>
      <c r="B63" s="30"/>
      <c r="C63" s="31"/>
      <c r="D63" s="31"/>
    </row>
    <row r="64" spans="1:4" ht="15.75" customHeight="1">
      <c r="A64" s="34"/>
      <c r="B64" s="30"/>
      <c r="C64" s="31"/>
      <c r="D64" s="31"/>
    </row>
    <row r="65" spans="1:4" ht="15.75" customHeight="1">
      <c r="A65" s="34"/>
      <c r="B65" s="30"/>
      <c r="C65" s="31"/>
      <c r="D65" s="31"/>
    </row>
    <row r="66" spans="1:4" ht="15.75" customHeight="1">
      <c r="A66" s="34"/>
      <c r="B66" s="30"/>
      <c r="C66" s="31"/>
      <c r="D66" s="31"/>
    </row>
    <row r="67" spans="1:4" ht="15.75" customHeight="1">
      <c r="A67" s="34"/>
      <c r="B67" s="30"/>
      <c r="C67" s="31"/>
      <c r="D67" s="31"/>
    </row>
    <row r="68" spans="1:4" ht="15.75" customHeight="1">
      <c r="A68" s="34"/>
      <c r="B68" s="30"/>
      <c r="C68" s="31"/>
      <c r="D68" s="31"/>
    </row>
    <row r="69" spans="1:4" ht="15.75" customHeight="1">
      <c r="A69" s="34"/>
      <c r="B69" s="30"/>
      <c r="C69" s="31"/>
      <c r="D69" s="31"/>
    </row>
    <row r="70" spans="1:4" ht="15.75" customHeight="1">
      <c r="A70" s="34"/>
      <c r="B70" s="30"/>
      <c r="C70" s="31"/>
      <c r="D70" s="31"/>
    </row>
    <row r="71" spans="1:4" ht="15.75" customHeight="1">
      <c r="A71" s="34"/>
      <c r="B71" s="30"/>
      <c r="C71" s="31"/>
      <c r="D71" s="31"/>
    </row>
    <row r="72" spans="1:4" ht="15.75" customHeight="1">
      <c r="A72" s="34"/>
      <c r="B72" s="30"/>
      <c r="C72" s="31"/>
      <c r="D72" s="31"/>
    </row>
    <row r="73" spans="1:4" ht="15.75" customHeight="1">
      <c r="A73" s="34"/>
      <c r="B73" s="30"/>
      <c r="C73" s="31"/>
      <c r="D73" s="31"/>
    </row>
    <row r="74" spans="1:4" ht="15.75" customHeight="1">
      <c r="A74" s="34"/>
      <c r="B74" s="30"/>
      <c r="C74" s="31"/>
      <c r="D74" s="31"/>
    </row>
    <row r="75" spans="1:4" ht="15.75" customHeight="1">
      <c r="A75" s="34"/>
      <c r="B75" s="30"/>
      <c r="C75" s="31"/>
      <c r="D75" s="31"/>
    </row>
    <row r="76" spans="1:4" ht="15.75" customHeight="1">
      <c r="A76" s="34"/>
      <c r="B76" s="30"/>
      <c r="C76" s="31"/>
      <c r="D76" s="31"/>
    </row>
    <row r="77" spans="1:4" ht="15.75" customHeight="1">
      <c r="A77" s="34"/>
      <c r="B77" s="30"/>
      <c r="C77" s="31"/>
      <c r="D77" s="31"/>
    </row>
    <row r="78" spans="1:4" ht="15.75" customHeight="1">
      <c r="A78" s="34"/>
      <c r="B78" s="30"/>
      <c r="C78" s="31"/>
      <c r="D78" s="31"/>
    </row>
    <row r="79" spans="1:4" ht="15.75" customHeight="1">
      <c r="A79" s="34"/>
      <c r="B79" s="30"/>
      <c r="C79" s="31"/>
      <c r="D79" s="31"/>
    </row>
    <row r="80" spans="1:4" ht="15.75" customHeight="1">
      <c r="A80" s="34"/>
      <c r="B80" s="30"/>
      <c r="C80" s="31"/>
      <c r="D80" s="31"/>
    </row>
    <row r="81" spans="1:4" ht="15.75" customHeight="1">
      <c r="A81" s="34"/>
      <c r="B81" s="30"/>
      <c r="C81" s="31"/>
      <c r="D81" s="31"/>
    </row>
    <row r="82" spans="1:4" ht="15.75" customHeight="1">
      <c r="A82" s="34"/>
      <c r="B82" s="30"/>
      <c r="C82" s="31"/>
      <c r="D82" s="31"/>
    </row>
    <row r="83" spans="1:4" ht="15.75" customHeight="1">
      <c r="A83" s="34"/>
      <c r="B83" s="30"/>
      <c r="C83" s="31"/>
      <c r="D83" s="31"/>
    </row>
    <row r="84" spans="1:4" ht="15.75" customHeight="1">
      <c r="A84" s="34"/>
      <c r="B84" s="30"/>
      <c r="C84" s="31"/>
      <c r="D84" s="31"/>
    </row>
    <row r="85" spans="1:4" ht="15.75" customHeight="1">
      <c r="A85" s="34"/>
      <c r="B85" s="30"/>
      <c r="C85" s="31"/>
      <c r="D85" s="31"/>
    </row>
    <row r="86" spans="1:4" ht="15.75" customHeight="1">
      <c r="A86" s="34"/>
      <c r="B86" s="30"/>
      <c r="C86" s="31"/>
      <c r="D86" s="31"/>
    </row>
    <row r="87" spans="1:4" ht="15.75" customHeight="1">
      <c r="A87" s="34"/>
      <c r="B87" s="30"/>
      <c r="C87" s="31"/>
      <c r="D87" s="31"/>
    </row>
    <row r="88" spans="1:4" ht="15.75" customHeight="1">
      <c r="A88" s="34"/>
      <c r="B88" s="30"/>
      <c r="C88" s="31"/>
      <c r="D88" s="31"/>
    </row>
    <row r="89" spans="1:4" ht="15.75" customHeight="1">
      <c r="A89" s="34"/>
      <c r="B89" s="30"/>
      <c r="C89" s="31"/>
      <c r="D89" s="31"/>
    </row>
    <row r="90" spans="1:4" ht="15.75" customHeight="1">
      <c r="A90" s="34"/>
      <c r="B90" s="30"/>
      <c r="C90" s="31"/>
      <c r="D90" s="31"/>
    </row>
    <row r="91" spans="1:4" ht="15.75" customHeight="1">
      <c r="A91" s="34"/>
      <c r="B91" s="30"/>
      <c r="C91" s="31"/>
      <c r="D91" s="31"/>
    </row>
    <row r="92" spans="1:4" ht="15.75" customHeight="1">
      <c r="A92" s="34"/>
      <c r="B92" s="30"/>
      <c r="C92" s="31"/>
      <c r="D92" s="31"/>
    </row>
    <row r="93" spans="1:4" ht="15.75" customHeight="1">
      <c r="A93" s="34"/>
      <c r="B93" s="30"/>
      <c r="C93" s="31"/>
      <c r="D93" s="31"/>
    </row>
    <row r="94" spans="1:4" ht="15.75" customHeight="1">
      <c r="A94" s="34"/>
      <c r="B94" s="30"/>
      <c r="C94" s="31"/>
      <c r="D94" s="31"/>
    </row>
    <row r="95" spans="1:4" ht="15.75" customHeight="1">
      <c r="A95" s="34"/>
      <c r="B95" s="30"/>
      <c r="C95" s="31"/>
      <c r="D95" s="31"/>
    </row>
    <row r="96" spans="1:4" ht="15.75" customHeight="1">
      <c r="A96" s="34"/>
      <c r="B96" s="30"/>
      <c r="C96" s="31"/>
      <c r="D96" s="31"/>
    </row>
    <row r="97" spans="1:4" ht="15.75" customHeight="1">
      <c r="A97" s="34"/>
      <c r="B97" s="30"/>
      <c r="C97" s="31"/>
      <c r="D97" s="31"/>
    </row>
    <row r="98" spans="1:4" ht="15.75" customHeight="1">
      <c r="A98" s="34"/>
      <c r="B98" s="30"/>
      <c r="C98" s="31"/>
      <c r="D98" s="31"/>
    </row>
    <row r="99" spans="1:4" ht="15.75" customHeight="1">
      <c r="A99" s="34"/>
      <c r="B99" s="30"/>
      <c r="C99" s="31"/>
      <c r="D99" s="31"/>
    </row>
    <row r="100" spans="1:4" ht="15.75" customHeight="1">
      <c r="A100" s="34"/>
      <c r="B100" s="30"/>
      <c r="C100" s="31"/>
      <c r="D100" s="31"/>
    </row>
    <row r="101" spans="1:4" ht="15.75" customHeight="1">
      <c r="A101" s="34"/>
      <c r="B101" s="30"/>
      <c r="C101" s="31"/>
      <c r="D101" s="31"/>
    </row>
    <row r="102" spans="1:4" ht="15.75" customHeight="1">
      <c r="A102" s="34"/>
      <c r="B102" s="30"/>
      <c r="C102" s="31"/>
      <c r="D102" s="31"/>
    </row>
    <row r="103" spans="1:4" ht="15.75" customHeight="1">
      <c r="A103" s="34"/>
      <c r="B103" s="30"/>
      <c r="C103" s="31"/>
      <c r="D103" s="31"/>
    </row>
    <row r="104" spans="1:4" ht="15.75" customHeight="1">
      <c r="A104" s="34"/>
      <c r="B104" s="30"/>
      <c r="C104" s="31"/>
      <c r="D104" s="31"/>
    </row>
    <row r="105" spans="1:4" ht="15.75" customHeight="1">
      <c r="A105" s="34"/>
      <c r="B105" s="30"/>
      <c r="C105" s="31"/>
      <c r="D105" s="31"/>
    </row>
    <row r="106" spans="1:4" ht="15.75" customHeight="1">
      <c r="A106" s="34"/>
      <c r="B106" s="30"/>
      <c r="C106" s="31"/>
      <c r="D106" s="31"/>
    </row>
    <row r="107" spans="1:4" ht="15.75" customHeight="1">
      <c r="A107" s="34"/>
      <c r="B107" s="30"/>
      <c r="C107" s="31"/>
      <c r="D107" s="31"/>
    </row>
    <row r="108" spans="1:4" ht="15.75" customHeight="1">
      <c r="A108" s="34"/>
      <c r="B108" s="30"/>
      <c r="C108" s="31"/>
      <c r="D108" s="31"/>
    </row>
    <row r="109" spans="1:4" ht="15.75" customHeight="1">
      <c r="A109" s="34"/>
      <c r="B109" s="30"/>
      <c r="C109" s="31"/>
      <c r="D109" s="31"/>
    </row>
    <row r="110" spans="1:4" ht="15.75" customHeight="1">
      <c r="A110" s="34"/>
      <c r="B110" s="30"/>
      <c r="C110" s="31"/>
      <c r="D110" s="31"/>
    </row>
    <row r="111" spans="1:4" ht="15.75" customHeight="1">
      <c r="A111" s="34"/>
      <c r="B111" s="30"/>
      <c r="C111" s="31"/>
      <c r="D111" s="31"/>
    </row>
    <row r="112" spans="1:4" ht="15.75" customHeight="1">
      <c r="A112" s="34"/>
      <c r="B112" s="30"/>
      <c r="C112" s="31"/>
      <c r="D112" s="31"/>
    </row>
    <row r="113" spans="1:4" ht="15.75" customHeight="1">
      <c r="A113" s="34"/>
      <c r="B113" s="30"/>
      <c r="C113" s="31"/>
      <c r="D113" s="31"/>
    </row>
    <row r="114" spans="1:4" ht="15.75" customHeight="1">
      <c r="A114" s="34"/>
      <c r="B114" s="30"/>
      <c r="C114" s="31"/>
      <c r="D114" s="31"/>
    </row>
    <row r="115" spans="1:4" ht="15.75" customHeight="1">
      <c r="A115" s="34"/>
      <c r="B115" s="30"/>
      <c r="C115" s="31"/>
      <c r="D115" s="31"/>
    </row>
    <row r="116" spans="1:4" ht="15.75" customHeight="1">
      <c r="A116" s="34"/>
      <c r="B116" s="30"/>
      <c r="C116" s="31"/>
      <c r="D116" s="31"/>
    </row>
    <row r="117" spans="1:4" ht="15.75" customHeight="1">
      <c r="A117" s="34"/>
      <c r="B117" s="30"/>
      <c r="C117" s="31"/>
      <c r="D117" s="31"/>
    </row>
    <row r="118" spans="1:4" ht="15.75" customHeight="1">
      <c r="A118" s="34"/>
      <c r="B118" s="30"/>
      <c r="C118" s="31"/>
      <c r="D118" s="31"/>
    </row>
    <row r="119" spans="1:4" ht="15.75" customHeight="1">
      <c r="A119" s="34"/>
      <c r="B119" s="30"/>
      <c r="C119" s="31"/>
      <c r="D119" s="31"/>
    </row>
    <row r="120" spans="1:4" ht="15.75" customHeight="1">
      <c r="A120" s="34"/>
      <c r="B120" s="30"/>
      <c r="C120" s="31"/>
      <c r="D120" s="31"/>
    </row>
    <row r="121" spans="1:4" ht="15.75" customHeight="1">
      <c r="A121" s="34"/>
      <c r="B121" s="30"/>
      <c r="C121" s="31"/>
      <c r="D121" s="31"/>
    </row>
    <row r="122" spans="1:4" ht="15.75" customHeight="1">
      <c r="A122" s="34"/>
      <c r="B122" s="30"/>
      <c r="C122" s="31"/>
      <c r="D122" s="31"/>
    </row>
    <row r="123" spans="1:4" ht="15.75" customHeight="1">
      <c r="A123" s="34"/>
      <c r="B123" s="30"/>
      <c r="C123" s="31"/>
      <c r="D123" s="31"/>
    </row>
    <row r="124" spans="1:4" ht="15.75" customHeight="1">
      <c r="A124" s="34"/>
      <c r="B124" s="30"/>
      <c r="C124" s="31"/>
      <c r="D124" s="31"/>
    </row>
    <row r="125" spans="1:4" ht="15.75" customHeight="1">
      <c r="A125" s="34"/>
      <c r="B125" s="30"/>
      <c r="C125" s="31"/>
      <c r="D125" s="31"/>
    </row>
    <row r="126" spans="1:4" ht="15.75" customHeight="1">
      <c r="A126" s="34"/>
      <c r="B126" s="30"/>
      <c r="C126" s="31"/>
      <c r="D126" s="31"/>
    </row>
    <row r="127" spans="1:4" ht="15.75" customHeight="1">
      <c r="A127" s="34"/>
      <c r="B127" s="30"/>
      <c r="C127" s="31"/>
      <c r="D127" s="31"/>
    </row>
    <row r="128" spans="1:4" ht="15.75" customHeight="1">
      <c r="A128" s="34"/>
      <c r="B128" s="30"/>
      <c r="C128" s="31"/>
      <c r="D128" s="31"/>
    </row>
    <row r="129" spans="1:4" ht="15.75" customHeight="1">
      <c r="A129" s="34"/>
      <c r="B129" s="30"/>
      <c r="C129" s="31"/>
      <c r="D129" s="31"/>
    </row>
    <row r="130" spans="1:4" ht="15.75" customHeight="1">
      <c r="A130" s="34"/>
      <c r="B130" s="30"/>
      <c r="C130" s="31"/>
      <c r="D130" s="31"/>
    </row>
    <row r="131" spans="1:4" ht="15.75" customHeight="1">
      <c r="A131" s="34"/>
      <c r="B131" s="30"/>
      <c r="C131" s="31"/>
      <c r="D131" s="31"/>
    </row>
    <row r="132" spans="1:4" ht="15.75" customHeight="1">
      <c r="A132" s="34"/>
      <c r="B132" s="30"/>
      <c r="C132" s="31"/>
      <c r="D132" s="31"/>
    </row>
    <row r="133" spans="1:4" ht="15.75" customHeight="1">
      <c r="A133" s="34"/>
      <c r="B133" s="30"/>
      <c r="C133" s="31"/>
      <c r="D133" s="31"/>
    </row>
    <row r="134" spans="1:4" ht="15.75" customHeight="1">
      <c r="A134" s="34"/>
      <c r="B134" s="30"/>
      <c r="C134" s="31"/>
      <c r="D134" s="31"/>
    </row>
    <row r="135" spans="1:4" ht="15.75" customHeight="1">
      <c r="A135" s="34"/>
      <c r="B135" s="30"/>
      <c r="C135" s="31"/>
      <c r="D135" s="31"/>
    </row>
    <row r="136" spans="1:4" ht="15.75" customHeight="1">
      <c r="A136" s="34"/>
      <c r="B136" s="30"/>
      <c r="C136" s="31"/>
      <c r="D136" s="31"/>
    </row>
    <row r="137" spans="1:4" ht="15.75" customHeight="1">
      <c r="A137" s="34"/>
      <c r="B137" s="30"/>
      <c r="C137" s="31"/>
      <c r="D137" s="31"/>
    </row>
    <row r="138" spans="1:4" ht="15.75" customHeight="1">
      <c r="A138" s="34"/>
      <c r="B138" s="30"/>
      <c r="C138" s="31"/>
      <c r="D138" s="31"/>
    </row>
    <row r="139" spans="1:4" ht="15.75" customHeight="1">
      <c r="A139" s="34"/>
      <c r="B139" s="30"/>
      <c r="C139" s="31"/>
      <c r="D139" s="31"/>
    </row>
    <row r="140" spans="1:4" ht="15.75" customHeight="1">
      <c r="A140" s="34"/>
      <c r="B140" s="30"/>
      <c r="C140" s="31"/>
      <c r="D140" s="31"/>
    </row>
    <row r="141" spans="1:4" ht="15.75" customHeight="1">
      <c r="A141" s="34"/>
      <c r="B141" s="30"/>
      <c r="C141" s="31"/>
      <c r="D141" s="31"/>
    </row>
    <row r="142" spans="1:4" ht="15.75" customHeight="1">
      <c r="A142" s="34"/>
      <c r="B142" s="30"/>
      <c r="C142" s="31"/>
      <c r="D142" s="31"/>
    </row>
    <row r="143" spans="1:4" ht="15.75" customHeight="1">
      <c r="A143" s="34"/>
      <c r="B143" s="30"/>
      <c r="C143" s="31"/>
      <c r="D143" s="31"/>
    </row>
    <row r="144" spans="1:4" ht="15.75" customHeight="1">
      <c r="A144" s="34"/>
      <c r="B144" s="30"/>
      <c r="C144" s="31"/>
      <c r="D144" s="31"/>
    </row>
    <row r="145" spans="1:4" ht="15.75" customHeight="1">
      <c r="A145" s="34"/>
      <c r="B145" s="30"/>
      <c r="C145" s="31"/>
      <c r="D145" s="31"/>
    </row>
    <row r="146" spans="1:4" ht="15.75" customHeight="1">
      <c r="A146" s="34"/>
      <c r="B146" s="30"/>
      <c r="C146" s="31"/>
      <c r="D146" s="31"/>
    </row>
    <row r="147" spans="1:4" ht="15.75" customHeight="1">
      <c r="A147" s="34"/>
      <c r="B147" s="30"/>
      <c r="C147" s="31"/>
      <c r="D147" s="31"/>
    </row>
    <row r="148" spans="1:4" ht="15.75" customHeight="1">
      <c r="A148" s="34"/>
      <c r="B148" s="30"/>
      <c r="C148" s="31"/>
      <c r="D148" s="31"/>
    </row>
    <row r="149" spans="1:4" ht="15.75" customHeight="1">
      <c r="A149" s="34"/>
      <c r="B149" s="30"/>
      <c r="C149" s="31"/>
      <c r="D149" s="31"/>
    </row>
    <row r="150" spans="1:4" ht="15.75" customHeight="1">
      <c r="A150" s="34"/>
      <c r="B150" s="30"/>
      <c r="C150" s="31"/>
      <c r="D150" s="31"/>
    </row>
    <row r="151" spans="1:4" ht="15.75" customHeight="1">
      <c r="A151" s="34"/>
      <c r="B151" s="30"/>
      <c r="C151" s="31"/>
      <c r="D151" s="31"/>
    </row>
    <row r="152" spans="1:4" ht="15.75" customHeight="1">
      <c r="A152" s="34"/>
      <c r="B152" s="30"/>
      <c r="C152" s="31"/>
      <c r="D152" s="31"/>
    </row>
    <row r="153" spans="1:4" ht="15.75" customHeight="1">
      <c r="A153" s="34"/>
      <c r="B153" s="30"/>
      <c r="C153" s="31"/>
      <c r="D153" s="31"/>
    </row>
    <row r="154" spans="1:4" ht="15.75" customHeight="1">
      <c r="A154" s="34"/>
      <c r="B154" s="30"/>
      <c r="C154" s="31"/>
      <c r="D154" s="31"/>
    </row>
    <row r="155" spans="1:4" ht="15.75" customHeight="1">
      <c r="A155" s="34"/>
      <c r="B155" s="30"/>
      <c r="C155" s="31"/>
      <c r="D155" s="31"/>
    </row>
    <row r="156" spans="1:4" ht="15.75" customHeight="1">
      <c r="A156" s="34"/>
      <c r="B156" s="30"/>
      <c r="C156" s="31"/>
      <c r="D156" s="31"/>
    </row>
    <row r="157" spans="1:4" ht="15.75" customHeight="1">
      <c r="A157" s="34"/>
      <c r="B157" s="30"/>
      <c r="C157" s="31"/>
      <c r="D157" s="31"/>
    </row>
    <row r="158" spans="1:4" ht="15.75" customHeight="1">
      <c r="A158" s="34"/>
      <c r="B158" s="30"/>
      <c r="C158" s="31"/>
      <c r="D158" s="31"/>
    </row>
    <row r="159" spans="1:4" ht="15.75" customHeight="1">
      <c r="A159" s="34"/>
      <c r="B159" s="30"/>
      <c r="C159" s="31"/>
      <c r="D159" s="31"/>
    </row>
    <row r="160" spans="1:4" ht="15.75" customHeight="1">
      <c r="A160" s="34"/>
      <c r="B160" s="30"/>
      <c r="C160" s="31"/>
      <c r="D160" s="31"/>
    </row>
    <row r="161" spans="1:4" ht="15.75" customHeight="1">
      <c r="A161" s="34"/>
      <c r="B161" s="30"/>
      <c r="C161" s="31"/>
      <c r="D161" s="31"/>
    </row>
    <row r="162" spans="1:4" ht="15.75" customHeight="1">
      <c r="A162" s="34"/>
      <c r="B162" s="30"/>
      <c r="C162" s="31"/>
      <c r="D162" s="31"/>
    </row>
    <row r="163" spans="1:4" ht="15.75" customHeight="1">
      <c r="A163" s="34"/>
      <c r="B163" s="30"/>
      <c r="C163" s="31"/>
      <c r="D163" s="31"/>
    </row>
    <row r="164" spans="1:4" ht="15.75" customHeight="1">
      <c r="A164" s="34"/>
      <c r="B164" s="30"/>
      <c r="C164" s="31"/>
      <c r="D164" s="31"/>
    </row>
    <row r="165" spans="1:4" ht="15.75" customHeight="1">
      <c r="A165" s="34"/>
      <c r="B165" s="30"/>
      <c r="C165" s="31"/>
      <c r="D165" s="31"/>
    </row>
    <row r="166" spans="1:4" ht="15.75" customHeight="1">
      <c r="A166" s="34"/>
      <c r="B166" s="30"/>
      <c r="C166" s="31"/>
      <c r="D166" s="31"/>
    </row>
    <row r="167" spans="1:4" ht="15.75" customHeight="1">
      <c r="A167" s="34"/>
      <c r="B167" s="30"/>
      <c r="C167" s="31"/>
      <c r="D167" s="31"/>
    </row>
    <row r="168" spans="1:4" ht="15.75" customHeight="1">
      <c r="A168" s="34"/>
      <c r="B168" s="30"/>
      <c r="C168" s="31"/>
      <c r="D168" s="31"/>
    </row>
    <row r="169" spans="1:4" ht="15.75" customHeight="1">
      <c r="A169" s="34"/>
      <c r="B169" s="30"/>
      <c r="C169" s="31"/>
      <c r="D169" s="31"/>
    </row>
    <row r="170" spans="1:4" ht="15.75" customHeight="1">
      <c r="A170" s="34"/>
      <c r="B170" s="30"/>
      <c r="C170" s="31"/>
      <c r="D170" s="31"/>
    </row>
    <row r="171" spans="1:4" ht="15.75" customHeight="1">
      <c r="A171" s="34"/>
      <c r="B171" s="30"/>
      <c r="C171" s="31"/>
      <c r="D171" s="31"/>
    </row>
    <row r="172" spans="1:4" ht="15.75" customHeight="1">
      <c r="A172" s="34"/>
      <c r="B172" s="30"/>
      <c r="C172" s="31"/>
      <c r="D172" s="31"/>
    </row>
    <row r="173" spans="1:4" ht="15.75" customHeight="1">
      <c r="A173" s="34"/>
      <c r="B173" s="30"/>
      <c r="C173" s="31"/>
      <c r="D173" s="31"/>
    </row>
    <row r="174" spans="1:4" ht="15.75" customHeight="1">
      <c r="A174" s="34"/>
      <c r="B174" s="30"/>
      <c r="C174" s="31"/>
      <c r="D174" s="31"/>
    </row>
    <row r="175" spans="1:4" ht="15.75" customHeight="1">
      <c r="A175" s="34"/>
      <c r="B175" s="30"/>
      <c r="C175" s="31"/>
      <c r="D175" s="31"/>
    </row>
    <row r="176" spans="1:4" ht="15.75" customHeight="1">
      <c r="A176" s="34"/>
      <c r="B176" s="30"/>
      <c r="C176" s="31"/>
      <c r="D176" s="31"/>
    </row>
    <row r="177" spans="1:4" ht="15.75" customHeight="1">
      <c r="A177" s="34"/>
      <c r="B177" s="30"/>
      <c r="C177" s="31"/>
      <c r="D177" s="31"/>
    </row>
    <row r="178" spans="1:4" ht="15.75" customHeight="1">
      <c r="A178" s="34"/>
      <c r="B178" s="30"/>
      <c r="C178" s="31"/>
      <c r="D178" s="31"/>
    </row>
    <row r="179" spans="1:4" ht="15.75" customHeight="1">
      <c r="A179" s="34"/>
      <c r="B179" s="30"/>
      <c r="C179" s="31"/>
      <c r="D179" s="31"/>
    </row>
    <row r="180" spans="1:4" ht="15.75" customHeight="1">
      <c r="A180" s="34"/>
      <c r="B180" s="30"/>
      <c r="C180" s="31"/>
      <c r="D180" s="31"/>
    </row>
    <row r="181" spans="1:4" ht="15.75" customHeight="1">
      <c r="A181" s="34"/>
      <c r="B181" s="30"/>
      <c r="C181" s="31"/>
      <c r="D181" s="31"/>
    </row>
    <row r="182" spans="1:4" ht="15.75" customHeight="1">
      <c r="A182" s="34"/>
      <c r="B182" s="30"/>
      <c r="C182" s="31"/>
      <c r="D182" s="31"/>
    </row>
    <row r="183" spans="1:4" ht="15.75" customHeight="1">
      <c r="A183" s="34"/>
      <c r="B183" s="30"/>
      <c r="C183" s="31"/>
      <c r="D183" s="31"/>
    </row>
    <row r="184" spans="1:4" ht="15.75" customHeight="1">
      <c r="A184" s="34"/>
      <c r="B184" s="30"/>
      <c r="C184" s="31"/>
      <c r="D184" s="31"/>
    </row>
    <row r="185" spans="1:4" ht="15.75" customHeight="1">
      <c r="A185" s="34"/>
      <c r="B185" s="30"/>
      <c r="C185" s="31"/>
      <c r="D185" s="31"/>
    </row>
    <row r="186" spans="1:4" ht="15.75" customHeight="1">
      <c r="A186" s="34"/>
      <c r="B186" s="30"/>
      <c r="C186" s="31"/>
      <c r="D186" s="31"/>
    </row>
    <row r="187" spans="1:4" ht="15.75" customHeight="1">
      <c r="A187" s="34"/>
      <c r="B187" s="30"/>
      <c r="C187" s="31"/>
      <c r="D187" s="31"/>
    </row>
    <row r="188" spans="1:4" ht="15.75" customHeight="1">
      <c r="A188" s="34"/>
      <c r="B188" s="30"/>
      <c r="C188" s="31"/>
      <c r="D188" s="31"/>
    </row>
    <row r="189" spans="1:4" ht="15.75" customHeight="1">
      <c r="A189" s="34"/>
      <c r="B189" s="30"/>
      <c r="C189" s="31"/>
      <c r="D189" s="31"/>
    </row>
    <row r="190" spans="1:4" ht="15.75" customHeight="1">
      <c r="A190" s="34"/>
      <c r="B190" s="30"/>
      <c r="C190" s="31"/>
      <c r="D190" s="31"/>
    </row>
    <row r="191" spans="1:4" ht="15.75" customHeight="1">
      <c r="A191" s="34"/>
      <c r="B191" s="30"/>
      <c r="C191" s="31"/>
      <c r="D191" s="31"/>
    </row>
    <row r="192" spans="1:4" ht="15.75" customHeight="1">
      <c r="A192" s="34"/>
      <c r="B192" s="30"/>
      <c r="C192" s="31"/>
      <c r="D192" s="31"/>
    </row>
    <row r="193" spans="1:4" ht="15.75" customHeight="1">
      <c r="A193" s="34"/>
      <c r="B193" s="30"/>
      <c r="C193" s="31"/>
      <c r="D193" s="31"/>
    </row>
    <row r="194" spans="1:4" ht="15.75" customHeight="1">
      <c r="A194" s="34"/>
      <c r="B194" s="30"/>
      <c r="C194" s="31"/>
      <c r="D194" s="31"/>
    </row>
    <row r="195" spans="1:4" ht="15.75" customHeight="1">
      <c r="A195" s="34"/>
      <c r="B195" s="30"/>
      <c r="C195" s="31"/>
      <c r="D195" s="31"/>
    </row>
    <row r="196" spans="1:4" ht="15.75" customHeight="1">
      <c r="A196" s="34"/>
      <c r="B196" s="30"/>
      <c r="C196" s="31"/>
      <c r="D196" s="31"/>
    </row>
    <row r="197" spans="1:4" ht="15.75" customHeight="1">
      <c r="A197" s="34"/>
      <c r="B197" s="30"/>
      <c r="C197" s="31"/>
      <c r="D197" s="31"/>
    </row>
    <row r="198" spans="1:4" ht="15.75" customHeight="1">
      <c r="A198" s="34"/>
      <c r="B198" s="30"/>
      <c r="C198" s="31"/>
      <c r="D198" s="31"/>
    </row>
    <row r="199" spans="1:4" ht="15.75" customHeight="1">
      <c r="A199" s="34"/>
      <c r="B199" s="30"/>
      <c r="C199" s="31"/>
      <c r="D199" s="31"/>
    </row>
    <row r="200" spans="1:4" ht="15.75" customHeight="1">
      <c r="A200" s="34"/>
      <c r="B200" s="30"/>
      <c r="C200" s="31"/>
      <c r="D200" s="31"/>
    </row>
    <row r="201" spans="1:4" ht="15.75" customHeight="1">
      <c r="A201" s="34"/>
      <c r="B201" s="30"/>
      <c r="C201" s="31"/>
      <c r="D201" s="31"/>
    </row>
    <row r="202" spans="1:4" ht="15.75" customHeight="1">
      <c r="A202" s="34"/>
      <c r="B202" s="30"/>
      <c r="C202" s="31"/>
      <c r="D202" s="31"/>
    </row>
    <row r="203" spans="1:4" ht="15.75" customHeight="1">
      <c r="A203" s="34"/>
      <c r="B203" s="30"/>
      <c r="C203" s="31"/>
      <c r="D203" s="31"/>
    </row>
    <row r="204" spans="1:4" ht="15.75" customHeight="1">
      <c r="A204" s="34"/>
      <c r="B204" s="30"/>
      <c r="C204" s="31"/>
      <c r="D204" s="31"/>
    </row>
    <row r="205" spans="1:4" ht="15.75" customHeight="1">
      <c r="A205" s="34"/>
      <c r="B205" s="30"/>
      <c r="C205" s="31"/>
      <c r="D205" s="31"/>
    </row>
    <row r="206" spans="1:4" ht="15.75" customHeight="1">
      <c r="A206" s="34"/>
      <c r="B206" s="30"/>
      <c r="C206" s="31"/>
      <c r="D206" s="31"/>
    </row>
    <row r="207" spans="1:4" ht="15.75" customHeight="1">
      <c r="A207" s="34"/>
      <c r="B207" s="30"/>
      <c r="C207" s="31"/>
      <c r="D207" s="31"/>
    </row>
    <row r="208" spans="1:4" ht="15.75" customHeight="1">
      <c r="A208" s="34"/>
      <c r="B208" s="30"/>
      <c r="C208" s="31"/>
      <c r="D208" s="31"/>
    </row>
    <row r="209" spans="1:4" ht="15.75" customHeight="1">
      <c r="A209" s="34"/>
      <c r="B209" s="30"/>
      <c r="C209" s="31"/>
      <c r="D209" s="31"/>
    </row>
    <row r="210" spans="1:4" ht="15.75" customHeight="1">
      <c r="A210" s="34"/>
      <c r="B210" s="30"/>
      <c r="C210" s="31"/>
      <c r="D210" s="31"/>
    </row>
    <row r="211" spans="1:4" ht="15.75" customHeight="1">
      <c r="A211" s="34"/>
      <c r="B211" s="30"/>
      <c r="C211" s="31"/>
      <c r="D211" s="31"/>
    </row>
    <row r="212" spans="1:4" ht="15.75" customHeight="1">
      <c r="A212" s="34"/>
      <c r="B212" s="30"/>
      <c r="C212" s="31"/>
      <c r="D212" s="31"/>
    </row>
    <row r="213" spans="1:4" ht="15.75" customHeight="1">
      <c r="A213" s="34"/>
      <c r="B213" s="30"/>
      <c r="C213" s="31"/>
      <c r="D213" s="31"/>
    </row>
    <row r="214" spans="1:4" ht="15.75" customHeight="1">
      <c r="A214" s="34"/>
      <c r="B214" s="30"/>
      <c r="C214" s="31"/>
      <c r="D214" s="31"/>
    </row>
    <row r="215" spans="1:4" ht="15.75" customHeight="1">
      <c r="A215" s="34"/>
      <c r="B215" s="30"/>
      <c r="C215" s="31"/>
      <c r="D215" s="31"/>
    </row>
    <row r="216" spans="1:4" ht="15.75" customHeight="1">
      <c r="A216" s="34"/>
      <c r="B216" s="30"/>
      <c r="C216" s="31"/>
      <c r="D216" s="31"/>
    </row>
    <row r="217" spans="1:4" ht="15.75" customHeight="1">
      <c r="A217" s="34"/>
      <c r="B217" s="30"/>
      <c r="C217" s="31"/>
      <c r="D217" s="31"/>
    </row>
    <row r="218" spans="1:4" ht="15.75" customHeight="1">
      <c r="A218" s="34"/>
      <c r="B218" s="30"/>
      <c r="C218" s="31"/>
      <c r="D218" s="31"/>
    </row>
    <row r="219" spans="1:4" ht="15.75" customHeight="1">
      <c r="A219" s="34"/>
      <c r="B219" s="30"/>
      <c r="C219" s="31"/>
      <c r="D219" s="31"/>
    </row>
    <row r="220" spans="1:4" ht="15.75" customHeight="1">
      <c r="A220" s="34"/>
      <c r="B220" s="30"/>
      <c r="C220" s="31"/>
      <c r="D220" s="31"/>
    </row>
    <row r="221" spans="1:4" ht="15.75" customHeight="1"/>
    <row r="222" spans="1:4" ht="15.75" customHeight="1"/>
    <row r="223" spans="1:4" ht="15.75" customHeight="1"/>
    <row r="224" spans="1: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  <outlinePr summaryBelow="0" summaryRight="0"/>
  </sheetPr>
  <dimension ref="A1:Z1000"/>
  <sheetViews>
    <sheetView workbookViewId="0">
      <selection activeCell="A7" sqref="A7"/>
    </sheetView>
  </sheetViews>
  <sheetFormatPr baseColWidth="10" defaultColWidth="12.6640625" defaultRowHeight="15" customHeight="1"/>
  <cols>
    <col min="1" max="6" width="12.6640625" customWidth="1"/>
  </cols>
  <sheetData>
    <row r="1" spans="1:26" ht="15.75" customHeight="1">
      <c r="A1" s="39" t="s">
        <v>19</v>
      </c>
      <c r="B1" s="27" t="s">
        <v>424</v>
      </c>
      <c r="C1" s="28" t="s">
        <v>22</v>
      </c>
      <c r="D1" s="28" t="s">
        <v>23</v>
      </c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spans="1:26" ht="15.75" customHeight="1">
      <c r="A2" s="37">
        <v>1</v>
      </c>
      <c r="B2" s="29" t="s">
        <v>425</v>
      </c>
      <c r="C2" s="31"/>
      <c r="D2" s="31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spans="1:26" ht="15.75" customHeight="1">
      <c r="A3" s="37">
        <v>2</v>
      </c>
      <c r="B3" s="29" t="s">
        <v>53</v>
      </c>
      <c r="C3" s="31"/>
      <c r="D3" s="31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spans="1:26" ht="15.75" customHeight="1">
      <c r="A4" s="37">
        <v>3</v>
      </c>
      <c r="B4" s="29" t="s">
        <v>377</v>
      </c>
      <c r="C4" s="31"/>
      <c r="D4" s="31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 ht="15.75" customHeight="1">
      <c r="A5" s="37">
        <v>4</v>
      </c>
      <c r="B5" s="29" t="s">
        <v>188</v>
      </c>
      <c r="C5" s="31"/>
      <c r="D5" s="31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spans="1:26" ht="15.75" customHeight="1">
      <c r="A6" s="37">
        <v>5</v>
      </c>
      <c r="B6" s="29" t="s">
        <v>223</v>
      </c>
      <c r="C6" s="31"/>
      <c r="D6" s="31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spans="1:26" ht="15.75" customHeight="1">
      <c r="A7" s="37">
        <v>6</v>
      </c>
      <c r="B7" s="29" t="s">
        <v>265</v>
      </c>
      <c r="C7" s="31"/>
      <c r="D7" s="31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spans="1:26" ht="15.75" customHeight="1">
      <c r="A8" s="37">
        <v>7</v>
      </c>
      <c r="B8" s="29" t="s">
        <v>426</v>
      </c>
      <c r="C8" s="31"/>
      <c r="D8" s="31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spans="1:26" ht="15.75" customHeight="1">
      <c r="A9" s="37">
        <v>8</v>
      </c>
      <c r="B9" s="29" t="s">
        <v>427</v>
      </c>
      <c r="C9" s="31"/>
      <c r="D9" s="31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spans="1:26" ht="15.75" customHeight="1">
      <c r="A10" s="37">
        <v>9</v>
      </c>
      <c r="B10" s="29" t="s">
        <v>428</v>
      </c>
      <c r="C10" s="31"/>
      <c r="D10" s="31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spans="1:26" ht="15.75" customHeight="1">
      <c r="A11" s="38">
        <v>10</v>
      </c>
      <c r="B11" s="30" t="s">
        <v>429</v>
      </c>
      <c r="C11" s="31"/>
      <c r="D11" s="31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spans="1:26" ht="15.75" customHeight="1">
      <c r="A12" s="38">
        <v>11</v>
      </c>
      <c r="B12" s="30" t="s">
        <v>430</v>
      </c>
      <c r="C12" s="31"/>
      <c r="D12" s="31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spans="1:26" ht="15.75" customHeight="1">
      <c r="A13" s="16"/>
      <c r="B13" s="30"/>
      <c r="C13" s="31"/>
      <c r="D13" s="31"/>
    </row>
    <row r="14" spans="1:26" ht="15.75" customHeight="1">
      <c r="A14" s="16"/>
      <c r="B14" s="30"/>
      <c r="C14" s="31"/>
      <c r="D14" s="31"/>
    </row>
    <row r="15" spans="1:26" ht="15.75" customHeight="1">
      <c r="A15" s="16"/>
      <c r="B15" s="30"/>
      <c r="C15" s="31"/>
      <c r="D15" s="31"/>
    </row>
    <row r="16" spans="1:26" ht="15.75" customHeight="1">
      <c r="A16" s="16"/>
      <c r="B16" s="30"/>
      <c r="C16" s="31"/>
      <c r="D16" s="31"/>
    </row>
    <row r="17" spans="1:4" ht="15.75" customHeight="1">
      <c r="A17" s="16"/>
      <c r="B17" s="30"/>
      <c r="C17" s="31"/>
      <c r="D17" s="31"/>
    </row>
    <row r="18" spans="1:4" ht="15.75" customHeight="1">
      <c r="A18" s="16"/>
      <c r="B18" s="30"/>
      <c r="C18" s="31"/>
      <c r="D18" s="31"/>
    </row>
    <row r="19" spans="1:4" ht="15.75" customHeight="1">
      <c r="A19" s="16"/>
      <c r="B19" s="30"/>
      <c r="C19" s="31"/>
      <c r="D19" s="31"/>
    </row>
    <row r="20" spans="1:4" ht="15.75" customHeight="1">
      <c r="A20" s="16"/>
      <c r="B20" s="30"/>
      <c r="C20" s="31"/>
      <c r="D20" s="31"/>
    </row>
    <row r="21" spans="1:4" ht="15.75" customHeight="1">
      <c r="A21" s="16"/>
      <c r="B21" s="30"/>
      <c r="C21" s="31"/>
      <c r="D21" s="31"/>
    </row>
    <row r="22" spans="1:4" ht="15.75" customHeight="1">
      <c r="A22" s="16"/>
      <c r="B22" s="30"/>
      <c r="C22" s="31"/>
      <c r="D22" s="31"/>
    </row>
    <row r="23" spans="1:4" ht="15.75" customHeight="1">
      <c r="A23" s="16"/>
      <c r="B23" s="30"/>
      <c r="C23" s="31"/>
      <c r="D23" s="31"/>
    </row>
    <row r="24" spans="1:4" ht="15.75" customHeight="1">
      <c r="A24" s="16"/>
      <c r="B24" s="30"/>
      <c r="C24" s="31"/>
      <c r="D24" s="31"/>
    </row>
    <row r="25" spans="1:4" ht="15.75" customHeight="1">
      <c r="A25" s="16"/>
      <c r="B25" s="30"/>
      <c r="C25" s="31"/>
      <c r="D25" s="31"/>
    </row>
    <row r="26" spans="1:4" ht="15.75" customHeight="1">
      <c r="A26" s="16"/>
      <c r="B26" s="30"/>
      <c r="C26" s="31"/>
      <c r="D26" s="31"/>
    </row>
    <row r="27" spans="1:4" ht="15.75" customHeight="1">
      <c r="A27" s="16"/>
      <c r="B27" s="30"/>
      <c r="C27" s="31"/>
      <c r="D27" s="31"/>
    </row>
    <row r="28" spans="1:4" ht="15.75" customHeight="1">
      <c r="A28" s="16"/>
      <c r="B28" s="30"/>
      <c r="C28" s="31"/>
      <c r="D28" s="31"/>
    </row>
    <row r="29" spans="1:4" ht="15.75" customHeight="1">
      <c r="A29" s="16"/>
      <c r="B29" s="30"/>
      <c r="C29" s="31"/>
      <c r="D29" s="31"/>
    </row>
    <row r="30" spans="1:4" ht="15.75" customHeight="1">
      <c r="A30" s="16"/>
      <c r="B30" s="30"/>
      <c r="C30" s="31"/>
      <c r="D30" s="31"/>
    </row>
    <row r="31" spans="1:4" ht="15.75" customHeight="1">
      <c r="A31" s="16"/>
      <c r="B31" s="30"/>
      <c r="C31" s="31"/>
      <c r="D31" s="31"/>
    </row>
    <row r="32" spans="1:4" ht="15.75" customHeight="1">
      <c r="A32" s="16"/>
      <c r="B32" s="30"/>
      <c r="C32" s="31"/>
      <c r="D32" s="31"/>
    </row>
    <row r="33" spans="1:4" ht="15.75" customHeight="1">
      <c r="A33" s="16"/>
      <c r="B33" s="30"/>
      <c r="C33" s="31"/>
      <c r="D33" s="31"/>
    </row>
    <row r="34" spans="1:4" ht="15.75" customHeight="1">
      <c r="A34" s="16"/>
      <c r="B34" s="30"/>
      <c r="C34" s="31"/>
      <c r="D34" s="31"/>
    </row>
    <row r="35" spans="1:4" ht="15.75" customHeight="1">
      <c r="A35" s="16"/>
      <c r="B35" s="30"/>
      <c r="C35" s="31"/>
      <c r="D35" s="31"/>
    </row>
    <row r="36" spans="1:4" ht="15.75" customHeight="1">
      <c r="A36" s="16"/>
      <c r="B36" s="30"/>
      <c r="C36" s="31"/>
      <c r="D36" s="31"/>
    </row>
    <row r="37" spans="1:4" ht="15.75" customHeight="1">
      <c r="A37" s="16"/>
      <c r="B37" s="30"/>
      <c r="C37" s="31"/>
      <c r="D37" s="31"/>
    </row>
    <row r="38" spans="1:4" ht="15.75" customHeight="1">
      <c r="A38" s="16"/>
      <c r="B38" s="30"/>
      <c r="C38" s="31"/>
      <c r="D38" s="31"/>
    </row>
    <row r="39" spans="1:4" ht="15.75" customHeight="1">
      <c r="A39" s="16"/>
      <c r="B39" s="30"/>
      <c r="C39" s="31"/>
      <c r="D39" s="31"/>
    </row>
    <row r="40" spans="1:4" ht="15.75" customHeight="1">
      <c r="A40" s="16"/>
      <c r="B40" s="30"/>
      <c r="C40" s="31"/>
      <c r="D40" s="31"/>
    </row>
    <row r="41" spans="1:4" ht="15.75" customHeight="1">
      <c r="A41" s="16"/>
      <c r="B41" s="30"/>
      <c r="C41" s="31"/>
      <c r="D41" s="31"/>
    </row>
    <row r="42" spans="1:4" ht="15.75" customHeight="1">
      <c r="A42" s="16"/>
      <c r="B42" s="30"/>
      <c r="C42" s="31"/>
      <c r="D42" s="31"/>
    </row>
    <row r="43" spans="1:4" ht="15.75" customHeight="1">
      <c r="A43" s="16"/>
      <c r="B43" s="30"/>
      <c r="C43" s="31"/>
      <c r="D43" s="31"/>
    </row>
    <row r="44" spans="1:4" ht="15.75" customHeight="1">
      <c r="A44" s="16"/>
      <c r="B44" s="30"/>
      <c r="C44" s="31"/>
      <c r="D44" s="31"/>
    </row>
    <row r="45" spans="1:4" ht="15.75" customHeight="1">
      <c r="A45" s="16"/>
      <c r="B45" s="30"/>
      <c r="C45" s="31"/>
      <c r="D45" s="31"/>
    </row>
    <row r="46" spans="1:4" ht="15.75" customHeight="1">
      <c r="A46" s="16"/>
      <c r="B46" s="30"/>
      <c r="C46" s="31"/>
      <c r="D46" s="31"/>
    </row>
    <row r="47" spans="1:4" ht="15.75" customHeight="1">
      <c r="A47" s="16"/>
      <c r="B47" s="30"/>
      <c r="C47" s="31"/>
      <c r="D47" s="31"/>
    </row>
    <row r="48" spans="1:4" ht="15.75" customHeight="1">
      <c r="A48" s="16"/>
      <c r="B48" s="30"/>
      <c r="C48" s="31"/>
      <c r="D48" s="31"/>
    </row>
    <row r="49" spans="1:4" ht="15.75" customHeight="1">
      <c r="A49" s="16"/>
      <c r="B49" s="30"/>
      <c r="C49" s="31"/>
      <c r="D49" s="31"/>
    </row>
    <row r="50" spans="1:4" ht="15.75" customHeight="1">
      <c r="A50" s="16"/>
      <c r="B50" s="30"/>
      <c r="C50" s="31"/>
      <c r="D50" s="31"/>
    </row>
    <row r="51" spans="1:4" ht="15.75" customHeight="1">
      <c r="A51" s="16"/>
      <c r="B51" s="30"/>
      <c r="C51" s="31"/>
      <c r="D51" s="31"/>
    </row>
    <row r="52" spans="1:4" ht="15.75" customHeight="1">
      <c r="A52" s="16"/>
      <c r="B52" s="30"/>
      <c r="C52" s="31"/>
      <c r="D52" s="31"/>
    </row>
    <row r="53" spans="1:4" ht="15.75" customHeight="1">
      <c r="A53" s="16"/>
      <c r="B53" s="30"/>
      <c r="C53" s="31"/>
      <c r="D53" s="31"/>
    </row>
    <row r="54" spans="1:4" ht="15.75" customHeight="1">
      <c r="A54" s="16"/>
      <c r="B54" s="30"/>
      <c r="C54" s="31"/>
      <c r="D54" s="31"/>
    </row>
    <row r="55" spans="1:4" ht="15.75" customHeight="1">
      <c r="A55" s="16"/>
      <c r="B55" s="30"/>
      <c r="C55" s="31"/>
      <c r="D55" s="31"/>
    </row>
    <row r="56" spans="1:4" ht="15.75" customHeight="1">
      <c r="A56" s="16"/>
      <c r="B56" s="30"/>
      <c r="C56" s="31"/>
      <c r="D56" s="31"/>
    </row>
    <row r="57" spans="1:4" ht="15.75" customHeight="1">
      <c r="A57" s="16"/>
      <c r="B57" s="30"/>
      <c r="C57" s="31"/>
      <c r="D57" s="31"/>
    </row>
    <row r="58" spans="1:4" ht="15.75" customHeight="1">
      <c r="A58" s="16"/>
      <c r="B58" s="30"/>
      <c r="C58" s="31"/>
      <c r="D58" s="31"/>
    </row>
    <row r="59" spans="1:4" ht="15.75" customHeight="1">
      <c r="A59" s="16"/>
      <c r="B59" s="30"/>
      <c r="C59" s="31"/>
      <c r="D59" s="31"/>
    </row>
    <row r="60" spans="1:4" ht="15.75" customHeight="1">
      <c r="A60" s="16"/>
      <c r="B60" s="30"/>
      <c r="C60" s="31"/>
      <c r="D60" s="31"/>
    </row>
    <row r="61" spans="1:4" ht="15.75" customHeight="1">
      <c r="A61" s="16"/>
      <c r="B61" s="30"/>
      <c r="C61" s="31"/>
      <c r="D61" s="31"/>
    </row>
    <row r="62" spans="1:4" ht="15.75" customHeight="1">
      <c r="A62" s="16"/>
      <c r="B62" s="30"/>
      <c r="C62" s="31"/>
      <c r="D62" s="31"/>
    </row>
    <row r="63" spans="1:4" ht="15.75" customHeight="1">
      <c r="A63" s="16"/>
      <c r="B63" s="30"/>
      <c r="C63" s="31"/>
      <c r="D63" s="31"/>
    </row>
    <row r="64" spans="1:4" ht="15.75" customHeight="1">
      <c r="A64" s="16"/>
      <c r="B64" s="30"/>
      <c r="C64" s="31"/>
      <c r="D64" s="31"/>
    </row>
    <row r="65" spans="1:4" ht="15.75" customHeight="1">
      <c r="A65" s="16"/>
      <c r="B65" s="30"/>
      <c r="C65" s="31"/>
      <c r="D65" s="31"/>
    </row>
    <row r="66" spans="1:4" ht="15.75" customHeight="1">
      <c r="A66" s="16"/>
      <c r="B66" s="30"/>
      <c r="C66" s="31"/>
      <c r="D66" s="31"/>
    </row>
    <row r="67" spans="1:4" ht="15.75" customHeight="1">
      <c r="A67" s="16"/>
      <c r="B67" s="30"/>
      <c r="C67" s="31"/>
      <c r="D67" s="31"/>
    </row>
    <row r="68" spans="1:4" ht="15.75" customHeight="1">
      <c r="A68" s="16"/>
      <c r="B68" s="30"/>
      <c r="C68" s="31"/>
      <c r="D68" s="31"/>
    </row>
    <row r="69" spans="1:4" ht="15.75" customHeight="1">
      <c r="A69" s="16"/>
      <c r="B69" s="30"/>
      <c r="C69" s="31"/>
      <c r="D69" s="31"/>
    </row>
    <row r="70" spans="1:4" ht="15.75" customHeight="1">
      <c r="A70" s="16"/>
      <c r="B70" s="30"/>
      <c r="C70" s="31"/>
      <c r="D70" s="31"/>
    </row>
    <row r="71" spans="1:4" ht="15.75" customHeight="1">
      <c r="A71" s="16"/>
      <c r="B71" s="30"/>
      <c r="C71" s="31"/>
      <c r="D71" s="31"/>
    </row>
    <row r="72" spans="1:4" ht="15.75" customHeight="1">
      <c r="A72" s="16"/>
      <c r="B72" s="30"/>
      <c r="C72" s="31"/>
      <c r="D72" s="31"/>
    </row>
    <row r="73" spans="1:4" ht="15.75" customHeight="1">
      <c r="A73" s="16"/>
      <c r="B73" s="30"/>
      <c r="C73" s="31"/>
      <c r="D73" s="31"/>
    </row>
    <row r="74" spans="1:4" ht="15.75" customHeight="1">
      <c r="A74" s="16"/>
      <c r="B74" s="30"/>
      <c r="C74" s="31"/>
      <c r="D74" s="31"/>
    </row>
    <row r="75" spans="1:4" ht="15.75" customHeight="1">
      <c r="A75" s="16"/>
      <c r="B75" s="30"/>
      <c r="C75" s="31"/>
      <c r="D75" s="31"/>
    </row>
    <row r="76" spans="1:4" ht="15.75" customHeight="1">
      <c r="A76" s="16"/>
      <c r="B76" s="30"/>
      <c r="C76" s="31"/>
      <c r="D76" s="31"/>
    </row>
    <row r="77" spans="1:4" ht="15.75" customHeight="1">
      <c r="A77" s="16"/>
      <c r="B77" s="30"/>
      <c r="C77" s="31"/>
      <c r="D77" s="31"/>
    </row>
    <row r="78" spans="1:4" ht="15.75" customHeight="1">
      <c r="A78" s="16"/>
      <c r="B78" s="30"/>
      <c r="C78" s="31"/>
      <c r="D78" s="31"/>
    </row>
    <row r="79" spans="1:4" ht="15.75" customHeight="1">
      <c r="A79" s="16"/>
      <c r="B79" s="30"/>
      <c r="C79" s="31"/>
      <c r="D79" s="31"/>
    </row>
    <row r="80" spans="1:4" ht="15.75" customHeight="1">
      <c r="A80" s="16"/>
      <c r="B80" s="30"/>
      <c r="C80" s="31"/>
      <c r="D80" s="31"/>
    </row>
    <row r="81" spans="1:4" ht="15.75" customHeight="1">
      <c r="A81" s="16"/>
      <c r="B81" s="30"/>
      <c r="C81" s="31"/>
      <c r="D81" s="31"/>
    </row>
    <row r="82" spans="1:4" ht="15.75" customHeight="1">
      <c r="A82" s="16"/>
      <c r="B82" s="30"/>
      <c r="C82" s="31"/>
      <c r="D82" s="31"/>
    </row>
    <row r="83" spans="1:4" ht="15.75" customHeight="1">
      <c r="A83" s="16"/>
      <c r="B83" s="30"/>
      <c r="C83" s="31"/>
      <c r="D83" s="31"/>
    </row>
    <row r="84" spans="1:4" ht="15.75" customHeight="1">
      <c r="A84" s="16"/>
      <c r="B84" s="30"/>
      <c r="C84" s="31"/>
      <c r="D84" s="31"/>
    </row>
    <row r="85" spans="1:4" ht="15.75" customHeight="1">
      <c r="A85" s="16"/>
      <c r="B85" s="30"/>
      <c r="C85" s="31"/>
      <c r="D85" s="31"/>
    </row>
    <row r="86" spans="1:4" ht="15.75" customHeight="1">
      <c r="A86" s="16"/>
      <c r="B86" s="30"/>
      <c r="C86" s="31"/>
      <c r="D86" s="31"/>
    </row>
    <row r="87" spans="1:4" ht="15.75" customHeight="1">
      <c r="A87" s="16"/>
      <c r="B87" s="30"/>
      <c r="C87" s="31"/>
      <c r="D87" s="31"/>
    </row>
    <row r="88" spans="1:4" ht="15.75" customHeight="1">
      <c r="A88" s="16"/>
      <c r="B88" s="30"/>
      <c r="C88" s="31"/>
      <c r="D88" s="31"/>
    </row>
    <row r="89" spans="1:4" ht="15.75" customHeight="1">
      <c r="A89" s="16"/>
      <c r="B89" s="30"/>
      <c r="C89" s="31"/>
      <c r="D89" s="31"/>
    </row>
    <row r="90" spans="1:4" ht="15.75" customHeight="1">
      <c r="A90" s="16"/>
      <c r="B90" s="30"/>
      <c r="C90" s="31"/>
      <c r="D90" s="31"/>
    </row>
    <row r="91" spans="1:4" ht="15.75" customHeight="1">
      <c r="A91" s="16"/>
      <c r="B91" s="30"/>
      <c r="C91" s="31"/>
      <c r="D91" s="31"/>
    </row>
    <row r="92" spans="1:4" ht="15.75" customHeight="1">
      <c r="A92" s="16"/>
      <c r="B92" s="30"/>
      <c r="C92" s="31"/>
      <c r="D92" s="31"/>
    </row>
    <row r="93" spans="1:4" ht="15.75" customHeight="1">
      <c r="A93" s="16"/>
      <c r="B93" s="30"/>
      <c r="C93" s="31"/>
      <c r="D93" s="31"/>
    </row>
    <row r="94" spans="1:4" ht="15.75" customHeight="1">
      <c r="A94" s="16"/>
      <c r="B94" s="30"/>
      <c r="C94" s="31"/>
      <c r="D94" s="31"/>
    </row>
    <row r="95" spans="1:4" ht="15.75" customHeight="1">
      <c r="A95" s="16"/>
      <c r="B95" s="30"/>
      <c r="C95" s="31"/>
      <c r="D95" s="31"/>
    </row>
    <row r="96" spans="1:4" ht="15.75" customHeight="1">
      <c r="A96" s="16"/>
      <c r="B96" s="30"/>
      <c r="C96" s="31"/>
      <c r="D96" s="31"/>
    </row>
    <row r="97" spans="1:4" ht="15.75" customHeight="1">
      <c r="A97" s="16"/>
      <c r="B97" s="30"/>
      <c r="C97" s="31"/>
      <c r="D97" s="31"/>
    </row>
    <row r="98" spans="1:4" ht="15.75" customHeight="1">
      <c r="A98" s="16"/>
      <c r="B98" s="30"/>
      <c r="C98" s="31"/>
      <c r="D98" s="31"/>
    </row>
    <row r="99" spans="1:4" ht="15.75" customHeight="1">
      <c r="A99" s="16"/>
      <c r="B99" s="30"/>
      <c r="C99" s="31"/>
      <c r="D99" s="31"/>
    </row>
    <row r="100" spans="1:4" ht="15.75" customHeight="1">
      <c r="A100" s="16"/>
      <c r="B100" s="30"/>
      <c r="C100" s="31"/>
      <c r="D100" s="31"/>
    </row>
    <row r="101" spans="1:4" ht="15.75" customHeight="1">
      <c r="A101" s="16"/>
      <c r="B101" s="30"/>
      <c r="C101" s="31"/>
      <c r="D101" s="31"/>
    </row>
    <row r="102" spans="1:4" ht="15.75" customHeight="1">
      <c r="A102" s="16"/>
      <c r="B102" s="30"/>
      <c r="C102" s="31"/>
      <c r="D102" s="31"/>
    </row>
    <row r="103" spans="1:4" ht="15.75" customHeight="1">
      <c r="A103" s="16"/>
      <c r="B103" s="30"/>
      <c r="C103" s="31"/>
      <c r="D103" s="31"/>
    </row>
    <row r="104" spans="1:4" ht="15.75" customHeight="1">
      <c r="A104" s="16"/>
      <c r="B104" s="30"/>
      <c r="C104" s="31"/>
      <c r="D104" s="31"/>
    </row>
    <row r="105" spans="1:4" ht="15.75" customHeight="1">
      <c r="A105" s="16"/>
      <c r="B105" s="30"/>
      <c r="C105" s="31"/>
      <c r="D105" s="31"/>
    </row>
    <row r="106" spans="1:4" ht="15.75" customHeight="1">
      <c r="A106" s="16"/>
      <c r="B106" s="30"/>
      <c r="C106" s="31"/>
      <c r="D106" s="31"/>
    </row>
    <row r="107" spans="1:4" ht="15.75" customHeight="1">
      <c r="A107" s="16"/>
      <c r="B107" s="30"/>
      <c r="C107" s="31"/>
      <c r="D107" s="31"/>
    </row>
    <row r="108" spans="1:4" ht="15.75" customHeight="1">
      <c r="A108" s="16"/>
      <c r="B108" s="30"/>
      <c r="C108" s="31"/>
      <c r="D108" s="31"/>
    </row>
    <row r="109" spans="1:4" ht="15.75" customHeight="1">
      <c r="A109" s="16"/>
      <c r="B109" s="30"/>
      <c r="C109" s="31"/>
      <c r="D109" s="31"/>
    </row>
    <row r="110" spans="1:4" ht="15.75" customHeight="1">
      <c r="A110" s="16"/>
      <c r="B110" s="30"/>
      <c r="C110" s="31"/>
      <c r="D110" s="31"/>
    </row>
    <row r="111" spans="1:4" ht="15.75" customHeight="1">
      <c r="A111" s="16"/>
      <c r="B111" s="30"/>
      <c r="C111" s="31"/>
      <c r="D111" s="31"/>
    </row>
    <row r="112" spans="1:4" ht="15.75" customHeight="1">
      <c r="A112" s="16"/>
      <c r="B112" s="30"/>
      <c r="C112" s="31"/>
      <c r="D112" s="31"/>
    </row>
    <row r="113" spans="1:4" ht="15.75" customHeight="1">
      <c r="A113" s="16"/>
      <c r="B113" s="30"/>
      <c r="C113" s="31"/>
      <c r="D113" s="31"/>
    </row>
    <row r="114" spans="1:4" ht="15.75" customHeight="1">
      <c r="A114" s="16"/>
      <c r="B114" s="30"/>
      <c r="C114" s="31"/>
      <c r="D114" s="31"/>
    </row>
    <row r="115" spans="1:4" ht="15.75" customHeight="1">
      <c r="A115" s="16"/>
      <c r="B115" s="30"/>
      <c r="C115" s="31"/>
      <c r="D115" s="31"/>
    </row>
    <row r="116" spans="1:4" ht="15.75" customHeight="1">
      <c r="A116" s="16"/>
      <c r="B116" s="30"/>
      <c r="C116" s="31"/>
      <c r="D116" s="31"/>
    </row>
    <row r="117" spans="1:4" ht="15.75" customHeight="1">
      <c r="A117" s="16"/>
      <c r="B117" s="30"/>
      <c r="C117" s="31"/>
      <c r="D117" s="31"/>
    </row>
    <row r="118" spans="1:4" ht="15.75" customHeight="1">
      <c r="A118" s="16"/>
      <c r="B118" s="30"/>
      <c r="C118" s="31"/>
      <c r="D118" s="31"/>
    </row>
    <row r="119" spans="1:4" ht="15.75" customHeight="1">
      <c r="A119" s="16"/>
      <c r="B119" s="30"/>
      <c r="C119" s="31"/>
      <c r="D119" s="31"/>
    </row>
    <row r="120" spans="1:4" ht="15.75" customHeight="1">
      <c r="A120" s="16"/>
      <c r="B120" s="30"/>
      <c r="C120" s="31"/>
      <c r="D120" s="31"/>
    </row>
    <row r="121" spans="1:4" ht="15.75" customHeight="1">
      <c r="A121" s="16"/>
      <c r="B121" s="30"/>
      <c r="C121" s="31"/>
      <c r="D121" s="31"/>
    </row>
    <row r="122" spans="1:4" ht="15.75" customHeight="1">
      <c r="A122" s="16"/>
      <c r="B122" s="30"/>
      <c r="C122" s="31"/>
      <c r="D122" s="31"/>
    </row>
    <row r="123" spans="1:4" ht="15.75" customHeight="1">
      <c r="A123" s="16"/>
      <c r="B123" s="30"/>
      <c r="C123" s="31"/>
      <c r="D123" s="31"/>
    </row>
    <row r="124" spans="1:4" ht="15.75" customHeight="1">
      <c r="A124" s="16"/>
      <c r="B124" s="30"/>
      <c r="C124" s="31"/>
      <c r="D124" s="31"/>
    </row>
    <row r="125" spans="1:4" ht="15.75" customHeight="1">
      <c r="A125" s="16"/>
      <c r="B125" s="30"/>
      <c r="C125" s="31"/>
      <c r="D125" s="31"/>
    </row>
    <row r="126" spans="1:4" ht="15.75" customHeight="1">
      <c r="A126" s="16"/>
      <c r="B126" s="30"/>
      <c r="C126" s="31"/>
      <c r="D126" s="31"/>
    </row>
    <row r="127" spans="1:4" ht="15.75" customHeight="1">
      <c r="A127" s="16"/>
      <c r="B127" s="30"/>
      <c r="C127" s="31"/>
      <c r="D127" s="31"/>
    </row>
    <row r="128" spans="1:4" ht="15.75" customHeight="1">
      <c r="A128" s="16"/>
      <c r="B128" s="30"/>
      <c r="C128" s="31"/>
      <c r="D128" s="31"/>
    </row>
    <row r="129" spans="1:4" ht="15.75" customHeight="1">
      <c r="A129" s="16"/>
      <c r="B129" s="30"/>
      <c r="C129" s="31"/>
      <c r="D129" s="31"/>
    </row>
    <row r="130" spans="1:4" ht="15.75" customHeight="1">
      <c r="A130" s="16"/>
      <c r="B130" s="30"/>
      <c r="C130" s="31"/>
      <c r="D130" s="31"/>
    </row>
    <row r="131" spans="1:4" ht="15.75" customHeight="1">
      <c r="A131" s="16"/>
      <c r="B131" s="30"/>
      <c r="C131" s="31"/>
      <c r="D131" s="31"/>
    </row>
    <row r="132" spans="1:4" ht="15.75" customHeight="1">
      <c r="A132" s="16"/>
      <c r="B132" s="30"/>
      <c r="C132" s="31"/>
      <c r="D132" s="31"/>
    </row>
    <row r="133" spans="1:4" ht="15.75" customHeight="1">
      <c r="A133" s="16"/>
      <c r="B133" s="30"/>
      <c r="C133" s="31"/>
      <c r="D133" s="31"/>
    </row>
    <row r="134" spans="1:4" ht="15.75" customHeight="1">
      <c r="A134" s="16"/>
      <c r="B134" s="30"/>
      <c r="C134" s="31"/>
      <c r="D134" s="31"/>
    </row>
    <row r="135" spans="1:4" ht="15.75" customHeight="1">
      <c r="A135" s="16"/>
      <c r="B135" s="30"/>
      <c r="C135" s="31"/>
      <c r="D135" s="31"/>
    </row>
    <row r="136" spans="1:4" ht="15.75" customHeight="1">
      <c r="A136" s="16"/>
      <c r="B136" s="30"/>
      <c r="C136" s="31"/>
      <c r="D136" s="31"/>
    </row>
    <row r="137" spans="1:4" ht="15.75" customHeight="1">
      <c r="A137" s="16"/>
      <c r="B137" s="30"/>
      <c r="C137" s="31"/>
      <c r="D137" s="31"/>
    </row>
    <row r="138" spans="1:4" ht="15.75" customHeight="1">
      <c r="A138" s="16"/>
      <c r="B138" s="30"/>
      <c r="C138" s="31"/>
      <c r="D138" s="31"/>
    </row>
    <row r="139" spans="1:4" ht="15.75" customHeight="1">
      <c r="A139" s="16"/>
      <c r="B139" s="30"/>
      <c r="C139" s="31"/>
      <c r="D139" s="31"/>
    </row>
    <row r="140" spans="1:4" ht="15.75" customHeight="1">
      <c r="A140" s="16"/>
      <c r="B140" s="30"/>
      <c r="C140" s="31"/>
      <c r="D140" s="31"/>
    </row>
    <row r="141" spans="1:4" ht="15.75" customHeight="1">
      <c r="A141" s="16"/>
      <c r="B141" s="30"/>
      <c r="C141" s="31"/>
      <c r="D141" s="31"/>
    </row>
    <row r="142" spans="1:4" ht="15.75" customHeight="1">
      <c r="A142" s="16"/>
      <c r="B142" s="30"/>
      <c r="C142" s="31"/>
      <c r="D142" s="31"/>
    </row>
    <row r="143" spans="1:4" ht="15.75" customHeight="1">
      <c r="A143" s="16"/>
      <c r="B143" s="30"/>
      <c r="C143" s="31"/>
      <c r="D143" s="31"/>
    </row>
    <row r="144" spans="1:4" ht="15.75" customHeight="1">
      <c r="A144" s="16"/>
      <c r="B144" s="30"/>
      <c r="C144" s="31"/>
      <c r="D144" s="31"/>
    </row>
    <row r="145" spans="1:4" ht="15.75" customHeight="1">
      <c r="A145" s="16"/>
      <c r="B145" s="30"/>
      <c r="C145" s="31"/>
      <c r="D145" s="31"/>
    </row>
    <row r="146" spans="1:4" ht="15.75" customHeight="1">
      <c r="A146" s="16"/>
      <c r="B146" s="30"/>
      <c r="C146" s="31"/>
      <c r="D146" s="31"/>
    </row>
    <row r="147" spans="1:4" ht="15.75" customHeight="1">
      <c r="A147" s="16"/>
      <c r="B147" s="30"/>
      <c r="C147" s="31"/>
      <c r="D147" s="31"/>
    </row>
    <row r="148" spans="1:4" ht="15.75" customHeight="1">
      <c r="A148" s="16"/>
      <c r="B148" s="30"/>
      <c r="C148" s="31"/>
      <c r="D148" s="31"/>
    </row>
    <row r="149" spans="1:4" ht="15.75" customHeight="1">
      <c r="A149" s="16"/>
      <c r="B149" s="30"/>
      <c r="C149" s="31"/>
      <c r="D149" s="31"/>
    </row>
    <row r="150" spans="1:4" ht="15.75" customHeight="1">
      <c r="A150" s="16"/>
      <c r="B150" s="30"/>
      <c r="C150" s="31"/>
      <c r="D150" s="31"/>
    </row>
    <row r="151" spans="1:4" ht="15.75" customHeight="1">
      <c r="A151" s="16"/>
      <c r="B151" s="30"/>
      <c r="C151" s="31"/>
      <c r="D151" s="31"/>
    </row>
    <row r="152" spans="1:4" ht="15.75" customHeight="1">
      <c r="A152" s="16"/>
      <c r="B152" s="30"/>
      <c r="C152" s="31"/>
      <c r="D152" s="31"/>
    </row>
    <row r="153" spans="1:4" ht="15.75" customHeight="1">
      <c r="A153" s="16"/>
      <c r="B153" s="30"/>
      <c r="C153" s="31"/>
      <c r="D153" s="31"/>
    </row>
    <row r="154" spans="1:4" ht="15.75" customHeight="1">
      <c r="A154" s="16"/>
      <c r="B154" s="30"/>
      <c r="C154" s="31"/>
      <c r="D154" s="31"/>
    </row>
    <row r="155" spans="1:4" ht="15.75" customHeight="1">
      <c r="A155" s="16"/>
      <c r="B155" s="30"/>
      <c r="C155" s="31"/>
      <c r="D155" s="31"/>
    </row>
    <row r="156" spans="1:4" ht="15.75" customHeight="1">
      <c r="A156" s="16"/>
      <c r="B156" s="30"/>
      <c r="C156" s="31"/>
      <c r="D156" s="31"/>
    </row>
    <row r="157" spans="1:4" ht="15.75" customHeight="1">
      <c r="A157" s="16"/>
      <c r="B157" s="30"/>
      <c r="C157" s="31"/>
      <c r="D157" s="31"/>
    </row>
    <row r="158" spans="1:4" ht="15.75" customHeight="1">
      <c r="A158" s="16"/>
      <c r="B158" s="30"/>
      <c r="C158" s="31"/>
      <c r="D158" s="31"/>
    </row>
    <row r="159" spans="1:4" ht="15.75" customHeight="1">
      <c r="A159" s="16"/>
      <c r="B159" s="30"/>
      <c r="C159" s="31"/>
      <c r="D159" s="31"/>
    </row>
    <row r="160" spans="1:4" ht="15.75" customHeight="1">
      <c r="A160" s="16"/>
      <c r="B160" s="30"/>
      <c r="C160" s="31"/>
      <c r="D160" s="31"/>
    </row>
    <row r="161" spans="1:4" ht="15.75" customHeight="1">
      <c r="A161" s="16"/>
      <c r="B161" s="30"/>
      <c r="C161" s="31"/>
      <c r="D161" s="31"/>
    </row>
    <row r="162" spans="1:4" ht="15.75" customHeight="1">
      <c r="A162" s="16"/>
      <c r="B162" s="30"/>
      <c r="C162" s="31"/>
      <c r="D162" s="31"/>
    </row>
    <row r="163" spans="1:4" ht="15.75" customHeight="1">
      <c r="A163" s="16"/>
      <c r="B163" s="30"/>
      <c r="C163" s="31"/>
      <c r="D163" s="31"/>
    </row>
    <row r="164" spans="1:4" ht="15.75" customHeight="1">
      <c r="A164" s="16"/>
      <c r="B164" s="30"/>
      <c r="C164" s="31"/>
      <c r="D164" s="31"/>
    </row>
    <row r="165" spans="1:4" ht="15.75" customHeight="1">
      <c r="A165" s="16"/>
      <c r="B165" s="30"/>
      <c r="C165" s="31"/>
      <c r="D165" s="31"/>
    </row>
    <row r="166" spans="1:4" ht="15.75" customHeight="1">
      <c r="A166" s="16"/>
      <c r="B166" s="30"/>
      <c r="C166" s="31"/>
      <c r="D166" s="31"/>
    </row>
    <row r="167" spans="1:4" ht="15.75" customHeight="1">
      <c r="A167" s="16"/>
      <c r="B167" s="30"/>
      <c r="C167" s="31"/>
      <c r="D167" s="31"/>
    </row>
    <row r="168" spans="1:4" ht="15.75" customHeight="1">
      <c r="A168" s="16"/>
      <c r="B168" s="30"/>
      <c r="C168" s="31"/>
      <c r="D168" s="31"/>
    </row>
    <row r="169" spans="1:4" ht="15.75" customHeight="1">
      <c r="A169" s="16"/>
      <c r="B169" s="30"/>
      <c r="C169" s="31"/>
      <c r="D169" s="31"/>
    </row>
    <row r="170" spans="1:4" ht="15.75" customHeight="1">
      <c r="A170" s="16"/>
      <c r="B170" s="30"/>
      <c r="C170" s="31"/>
      <c r="D170" s="31"/>
    </row>
    <row r="171" spans="1:4" ht="15.75" customHeight="1">
      <c r="A171" s="16"/>
      <c r="B171" s="30"/>
      <c r="C171" s="31"/>
      <c r="D171" s="31"/>
    </row>
    <row r="172" spans="1:4" ht="15.75" customHeight="1">
      <c r="A172" s="16"/>
      <c r="B172" s="30"/>
      <c r="C172" s="31"/>
      <c r="D172" s="31"/>
    </row>
    <row r="173" spans="1:4" ht="15.75" customHeight="1">
      <c r="A173" s="16"/>
      <c r="B173" s="30"/>
      <c r="C173" s="31"/>
      <c r="D173" s="31"/>
    </row>
    <row r="174" spans="1:4" ht="15.75" customHeight="1">
      <c r="A174" s="16"/>
      <c r="B174" s="30"/>
      <c r="C174" s="31"/>
      <c r="D174" s="31"/>
    </row>
    <row r="175" spans="1:4" ht="15.75" customHeight="1">
      <c r="A175" s="16"/>
      <c r="B175" s="30"/>
      <c r="C175" s="31"/>
      <c r="D175" s="31"/>
    </row>
    <row r="176" spans="1:4" ht="15.75" customHeight="1">
      <c r="A176" s="16"/>
      <c r="B176" s="30"/>
      <c r="C176" s="31"/>
      <c r="D176" s="31"/>
    </row>
    <row r="177" spans="1:4" ht="15.75" customHeight="1">
      <c r="A177" s="16"/>
      <c r="B177" s="30"/>
      <c r="C177" s="31"/>
      <c r="D177" s="31"/>
    </row>
    <row r="178" spans="1:4" ht="15.75" customHeight="1">
      <c r="A178" s="16"/>
      <c r="B178" s="30"/>
      <c r="C178" s="31"/>
      <c r="D178" s="31"/>
    </row>
    <row r="179" spans="1:4" ht="15.75" customHeight="1">
      <c r="A179" s="16"/>
      <c r="B179" s="30"/>
      <c r="C179" s="31"/>
      <c r="D179" s="31"/>
    </row>
    <row r="180" spans="1:4" ht="15.75" customHeight="1">
      <c r="A180" s="16"/>
      <c r="B180" s="30"/>
      <c r="C180" s="31"/>
      <c r="D180" s="31"/>
    </row>
    <row r="181" spans="1:4" ht="15.75" customHeight="1">
      <c r="A181" s="16"/>
      <c r="B181" s="30"/>
      <c r="C181" s="31"/>
      <c r="D181" s="31"/>
    </row>
    <row r="182" spans="1:4" ht="15.75" customHeight="1">
      <c r="A182" s="16"/>
      <c r="B182" s="30"/>
      <c r="C182" s="31"/>
      <c r="D182" s="31"/>
    </row>
    <row r="183" spans="1:4" ht="15.75" customHeight="1">
      <c r="A183" s="16"/>
      <c r="B183" s="30"/>
      <c r="C183" s="31"/>
      <c r="D183" s="31"/>
    </row>
    <row r="184" spans="1:4" ht="15.75" customHeight="1">
      <c r="A184" s="16"/>
      <c r="B184" s="30"/>
      <c r="C184" s="31"/>
      <c r="D184" s="31"/>
    </row>
    <row r="185" spans="1:4" ht="15.75" customHeight="1">
      <c r="A185" s="16"/>
      <c r="B185" s="30"/>
      <c r="C185" s="31"/>
      <c r="D185" s="31"/>
    </row>
    <row r="186" spans="1:4" ht="15.75" customHeight="1">
      <c r="A186" s="16"/>
      <c r="B186" s="30"/>
      <c r="C186" s="31"/>
      <c r="D186" s="31"/>
    </row>
    <row r="187" spans="1:4" ht="15.75" customHeight="1">
      <c r="A187" s="16"/>
      <c r="B187" s="30"/>
      <c r="C187" s="31"/>
      <c r="D187" s="31"/>
    </row>
    <row r="188" spans="1:4" ht="15.75" customHeight="1">
      <c r="A188" s="16"/>
      <c r="B188" s="30"/>
      <c r="C188" s="31"/>
      <c r="D188" s="31"/>
    </row>
    <row r="189" spans="1:4" ht="15.75" customHeight="1">
      <c r="A189" s="16"/>
      <c r="B189" s="30"/>
      <c r="C189" s="31"/>
      <c r="D189" s="31"/>
    </row>
    <row r="190" spans="1:4" ht="15.75" customHeight="1">
      <c r="A190" s="16"/>
      <c r="B190" s="30"/>
      <c r="C190" s="31"/>
      <c r="D190" s="31"/>
    </row>
    <row r="191" spans="1:4" ht="15.75" customHeight="1">
      <c r="A191" s="16"/>
      <c r="B191" s="30"/>
      <c r="C191" s="31"/>
      <c r="D191" s="31"/>
    </row>
    <row r="192" spans="1:4" ht="15.75" customHeight="1">
      <c r="A192" s="16"/>
      <c r="B192" s="30"/>
      <c r="C192" s="31"/>
      <c r="D192" s="31"/>
    </row>
    <row r="193" spans="1:4" ht="15.75" customHeight="1">
      <c r="A193" s="16"/>
      <c r="B193" s="30"/>
      <c r="C193" s="31"/>
      <c r="D193" s="31"/>
    </row>
    <row r="194" spans="1:4" ht="15.75" customHeight="1">
      <c r="A194" s="16"/>
      <c r="B194" s="30"/>
      <c r="C194" s="31"/>
      <c r="D194" s="31"/>
    </row>
    <row r="195" spans="1:4" ht="15.75" customHeight="1">
      <c r="A195" s="16"/>
      <c r="B195" s="30"/>
      <c r="C195" s="31"/>
      <c r="D195" s="31"/>
    </row>
    <row r="196" spans="1:4" ht="15.75" customHeight="1">
      <c r="A196" s="16"/>
      <c r="B196" s="30"/>
      <c r="C196" s="31"/>
      <c r="D196" s="31"/>
    </row>
    <row r="197" spans="1:4" ht="15.75" customHeight="1">
      <c r="A197" s="16"/>
      <c r="B197" s="30"/>
      <c r="C197" s="31"/>
      <c r="D197" s="31"/>
    </row>
    <row r="198" spans="1:4" ht="15.75" customHeight="1">
      <c r="A198" s="16"/>
      <c r="B198" s="30"/>
      <c r="C198" s="31"/>
      <c r="D198" s="31"/>
    </row>
    <row r="199" spans="1:4" ht="15.75" customHeight="1">
      <c r="A199" s="16"/>
      <c r="B199" s="30"/>
      <c r="C199" s="31"/>
      <c r="D199" s="31"/>
    </row>
    <row r="200" spans="1:4" ht="15.75" customHeight="1">
      <c r="A200" s="16"/>
      <c r="B200" s="30"/>
      <c r="C200" s="31"/>
      <c r="D200" s="31"/>
    </row>
    <row r="201" spans="1:4" ht="15.75" customHeight="1">
      <c r="A201" s="16"/>
      <c r="B201" s="30"/>
      <c r="C201" s="31"/>
      <c r="D201" s="31"/>
    </row>
    <row r="202" spans="1:4" ht="15.75" customHeight="1">
      <c r="A202" s="16"/>
      <c r="B202" s="30"/>
      <c r="C202" s="31"/>
      <c r="D202" s="31"/>
    </row>
    <row r="203" spans="1:4" ht="15.75" customHeight="1">
      <c r="A203" s="16"/>
      <c r="B203" s="30"/>
      <c r="C203" s="31"/>
      <c r="D203" s="31"/>
    </row>
    <row r="204" spans="1:4" ht="15.75" customHeight="1">
      <c r="A204" s="16"/>
      <c r="B204" s="30"/>
      <c r="C204" s="31"/>
      <c r="D204" s="31"/>
    </row>
    <row r="205" spans="1:4" ht="15.75" customHeight="1">
      <c r="A205" s="16"/>
      <c r="B205" s="30"/>
      <c r="C205" s="31"/>
      <c r="D205" s="31"/>
    </row>
    <row r="206" spans="1:4" ht="15.75" customHeight="1">
      <c r="A206" s="16"/>
      <c r="B206" s="30"/>
      <c r="C206" s="31"/>
      <c r="D206" s="31"/>
    </row>
    <row r="207" spans="1:4" ht="15.75" customHeight="1">
      <c r="A207" s="16"/>
      <c r="B207" s="30"/>
      <c r="C207" s="31"/>
      <c r="D207" s="31"/>
    </row>
    <row r="208" spans="1:4" ht="15.75" customHeight="1">
      <c r="A208" s="16"/>
      <c r="B208" s="30"/>
      <c r="C208" s="31"/>
      <c r="D208" s="31"/>
    </row>
    <row r="209" spans="1:4" ht="15.75" customHeight="1">
      <c r="A209" s="16"/>
      <c r="B209" s="30"/>
      <c r="C209" s="31"/>
      <c r="D209" s="31"/>
    </row>
    <row r="210" spans="1:4" ht="15.75" customHeight="1">
      <c r="A210" s="16"/>
      <c r="B210" s="30"/>
      <c r="C210" s="31"/>
      <c r="D210" s="31"/>
    </row>
    <row r="211" spans="1:4" ht="15.75" customHeight="1">
      <c r="A211" s="16"/>
      <c r="B211" s="30"/>
      <c r="C211" s="31"/>
      <c r="D211" s="31"/>
    </row>
    <row r="212" spans="1:4" ht="15.75" customHeight="1">
      <c r="A212" s="16"/>
      <c r="B212" s="30"/>
      <c r="C212" s="31"/>
      <c r="D212" s="31"/>
    </row>
    <row r="213" spans="1:4" ht="15.75" customHeight="1">
      <c r="A213" s="16"/>
      <c r="B213" s="30"/>
      <c r="C213" s="31"/>
      <c r="D213" s="31"/>
    </row>
    <row r="214" spans="1:4" ht="15.75" customHeight="1">
      <c r="A214" s="16"/>
      <c r="B214" s="30"/>
      <c r="C214" s="31"/>
      <c r="D214" s="31"/>
    </row>
    <row r="215" spans="1:4" ht="15.75" customHeight="1">
      <c r="A215" s="16"/>
      <c r="B215" s="30"/>
      <c r="C215" s="31"/>
      <c r="D215" s="31"/>
    </row>
    <row r="216" spans="1:4" ht="15.75" customHeight="1">
      <c r="A216" s="16"/>
      <c r="B216" s="30"/>
      <c r="C216" s="31"/>
      <c r="D216" s="31"/>
    </row>
    <row r="217" spans="1:4" ht="15.75" customHeight="1">
      <c r="A217" s="16"/>
      <c r="B217" s="30"/>
      <c r="C217" s="31"/>
      <c r="D217" s="31"/>
    </row>
    <row r="218" spans="1:4" ht="15.75" customHeight="1">
      <c r="A218" s="16"/>
      <c r="B218" s="30"/>
      <c r="C218" s="31"/>
      <c r="D218" s="31"/>
    </row>
    <row r="219" spans="1:4" ht="15.75" customHeight="1">
      <c r="A219" s="16"/>
      <c r="B219" s="30"/>
      <c r="C219" s="31"/>
      <c r="D219" s="31"/>
    </row>
    <row r="220" spans="1:4" ht="15.75" customHeight="1">
      <c r="A220" s="16"/>
      <c r="B220" s="30"/>
      <c r="C220" s="31"/>
      <c r="D220" s="31"/>
    </row>
    <row r="221" spans="1:4" ht="15.75" customHeight="1"/>
    <row r="222" spans="1:4" ht="15.75" customHeight="1"/>
    <row r="223" spans="1:4" ht="15.75" customHeight="1"/>
    <row r="224" spans="1: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  <outlinePr summaryBelow="0" summaryRight="0"/>
  </sheetPr>
  <dimension ref="A1:Z1000"/>
  <sheetViews>
    <sheetView workbookViewId="0"/>
  </sheetViews>
  <sheetFormatPr baseColWidth="10" defaultColWidth="12.6640625" defaultRowHeight="15" customHeight="1"/>
  <cols>
    <col min="1" max="6" width="12.6640625" customWidth="1"/>
  </cols>
  <sheetData>
    <row r="1" spans="1:26" ht="15.75" customHeight="1">
      <c r="A1" s="40" t="s">
        <v>431</v>
      </c>
      <c r="B1" s="40" t="s">
        <v>432</v>
      </c>
      <c r="C1" s="41" t="s">
        <v>433</v>
      </c>
      <c r="D1" s="41" t="s">
        <v>434</v>
      </c>
      <c r="E1" s="42" t="s">
        <v>435</v>
      </c>
      <c r="F1" s="42" t="s">
        <v>436</v>
      </c>
      <c r="G1" s="43" t="s">
        <v>437</v>
      </c>
      <c r="H1" s="43" t="s">
        <v>438</v>
      </c>
      <c r="I1" s="44" t="s">
        <v>439</v>
      </c>
      <c r="J1" s="44" t="s">
        <v>440</v>
      </c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spans="1:26" ht="15.75" customHeight="1">
      <c r="A2" s="45">
        <v>10</v>
      </c>
      <c r="B2" s="46" t="s">
        <v>441</v>
      </c>
      <c r="C2" s="45">
        <v>999</v>
      </c>
      <c r="D2" s="47">
        <v>1</v>
      </c>
      <c r="E2" s="47">
        <v>1</v>
      </c>
      <c r="F2" s="48">
        <v>0.75</v>
      </c>
      <c r="G2" s="48">
        <v>0.75</v>
      </c>
      <c r="H2" s="49">
        <v>0.5</v>
      </c>
      <c r="I2" s="49">
        <v>0.5</v>
      </c>
      <c r="J2" s="50">
        <v>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spans="1:26" ht="15.75" customHeight="1"/>
    <row r="4" spans="1:26" ht="15.75" customHeight="1"/>
    <row r="5" spans="1:26" ht="15.75" customHeight="1">
      <c r="C5" s="19"/>
    </row>
    <row r="6" spans="1:26" ht="15.75" customHeight="1"/>
    <row r="7" spans="1:26" ht="15.75" customHeight="1">
      <c r="C7" s="19"/>
    </row>
    <row r="8" spans="1:26" ht="15.75" customHeight="1"/>
    <row r="9" spans="1:26" ht="15.75" customHeight="1"/>
    <row r="10" spans="1:26" ht="15.75" customHeight="1"/>
    <row r="11" spans="1:26" ht="15.75" customHeight="1"/>
    <row r="12" spans="1:26" ht="15.75" customHeight="1"/>
    <row r="13" spans="1:26" ht="15.75" customHeight="1"/>
    <row r="14" spans="1:26" ht="15.75" customHeight="1"/>
    <row r="15" spans="1:26" ht="15.75" customHeight="1"/>
    <row r="16" spans="1:2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A1000"/>
  <sheetViews>
    <sheetView workbookViewId="0"/>
  </sheetViews>
  <sheetFormatPr baseColWidth="10" defaultColWidth="12.6640625" defaultRowHeight="15" customHeight="1"/>
  <cols>
    <col min="1" max="6" width="12.6640625" customWidth="1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Datos procesados 2012</vt:lpstr>
      <vt:lpstr>Datos procesados 2024</vt:lpstr>
      <vt:lpstr>Indicador_MUN</vt:lpstr>
      <vt:lpstr>Absoluto_MUN</vt:lpstr>
      <vt:lpstr>Indicador_DEP</vt:lpstr>
      <vt:lpstr>Absoluto_DEP</vt:lpstr>
      <vt:lpstr>Umbral</vt:lpstr>
      <vt:lpstr>Mapa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marion torrico</cp:lastModifiedBy>
  <dcterms:modified xsi:type="dcterms:W3CDTF">2026-06-03T18:26:35Z</dcterms:modified>
</cp:coreProperties>
</file>